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ksymo\Desktop\2025.3Q\DD\"/>
    </mc:Choice>
  </mc:AlternateContent>
  <bookViews>
    <workbookView xWindow="-120" yWindow="-120" windowWidth="29040" windowHeight="15720" tabRatio="915"/>
  </bookViews>
  <sheets>
    <sheet name="Sheet A" sheetId="52" r:id="rId1"/>
    <sheet name="Sheet A-1" sheetId="191" r:id="rId2"/>
    <sheet name="Sheet B" sheetId="146" r:id="rId3"/>
    <sheet name="Sheet C-1" sheetId="67" r:id="rId4"/>
    <sheet name="Sheet C-2" sheetId="68" r:id="rId5"/>
    <sheet name="Sheet C-3" sheetId="69" r:id="rId6"/>
    <sheet name="Sheet D" sheetId="57" r:id="rId7"/>
  </sheets>
  <definedNames>
    <definedName name="_" hidden="1">#REF!</definedName>
    <definedName name="__IntlFixup" hidden="1">TRUE</definedName>
    <definedName name="_10__123Graph_A차트_5" hidden="1">#REF!</definedName>
    <definedName name="_100T2_" hidden="1">{#N/A,#N/A,FALSE,"단축1";#N/A,#N/A,FALSE,"단축2";#N/A,#N/A,FALSE,"단축3";#N/A,#N/A,FALSE,"장축";#N/A,#N/A,FALSE,"4WD"}</definedName>
    <definedName name="_101T3_" hidden="1">{#N/A,#N/A,FALSE,"단축1";#N/A,#N/A,FALSE,"단축2";#N/A,#N/A,FALSE,"단축3";#N/A,#N/A,FALSE,"장축";#N/A,#N/A,FALSE,"4WD"}</definedName>
    <definedName name="_102T5_" hidden="1">{#N/A,#N/A,FALSE,"단축1";#N/A,#N/A,FALSE,"단축2";#N/A,#N/A,FALSE,"단축3";#N/A,#N/A,FALSE,"장축";#N/A,#N/A,FALSE,"4WD"}</definedName>
    <definedName name="_106W2_" hidden="1">{#N/A,#N/A,FALSE,"품의서";#N/A,#N/A,FALSE,"전제";#N/A,#N/A,FALSE,"총손";#N/A,#N/A,FALSE,"손익"}</definedName>
    <definedName name="_110__0_S" hidden="1">#REF!</definedName>
    <definedName name="_12__123Graph_A차트_6" hidden="1">#REF!</definedName>
    <definedName name="_14__123Graph_A차트_7" hidden="1">#REF!</definedName>
    <definedName name="_16__123Graph_A차트_8" hidden="1">#REF!</definedName>
    <definedName name="_18__123Graph_B차트_1" hidden="1">#REF!</definedName>
    <definedName name="_2__123Graph_A차트_1" hidden="1">#REF!</definedName>
    <definedName name="_20__123Graph_B차트_2" hidden="1">#REF!</definedName>
    <definedName name="_22__123Graph_B차트_3" hidden="1">#REF!</definedName>
    <definedName name="_24__123Graph_B차트_4" hidden="1">#REF!</definedName>
    <definedName name="_26__123Graph_B차트_5" hidden="1">#REF!</definedName>
    <definedName name="_28__123Graph_B차트_6" hidden="1">#REF!</definedName>
    <definedName name="_30__123Graph_B차트_7" hidden="1">#REF!</definedName>
    <definedName name="_32__123Graph_B차트_8" hidden="1">#REF!</definedName>
    <definedName name="_34__123Graph_X차트_1" hidden="1">#REF!</definedName>
    <definedName name="_36__123Graph_X차트_2" hidden="1">#REF!</definedName>
    <definedName name="_38__123Graph_X차트_3" hidden="1">#REF!</definedName>
    <definedName name="_4__123Graph_A차트_2" hidden="1">#REF!</definedName>
    <definedName name="_40__123Graph_X차트_4" hidden="1">#REF!</definedName>
    <definedName name="_42__123Graph_X차트_5" hidden="1">#REF!</definedName>
    <definedName name="_44__123Graph_X차트_6" hidden="1">#REF!</definedName>
    <definedName name="_46__123Graph_X차트_7" hidden="1">#REF!</definedName>
    <definedName name="_48__123Graph_X차트_8" hidden="1">#REF!</definedName>
    <definedName name="_54L2_" hidden="1">{#N/A,#N/A,FALSE,"보험현황";#N/A,#N/A,FALSE,"보험현황"}</definedName>
    <definedName name="_55A3_" hidden="1">{#N/A,#N/A,FALSE,"단축1";#N/A,#N/A,FALSE,"단축2";#N/A,#N/A,FALSE,"단축3";#N/A,#N/A,FALSE,"장축";#N/A,#N/A,FALSE,"4WD"}</definedName>
    <definedName name="_6__123Graph_A차트_3" hidden="1">#REF!</definedName>
    <definedName name="_71FY01_" hidden="1">{"'Sheet1'!$A$1:$D$15"}</definedName>
    <definedName name="_8__123Graph_A차트_4" hidden="1">#REF!</definedName>
    <definedName name="_90K7_" hidden="1">{#N/A,#N/A,TRUE,"Y생산";#N/A,#N/A,TRUE,"Y판매";#N/A,#N/A,TRUE,"Y총물량";#N/A,#N/A,TRUE,"Y능력";#N/A,#N/A,TRUE,"YKD"}</definedName>
    <definedName name="_91k8_" hidden="1">{#N/A,#N/A,FALSE,"단축1";#N/A,#N/A,FALSE,"단축2";#N/A,#N/A,FALSE,"단축3";#N/A,#N/A,FALSE,"장축";#N/A,#N/A,FALSE,"4WD"}</definedName>
    <definedName name="_92k9_" hidden="1">{#N/A,#N/A,FALSE,"단축1";#N/A,#N/A,FALSE,"단축2";#N/A,#N/A,FALSE,"단축3";#N/A,#N/A,FALSE,"장축";#N/A,#N/A,FALSE,"4WD"}</definedName>
    <definedName name="_Dist_Bin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0" hidden="1">'Sheet A'!$A$10:$O$73</definedName>
    <definedName name="_xlnm._FilterDatabase" localSheetId="1" hidden="1">'Sheet A-1'!$A$10:$AC$17</definedName>
    <definedName name="_xlnm._FilterDatabase" localSheetId="2" hidden="1">'Sheet B'!$A$10:$V$692</definedName>
    <definedName name="_xlnm._FilterDatabase" localSheetId="3" hidden="1">'Sheet C-1'!$A$10:$CB$123</definedName>
    <definedName name="_xlnm._FilterDatabase" localSheetId="4" hidden="1">'Sheet C-2'!$A$10:$AI$301</definedName>
    <definedName name="_xlnm._FilterDatabase" localSheetId="5" hidden="1">'Sheet C-3'!$A$10:$Q$222</definedName>
    <definedName name="_xlnm._FilterDatabase" localSheetId="6" hidden="1">'Sheet D'!$A$10:$S$66</definedName>
    <definedName name="_xlnm._FilterDatabase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hidden="1">#REF!</definedName>
    <definedName name="_KI9" hidden="1">{#N/A,#N/A,TRUE,"Y생산";#N/A,#N/A,TRUE,"Y판매";#N/A,#N/A,TRUE,"Y총물량";#N/A,#N/A,TRUE,"Y능력";#N/A,#N/A,TRUE,"YKD"}</definedName>
    <definedName name="_L2" hidden="1">{#N/A,#N/A,FALSE,"보험현황";#N/A,#N/A,FALSE,"보험현황"}</definedName>
    <definedName name="_MatInverse_In" hidden="1">#REF!</definedName>
    <definedName name="_MatInverse_Out" localSheetId="0" hidden="1">#REF!</definedName>
    <definedName name="_MatInverse_Out" localSheetId="1" hidden="1">#REF!</definedName>
    <definedName name="_MatInverse_Out" localSheetId="2" hidden="1">#REF!</definedName>
    <definedName name="_MatInverse_Out" localSheetId="3" hidden="1">#REF!</definedName>
    <definedName name="_MatInverse_Out" localSheetId="4" hidden="1">#REF!</definedName>
    <definedName name="_MatInverse_Out" localSheetId="5" hidden="1">#REF!</definedName>
    <definedName name="_MatInverse_Out" localSheetId="6" hidden="1">#REF!</definedName>
    <definedName name="_MatInverse_Out" hidden="1">#REF!</definedName>
    <definedName name="_MatMult_B" localSheetId="0" hidden="1">#REF!</definedName>
    <definedName name="_MatMult_B" localSheetId="1" hidden="1">#REF!</definedName>
    <definedName name="_MatMult_B" localSheetId="2" hidden="1">#REF!</definedName>
    <definedName name="_MatMult_B" localSheetId="3" hidden="1">#REF!</definedName>
    <definedName name="_MatMult_B" localSheetId="4" hidden="1">#REF!</definedName>
    <definedName name="_MatMult_B" localSheetId="5" hidden="1">#REF!</definedName>
    <definedName name="_MatMult_B" localSheetId="6" hidden="1">#REF!</definedName>
    <definedName name="_MatMult_B" hidden="1">#REF!</definedName>
    <definedName name="_Order1" hidden="1">255</definedName>
    <definedName name="_Order2" hidden="1">255</definedName>
    <definedName name="_Parse_In" localSheetId="0" hidden="1">#REF!</definedName>
    <definedName name="_Parse_In" localSheetId="1" hidden="1">#REF!</definedName>
    <definedName name="_Parse_In" localSheetId="2" hidden="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0" hidden="1">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LA2" hidden="1">{#N/A,#N/A,FALSE,"96 3월물량표";#N/A,#N/A,FALSE,"96 4월물량표";#N/A,#N/A,FALSE,"96 5월물량표"}</definedName>
    <definedName name="_RLA5" hidden="1">{#N/A,#N/A,TRUE,"Y생산";#N/A,#N/A,TRUE,"Y판매";#N/A,#N/A,TRUE,"Y총물량";#N/A,#N/A,TRUE,"Y능력";#N/A,#N/A,TRUE,"YKD"}</definedName>
    <definedName name="_RLA6" hidden="1">{#N/A,#N/A,TRUE,"Y생산";#N/A,#N/A,TRUE,"Y판매";#N/A,#N/A,TRUE,"Y총물량";#N/A,#N/A,TRUE,"Y능력";#N/A,#N/A,TRUE,"YKD"}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UM1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A1_00근거" hidden="1">{#N/A,#N/A,FALSE,"단축1";#N/A,#N/A,FALSE,"단축2";#N/A,#N/A,FALSE,"단축3";#N/A,#N/A,FALSE,"장축";#N/A,#N/A,FALSE,"4WD"}</definedName>
    <definedName name="aa" hidden="1">{"'Sheet1'!$A$1:$D$15"}</definedName>
    <definedName name="aaa" hidden="1">{#N/A,#N/A,FALSE,"COL-HIS"}</definedName>
    <definedName name="aaaa" hidden="1">{#N/A,#N/A,FALSE,"기술료 비교"}</definedName>
    <definedName name="AAAA1" hidden="1">{#N/A,#N/A,FALSE,"기술료 비교"}</definedName>
    <definedName name="AAAAAAA" hidden="1">{#N/A,#N/A,TRUE,"Y생산";#N/A,#N/A,TRUE,"Y판매";#N/A,#N/A,TRUE,"Y총물량";#N/A,#N/A,TRUE,"Y능력";#N/A,#N/A,TRUE,"YKD"}</definedName>
    <definedName name="AAAAAAAAAAA" hidden="1">{#N/A,#N/A,FALSE,"단축1";#N/A,#N/A,FALSE,"단축2";#N/A,#N/A,FALSE,"단축3";#N/A,#N/A,FALSE,"장축";#N/A,#N/A,FALSE,"4WD"}</definedName>
    <definedName name="AAAAAAAAAAAAAAAAAAAAAAAAA" hidden="1">{#N/A,#N/A,TRUE,"Y생산";#N/A,#N/A,TRUE,"Y판매";#N/A,#N/A,TRUE,"Y총물량";#N/A,#N/A,TRUE,"Y능력";#N/A,#N/A,TRUE,"YKD"}</definedName>
    <definedName name="ACB" hidden="1">{#N/A,#N/A,FALSE,"단축1";#N/A,#N/A,FALSE,"단축2";#N/A,#N/A,FALSE,"단축3";#N/A,#N/A,FALSE,"장축";#N/A,#N/A,FALSE,"4WD"}</definedName>
    <definedName name="AccessDatabase" hidden="1">"C:\파생DESK\평가\월말평가\2001년11월\국내요약200111.mdb"</definedName>
    <definedName name="ADSDF" hidden="1">{#N/A,#N/A,TRUE,"Y생산";#N/A,#N/A,TRUE,"Y판매";#N/A,#N/A,TRUE,"Y총물량";#N/A,#N/A,TRUE,"Y능력";#N/A,#N/A,TRUE,"YKD"}</definedName>
    <definedName name="ahffk" hidden="1">"AS2DocumentBrowse"</definedName>
    <definedName name="akrka123" hidden="1">{#N/A,#N/A,TRUE,"Y생산";#N/A,#N/A,TRUE,"Y판매";#N/A,#N/A,TRUE,"Y총물량";#N/A,#N/A,TRUE,"Y능력";#N/A,#N/A,TRUE,"YKD"}</definedName>
    <definedName name="AQP" hidden="1">{#N/A,#N/A,FALSE,"96 3월물량표";#N/A,#N/A,FALSE,"96 4월물량표";#N/A,#N/A,FALSE,"96 5월물량표"}</definedName>
    <definedName name="AS" localSheetId="1" hidden="1">{"'보고양식'!$A$58:$K$111"}</definedName>
    <definedName name="AS" hidden="1">{"'보고양식'!$A$58:$K$111"}</definedName>
    <definedName name="AS2DocOpenMode" hidden="1">"AS2DocumentEdit"</definedName>
    <definedName name="ASDF" hidden="1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X" hidden="1">{#N/A,#N/A,FALSE,"단축1";#N/A,#N/A,FALSE,"단축2";#N/A,#N/A,FALSE,"단축3";#N/A,#N/A,FALSE,"장축";#N/A,#N/A,FALSE,"4WD"}</definedName>
    <definedName name="BB" localSheetId="1" hidden="1">{"'보고양식'!$A$58:$K$111"}</definedName>
    <definedName name="BB" hidden="1">{"'보고양식'!$A$58:$K$111"}</definedName>
    <definedName name="BL" hidden="1">{#N/A,#N/A,FALSE,"단축1";#N/A,#N/A,FALSE,"단축2";#N/A,#N/A,FALSE,"단축3";#N/A,#N/A,FALSE,"장축";#N/A,#N/A,FALSE,"4WD"}</definedName>
    <definedName name="BLBL" hidden="1">{#N/A,#N/A,FALSE,"단축1";#N/A,#N/A,FALSE,"단축2";#N/A,#N/A,FALSE,"단축3";#N/A,#N/A,FALSE,"장축";#N/A,#N/A,FALSE,"4WD"}</definedName>
    <definedName name="BNG" hidden="1">{#N/A,#N/A,TRUE,"Y생산";#N/A,#N/A,TRUE,"Y판매";#N/A,#N/A,TRUE,"Y총물량";#N/A,#N/A,TRUE,"Y능력";#N/A,#N/A,TRUE,"YKD"}</definedName>
    <definedName name="book1" hidden="1">{#N/A,#N/A,FALSE,"UNIT";#N/A,#N/A,FALSE,"UNIT";#N/A,#N/A,FALSE,"계정"}</definedName>
    <definedName name="BS추정" localSheetId="0" hidden="1">{"'보고양식'!$A$58:$K$111"}</definedName>
    <definedName name="BS추정" localSheetId="1" hidden="1">{"'보고양식'!$A$58:$K$111"}</definedName>
    <definedName name="BS추정" localSheetId="2" hidden="1">{"'보고양식'!$A$58:$K$111"}</definedName>
    <definedName name="BS추정" localSheetId="3" hidden="1">{"'보고양식'!$A$58:$K$111"}</definedName>
    <definedName name="BS추정" localSheetId="4" hidden="1">{"'보고양식'!$A$58:$K$111"}</definedName>
    <definedName name="BS추정" localSheetId="5" hidden="1">{"'보고양식'!$A$58:$K$111"}</definedName>
    <definedName name="BS추정" localSheetId="6" hidden="1">{"'보고양식'!$A$58:$K$111"}</definedName>
    <definedName name="BS추정" hidden="1">{"'보고양식'!$A$58:$K$111"}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i" hidden="1">{#N/A,#N/A,FALSE,"단축1";#N/A,#N/A,FALSE,"단축2";#N/A,#N/A,FALSE,"단축3";#N/A,#N/A,FALSE,"장축";#N/A,#N/A,FALSE,"4WD"}</definedName>
    <definedName name="CIQWBGuid" hidden="1">"IBK 2019-3 Program_Datadisk_190814_4차_합본_고객번호변동 반영.xlsx"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ver2" hidden="1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ddf" hidden="1">{#N/A,#N/A,FALSE,"단축1";#N/A,#N/A,FALSE,"단축2";#N/A,#N/A,FALSE,"단축3";#N/A,#N/A,FALSE,"장축";#N/A,#N/A,FALSE,"4WD"}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" localSheetId="1" hidden="1">{"'보고양식'!$A$58:$K$111"}</definedName>
    <definedName name="DK" hidden="1">{"'보고양식'!$A$58:$K$111"}</definedName>
    <definedName name="dkg" hidden="1">{"'매출'!$A$1:$I$22"}</definedName>
    <definedName name="dkl" hidden="1">{"'Sheet1'!$A$1:$D$15"}</definedName>
    <definedName name="DLAKL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RIVEABILITY" hidden="1">{#N/A,#N/A,FALSE,"단축1";#N/A,#N/A,FALSE,"단축2";#N/A,#N/A,FALSE,"단축3";#N/A,#N/A,FALSE,"장축";#N/A,#N/A,FALSE,"4WD"}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HDFL" hidden="1">#REF!</definedName>
    <definedName name="DSL" hidden="1">{#N/A,#N/A,FALSE,"단축1";#N/A,#N/A,FALSE,"단축2";#N/A,#N/A,FALSE,"단축3";#N/A,#N/A,FALSE,"장축";#N/A,#N/A,FALSE,"4WD"}</definedName>
    <definedName name="E" hidden="1">{#N/A,#N/A,TRUE,"Y생산";#N/A,#N/A,TRUE,"Y판매";#N/A,#N/A,TRUE,"Y총물량";#N/A,#N/A,TRUE,"Y능력";#N/A,#N/A,TRUE,"YKD"}</definedName>
    <definedName name="ed" localSheetId="0" hidden="1">{"'보고양식'!$A$58:$K$111"}</definedName>
    <definedName name="ed" localSheetId="1" hidden="1">{"'보고양식'!$A$58:$K$111"}</definedName>
    <definedName name="ed" localSheetId="2" hidden="1">{"'보고양식'!$A$58:$K$111"}</definedName>
    <definedName name="ed" localSheetId="3" hidden="1">{"'보고양식'!$A$58:$K$111"}</definedName>
    <definedName name="ed" localSheetId="4" hidden="1">{"'보고양식'!$A$58:$K$111"}</definedName>
    <definedName name="ed" localSheetId="5" hidden="1">{"'보고양식'!$A$58:$K$111"}</definedName>
    <definedName name="ed" localSheetId="6" hidden="1">{"'보고양식'!$A$58:$K$111"}</definedName>
    <definedName name="ed" hidden="1">{"'보고양식'!$A$58:$K$111"}</definedName>
    <definedName name="EK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wrw" localSheetId="1" hidden="1">#REF!</definedName>
    <definedName name="ewrw" hidden="1">#REF!</definedName>
    <definedName name="F" hidden="1">{#N/A,#N/A,FALSE,"96 3월물량표";#N/A,#N/A,FALSE,"96 4월물량표";#N/A,#N/A,FALSE,"96 5월물량표"}</definedName>
    <definedName name="FFFFFFFFFFF" hidden="1">{#N/A,#N/A,FALSE,"정공"}</definedName>
    <definedName name="fffgfg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ld" hidden="1">{#N/A,#N/A,TRUE,"Y생산";#N/A,#N/A,TRUE,"Y판매";#N/A,#N/A,TRUE,"Y총물량";#N/A,#N/A,TRUE,"Y능력";#N/A,#N/A,TRUE,"YKD"}</definedName>
    <definedName name="GFRGH" hidden="1">{#N/A,#N/A,TRUE,"Y생산";#N/A,#N/A,TRUE,"Y판매";#N/A,#N/A,TRUE,"Y총물량";#N/A,#N/A,TRUE,"Y능력";#N/A,#N/A,TRUE,"YKD"}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gkd" hidden="1">{#N/A,#N/A,FALSE,"COL-HIS"}</definedName>
    <definedName name="H" hidden="1">{#N/A,#N/A,TRUE,"Y생산";#N/A,#N/A,TRUE,"Y판매";#N/A,#N/A,TRUE,"Y총물량";#N/A,#N/A,TRUE,"Y능력";#N/A,#N/A,TRUE,"YKD"}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KLL" hidden="1">{#N/A,#N/A,TRUE,"Y생산";#N/A,#N/A,TRUE,"Y판매";#N/A,#N/A,TRUE,"Y총물량";#N/A,#N/A,TRUE,"Y능력";#N/A,#N/A,TRUE,"YKD"}</definedName>
    <definedName name="hpv" hidden="1">{#N/A,#N/A,FALSE,"단축1";#N/A,#N/A,FALSE,"단축2";#N/A,#N/A,FALSE,"단축3";#N/A,#N/A,FALSE,"장축";#N/A,#N/A,FALSE,"4WD"}</definedName>
    <definedName name="HTML_CodePage" hidden="1">949</definedName>
    <definedName name="HTML_Control" localSheetId="0" hidden="1">{"'보고양식'!$A$58:$K$111"}</definedName>
    <definedName name="HTML_Control" localSheetId="1" hidden="1">{"'보고양식'!$A$58:$K$111"}</definedName>
    <definedName name="HTML_Control" localSheetId="2" hidden="1">{"'보고양식'!$A$58:$K$111"}</definedName>
    <definedName name="HTML_Control" localSheetId="3" hidden="1">{"'보고양식'!$A$58:$K$111"}</definedName>
    <definedName name="HTML_Control" localSheetId="4" hidden="1">{"'보고양식'!$A$58:$K$111"}</definedName>
    <definedName name="HTML_Control" localSheetId="5" hidden="1">{"'보고양식'!$A$58:$K$111"}</definedName>
    <definedName name="HTML_Control" localSheetId="6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YP" hidden="1">#REF!</definedName>
    <definedName name="ic" hidden="1">{#N/A,#N/A,FALSE,"단축1";#N/A,#N/A,FALSE,"단축2";#N/A,#N/A,FALSE,"단축3";#N/A,#N/A,FALSE,"장축";#N/A,#N/A,FALSE,"4WD"}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1" hidden="1">"2015-12-07 오후 2:31:4"</definedName>
    <definedName name="IQ_NAMES_REVISION_DATE_" hidden="1">"2012-05-02 오후 10:46:3"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1공장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ey" hidden="1">#REF!</definedName>
    <definedName name="KHN" localSheetId="0" hidden="1">{"'보고양식'!$A$58:$K$111"}</definedName>
    <definedName name="KHN" localSheetId="1" hidden="1">{"'보고양식'!$A$58:$K$111"}</definedName>
    <definedName name="KHN" localSheetId="2" hidden="1">{"'보고양식'!$A$58:$K$111"}</definedName>
    <definedName name="KHN" localSheetId="3" hidden="1">{"'보고양식'!$A$58:$K$111"}</definedName>
    <definedName name="KHN" localSheetId="4" hidden="1">{"'보고양식'!$A$58:$K$111"}</definedName>
    <definedName name="KHN" localSheetId="5" hidden="1">{"'보고양식'!$A$58:$K$111"}</definedName>
    <definedName name="KHN" localSheetId="6" hidden="1">{"'보고양식'!$A$58:$K$111"}</definedName>
    <definedName name="KHN" hidden="1">{"'보고양식'!$A$58:$K$111"}</definedName>
    <definedName name="KIM" hidden="1">{#N/A,#N/A,FALSE,"단축1";#N/A,#N/A,FALSE,"단축2";#N/A,#N/A,FALSE,"단축3";#N/A,#N/A,FALSE,"장축";#N/A,#N/A,FALSE,"4WD"}</definedName>
    <definedName name="KK" hidden="1">{#N/A,#N/A,TRUE,"Y생산";#N/A,#N/A,TRUE,"Y판매";#N/A,#N/A,TRUE,"Y총물량";#N/A,#N/A,TRUE,"Y능력";#N/A,#N/A,TRUE,"YKD"}</definedName>
    <definedName name="kkk" hidden="1">{#N/A,#N/A,FALSE,"단축1";#N/A,#N/A,FALSE,"단축2";#N/A,#N/A,FALSE,"단축3";#N/A,#N/A,FALSE,"장축";#N/A,#N/A,FALSE,"4WD"}</definedName>
    <definedName name="kkkk" hidden="1">#REF!</definedName>
    <definedName name="KK노무비" hidden="1">{#N/A,#N/A,TRUE,"Y생산";#N/A,#N/A,TRUE,"Y판매";#N/A,#N/A,TRUE,"Y총물량";#N/A,#N/A,TRUE,"Y능력";#N/A,#N/A,TRUE,"YKD"}</definedName>
    <definedName name="KMD" hidden="1">{#N/A,#N/A,FALSE,"96 3월물량표";#N/A,#N/A,FALSE,"96 4월물량표";#N/A,#N/A,FALSE,"96 5월물량표"}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LLLD" hidden="1">{#N/A,#N/A,TRUE,"Y생산";#N/A,#N/A,TRUE,"Y판매";#N/A,#N/A,TRUE,"Y총물량";#N/A,#N/A,TRUE,"Y능력";#N/A,#N/A,TRUE,"YKD"}</definedName>
    <definedName name="LLLLL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N" hidden="1">{#N/A,#N/A,FALSE,"96 3월물량표";#N/A,#N/A,FALSE,"96 4월물량표";#N/A,#N/A,FALSE,"96 5월물량표"}</definedName>
    <definedName name="NGH" hidden="1">{#N/A,#N/A,TRUE,"Y생산";#N/A,#N/A,TRUE,"Y판매";#N/A,#N/A,TRUE,"Y총물량";#N/A,#N/A,TRUE,"Y능력";#N/A,#N/A,TRUE,"YKD"}</definedName>
    <definedName name="NH" localSheetId="1" hidden="1">#REF!</definedName>
    <definedName name="NH" hidden="1">#REF!</definedName>
    <definedName name="nhgv" localSheetId="1" hidden="1">{#N/A,#N/A,FALSE,"주요여수신";#N/A,#N/A,FALSE,"수신금리";#N/A,#N/A,FALSE,"대출금리";#N/A,#N/A,FALSE,"신규대출";#N/A,#N/A,FALSE,"총액대출"}</definedName>
    <definedName name="nhgv" hidden="1">{#N/A,#N/A,FALSE,"주요여수신";#N/A,#N/A,FALSE,"수신금리";#N/A,#N/A,FALSE,"대출금리";#N/A,#N/A,FALSE,"신규대출";#N/A,#N/A,FALSE,"총액대출"}</definedName>
    <definedName name="NNL" hidden="1">{#N/A,#N/A,FALSE,"단축1";#N/A,#N/A,FALSE,"단축2";#N/A,#N/A,FALSE,"단축3";#N/A,#N/A,FALSE,"장축";#N/A,#N/A,FALSE,"4WD"}</definedName>
    <definedName name="NNN" hidden="1">{#N/A,#N/A,FALSE,"96 3월물량표";#N/A,#N/A,FALSE,"96 4월물량표";#N/A,#N/A,FALSE,"96 5월물량표"}</definedName>
    <definedName name="NW" hidden="1">{#N/A,#N/A,FALSE,"단축1";#N/A,#N/A,FALSE,"단축2";#N/A,#N/A,FALSE,"단축3";#N/A,#N/A,FALSE,"장축";#N/A,#N/A,FALSE,"4WD"}</definedName>
    <definedName name="O" hidden="1">{#N/A,#N/A,TRUE,"Y생산";#N/A,#N/A,TRUE,"Y판매";#N/A,#N/A,TRUE,"Y총물량";#N/A,#N/A,TRUE,"Y능력";#N/A,#N/A,TRUE,"YKD"}</definedName>
    <definedName name="OOO" hidden="1">{#N/A,#N/A,TRUE,"Y생산";#N/A,#N/A,TRUE,"Y판매";#N/A,#N/A,TRUE,"Y총물량";#N/A,#N/A,TRUE,"Y능력";#N/A,#N/A,TRUE,"YKD"}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ppo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T다추가" hidden="1">{#N/A,#N/A,TRUE,"Y생산";#N/A,#N/A,TRUE,"Y판매";#N/A,#N/A,TRUE,"Y총물량";#N/A,#N/A,TRUE,"Y능력";#N/A,#N/A,TRUE,"YKD"}</definedName>
    <definedName name="QEQ" hidden="1">{#N/A,#N/A,FALSE,"기술료 비교"}</definedName>
    <definedName name="qlty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hidden="1">{#N/A,#N/A,FALSE,"96 3월물량표";#N/A,#N/A,FALSE,"96 4월물량표";#N/A,#N/A,FALSE,"96 5월물량표"}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WE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LA" hidden="1">{#N/A,#N/A,TRUE,"Y생산";#N/A,#N/A,TRUE,"Y판매";#N/A,#N/A,TRUE,"Y총물량";#N/A,#N/A,TRUE,"Y능력";#N/A,#N/A,TRUE,"YKD"}</definedName>
    <definedName name="ROTJSRHKWJD1" hidden="1">{#N/A,#N/A,FALSE,"단축1";#N/A,#N/A,FALSE,"단축2";#N/A,#N/A,FALSE,"단축3";#N/A,#N/A,FALSE,"장축";#N/A,#N/A,FALSE,"4WD"}</definedName>
    <definedName name="rPghlr" hidden="1">{#N/A,#N/A,FALSE,"기술료 비교"}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ds" localSheetId="0" hidden="1">{"'보고양식'!$A$58:$K$111"}</definedName>
    <definedName name="sds" localSheetId="1" hidden="1">{"'보고양식'!$A$58:$K$111"}</definedName>
    <definedName name="sds" localSheetId="2" hidden="1">{"'보고양식'!$A$58:$K$111"}</definedName>
    <definedName name="sds" localSheetId="3" hidden="1">{"'보고양식'!$A$58:$K$111"}</definedName>
    <definedName name="sds" localSheetId="4" hidden="1">{"'보고양식'!$A$58:$K$111"}</definedName>
    <definedName name="sds" localSheetId="5" hidden="1">{"'보고양식'!$A$58:$K$111"}</definedName>
    <definedName name="sds" localSheetId="6" hidden="1">{"'보고양식'!$A$58:$K$111"}</definedName>
    <definedName name="sds" hidden="1">{"'보고양식'!$A$58:$K$111"}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sksk" localSheetId="1" hidden="1">{#N/A,#N/A,FALSE,"주요여수신";#N/A,#N/A,FALSE,"수신금리";#N/A,#N/A,FALSE,"대출금리";#N/A,#N/A,FALSE,"신규대출";#N/A,#N/A,FALSE,"총액대출"}</definedName>
    <definedName name="sksk" hidden="1">{#N/A,#N/A,FALSE,"주요여수신";#N/A,#N/A,FALSE,"수신금리";#N/A,#N/A,FALSE,"대출금리";#N/A,#N/A,FALSE,"신규대출";#N/A,#N/A,FALSE,"총액대출"}</definedName>
    <definedName name="SM부자재" hidden="1">{#N/A,#N/A,FALSE,"신규dep";#N/A,#N/A,FALSE,"신규dep-금형상각후";#N/A,#N/A,FALSE,"신규dep-연구비상각후";#N/A,#N/A,FALSE,"신규dep-기계,공구상각후"}</definedName>
    <definedName name="SOS" hidden="1">#REF!</definedName>
    <definedName name="SS" hidden="1">{#N/A,#N/A,FALSE,"계약직(여)"}</definedName>
    <definedName name="SSS" hidden="1">#REF!</definedName>
    <definedName name="SSSSSS" localSheetId="1" hidden="1">#REF!</definedName>
    <definedName name="SSSSSS" hidden="1">#REF!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extRefCopyRangeCount" hidden="1">2</definedName>
    <definedName name="THEME2" hidden="1">{#N/A,#N/A,FALSE,"96 3월물량표";#N/A,#N/A,FALSE,"96 4월물량표";#N/A,#N/A,FALSE,"96 5월물량표"}</definedName>
    <definedName name="TITLE5" hidden="1">{#N/A,#N/A,FALSE,"기술료 비교"}</definedName>
    <definedName name="TJAUDLWS" hidden="1">{#N/A,#N/A,TRUE,"Y생산";#N/A,#N/A,TRUE,"Y판매";#N/A,#N/A,TRUE,"Y총물량";#N/A,#N/A,TRUE,"Y능력";#N/A,#N/A,TRUE,"YKD"}</definedName>
    <definedName name="TOFHDNS" hidden="1">#REF!</definedName>
    <definedName name="tp" localSheetId="1" hidden="1">{#N/A,#N/A,FALSE,"주요여수신";#N/A,#N/A,FALSE,"수신금리";#N/A,#N/A,FALSE,"대출금리";#N/A,#N/A,FALSE,"신규대출";#N/A,#N/A,FALSE,"총액대출"}</definedName>
    <definedName name="tp" hidden="1">{#N/A,#N/A,FALSE,"주요여수신";#N/A,#N/A,FALSE,"수신금리";#N/A,#N/A,FALSE,"대출금리";#N/A,#N/A,FALSE,"신규대출";#N/A,#N/A,FALSE,"총액대출"}</definedName>
    <definedName name="trim" hidden="1">#REF!</definedName>
    <definedName name="trim1" hidden="1">#REF!</definedName>
    <definedName name="TT" hidden="1">{#N/A,#N/A,FALSE,"UNIT";#N/A,#N/A,FALSE,"UNIT";#N/A,#N/A,FALSE,"계정"}</definedName>
    <definedName name="TY" hidden="1">#REF!</definedName>
    <definedName name="UB" hidden="1">#REF!</definedName>
    <definedName name="VPDLSXM" hidden="1">{#N/A,#N/A,TRUE,"Y생산";#N/A,#N/A,TRUE,"Y판매";#N/A,#N/A,TRUE,"Y총물량";#N/A,#N/A,TRUE,"Y능력";#N/A,#N/A,TRUE,"YKD"}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FRWE" hidden="1">{#N/A,#N/A,FALSE,"단축1";#N/A,#N/A,FALSE,"단축2";#N/A,#N/A,FALSE,"단축3";#N/A,#N/A,FALSE,"장축";#N/A,#N/A,FALSE,"4WD"}</definedName>
    <definedName name="WIIWIW" hidden="1">{#N/A,#N/A,TRUE,"Y생산";#N/A,#N/A,TRUE,"Y판매";#N/A,#N/A,TRUE,"Y총물량";#N/A,#N/A,TRUE,"Y능력";#N/A,#N/A,TRUE,"YKD"}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n" hidden="1">{#N/A,#N/A,FALSE,"단축1";#N/A,#N/A,FALSE,"단축2";#N/A,#N/A,FALSE,"단축3";#N/A,#N/A,FALSE,"장축";#N/A,#N/A,FALSE,"4WD"}</definedName>
    <definedName name="wrn.345." hidden="1">{#N/A,#N/A,FALSE,"96 3월물량표";#N/A,#N/A,FALSE,"96 4월물량표";#N/A,#N/A,FALSE,"96 5월물량표"}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LLECTION._.HISTORY._.REPORT." hidden="1">{#N/A,#N/A,FALSE,"COL-HIS"}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ou구매." hidden="1">{#N/A,#N/A,FALSE,"견적대비-2"}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결산서." hidden="1">{#N/A,#N/A,FALSE,"확정합계잔액"}</definedName>
    <definedName name="wrn.급여인상안." hidden="1">{#N/A,#N/A,FALSE,"계약직(여)"}</definedName>
    <definedName name="wrn.기술료._.비교." hidden="1">{#N/A,#N/A,FALSE,"기술료 비교"}</definedName>
    <definedName name="wrn.리스현황." hidden="1">{#N/A,#N/A,FALSE,"집계표"}</definedName>
    <definedName name="wrn.보고서." localSheetId="0" hidden="1">{#N/A,#N/A,FALSE,"Sheet1";#N/A,#N/A,FALSE,"기평9607"}</definedName>
    <definedName name="wrn.보고서." localSheetId="1" hidden="1">{#N/A,#N/A,FALSE,"Sheet1";#N/A,#N/A,FALSE,"기평9607"}</definedName>
    <definedName name="wrn.보고서." localSheetId="2" hidden="1">{#N/A,#N/A,FALSE,"Sheet1";#N/A,#N/A,FALSE,"기평9607"}</definedName>
    <definedName name="wrn.보고서." localSheetId="3" hidden="1">{#N/A,#N/A,FALSE,"Sheet1";#N/A,#N/A,FALSE,"기평9607"}</definedName>
    <definedName name="wrn.보고서." localSheetId="4" hidden="1">{#N/A,#N/A,FALSE,"Sheet1";#N/A,#N/A,FALSE,"기평9607"}</definedName>
    <definedName name="wrn.보고서." localSheetId="5" hidden="1">{#N/A,#N/A,FALSE,"Sheet1";#N/A,#N/A,FALSE,"기평9607"}</definedName>
    <definedName name="wrn.보고서." localSheetId="6" hidden="1">{#N/A,#N/A,FALSE,"Sheet1";#N/A,#N/A,FALSE,"기평9607"}</definedName>
    <definedName name="wrn.보고서." hidden="1">{#N/A,#N/A,FALSE,"Sheet1";#N/A,#N/A,FALSE,"기평9607"}</definedName>
    <definedName name="wrn.보험현황." hidden="1">{#N/A,#N/A,FALSE,"보험현황";#N/A,#N/A,FALSE,"보험현황"}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선사." hidden="1">{#N/A,#N/A,FALSE,"품의서";#N/A,#N/A,FALSE,"전제";#N/A,#N/A,FALSE,"총손";#N/A,#N/A,FALSE,"손익"}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고분석." hidden="1">{#N/A,#N/A,TRUE,"재고분석";#N/A,#N/A,TRUE,"입고현황"}</definedName>
    <definedName name="wrn.전부인쇄." hidden="1">{#N/A,#N/A,FALSE,"단축1";#N/A,#N/A,FALSE,"단축2";#N/A,#N/A,FALSE,"단축3";#N/A,#N/A,FALSE,"장축";#N/A,#N/A,FALSE,"4WD"}</definedName>
    <definedName name="wrn.주간공정보고." localSheetId="0" hidden="1">{#N/A,#N/A,FALSE,"Sheet8"}</definedName>
    <definedName name="wrn.주간공정보고." localSheetId="1" hidden="1">{#N/A,#N/A,FALSE,"Sheet8"}</definedName>
    <definedName name="wrn.주간공정보고." localSheetId="2" hidden="1">{#N/A,#N/A,FALSE,"Sheet8"}</definedName>
    <definedName name="wrn.주간공정보고." localSheetId="3" hidden="1">{#N/A,#N/A,FALSE,"Sheet8"}</definedName>
    <definedName name="wrn.주간공정보고." localSheetId="4" hidden="1">{#N/A,#N/A,FALSE,"Sheet8"}</definedName>
    <definedName name="wrn.주간공정보고." localSheetId="5" hidden="1">{#N/A,#N/A,FALSE,"Sheet8"}</definedName>
    <definedName name="wrn.주간공정보고." localSheetId="6" hidden="1">{#N/A,#N/A,FALSE,"Sheet8"}</definedName>
    <definedName name="wrn.주간공정보고." hidden="1">{#N/A,#N/A,FALSE,"Sheet8"}</definedName>
    <definedName name="wrn.주간공정보고서." localSheetId="0" hidden="1">{#N/A,#N/A,FALSE,"Sheet8"}</definedName>
    <definedName name="wrn.주간공정보고서." localSheetId="1" hidden="1">{#N/A,#N/A,FALSE,"Sheet8"}</definedName>
    <definedName name="wrn.주간공정보고서." localSheetId="2" hidden="1">{#N/A,#N/A,FALSE,"Sheet8"}</definedName>
    <definedName name="wrn.주간공정보고서." localSheetId="3" hidden="1">{#N/A,#N/A,FALSE,"Sheet8"}</definedName>
    <definedName name="wrn.주간공정보고서." localSheetId="4" hidden="1">{#N/A,#N/A,FALSE,"Sheet8"}</definedName>
    <definedName name="wrn.주간공정보고서." localSheetId="5" hidden="1">{#N/A,#N/A,FALSE,"Sheet8"}</definedName>
    <definedName name="wrn.주간공정보고서." localSheetId="6" hidden="1">{#N/A,#N/A,FALSE,"Sheet8"}</definedName>
    <definedName name="wrn.주간공정보고서." hidden="1">{#N/A,#N/A,FALSE,"Sheet8"}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2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6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한국은행._.보고서." localSheetId="1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s" localSheetId="0" hidden="1">{"'보고양식'!$A$58:$K$111"}</definedName>
    <definedName name="ws" localSheetId="1" hidden="1">{"'보고양식'!$A$58:$K$111"}</definedName>
    <definedName name="ws" localSheetId="2" hidden="1">{"'보고양식'!$A$58:$K$111"}</definedName>
    <definedName name="ws" localSheetId="3" hidden="1">{"'보고양식'!$A$58:$K$111"}</definedName>
    <definedName name="ws" localSheetId="4" hidden="1">{"'보고양식'!$A$58:$K$111"}</definedName>
    <definedName name="ws" localSheetId="5" hidden="1">{"'보고양식'!$A$58:$K$111"}</definedName>
    <definedName name="ws" localSheetId="6" hidden="1">{"'보고양식'!$A$58:$K$111"}</definedName>
    <definedName name="ws" hidden="1">{"'보고양식'!$A$58:$K$111"}</definedName>
    <definedName name="WWWWWW" hidden="1">{#N/A,#N/A,FALSE,"표지";#N/A,#N/A,FALSE,"전제";#N/A,#N/A,FALSE,"대당";#N/A,#N/A,FALSE,"가공비";#N/A,#N/A,FALSE,"재료비";#N/A,#N/A,FALSE,"손익"}</definedName>
    <definedName name="XNXNX" hidden="1">{#N/A,#N/A,TRUE,"Y생산";#N/A,#N/A,TRUE,"Y판매";#N/A,#N/A,TRUE,"Y총물량";#N/A,#N/A,TRUE,"Y능력";#N/A,#N/A,TRUE,"YKD"}</definedName>
    <definedName name="XREF_COLUMN_1" localSheetId="0" hidden="1">#REF!</definedName>
    <definedName name="XREF_COLUMN_1" localSheetId="1" hidden="1">#REF!</definedName>
    <definedName name="XREF_COLUMN_1" hidden="1">#REF!</definedName>
    <definedName name="XREF_COLUMN_2" localSheetId="0" hidden="1">#REF!</definedName>
    <definedName name="XREF_COLUMN_2" hidden="1">#REF!</definedName>
    <definedName name="XREF_COLUMN_3" localSheetId="0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ActiveRow" hidden="1">#REF!</definedName>
    <definedName name="XRefColumnsCount" hidden="1">7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RangeCount" hidden="1">7</definedName>
    <definedName name="XRefPaste5Row" localSheetId="1" hidden="1">#REF!</definedName>
    <definedName name="XRefPaste5Row" hidden="1">#REF!</definedName>
    <definedName name="XRefPasteRangeCount" hidden="1">9</definedName>
    <definedName name="YYY" hidden="1">{#N/A,#N/A,TRUE,"Y생산";#N/A,#N/A,TRUE,"Y판매";#N/A,#N/A,TRUE,"Y총물량";#N/A,#N/A,TRUE,"Y능력";#N/A,#N/A,TRUE,"YKD"}</definedName>
    <definedName name="z" localSheetId="0" hidden="1">{#N/A,#N/A,FALSE,"Aging Summary";#N/A,#N/A,FALSE,"Ratio Analysis";#N/A,#N/A,FALSE,"Test 120 Day Accts";#N/A,#N/A,FALSE,"Tickmarks"}</definedName>
    <definedName name="z" localSheetId="1" hidden="1">{#N/A,#N/A,FALSE,"Aging Summary";#N/A,#N/A,FALSE,"Ratio Analysis";#N/A,#N/A,FALSE,"Test 120 Day Accts";#N/A,#N/A,FALSE,"Tickmarks"}</definedName>
    <definedName name="z" localSheetId="2" hidden="1">{#N/A,#N/A,FALSE,"Aging Summary";#N/A,#N/A,FALSE,"Ratio Analysis";#N/A,#N/A,FALSE,"Test 120 Day Accts";#N/A,#N/A,FALSE,"Tickmarks"}</definedName>
    <definedName name="z" localSheetId="3" hidden="1">{#N/A,#N/A,FALSE,"Aging Summary";#N/A,#N/A,FALSE,"Ratio Analysis";#N/A,#N/A,FALSE,"Test 120 Day Accts";#N/A,#N/A,FALSE,"Tickmarks"}</definedName>
    <definedName name="z" localSheetId="4" hidden="1">{#N/A,#N/A,FALSE,"Aging Summary";#N/A,#N/A,FALSE,"Ratio Analysis";#N/A,#N/A,FALSE,"Test 120 Day Accts";#N/A,#N/A,FALSE,"Tickmarks"}</definedName>
    <definedName name="z" localSheetId="5" hidden="1">{#N/A,#N/A,FALSE,"Aging Summary";#N/A,#N/A,FALSE,"Ratio Analysis";#N/A,#N/A,FALSE,"Test 120 Day Accts";#N/A,#N/A,FALSE,"Tickmarks"}</definedName>
    <definedName name="z" localSheetId="6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BN" hidden="1">{#N/A,#N/A,FALSE,"단축1";#N/A,#N/A,FALSE,"단축2";#N/A,#N/A,FALSE,"단축3";#N/A,#N/A,FALSE,"장축";#N/A,#N/A,FALSE,"4WD"}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XC" hidden="1">#REF!</definedName>
    <definedName name="ZXCZXC" hidden="1">#REF!</definedName>
    <definedName name="ㄱㄱ" hidden="1">{#N/A,#N/A,FALSE,"UNIT";#N/A,#N/A,FALSE,"UNIT";#N/A,#N/A,FALSE,"계정"}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나다" hidden="1">{#N/A,#N/A,FALSE,"단축1";#N/A,#N/A,FALSE,"단축2";#N/A,#N/A,FALSE,"단축3";#N/A,#N/A,FALSE,"장축";#N/A,#N/A,FALSE,"4WD"}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비" hidden="1">#REF!</definedName>
    <definedName name="가동조건" hidden="1">{#N/A,#N/A,FALSE,"96 3월물량표";#N/A,#N/A,FALSE,"96 4월물량표";#N/A,#N/A,FALSE,"96 5월물량표"}</definedName>
    <definedName name="가아나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가자" hidden="1">{#N/A,#N/A,TRUE,"Y생산";#N/A,#N/A,TRUE,"Y판매";#N/A,#N/A,TRUE,"Y총물량";#N/A,#N/A,TRUE,"Y능력";#N/A,#N/A,TRUE,"YKD"}</definedName>
    <definedName name="가타" hidden="1">{#N/A,#N/A,TRUE,"Y생산";#N/A,#N/A,TRUE,"Y판매";#N/A,#N/A,TRUE,"Y총물량";#N/A,#N/A,TRUE,"Y능력";#N/A,#N/A,TRUE,"YKD"}</definedName>
    <definedName name="간" hidden="1">{#N/A,#N/A,FALSE,"UNIT";#N/A,#N/A,FALSE,"UNIT";#N/A,#N/A,FALSE,"계정"}</definedName>
    <definedName name="강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갸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건" hidden="1">{#N/A,#N/A,FALSE,"단축1";#N/A,#N/A,FALSE,"단축2";#N/A,#N/A,FALSE,"단축3";#N/A,#N/A,FALSE,"장축";#N/A,#N/A,FALSE,"4WD"}</definedName>
    <definedName name="건열" hidden="1">{#N/A,#N/A,TRUE,"Y생산";#N/A,#N/A,TRUE,"Y판매";#N/A,#N/A,TRUE,"Y총물량";#N/A,#N/A,TRUE,"Y능력";#N/A,#N/A,TRUE,"YKD"}</definedName>
    <definedName name="건전성" localSheetId="1" hidden="1">#REF!</definedName>
    <definedName name="건전성" hidden="1">#REF!</definedName>
    <definedName name="게" hidden="1">{#N/A,#N/A,FALSE,"단축1";#N/A,#N/A,FALSE,"단축2";#N/A,#N/A,FALSE,"단축3";#N/A,#N/A,FALSE,"장축";#N/A,#N/A,FALSE,"4WD"}</definedName>
    <definedName name="결ㅈ제ㅔㅔ" localSheetId="1" hidden="1">{#N/A,#N/A,FALSE,"주요여수신";#N/A,#N/A,FALSE,"수신금리";#N/A,#N/A,FALSE,"대출금리";#N/A,#N/A,FALSE,"신규대출";#N/A,#N/A,FALSE,"총액대출"}</definedName>
    <definedName name="결ㅈ제ㅔㅔ" hidden="1">{#N/A,#N/A,FALSE,"주요여수신";#N/A,#N/A,FALSE,"수신금리";#N/A,#N/A,FALSE,"대출금리";#N/A,#N/A,FALSE,"신규대출";#N/A,#N/A,FALSE,"총액대출"}</definedName>
    <definedName name="결제2" localSheetId="1" hidden="1">{#N/A,#N/A,FALSE,"주요여수신";#N/A,#N/A,FALSE,"수신금리";#N/A,#N/A,FALSE,"대출금리";#N/A,#N/A,FALSE,"신규대출";#N/A,#N/A,FALSE,"총액대출"}</definedName>
    <definedName name="결제2" hidden="1">{#N/A,#N/A,FALSE,"주요여수신";#N/A,#N/A,FALSE,"수신금리";#N/A,#N/A,FALSE,"대출금리";#N/A,#N/A,FALSE,"신규대출";#N/A,#N/A,FALSE,"총액대출"}</definedName>
    <definedName name="경로" hidden="1">{#N/A,#N/A,TRUE,"Y생산";#N/A,#N/A,TRUE,"Y판매";#N/A,#N/A,TRUE,"Y총물량";#N/A,#N/A,TRUE,"Y능력";#N/A,#N/A,TRUE,"YKD"}</definedName>
    <definedName name="경상비8월" hidden="1">{#N/A,#N/A,FALSE,"단축1";#N/A,#N/A,FALSE,"단축2";#N/A,#N/A,FALSE,"단축3";#N/A,#N/A,FALSE,"장축";#N/A,#N/A,FALSE,"4WD"}</definedName>
    <definedName name="경합금2과운연계획" hidden="1">{#N/A,#N/A,TRUE,"Y생산";#N/A,#N/A,TRUE,"Y판매";#N/A,#N/A,TRUE,"Y총물량";#N/A,#N/A,TRUE,"Y능력";#N/A,#N/A,TRUE,"YKD"}</definedName>
    <definedName name="계약" hidden="1">{#N/A,#N/A,FALSE,"계약직(여)"}</definedName>
    <definedName name="계정종합표" hidden="1">{#N/A,#N/A,TRUE,"Y생산";#N/A,#N/A,TRUE,"Y판매";#N/A,#N/A,TRUE,"Y총물량";#N/A,#N/A,TRUE,"Y능력";#N/A,#N/A,TRUE,"YKD"}</definedName>
    <definedName name="계획" hidden="1">{#N/A,#N/A,FALSE,"기술료 비교"}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공사집계" hidden="1">{#N/A,#N/A,FALSE,"집계표"}</definedName>
    <definedName name="공성환" hidden="1">{#N/A,#N/A,FALSE,"단축1";#N/A,#N/A,FALSE,"단축2";#N/A,#N/A,FALSE,"단축3";#N/A,#N/A,FALSE,"장축";#N/A,#N/A,FALSE,"4WD"}</definedName>
    <definedName name="공ㅌ오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교육" hidden="1">{#N/A,#N/A,TRUE,"Y생산";#N/A,#N/A,TRUE,"Y판매";#N/A,#N/A,TRUE,"Y총물량";#N/A,#N/A,TRUE,"Y능력";#N/A,#N/A,TRUE,"YKD"}</definedName>
    <definedName name="국고보조" hidden="1">{#N/A,#N/A,FALSE,"보험현황";#N/A,#N/A,FALSE,"보험현황"}</definedName>
    <definedName name="그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인상안" hidden="1">{#N/A,#N/A,FALSE,"계약직(여)"}</definedName>
    <definedName name="기" hidden="1">{#N/A,#N/A,TRUE,"Y생산";#N/A,#N/A,TRUE,"Y판매";#N/A,#N/A,TRUE,"Y총물량";#N/A,#N/A,TRUE,"Y능력";#N/A,#N/A,TRUE,"YKD"}</definedName>
    <definedName name="기아" hidden="1">{#N/A,#N/A,FALSE,"단축1";#N/A,#N/A,FALSE,"단축2";#N/A,#N/A,FALSE,"단축3";#N/A,#N/A,FALSE,"장축";#N/A,#N/A,FALSE,"4WD"}</definedName>
    <definedName name="기존" hidden="1">{#N/A,#N/A,FALSE,"UNIT";#N/A,#N/A,FALSE,"UNIT";#N/A,#N/A,FALSE,"계정"}</definedName>
    <definedName name="기주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준" hidden="1">{#N/A,#N/A,FALSE,"기술료 비교"}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동탁" hidden="1">{#N/A,#N/A,FALSE,"단축1";#N/A,#N/A,FALSE,"단축2";#N/A,#N/A,FALSE,"단축3";#N/A,#N/A,FALSE,"장축";#N/A,#N/A,FALSE,"4WD"}</definedName>
    <definedName name="김선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1" hidden="1">{#N/A,#N/A,FALSE,"주요여수신";#N/A,#N/A,FALSE,"수신금리";#N/A,#N/A,FALSE,"대출금리";#N/A,#N/A,FALSE,"신규대출";#N/A,#N/A,FALSE,"총액대출"}</definedName>
    <definedName name="ㄴ" hidden="1">{#N/A,#N/A,FALSE,"주요여수신";#N/A,#N/A,FALSE,"수신금리";#N/A,#N/A,FALSE,"대출금리";#N/A,#N/A,FALSE,"신규대출";#N/A,#N/A,FALSE,"총액대출"}</definedName>
    <definedName name="ㄴㄴ" localSheetId="0" hidden="1">{#N/A,#N/A,FALSE,"Aging Summary";#N/A,#N/A,FALSE,"Ratio Analysis";#N/A,#N/A,FALSE,"Test 120 Day Accts";#N/A,#N/A,FALSE,"Tickmarks"}</definedName>
    <definedName name="ㄴㄴ" localSheetId="1" hidden="1">{#N/A,#N/A,FALSE,"Aging Summary";#N/A,#N/A,FALSE,"Ratio Analysis";#N/A,#N/A,FALSE,"Test 120 Day Accts";#N/A,#N/A,FALSE,"Tickmarks"}</definedName>
    <definedName name="ㄴㄴ" localSheetId="2" hidden="1">{#N/A,#N/A,FALSE,"Aging Summary";#N/A,#N/A,FALSE,"Ratio Analysis";#N/A,#N/A,FALSE,"Test 120 Day Accts";#N/A,#N/A,FALSE,"Tickmarks"}</definedName>
    <definedName name="ㄴㄴ" localSheetId="3" hidden="1">{#N/A,#N/A,FALSE,"Aging Summary";#N/A,#N/A,FALSE,"Ratio Analysis";#N/A,#N/A,FALSE,"Test 120 Day Accts";#N/A,#N/A,FALSE,"Tickmarks"}</definedName>
    <definedName name="ㄴㄴ" localSheetId="4" hidden="1">{#N/A,#N/A,FALSE,"Aging Summary";#N/A,#N/A,FALSE,"Ratio Analysis";#N/A,#N/A,FALSE,"Test 120 Day Accts";#N/A,#N/A,FALSE,"Tickmarks"}</definedName>
    <definedName name="ㄴㄴ" localSheetId="5" hidden="1">{#N/A,#N/A,FALSE,"Aging Summary";#N/A,#N/A,FALSE,"Ratio Analysis";#N/A,#N/A,FALSE,"Test 120 Day Accts";#N/A,#N/A,FALSE,"Tickmarks"}</definedName>
    <definedName name="ㄴㄴ" localSheetId="6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ㄴㄴㄴㄴㄴ" localSheetId="1" hidden="1">#REF!</definedName>
    <definedName name="ㄴㄴㄴㄴㄴㄴ" hidden="1">#REF!</definedName>
    <definedName name="ㄴㄴㅁ" hidden="1">#REF!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ㄴ" hidden="1">{#N/A,#N/A,FALSE,"단축1";#N/A,#N/A,FALSE,"단축2";#N/A,#N/A,FALSE,"단축3";#N/A,#N/A,FALSE,"장축";#N/A,#N/A,FALSE,"4WD"}</definedName>
    <definedName name="ㄴㅇㄹ" hidden="1">{#N/A,#N/A,FALSE,"UNIT";#N/A,#N/A,FALSE,"UNIT";#N/A,#N/A,FALSE,"계정"}</definedName>
    <definedName name="ㄴㅇㄹㅁㅇㄹ" hidden="1">{#N/A,#N/A,FALSE,"UNIT";#N/A,#N/A,FALSE,"UNIT";#N/A,#N/A,FALSE,"계정"}</definedName>
    <definedName name="ㄴㅇ라" hidden="1">{#N/A,#N/A,FALSE,"계약직(여)"}</definedName>
    <definedName name="ㄴㅋ" hidden="1">{#N/A,#N/A,FALSE,"단축1";#N/A,#N/A,FALSE,"단축2";#N/A,#N/A,FALSE,"단축3";#N/A,#N/A,FALSE,"장축";#N/A,#N/A,FALSE,"4WD"}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냉무" hidden="1">{#N/A,#N/A,FALSE,"계약직(여)"}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누리" hidden="1">{#N/A,#N/A,TRUE,"Y생산";#N/A,#N/A,TRUE,"Y판매";#N/A,#N/A,TRUE,"Y총물량";#N/A,#N/A,TRUE,"Y능력";#N/A,#N/A,TRUE,"YKD"}</definedName>
    <definedName name="누적비용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ㄷㄴㅊ투ㅠ" hidden="1">{#N/A,#N/A,FALSE,"96 3월물량표";#N/A,#N/A,FALSE,"96 4월물량표";#N/A,#N/A,FALSE,"96 5월물량표"}</definedName>
    <definedName name="ㄷㄷ" hidden="1">{#N/A,#N/A,FALSE,"단축1";#N/A,#N/A,FALSE,"단축2";#N/A,#N/A,FALSE,"단축3";#N/A,#N/A,FALSE,"장축";#N/A,#N/A,FALSE,"4WD"}</definedName>
    <definedName name="ㄷㄷㄷ" hidden="1">{#N/A,#N/A,FALSE,"UNIT";#N/A,#N/A,FALSE,"UNIT";#N/A,#N/A,FALSE,"계정"}</definedName>
    <definedName name="ㄷㄷㄷㄷㄷㄷㄷㄷ" localSheetId="1" hidden="1">#REF!</definedName>
    <definedName name="ㄷㄷㄷㄷㄷㄷㄷㄷ" hidden="1">#REF!</definedName>
    <definedName name="ㄷㅇ" hidden="1">{#N/A,#N/A,TRUE,"Y생산";#N/A,#N/A,TRUE,"Y판매";#N/A,#N/A,TRUE,"Y총물량";#N/A,#N/A,TRUE,"Y능력";#N/A,#N/A,TRUE,"YKD"}</definedName>
    <definedName name="다시" hidden="1">{#N/A,#N/A,TRUE,"Y생산";#N/A,#N/A,TRUE,"Y판매";#N/A,#N/A,TRUE,"Y총물량";#N/A,#N/A,TRUE,"Y능력";#N/A,#N/A,TRUE,"YKD"}</definedName>
    <definedName name="다시사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hidden="1">{#N/A,#N/A,FALSE,"단축1";#N/A,#N/A,FALSE,"단축2";#N/A,#N/A,FALSE,"단축3";#N/A,#N/A,FALSE,"장축";#N/A,#N/A,FALSE,"4WD"}</definedName>
    <definedName name="담당별조정" hidden="1">{#N/A,#N/A,FALSE,"신규dep";#N/A,#N/A,FALSE,"신규dep-금형상각후";#N/A,#N/A,FALSE,"신규dep-연구비상각후";#N/A,#N/A,FALSE,"신규dep-기계,공구상각후"}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방총괄" hidden="1">{#N/A,#N/A,FALSE,"단축1";#N/A,#N/A,FALSE,"단축2";#N/A,#N/A,FALSE,"단축3";#N/A,#N/A,FALSE,"장축";#N/A,#N/A,FALSE,"4WD"}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여금" hidden="1">{#N/A,#N/A,FALSE,"보험현황";#N/A,#N/A,FALSE,"보험현황"}</definedName>
    <definedName name="대원" hidden="1">#REF!</definedName>
    <definedName name="대원3" hidden="1">#REF!</definedName>
    <definedName name="대원4" hidden="1">#REF!</definedName>
    <definedName name="대차대조표" hidden="1">{#N/A,#N/A,FALSE,"보험현황";#N/A,#N/A,FALSE,"보험현황"}</definedName>
    <definedName name="대차대조표_최종" hidden="1">{#N/A,#N/A,FALSE,"보험현황";#N/A,#N/A,FALSE,"보험현황"}</definedName>
    <definedName name="도장" hidden="1">{#N/A,#N/A,TRUE,"Y생산";#N/A,#N/A,TRUE,"Y판매";#N/A,#N/A,TRUE,"Y총물량";#N/A,#N/A,TRUE,"Y능력";#N/A,#N/A,TRUE,"YKD"}</definedName>
    <definedName name="독일" hidden="1">{#N/A,#N/A,TRUE,"Y생산";#N/A,#N/A,TRUE,"Y판매";#N/A,#N/A,TRUE,"Y총물량";#N/A,#N/A,TRUE,"Y능력";#N/A,#N/A,TRUE,"YKD"}</definedName>
    <definedName name="디젤1" hidden="1">{#N/A,#N/A,FALSE,"단축1";#N/A,#N/A,FALSE,"단축2";#N/A,#N/A,FALSE,"단축3";#N/A,#N/A,FALSE,"장축";#N/A,#N/A,FALSE,"4WD"}</definedName>
    <definedName name="디ㅣ낭" hidden="1">{#N/A,#N/A,TRUE,"Y생산";#N/A,#N/A,TRUE,"Y판매";#N/A,#N/A,TRUE,"Y총물량";#N/A,#N/A,TRUE,"Y능력";#N/A,#N/A,TRUE,"YKD"}</definedName>
    <definedName name="ㄹㄴㅇㅁㅇㄴ" hidden="1">{#N/A,#N/A,FALSE,"UNIT";#N/A,#N/A,FALSE,"UNIT";#N/A,#N/A,FALSE,"계정"}</definedName>
    <definedName name="ㄹㄴㅇㅁㅇㄹ" hidden="1">{#N/A,#N/A,FALSE,"UNIT";#N/A,#N/A,FALSE,"UNIT";#N/A,#N/A,FALSE,"계정"}</definedName>
    <definedName name="ㄹㄹㄹ" localSheetId="1" hidden="1">#REF!</definedName>
    <definedName name="ㄹㄹㄹ" hidden="1">#REF!</definedName>
    <definedName name="ㄹㅇ" hidden="1">{#N/A,#N/A,TRUE,"Y생산";#N/A,#N/A,TRUE,"Y판매";#N/A,#N/A,TRUE,"Y총물량";#N/A,#N/A,TRUE,"Y능력";#N/A,#N/A,TRUE,"YKD"}</definedName>
    <definedName name="ㄹ어ㅓ럴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러시아" hidden="1">{#N/A,#N/A,FALSE,"단축1";#N/A,#N/A,FALSE,"단축2";#N/A,#N/A,FALSE,"단축3";#N/A,#N/A,FALSE,"장축";#N/A,#N/A,FALSE,"4WD"}</definedName>
    <definedName name="렁ㅁ니만ㅇ" localSheetId="1" hidden="1">{#N/A,#N/A,FALSE,"주요여수신";#N/A,#N/A,FALSE,"수신금리";#N/A,#N/A,FALSE,"대출금리";#N/A,#N/A,FALSE,"신규대출";#N/A,#N/A,FALSE,"총액대출"}</definedName>
    <definedName name="렁ㅁ니만ㅇ" hidden="1">{#N/A,#N/A,FALSE,"주요여수신";#N/A,#N/A,FALSE,"수신금리";#N/A,#N/A,FALSE,"대출금리";#N/A,#N/A,FALSE,"신규대출";#N/A,#N/A,FALSE,"총액대출"}</definedName>
    <definedName name="류" hidden="1">{#N/A,#N/A,TRUE,"Y생산";#N/A,#N/A,TRUE,"Y판매";#N/A,#N/A,TRUE,"Y총물량";#N/A,#N/A,TRUE,"Y능력";#N/A,#N/A,TRUE,"YKD"}</definedName>
    <definedName name="ㅀㅇ" hidden="1">#REF!</definedName>
    <definedName name="ㅁㄴ" hidden="1">{#N/A,#N/A,TRUE,"Y생산";#N/A,#N/A,TRUE,"Y판매";#N/A,#N/A,TRUE,"Y총물량";#N/A,#N/A,TRUE,"Y능력";#N/A,#N/A,TRUE,"YKD"}</definedName>
    <definedName name="ㅁㄴㅁ" hidden="1">{#N/A,#N/A,TRUE,"Y생산";#N/A,#N/A,TRUE,"Y판매";#N/A,#N/A,TRUE,"Y총물량";#N/A,#N/A,TRUE,"Y능력";#N/A,#N/A,TRUE,"YKD"}</definedName>
    <definedName name="ㅁㄴㅇㄴㄹ" localSheetId="1" hidden="1">#REF!</definedName>
    <definedName name="ㅁㄴㅇㄴㄹ" localSheetId="3" hidden="1">#REF!</definedName>
    <definedName name="ㅁㄴㅇㄴㄹ" hidden="1">#REF!</definedName>
    <definedName name="ㅁㄴㅇㄹ" hidden="1">{#N/A,#N/A,TRUE,"Y생산";#N/A,#N/A,TRUE,"Y판매";#N/A,#N/A,TRUE,"Y총물량";#N/A,#N/A,TRUE,"Y능력";#N/A,#N/A,TRUE,"YKD"}</definedName>
    <definedName name="ㅁㅁ" hidden="1">{#N/A,#N/A,FALSE,"집계표"}</definedName>
    <definedName name="ㅁㅁㅁㅁ" hidden="1">{#N/A,#N/A,FALSE,"UNIT";#N/A,#N/A,FALSE,"UNIT";#N/A,#N/A,FALSE,"계정"}</definedName>
    <definedName name="ㅁㅁㅁㅁㅁ" hidden="1">{#N/A,#N/A,FALSE,"UNIT";#N/A,#N/A,FALSE,"UNIT";#N/A,#N/A,FALSE,"계정"}</definedName>
    <definedName name="ㅁㅇ" hidden="1">{#N/A,#N/A,TRUE,"Y생산";#N/A,#N/A,TRUE,"Y판매";#N/A,#N/A,TRUE,"Y총물량";#N/A,#N/A,TRUE,"Y능력";#N/A,#N/A,TRUE,"YKD"}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매출05" hidden="1">{#N/A,#N/A,FALSE,"단축1";#N/A,#N/A,FALSE,"단축2";#N/A,#N/A,FALSE,"단축3";#N/A,#N/A,FALSE,"장축";#N/A,#N/A,FALSE,"4WD"}</definedName>
    <definedName name="매출2005" hidden="1">{#N/A,#N/A,FALSE,"단축1";#N/A,#N/A,FALSE,"단축2";#N/A,#N/A,FALSE,"단축3";#N/A,#N/A,FALSE,"장축";#N/A,#N/A,FALSE,"4WD"}</definedName>
    <definedName name="매출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계획" hidden="1">{#N/A,#N/A,FALSE,"UNIT";#N/A,#N/A,FALSE,"UNIT";#N/A,#N/A,FALSE,"계정"}</definedName>
    <definedName name="매출원가" localSheetId="0" hidden="1">{#N/A,#N/A,FALSE,"Aging Summary";#N/A,#N/A,FALSE,"Ratio Analysis";#N/A,#N/A,FALSE,"Test 120 Day Accts";#N/A,#N/A,FALSE,"Tickmarks"}</definedName>
    <definedName name="매출원가" localSheetId="1" hidden="1">{#N/A,#N/A,FALSE,"Aging Summary";#N/A,#N/A,FALSE,"Ratio Analysis";#N/A,#N/A,FALSE,"Test 120 Day Accts";#N/A,#N/A,FALSE,"Tickmarks"}</definedName>
    <definedName name="매출원가" localSheetId="2" hidden="1">{#N/A,#N/A,FALSE,"Aging Summary";#N/A,#N/A,FALSE,"Ratio Analysis";#N/A,#N/A,FALSE,"Test 120 Day Accts";#N/A,#N/A,FALSE,"Tickmarks"}</definedName>
    <definedName name="매출원가" localSheetId="3" hidden="1">{#N/A,#N/A,FALSE,"Aging Summary";#N/A,#N/A,FALSE,"Ratio Analysis";#N/A,#N/A,FALSE,"Test 120 Day Accts";#N/A,#N/A,FALSE,"Tickmarks"}</definedName>
    <definedName name="매출원가" localSheetId="4" hidden="1">{#N/A,#N/A,FALSE,"Aging Summary";#N/A,#N/A,FALSE,"Ratio Analysis";#N/A,#N/A,FALSE,"Test 120 Day Accts";#N/A,#N/A,FALSE,"Tickmarks"}</definedName>
    <definedName name="매출원가" localSheetId="5" hidden="1">{#N/A,#N/A,FALSE,"Aging Summary";#N/A,#N/A,FALSE,"Ratio Analysis";#N/A,#N/A,FALSE,"Test 120 Day Accts";#N/A,#N/A,FALSE,"Tickmarks"}</definedName>
    <definedName name="매출원가" localSheetId="6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0" hidden="1">{#N/A,#N/A,FALSE,"Aging Summary";#N/A,#N/A,FALSE,"Ratio Analysis";#N/A,#N/A,FALSE,"Test 120 Day Accts";#N/A,#N/A,FALSE,"Tickmarks"}</definedName>
    <definedName name="매출원가1" localSheetId="1" hidden="1">{#N/A,#N/A,FALSE,"Aging Summary";#N/A,#N/A,FALSE,"Ratio Analysis";#N/A,#N/A,FALSE,"Test 120 Day Accts";#N/A,#N/A,FALSE,"Tickmarks"}</definedName>
    <definedName name="매출원가1" localSheetId="2" hidden="1">{#N/A,#N/A,FALSE,"Aging Summary";#N/A,#N/A,FALSE,"Ratio Analysis";#N/A,#N/A,FALSE,"Test 120 Day Accts";#N/A,#N/A,FALSE,"Tickmarks"}</definedName>
    <definedName name="매출원가1" localSheetId="3" hidden="1">{#N/A,#N/A,FALSE,"Aging Summary";#N/A,#N/A,FALSE,"Ratio Analysis";#N/A,#N/A,FALSE,"Test 120 Day Accts";#N/A,#N/A,FALSE,"Tickmarks"}</definedName>
    <definedName name="매출원가1" localSheetId="4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localSheetId="6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모" hidden="1">{#N/A,#N/A,FALSE,"UNIT";#N/A,#N/A,FALSE,"UNIT";#N/A,#N/A,FALSE,"계정"}</definedName>
    <definedName name="목차" localSheetId="1" hidden="1">{#N/A,#N/A,FALSE,"주요여수신";#N/A,#N/A,FALSE,"수신금리";#N/A,#N/A,FALSE,"대출금리";#N/A,#N/A,FALSE,"신규대출";#N/A,#N/A,FALSE,"총액대출"}</definedName>
    <definedName name="목차" hidden="1">{#N/A,#N/A,FALSE,"주요여수신";#N/A,#N/A,FALSE,"수신금리";#N/A,#N/A,FALSE,"대출금리";#N/A,#N/A,FALSE,"신규대출";#N/A,#N/A,FALSE,"총액대출"}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무빙로보트현황" hidden="1">{#N/A,#N/A,FALSE,"단축1";#N/A,#N/A,FALSE,"단축2";#N/A,#N/A,FALSE,"단축3";#N/A,#N/A,FALSE,"장축";#N/A,#N/A,FALSE,"4WD"}</definedName>
    <definedName name="무형자산" localSheetId="0" hidden="1">{#N/A,#N/A,FALSE,"Aging Summary";#N/A,#N/A,FALSE,"Ratio Analysis";#N/A,#N/A,FALSE,"Test 120 Day Accts";#N/A,#N/A,FALSE,"Tickmarks"}</definedName>
    <definedName name="무형자산" localSheetId="1" hidden="1">{#N/A,#N/A,FALSE,"Aging Summary";#N/A,#N/A,FALSE,"Ratio Analysis";#N/A,#N/A,FALSE,"Test 120 Day Accts";#N/A,#N/A,FALSE,"Tickmarks"}</definedName>
    <definedName name="무형자산" localSheetId="2" hidden="1">{#N/A,#N/A,FALSE,"Aging Summary";#N/A,#N/A,FALSE,"Ratio Analysis";#N/A,#N/A,FALSE,"Test 120 Day Accts";#N/A,#N/A,FALSE,"Tickmarks"}</definedName>
    <definedName name="무형자산" localSheetId="3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뮤" hidden="1">{#N/A,#N/A,FALSE,"기술료 비교"}</definedName>
    <definedName name="미접수0805" hidden="1">{"'Sheet1'!$A$1:$D$15"}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ㄹ어ㅏㄹ아ㅐㅑ" localSheetId="1" hidden="1">#REF!</definedName>
    <definedName name="ㅂㄹ어ㅏㄹ아ㅐㅑ" hidden="1">#REF!</definedName>
    <definedName name="ㅂㅂ" hidden="1">{#N/A,#N/A,FALSE,"단축1";#N/A,#N/A,FALSE,"단축2";#N/A,#N/A,FALSE,"단축3";#N/A,#N/A,FALSE,"장축";#N/A,#N/A,FALSE,"4WD"}</definedName>
    <definedName name="ㅂㅂㅂ" hidden="1">{#N/A,#N/A,FALSE,"96 3월물량표";#N/A,#N/A,FALSE,"96 4월물량표";#N/A,#N/A,FALSE,"96 5월물량표"}</definedName>
    <definedName name="바바라" hidden="1">{#N/A,#N/A,TRUE,"Y생산";#N/A,#N/A,TRUE,"Y판매";#N/A,#N/A,TRUE,"Y총물량";#N/A,#N/A,TRUE,"Y능력";#N/A,#N/A,TRUE,"YKD"}</definedName>
    <definedName name="바보야" hidden="1">{#N/A,#N/A,TRUE,"Y생산";#N/A,#N/A,TRUE,"Y판매";#N/A,#N/A,TRUE,"Y총물량";#N/A,#N/A,TRUE,"Y능력";#N/A,#N/A,TRUE,"YKD"}</definedName>
    <definedName name="박" localSheetId="1" hidden="1">{#N/A,#N/A,FALSE,"주요여수신";#N/A,#N/A,FALSE,"수신금리";#N/A,#N/A,FALSE,"대출금리";#N/A,#N/A,FALSE,"신규대출";#N/A,#N/A,FALSE,"총액대출"}</definedName>
    <definedName name="박" hidden="1">{#N/A,#N/A,FALSE,"주요여수신";#N/A,#N/A,FALSE,"수신금리";#N/A,#N/A,FALSE,"대출금리";#N/A,#N/A,FALSE,"신규대출";#N/A,#N/A,FALSE,"총액대출"}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버가" hidden="1">{#N/A,#N/A,FALSE,"96 3월물량표";#N/A,#N/A,FALSE,"96 4월물량표";#N/A,#N/A,FALSE,"96 5월물량표"}</definedName>
    <definedName name="법인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변경후" hidden="1">{#N/A,#N/A,FALSE,"단축1";#N/A,#N/A,FALSE,"단축2";#N/A,#N/A,FALSE,"단축3";#N/A,#N/A,FALSE,"장축";#N/A,#N/A,FALSE,"4WD"}</definedName>
    <definedName name="변환사급가" hidden="1">{#N/A,#N/A,TRUE,"Y생산";#N/A,#N/A,TRUE,"Y판매";#N/A,#N/A,TRUE,"Y총물량";#N/A,#N/A,TRUE,"Y능력";#N/A,#N/A,TRUE,"YKD"}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보고서1" hidden="1">{#N/A,#N/A,FALSE,"단축1";#N/A,#N/A,FALSE,"단축2";#N/A,#N/A,FALSE,"단축3";#N/A,#N/A,FALSE,"장축";#N/A,#N/A,FALSE,"4WD"}</definedName>
    <definedName name="보고자료" hidden="1">{#N/A,#N/A,FALSE,"집계표"}</definedName>
    <definedName name="본문1" hidden="1">{#N/A,#N/A,FALSE,"단축1";#N/A,#N/A,FALSE,"단축2";#N/A,#N/A,FALSE,"단축3";#N/A,#N/A,FALSE,"장축";#N/A,#N/A,FALSE,"4WD"}</definedName>
    <definedName name="부" hidden="1">{#N/A,#N/A,FALSE,"단축1";#N/A,#N/A,FALSE,"단축2";#N/A,#N/A,FALSE,"단축3";#N/A,#N/A,FALSE,"장축";#N/A,#N/A,FALSE,"4WD"}</definedName>
    <definedName name="부속" localSheetId="0" hidden="1">#REF!</definedName>
    <definedName name="부속" localSheetId="1" hidden="1">#REF!</definedName>
    <definedName name="부속" localSheetId="2" hidden="1">#REF!</definedName>
    <definedName name="부속" hidden="1">#REF!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ㅅㅅ" hidden="1">{#N/A,#N/A,FALSE,"단축1";#N/A,#N/A,FALSE,"단축2";#N/A,#N/A,FALSE,"단축3";#N/A,#N/A,FALSE,"장축";#N/A,#N/A,FALSE,"4WD"}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고뭉치" hidden="1">{#N/A,#N/A,FALSE,"96 3월물량표";#N/A,#N/A,FALSE,"96 4월물량표";#N/A,#N/A,FALSE,"96 5월물량표"}</definedName>
    <definedName name="사업계획" hidden="1">{#N/A,#N/A,FALSE,"기술료 비교"}</definedName>
    <definedName name="사업계획5" hidden="1">{#N/A,#N/A,FALSE,"기술료 비교"}</definedName>
    <definedName name="사업활성" hidden="1">{#N/A,#N/A,FALSE,"UNIT";#N/A,#N/A,FALSE,"UNIT";#N/A,#N/A,FALSE,"계정"}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삼성" hidden="1">{#N/A,#N/A,FALSE,"정공"}</definedName>
    <definedName name="상도2" hidden="1">{#N/A,#N/A,FALSE,"단축1";#N/A,#N/A,FALSE,"단축2";#N/A,#N/A,FALSE,"단축3";#N/A,#N/A,FALSE,"장축";#N/A,#N/A,FALSE,"4WD"}</definedName>
    <definedName name="새" localSheetId="1" hidden="1">{#N/A,#N/A,FALSE,"주요여수신";#N/A,#N/A,FALSE,"수신금리";#N/A,#N/A,FALSE,"대출금리";#N/A,#N/A,FALSE,"신규대출";#N/A,#N/A,FALSE,"총액대출"}</definedName>
    <definedName name="새" hidden="1">{#N/A,#N/A,FALSE,"주요여수신";#N/A,#N/A,FALSE,"수신금리";#N/A,#N/A,FALSE,"대출금리";#N/A,#N/A,FALSE,"신규대출";#N/A,#N/A,FALSE,"총액대출"}</definedName>
    <definedName name="새부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1" hidden="1">{#N/A,#N/A,FALSE,"96 3월물량표";#N/A,#N/A,FALSE,"96 4월물량표";#N/A,#N/A,FALSE,"96 5월물량표"}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조조직도" hidden="1">{#N/A,#N/A,TRUE,"Y생산";#N/A,#N/A,TRUE,"Y판매";#N/A,#N/A,TRUE,"Y총물량";#N/A,#N/A,TRUE,"Y능력";#N/A,#N/A,TRUE,"YKD"}</definedName>
    <definedName name="서승수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성" hidden="1">{#N/A,#N/A,FALSE,"UNIT";#N/A,#N/A,FALSE,"UNIT";#N/A,#N/A,FALSE,"계정"}</definedName>
    <definedName name="성구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6월" hidden="1">{#N/A,#N/A,FALSE,"단축1";#N/A,#N/A,FALSE,"단축2";#N/A,#N/A,FALSE,"단축3";#N/A,#N/A,FALSE,"장축";#N/A,#N/A,FALSE,"4WD"}</definedName>
    <definedName name="세부LIST2" hidden="1">{#N/A,#N/A,FALSE,"단축1";#N/A,#N/A,FALSE,"단축2";#N/A,#N/A,FALSE,"단축3";#N/A,#N/A,FALSE,"장축";#N/A,#N/A,FALSE,"4WD"}</definedName>
    <definedName name="세부계정" localSheetId="1" hidden="1">{#N/A,#N/A,FALSE,"주요여수신";#N/A,#N/A,FALSE,"수신금리";#N/A,#N/A,FALSE,"대출금리";#N/A,#N/A,FALSE,"신규대출";#N/A,#N/A,FALSE,"총액대출"}</definedName>
    <definedName name="세부계정" hidden="1">{#N/A,#N/A,FALSE,"주요여수신";#N/A,#N/A,FALSE,"수신금리";#N/A,#N/A,FALSE,"대출금리";#N/A,#N/A,FALSE,"신규대출";#N/A,#N/A,FALSE,"총액대출"}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" hidden="1">{#N/A,#N/A,TRUE,"Y생산";#N/A,#N/A,TRUE,"Y판매";#N/A,#N/A,TRUE,"Y총물량";#N/A,#N/A,TRUE,"Y능력";#N/A,#N/A,TRUE,"YKD"}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3" hidden="1">{#N/A,#N/A,FALSE,"UNIT";#N/A,#N/A,FALSE,"UNIT";#N/A,#N/A,FALSE,"계정"}</definedName>
    <definedName name="손익계산서" hidden="1">{#N/A,#N/A,FALSE,"보험현황";#N/A,#N/A,FALSE,"보험현황"}</definedName>
    <definedName name="손익계산서_최종" hidden="1">{#N/A,#N/A,FALSE,"보험현황";#N/A,#N/A,FALSE,"보험현황"}</definedName>
    <definedName name="손익예상" hidden="1">{#N/A,#N/A,FALSE,"UNIT";#N/A,#N/A,FALSE,"UNIT";#N/A,#N/A,FALSE,"계정"}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량산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선비세부" hidden="1">#REF!</definedName>
    <definedName name="수율2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출오더현황12월" hidden="1">{#N/A,#N/A,TRUE,"Y생산";#N/A,#N/A,TRUE,"Y판매";#N/A,#N/A,TRUE,"Y총물량";#N/A,#N/A,TRUE,"Y능력";#N/A,#N/A,TRUE,"YKD"}</definedName>
    <definedName name="수출판촉비총괄" hidden="1">#N/A</definedName>
    <definedName name="승인권한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장동향" hidden="1">{#N/A,#N/A,TRUE,"Y생산";#N/A,#N/A,TRUE,"Y판매";#N/A,#N/A,TRUE,"Y총물량";#N/A,#N/A,TRUE,"Y능력";#N/A,#N/A,TRUE,"YKD"}</definedName>
    <definedName name="시험일정p2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규" hidden="1">{#N/A,#N/A,FALSE,"신규dep";#N/A,#N/A,FALSE,"신규dep-금형상각후";#N/A,#N/A,FALSE,"신규dep-연구비상각후";#N/A,#N/A,FALSE,"신규dep-기계,공구상각후"}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원" hidden="1">{#N/A,#N/A,TRUE,"Y생산";#N/A,#N/A,TRUE,"Y판매";#N/A,#N/A,TRUE,"Y총물량";#N/A,#N/A,TRUE,"Y능력";#N/A,#N/A,TRUE,"YKD"}</definedName>
    <definedName name="심상묵" hidden="1">{#N/A,#N/A,TRUE,"Y생산";#N/A,#N/A,TRUE,"Y판매";#N/A,#N/A,TRUE,"Y총물량";#N/A,#N/A,TRUE,"Y능력";#N/A,#N/A,TRUE,"YKD"}</definedName>
    <definedName name="ㅇ" localSheetId="1" hidden="1">{#N/A,#N/A,FALSE,"UNIT";#N/A,#N/A,FALSE,"UNIT";#N/A,#N/A,FALSE,"계정"}</definedName>
    <definedName name="ㅇ" hidden="1">{#N/A,#N/A,FALSE,"주요여수신";#N/A,#N/A,FALSE,"수신금리";#N/A,#N/A,FALSE,"대출금리";#N/A,#N/A,FALSE,"신규대출";#N/A,#N/A,FALSE,"총액대출"}</definedName>
    <definedName name="ㅇGFGFH" hidden="1">{#N/A,#N/A,FALSE,"96 3월물량표";#N/A,#N/A,FALSE,"96 4월물량표";#N/A,#N/A,FALSE,"96 5월물량표"}</definedName>
    <definedName name="ㅇㄴㅇㅇ" hidden="1">{#N/A,#N/A,FALSE,"UNIT";#N/A,#N/A,FALSE,"UNIT";#N/A,#N/A,FALSE,"계정"}</definedName>
    <definedName name="ㅇㄷㄷ" hidden="1">{#N/A,#N/A,TRUE,"Y생산";#N/A,#N/A,TRUE,"Y판매";#N/A,#N/A,TRUE,"Y총물량";#N/A,#N/A,TRUE,"Y능력";#N/A,#N/A,TRUE,"YKD"}</definedName>
    <definedName name="ㅇㄹ" localSheetId="1" hidden="1">{#N/A,#N/A,FALSE,"UNIT";#N/A,#N/A,FALSE,"UNIT";#N/A,#N/A,FALSE,"계정"}</definedName>
    <definedName name="ㅇㄹ" hidden="1">{#N/A,#N/A,FALSE,"주요여수신";#N/A,#N/A,FALSE,"수신금리";#N/A,#N/A,FALSE,"대출금리";#N/A,#N/A,FALSE,"신규대출";#N/A,#N/A,FALSE,"총액대출"}</definedName>
    <definedName name="ㅇㄹㅇㄴㄹㄴㅇ" hidden="1">#REF!</definedName>
    <definedName name="ㅇㄻㄴㅇ" hidden="1">{#N/A,#N/A,FALSE,"단축1";#N/A,#N/A,FALSE,"단축2";#N/A,#N/A,FALSE,"단축3";#N/A,#N/A,FALSE,"장축";#N/A,#N/A,FALSE,"4WD"}</definedName>
    <definedName name="ㅇㅇ" localSheetId="1" hidden="1">{#N/A,#N/A,FALSE,"UNIT";#N/A,#N/A,FALSE,"UNIT";#N/A,#N/A,FALSE,"계정"}</definedName>
    <definedName name="ㅇㅇ" hidden="1">{#N/A,#N/A,FALSE,"주요여수신";#N/A,#N/A,FALSE,"수신금리";#N/A,#N/A,FALSE,"대출금리";#N/A,#N/A,FALSE,"신규대출";#N/A,#N/A,FALSE,"총액대출"}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ㅇ" hidden="1">{#N/A,#N/A,TRUE,"Y생산";#N/A,#N/A,TRUE,"Y판매";#N/A,#N/A,TRUE,"Y총물량";#N/A,#N/A,TRUE,"Y능력";#N/A,#N/A,TRUE,"YKD"}</definedName>
    <definedName name="ㅇ아아ㅏ앙" hidden="1">{#N/A,#N/A,TRUE,"Y생산";#N/A,#N/A,TRUE,"Y판매";#N/A,#N/A,TRUE,"Y총물량";#N/A,#N/A,TRUE,"Y능력";#N/A,#N/A,TRUE,"YKD"}</definedName>
    <definedName name="ㅇㅎ" hidden="1">{#N/A,#N/A,FALSE,"단축1";#N/A,#N/A,FALSE,"단축2";#N/A,#N/A,FALSE,"단축3";#N/A,#N/A,FALSE,"장축";#N/A,#N/A,FALSE,"4WD"}</definedName>
    <definedName name="ㅇㅎㄹ" hidden="1">{#N/A,#N/A,TRUE,"Y생산";#N/A,#N/A,TRUE,"Y판매";#N/A,#N/A,TRUE,"Y총물량";#N/A,#N/A,TRUE,"Y능력";#N/A,#N/A,TRUE,"YKD"}</definedName>
    <definedName name="아아아" hidden="1">{#N/A,#N/A,FALSE,"기술료 비교"}</definedName>
    <definedName name="아이다" hidden="1">{#N/A,#N/A,TRUE,"Y생산";#N/A,#N/A,TRUE,"Y판매";#N/A,#N/A,TRUE,"Y총물량";#N/A,#N/A,TRUE,"Y능력";#N/A,#N/A,TRUE,"YKD"}</definedName>
    <definedName name="아ㅓㅣ니" hidden="1">{#N/A,#N/A,TRUE,"Y생산";#N/A,#N/A,TRUE,"Y판매";#N/A,#N/A,TRUE,"Y총물량";#N/A,#N/A,TRUE,"Y능력";#N/A,#N/A,TRUE,"YKD"}</definedName>
    <definedName name="야" hidden="1">{#N/A,#N/A,TRUE,"Y생산";#N/A,#N/A,TRUE,"Y판매";#N/A,#N/A,TRUE,"Y총물량";#N/A,#N/A,TRUE,"Y능력";#N/A,#N/A,TRUE,"YKD"}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간예상" hidden="1">{#N/A,#N/A,FALSE,"UNIT";#N/A,#N/A,FALSE,"UNIT";#N/A,#N/A,FALSE,"계정"}</definedName>
    <definedName name="연구개발비_금감원" hidden="1">{#N/A,#N/A,FALSE,"보험현황";#N/A,#N/A,FALSE,"보험현황"}</definedName>
    <definedName name="연말손익" hidden="1">{#N/A,#N/A,FALSE,"UNIT";#N/A,#N/A,FALSE,"UNIT";#N/A,#N/A,FALSE,"계정"}</definedName>
    <definedName name="열처리" hidden="1">{#N/A,#N/A,FALSE,"단축1";#N/A,#N/A,FALSE,"단축2";#N/A,#N/A,FALSE,"단축3";#N/A,#N/A,FALSE,"장축";#N/A,#N/A,FALSE,"4WD"}</definedName>
    <definedName name="영업" hidden="1">#REF!</definedName>
    <definedName name="예비분석적검토" hidden="1">{#N/A,#N/A,FALSE,"COL-HIS"}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상" hidden="1">{#N/A,#N/A,FALSE,"단축1";#N/A,#N/A,FALSE,"단축2";#N/A,#N/A,FALSE,"단축3";#N/A,#N/A,FALSE,"장축";#N/A,#N/A,FALSE,"4WD"}</definedName>
    <definedName name="예상매출" hidden="1">{#N/A,#N/A,TRUE,"Y생산";#N/A,#N/A,TRUE,"Y판매";#N/A,#N/A,TRUE,"Y총물량";#N/A,#N/A,TRUE,"Y능력";#N/A,#N/A,TRUE,"YKD"}</definedName>
    <definedName name="오" hidden="1">{#N/A,#N/A,FALSE,"UNIT";#N/A,#N/A,FALSE,"UNIT";#N/A,#N/A,FALSE,"계정"}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늘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익환" hidden="1">{#N/A,#N/A,FALSE,"단축1";#N/A,#N/A,FALSE,"단축2";#N/A,#N/A,FALSE,"단축3";#N/A,#N/A,FALSE,"장축";#N/A,#N/A,FALSE,"4WD"}</definedName>
    <definedName name="오정진" hidden="1">{#N/A,#N/A,FALSE,"96 3월물량표";#N/A,#N/A,FALSE,"96 4월물량표";#N/A,#N/A,FALSE,"96 5월물량표"}</definedName>
    <definedName name="외상매입1" hidden="1">{#N/A,#N/A,FALSE,"BS";#N/A,#N/A,FALSE,"PL";#N/A,#N/A,FALSE,"처분";#N/A,#N/A,FALSE,"현금";#N/A,#N/A,FALSE,"매출";#N/A,#N/A,FALSE,"원가";#N/A,#N/A,FALSE,"경영"}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우리가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사주대여금" hidden="1">#REF!</definedName>
    <definedName name="운영1" hidden="1">{#N/A,#N/A,FALSE,"단축1";#N/A,#N/A,FALSE,"단축2";#N/A,#N/A,FALSE,"단축3";#N/A,#N/A,FALSE,"장축";#N/A,#N/A,FALSE,"4WD"}</definedName>
    <definedName name="운용리스" hidden="1">{"'매출'!$A$1:$I$22"}</definedName>
    <definedName name="운용리스1" hidden="1">{"'매출'!$A$1:$I$22"}</definedName>
    <definedName name="원" hidden="1">{#N/A,#N/A,TRUE,"Y생산";#N/A,#N/A,TRUE,"Y판매";#N/A,#N/A,TRUE,"Y총물량";#N/A,#N/A,TRUE,"Y능력";#N/A,#N/A,TRUE,"YKD"}</definedName>
    <definedName name="원가테이블" hidden="1">{#N/A,#N/A,TRUE,"Y생산";#N/A,#N/A,TRUE,"Y판매";#N/A,#N/A,TRUE,"Y총물량";#N/A,#N/A,TRUE,"Y능력";#N/A,#N/A,TRUE,"YKD"}</definedName>
    <definedName name="원가화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재료수율3" hidden="1">{#N/A,#N/A,FALSE,"96 3월물량표";#N/A,#N/A,FALSE,"96 4월물량표";#N/A,#N/A,FALSE,"96 5월물량표"}</definedName>
    <definedName name="월별일정" hidden="1">{#N/A,#N/A,FALSE,"단축1";#N/A,#N/A,FALSE,"단축2";#N/A,#N/A,FALSE,"단축3";#N/A,#N/A,FALSE,"장축";#N/A,#N/A,FALSE,"4WD"}</definedName>
    <definedName name="유가증권" localSheetId="0" hidden="1">{#N/A,#N/A,FALSE,"Aging Summary";#N/A,#N/A,FALSE,"Ratio Analysis";#N/A,#N/A,FALSE,"Test 120 Day Accts";#N/A,#N/A,FALSE,"Tickmarks"}</definedName>
    <definedName name="유가증권" localSheetId="1" hidden="1">{#N/A,#N/A,FALSE,"Aging Summary";#N/A,#N/A,FALSE,"Ratio Analysis";#N/A,#N/A,FALSE,"Test 120 Day Accts";#N/A,#N/A,FALSE,"Tickmarks"}</definedName>
    <definedName name="유가증권" localSheetId="2" hidden="1">{#N/A,#N/A,FALSE,"Aging Summary";#N/A,#N/A,FALSE,"Ratio Analysis";#N/A,#N/A,FALSE,"Test 120 Day Accts";#N/A,#N/A,FALSE,"Tickmarks"}</definedName>
    <definedName name="유가증권" localSheetId="3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_금감원" hidden="1">{#N/A,#N/A,FALSE,"보험현황";#N/A,#N/A,FALSE,"보험현황"}</definedName>
    <definedName name="유럽" hidden="1">{#N/A,#N/A,FALSE,"단축1";#N/A,#N/A,FALSE,"단축2";#N/A,#N/A,FALSE,"단축3";#N/A,#N/A,FALSE,"장축";#N/A,#N/A,FALSE,"4WD"}</definedName>
    <definedName name="유첨.투자비2" hidden="1">{#N/A,#N/A,FALSE,"단축1";#N/A,#N/A,FALSE,"단축2";#N/A,#N/A,FALSE,"단축3";#N/A,#N/A,FALSE,"장축";#N/A,#N/A,FALSE,"4WD"}</definedName>
    <definedName name="유형자산명세_금감원" hidden="1">{#N/A,#N/A,FALSE,"보험현황";#N/A,#N/A,FALSE,"보험현황"}</definedName>
    <definedName name="유효" localSheetId="1" hidden="1">{#N/A,#N/A,FALSE,"주요여수신";#N/A,#N/A,FALSE,"수신금리";#N/A,#N/A,FALSE,"대출금리";#N/A,#N/A,FALSE,"신규대출";#N/A,#N/A,FALSE,"총액대출"}</definedName>
    <definedName name="유효" hidden="1">{#N/A,#N/A,FALSE,"주요여수신";#N/A,#N/A,FALSE,"수신금리";#N/A,#N/A,FALSE,"대출금리";#N/A,#N/A,FALSE,"신규대출";#N/A,#N/A,FALSE,"총액대출"}</definedName>
    <definedName name="이" hidden="1">{#N/A,#N/A,FALSE,"96 3월물량표";#N/A,#N/A,FALSE,"96 4월물량표";#N/A,#N/A,FALSE,"96 5월물량표"}</definedName>
    <definedName name="이근한" hidden="1">{#N/A,#N/A,FALSE,"단축1";#N/A,#N/A,FALSE,"단축2";#N/A,#N/A,FALSE,"단축3";#N/A,#N/A,FALSE,"장축";#N/A,#N/A,FALSE,"4WD"}</definedName>
    <definedName name="이를충돌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인감신고서" hidden="1">#REF!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동초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원충원사유" hidden="1">{#N/A,#N/A,FALSE,"계약직(여)"}</definedName>
    <definedName name="일동" hidden="1">{#N/A,#N/A,TRUE,"Y생산";#N/A,#N/A,TRUE,"Y판매";#N/A,#N/A,TRUE,"Y총물량";#N/A,#N/A,TRUE,"Y능력";#N/A,#N/A,TRUE,"YKD"}</definedName>
    <definedName name="일동성" hidden="1">{#N/A,#N/A,TRUE,"Y생산";#N/A,#N/A,TRUE,"Y판매";#N/A,#N/A,TRUE,"Y총물량";#N/A,#N/A,TRUE,"Y능력";#N/A,#N/A,TRUE,"YKD"}</definedName>
    <definedName name="일면" hidden="1">{#N/A,#N/A,FALSE,"96 3월물량표";#N/A,#N/A,FALSE,"96 4월물량표";#N/A,#N/A,FALSE,"96 5월물량표"}</definedName>
    <definedName name="일이ㅏㄹ" hidden="1">{#N/A,#N/A,FALSE,"단축1";#N/A,#N/A,FALSE,"단축2";#N/A,#N/A,FALSE,"단축3";#N/A,#N/A,FALSE,"장축";#N/A,#N/A,FALSE,"4WD"}</definedName>
    <definedName name="일자별" hidden="1">{#N/A,#N/A,TRUE,"Y생산";#N/A,#N/A,TRUE,"Y판매";#N/A,#N/A,TRUE,"Y총물량";#N/A,#N/A,TRUE,"Y능력";#N/A,#N/A,TRUE,"YKD"}</definedName>
    <definedName name="일전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총" hidden="1">{#N/A,#N/A,TRUE,"Y생산";#N/A,#N/A,TRUE,"Y판매";#N/A,#N/A,TRUE,"Y총물량";#N/A,#N/A,TRUE,"Y능력";#N/A,#N/A,TRUE,"YKD"}</definedName>
    <definedName name="ㅈ" localSheetId="1" hidden="1">{#N/A,#N/A,FALSE,"주요여수신";#N/A,#N/A,FALSE,"수신금리";#N/A,#N/A,FALSE,"대출금리";#N/A,#N/A,FALSE,"신규대출";#N/A,#N/A,FALSE,"총액대출"}</definedName>
    <definedName name="ㅈ" hidden="1">{#N/A,#N/A,FALSE,"주요여수신";#N/A,#N/A,FALSE,"수신금리";#N/A,#N/A,FALSE,"대출금리";#N/A,#N/A,FALSE,"신규대출";#N/A,#N/A,FALSE,"총액대출"}</definedName>
    <definedName name="ㅈWIIWIW" hidden="1">{#N/A,#N/A,FALSE,"96 3월물량표";#N/A,#N/A,FALSE,"96 4월물량표";#N/A,#N/A,FALSE,"96 5월물량표"}</definedName>
    <definedName name="ㅈㄷ" hidden="1">{#N/A,#N/A,TRUE,"Y생산";#N/A,#N/A,TRUE,"Y판매";#N/A,#N/A,TRUE,"Y총물량";#N/A,#N/A,TRUE,"Y능력";#N/A,#N/A,TRUE,"YKD"}</definedName>
    <definedName name="ㅈㄷㄳ" hidden="1">{#N/A,#N/A,FALSE,"신규dep";#N/A,#N/A,FALSE,"신규dep-금형상각후";#N/A,#N/A,FALSE,"신규dep-연구비상각후";#N/A,#N/A,FALSE,"신규dep-기계,공구상각후"}</definedName>
    <definedName name="ㅈㅇㄷㅇㄴㅁㅇㄴ" localSheetId="1" hidden="1">#REF!</definedName>
    <definedName name="ㅈㅇㄷㅇㄴㅁㅇㄴ" hidden="1">#REF!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재기준" hidden="1">{#N/A,#N/A,TRUE,"Y생산";#N/A,#N/A,TRUE,"Y판매";#N/A,#N/A,TRUE,"Y총물량";#N/A,#N/A,TRUE,"Y능력";#N/A,#N/A,TRUE,"YKD"}</definedName>
    <definedName name="잠정보고" localSheetId="1" hidden="1">{#N/A,#N/A,FALSE,"주요여수신";#N/A,#N/A,FALSE,"수신금리";#N/A,#N/A,FALSE,"대출금리";#N/A,#N/A,FALSE,"신규대출";#N/A,#N/A,FALSE,"총액대출"}</definedName>
    <definedName name="잠정보고" hidden="1">{#N/A,#N/A,FALSE,"주요여수신";#N/A,#N/A,FALSE,"수신금리";#N/A,#N/A,FALSE,"대출금리";#N/A,#N/A,FALSE,"신규대출";#N/A,#N/A,FALSE,"총액대출"}</definedName>
    <definedName name="재" hidden="1">{#N/A,#N/A,FALSE,"UNIT";#N/A,#N/A,FALSE,"UNIT";#N/A,#N/A,FALSE,"계정"}</definedName>
    <definedName name="재고조정" hidden="1">#REF!</definedName>
    <definedName name="저저" hidden="1">{#N/A,#N/A,FALSE,"UNIT";#N/A,#N/A,FALSE,"UNIT";#N/A,#N/A,FALSE,"계정"}</definedName>
    <definedName name="전" hidden="1">{#N/A,#N/A,FALSE,"신규dep";#N/A,#N/A,FALSE,"신규dep-금형상각후";#N/A,#N/A,FALSE,"신규dep-연구비상각후";#N/A,#N/A,FALSE,"신규dep-기계,공구상각후"}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공장간접" hidden="1">{#N/A,#N/A,TRUE,"Y생산";#N/A,#N/A,TRUE,"Y판매";#N/A,#N/A,TRUE,"Y총물량";#N/A,#N/A,TRUE,"Y능력";#N/A,#N/A,TRUE,"YKD"}</definedName>
    <definedName name="전기tb" hidden="1">{#N/A,#N/A,FALSE,"COL-HIS"}</definedName>
    <definedName name="전차종" hidden="1">{#N/A,#N/A,FALSE,"표지";#N/A,#N/A,FALSE,"전제";#N/A,#N/A,FALSE,"대당";#N/A,#N/A,FALSE,"가공비";#N/A,#N/A,FALSE,"재료비";#N/A,#N/A,FALSE,"손익"}</definedName>
    <definedName name="전체종합2" hidden="1">{#N/A,#N/A,FALSE,"단축1";#N/A,#N/A,FALSE,"단축2";#N/A,#N/A,FALSE,"단축3";#N/A,#N/A,FALSE,"장축";#N/A,#N/A,FALSE,"4WD"}</definedName>
    <definedName name="절대일정" hidden="1">{#N/A,#N/A,FALSE,"신규dep";#N/A,#N/A,FALSE,"신규dep-금형상각후";#N/A,#N/A,FALSE,"신규dep-연구비상각후";#N/A,#N/A,FALSE,"신규dep-기계,공구상각후"}</definedName>
    <definedName name="절대일정3" hidden="1">{#N/A,#N/A,FALSE,"신규dep";#N/A,#N/A,FALSE,"신규dep-금형상각후";#N/A,#N/A,FALSE,"신규dep-연구비상각후";#N/A,#N/A,FALSE,"신규dep-기계,공구상각후"}</definedName>
    <definedName name="점호" hidden="1">{#N/A,#N/A,FALSE,"단축1";#N/A,#N/A,FALSE,"단축2";#N/A,#N/A,FALSE,"단축3";#N/A,#N/A,FALSE,"장축";#N/A,#N/A,FALSE,"4WD"}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민수" hidden="1">{#N/A,#N/A,TRUE,"Y생산";#N/A,#N/A,TRUE,"Y판매";#N/A,#N/A,TRUE,"Y총물량";#N/A,#N/A,TRUE,"Y능력";#N/A,#N/A,TRUE,"YKD"}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정왕자" hidden="1">{#N/A,#N/A,TRUE,"Y생산";#N/A,#N/A,TRUE,"Y판매";#N/A,#N/A,TRUE,"Y총물량";#N/A,#N/A,TRUE,"Y능력";#N/A,#N/A,TRUE,"YKD"}</definedName>
    <definedName name="정지훈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젖" hidden="1">{#N/A,#N/A,FALSE,"단축1";#N/A,#N/A,FALSE,"단축2";#N/A,#N/A,FALSE,"단축3";#N/A,#N/A,FALSE,"장축";#N/A,#N/A,FALSE,"4WD"}</definedName>
    <definedName name="제2석굴암" hidden="1">{#N/A,#N/A,FALSE,"품의서";#N/A,#N/A,FALSE,"전제";#N/A,#N/A,FALSE,"총손";#N/A,#N/A,FALSE,"손익"}</definedName>
    <definedName name="제조" localSheetId="0" hidden="1">#REF!</definedName>
    <definedName name="제조" localSheetId="1" hidden="1">#REF!</definedName>
    <definedName name="제조" localSheetId="2" hidden="1">#REF!</definedName>
    <definedName name="제조" localSheetId="3" hidden="1">#REF!</definedName>
    <definedName name="제조" localSheetId="4" hidden="1">#REF!</definedName>
    <definedName name="제조" localSheetId="5" hidden="1">#REF!</definedName>
    <definedName name="제조" localSheetId="6" hidden="1">#REF!</definedName>
    <definedName name="제조" hidden="1">#REF!</definedName>
    <definedName name="제품별사업전략" hidden="1">{#N/A,#N/A,FALSE,"UNIT";#N/A,#N/A,FALSE,"UNIT";#N/A,#N/A,FALSE,"계정"}</definedName>
    <definedName name="조립" hidden="1">{#N/A,#N/A,FALSE,"단축1";#N/A,#N/A,FALSE,"단축2";#N/A,#N/A,FALSE,"단축3";#N/A,#N/A,FALSE,"장축";#N/A,#N/A,FALSE,"4WD"}</definedName>
    <definedName name="조립공수" hidden="1">{#N/A,#N/A,TRUE,"Y생산";#N/A,#N/A,TRUE,"Y판매";#N/A,#N/A,TRUE,"Y총물량";#N/A,#N/A,TRUE,"Y능력";#N/A,#N/A,TRUE,"YKD"}</definedName>
    <definedName name="조수익2" hidden="1">{#N/A,#N/A,FALSE,"단축1";#N/A,#N/A,FALSE,"단축2";#N/A,#N/A,FALSE,"단축3";#N/A,#N/A,FALSE,"장축";#N/A,#N/A,FALSE,"4WD"}</definedName>
    <definedName name="조업변경" hidden="1">{#N/A,#N/A,TRUE,"Y생산";#N/A,#N/A,TRUE,"Y판매";#N/A,#N/A,TRUE,"Y총물량";#N/A,#N/A,TRUE,"Y능력";#N/A,#N/A,TRUE,"YKD"}</definedName>
    <definedName name="조치" hidden="1">{#N/A,#N/A,FALSE,"단축1";#N/A,#N/A,FALSE,"단축2";#N/A,#N/A,FALSE,"단축3";#N/A,#N/A,FALSE,"장축";#N/A,#N/A,FALSE,"4WD"}</definedName>
    <definedName name="종합" hidden="1">{#N/A,#N/A,TRUE,"Y생산";#N/A,#N/A,TRUE,"Y판매";#N/A,#N/A,TRUE,"Y총물량";#N/A,#N/A,TRUE,"Y능력";#N/A,#N/A,TRUE,"YKD"}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" hidden="1">{#N/A,#N/A,FALSE,"UNIT";#N/A,#N/A,FALSE,"UNIT";#N/A,#N/A,FALSE,"계정"}</definedName>
    <definedName name="주민호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차계획" hidden="1">{#N/A,#N/A,FALSE,"UNIT";#N/A,#N/A,FALSE,"UNIT";#N/A,#N/A,FALSE,"계정"}</definedName>
    <definedName name="중앙" hidden="1">{#N/A,#N/A,FALSE,"단축1";#N/A,#N/A,FALSE,"단축2";#N/A,#N/A,FALSE,"단축3";#N/A,#N/A,FALSE,"장축";#N/A,#N/A,FALSE,"4WD"}</definedName>
    <definedName name="지" hidden="1">{#N/A,#N/A,TRUE,"Y생산";#N/A,#N/A,TRUE,"Y판매";#N/A,#N/A,TRUE,"Y총물량";#N/A,#N/A,TRUE,"Y능력";#N/A,#N/A,TRUE,"YKD"}</definedName>
    <definedName name="지나" hidden="1">#REF!</definedName>
    <definedName name="지태면" hidden="1">{#N/A,#N/A,TRUE,"Y생산";#N/A,#N/A,TRUE,"Y판매";#N/A,#N/A,TRUE,"Y총물량";#N/A,#N/A,TRUE,"Y능력";#N/A,#N/A,TRUE,"YKD"}</definedName>
    <definedName name="진" hidden="1">{#N/A,#N/A,FALSE,"UNIT";#N/A,#N/A,FALSE,"UNIT";#N/A,#N/A,FALSE,"계정"}</definedName>
    <definedName name="진부화" hidden="1">{#N/A,#N/A,FALSE,"COL-HIS"}</definedName>
    <definedName name="ㅉ" hidden="1">{#N/A,#N/A,TRUE,"Y생산";#N/A,#N/A,TRUE,"Y판매";#N/A,#N/A,TRUE,"Y총물량";#N/A,#N/A,TRUE,"Y능력";#N/A,#N/A,TRUE,"YKD"}</definedName>
    <definedName name="쪼당" hidden="1">{#N/A,#N/A,TRUE,"Y생산";#N/A,#N/A,TRUE,"Y판매";#N/A,#N/A,TRUE,"Y총물량";#N/A,#N/A,TRUE,"Y능력";#N/A,#N/A,TRUE,"YKD"}</definedName>
    <definedName name="ㅊ" localSheetId="1" hidden="1">#REF!</definedName>
    <definedName name="ㅊ" hidden="1">#REF!</definedName>
    <definedName name="ㅊㅇㅇㄴ" localSheetId="0" hidden="1">#REF!</definedName>
    <definedName name="ㅊㅇㅇㄴ" localSheetId="1" hidden="1">#REF!</definedName>
    <definedName name="ㅊㅇㅇㄴ" localSheetId="2" hidden="1">#REF!</definedName>
    <definedName name="ㅊㅇㅇㄴ" localSheetId="3" hidden="1">#REF!</definedName>
    <definedName name="ㅊㅇㅇㄴ" hidden="1">#REF!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차병률" hidden="1">{#N/A,#N/A,TRUE,"Y생산";#N/A,#N/A,TRUE,"Y판매";#N/A,#N/A,TRUE,"Y총물량";#N/A,#N/A,TRUE,"Y능력";#N/A,#N/A,TRUE,"YKD"}</definedName>
    <definedName name="차이조정분" hidden="1">{"'Sheet1'!$A$1:$D$15"}</definedName>
    <definedName name="차종별" hidden="1">{#N/A,#N/A,TRUE,"Y생산";#N/A,#N/A,TRUE,"Y판매";#N/A,#N/A,TRUE,"Y총물량";#N/A,#N/A,TRUE,"Y능력";#N/A,#N/A,TRUE,"YKD"}</definedName>
    <definedName name="차체1" hidden="1">{#N/A,#N/A,FALSE,"단축1";#N/A,#N/A,FALSE,"단축2";#N/A,#N/A,FALSE,"단축3";#N/A,#N/A,FALSE,"장축";#N/A,#N/A,FALSE,"4WD"}</definedName>
    <definedName name="초임금비교" hidden="1">{#N/A,#N/A,FALSE,"계약직(여)"}</definedName>
    <definedName name="초임급" hidden="1">{#N/A,#N/A,FALSE,"계약직(여)"}</definedName>
    <definedName name="총무3" hidden="1">{#N/A,#N/A,FALSE,"단축1";#N/A,#N/A,FALSE,"단축2";#N/A,#N/A,FALSE,"단축3";#N/A,#N/A,FALSE,"장축";#N/A,#N/A,FALSE,"4WD"}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" hidden="1">{#N/A,#N/A,FALSE,"단축1";#N/A,#N/A,FALSE,"단축2";#N/A,#N/A,FALSE,"단축3";#N/A,#N/A,FALSE,"장축";#N/A,#N/A,FALSE,"4WD"}</definedName>
    <definedName name="추정Royalty" hidden="1">#REF!</definedName>
    <definedName name="추진일정1" hidden="1">{#N/A,#N/A,FALSE,"신규dep";#N/A,#N/A,FALSE,"신규dep-금형상각후";#N/A,#N/A,FALSE,"신규dep-연구비상각후";#N/A,#N/A,FALSE,"신규dep-기계,공구상각후"}</definedName>
    <definedName name="출하" hidden="1">{#N/A,#N/A,FALSE,"96 3월물량표";#N/A,#N/A,FALSE,"96 4월물량표";#N/A,#N/A,FALSE,"96 5월물량표"}</definedName>
    <definedName name="충당금결과200404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2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6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렌" hidden="1">{#N/A,#N/A,TRUE,"Y생산";#N/A,#N/A,TRUE,"Y판매";#N/A,#N/A,TRUE,"Y총물량";#N/A,#N/A,TRUE,"Y능력";#N/A,#N/A,TRUE,"YKD"}</definedName>
    <definedName name="카메라" hidden="1">{#N/A,#N/A,FALSE,"단축1";#N/A,#N/A,FALSE,"단축2";#N/A,#N/A,FALSE,"단축3";#N/A,#N/A,FALSE,"장축";#N/A,#N/A,FALSE,"4WD"}</definedName>
    <definedName name="카제기" hidden="1">{#N/A,#N/A,FALSE,"단축1";#N/A,#N/A,FALSE,"단축2";#N/A,#N/A,FALSE,"단축3";#N/A,#N/A,FALSE,"장축";#N/A,#N/A,FALSE,"4WD"}</definedName>
    <definedName name="킨사이다" hidden="1">{#N/A,#N/A,FALSE,"품의서";#N/A,#N/A,FALSE,"전제";#N/A,#N/A,FALSE,"총손";#N/A,#N/A,FALSE,"손익"}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퇴충" hidden="1">{"'Sheet1'!$A$1:$D$15"}</definedName>
    <definedName name="투자" hidden="1">#REF!</definedName>
    <definedName name="투자CONC.182억" hidden="1">{#N/A,#N/A,FALSE,"단축1";#N/A,#N/A,FALSE,"단축2";#N/A,#N/A,FALSE,"단축3";#N/A,#N/A,FALSE,"장축";#N/A,#N/A,FALSE,"4WD"}</definedName>
    <definedName name="투자감소분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금액1" hidden="1">{#N/A,#N/A,FALSE,"단축1";#N/A,#N/A,FALSE,"단축2";#N/A,#N/A,FALSE,"단축3";#N/A,#N/A,FALSE,"장축";#N/A,#N/A,FALSE,"4WD"}</definedName>
    <definedName name="투자비.현재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종합" hidden="1">{#N/A,#N/A,FALSE,"단축1";#N/A,#N/A,FALSE,"단축2";#N/A,#N/A,FALSE,"단축3";#N/A,#N/A,FALSE,"장축";#N/A,#N/A,FALSE,"4WD"}</definedName>
    <definedName name="트럭차체부" hidden="1">{#N/A,#N/A,TRUE,"Y생산";#N/A,#N/A,TRUE,"Y판매";#N/A,#N/A,TRUE,"Y총물량";#N/A,#N/A,TRUE,"Y능력";#N/A,#N/A,TRUE,"YKD"}</definedName>
    <definedName name="트럭차체부1" hidden="1">{#N/A,#N/A,TRUE,"Y생산";#N/A,#N/A,TRUE,"Y판매";#N/A,#N/A,TRUE,"Y총물량";#N/A,#N/A,TRUE,"Y능력";#N/A,#N/A,TRUE,"YKD"}</definedName>
    <definedName name="팀별계획" hidden="1">{#N/A,#N/A,FALSE,"UNIT";#N/A,#N/A,FALSE,"UNIT";#N/A,#N/A,FALSE,"계정"}</definedName>
    <definedName name="ㅍㅍ" hidden="1">{#N/A,#N/A,FALSE,"단축1";#N/A,#N/A,FALSE,"단축2";#N/A,#N/A,FALSE,"단축3";#N/A,#N/A,FALSE,"장축";#N/A,#N/A,FALSE,"4WD"}</definedName>
    <definedName name="판관비" hidden="1">{#N/A,#N/A,FALSE,"보험현황";#N/A,#N/A,FALSE,"보험현황"}</definedName>
    <definedName name="판매1" hidden="1">{#N/A,#N/A,TRUE,"Y생산";#N/A,#N/A,TRUE,"Y판매";#N/A,#N/A,TRUE,"Y총물량";#N/A,#N/A,TRUE,"Y능력";#N/A,#N/A,TRUE,"YKD"}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" hidden="1">{#N/A,#N/A,FALSE,"UNIT";#N/A,#N/A,FALSE,"UNIT";#N/A,#N/A,FALSE,"계정"}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ㅎㅎㅎ" hidden="1">{#N/A,#N/A,FALSE,"단축1";#N/A,#N/A,FALSE,"단축2";#N/A,#N/A,FALSE,"단축3";#N/A,#N/A,FALSE,"장축";#N/A,#N/A,FALSE,"4WD"}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투ST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향후계획1" hidden="1">{#N/A,#N/A,FALSE,"단축1";#N/A,#N/A,FALSE,"단축2";#N/A,#N/A,FALSE,"단축3";#N/A,#N/A,FALSE,"장축";#N/A,#N/A,FALSE,"4WD"}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금" hidden="1">{#N/A,#N/A,FALSE,"보험현황";#N/A,#N/A,FALSE,"보험현황"}</definedName>
    <definedName name="현금등가물" localSheetId="0" hidden="1">{#N/A,#N/A,FALSE,"Aging Summary";#N/A,#N/A,FALSE,"Ratio Analysis";#N/A,#N/A,FALSE,"Test 120 Day Accts";#N/A,#N/A,FALSE,"Tickmarks"}</definedName>
    <definedName name="현금등가물" localSheetId="1" hidden="1">{#N/A,#N/A,FALSE,"Aging Summary";#N/A,#N/A,FALSE,"Ratio Analysis";#N/A,#N/A,FALSE,"Test 120 Day Accts";#N/A,#N/A,FALSE,"Tickmarks"}</definedName>
    <definedName name="현금등가물" localSheetId="2" hidden="1">{#N/A,#N/A,FALSE,"Aging Summary";#N/A,#N/A,FALSE,"Ratio Analysis";#N/A,#N/A,FALSE,"Test 120 Day Accts";#N/A,#N/A,FALSE,"Tickmarks"}</definedName>
    <definedName name="현금등가물" localSheetId="3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금흐름" localSheetId="1" hidden="1">{#N/A,#N/A,FALSE,"Aging Summary";#N/A,#N/A,FALSE,"Ratio Analysis";#N/A,#N/A,FALSE,"Test 120 Day Accts";#N/A,#N/A,FALSE,"Tickmarks"}</definedName>
    <definedName name="현금흐름" localSheetId="2" hidden="1">{#N/A,#N/A,FALSE,"Aging Summary";#N/A,#N/A,FALSE,"Ratio Analysis";#N/A,#N/A,FALSE,"Test 120 Day Accts";#N/A,#N/A,FALSE,"Tickmarks"}</definedName>
    <definedName name="현금흐름" localSheetId="3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" hidden="1">{#N/A,#N/A,FALSE,"정공"}</definedName>
    <definedName name="호" hidden="1">{#N/A,#N/A,FALSE,"UNIT";#N/A,#N/A,FALSE,"UNIT";#N/A,#N/A,FALSE,"계정"}</definedName>
    <definedName name="호하ㅣHJHH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환경" hidden="1">{#N/A,#N/A,FALSE,"UNIT";#N/A,#N/A,FALSE,"UNIT";#N/A,#N/A,FALSE,"계정"}</definedName>
    <definedName name="회신현황" hidden="1">{#N/A,#N/A,TRUE,"Y생산";#N/A,#N/A,TRUE,"Y판매";#N/A,#N/A,TRUE,"Y총물량";#N/A,#N/A,TRUE,"Y능력";#N/A,#N/A,TRUE,"YKD"}</definedName>
    <definedName name="ㅏㅏ" localSheetId="0" hidden="1">{#N/A,#N/A,FALSE,"Aging Summary";#N/A,#N/A,FALSE,"Ratio Analysis";#N/A,#N/A,FALSE,"Test 120 Day Accts";#N/A,#N/A,FALSE,"Tickmarks"}</definedName>
    <definedName name="ㅏㅏ" localSheetId="1" hidden="1">{#N/A,#N/A,FALSE,"Aging Summary";#N/A,#N/A,FALSE,"Ratio Analysis";#N/A,#N/A,FALSE,"Test 120 Day Accts";#N/A,#N/A,FALSE,"Tickmarks"}</definedName>
    <definedName name="ㅏㅏ" localSheetId="2" hidden="1">{#N/A,#N/A,FALSE,"Aging Summary";#N/A,#N/A,FALSE,"Ratio Analysis";#N/A,#N/A,FALSE,"Test 120 Day Accts";#N/A,#N/A,FALSE,"Tickmarks"}</definedName>
    <definedName name="ㅏㅏ" localSheetId="3" hidden="1">{#N/A,#N/A,FALSE,"Aging Summary";#N/A,#N/A,FALSE,"Ratio Analysis";#N/A,#N/A,FALSE,"Test 120 Day Accts";#N/A,#N/A,FALSE,"Tickmarks"}</definedName>
    <definedName name="ㅏㅏ" localSheetId="4" hidden="1">{#N/A,#N/A,FALSE,"Aging Summary";#N/A,#N/A,FALSE,"Ratio Analysis";#N/A,#N/A,FALSE,"Test 120 Day Accts";#N/A,#N/A,FALSE,"Tickmarks"}</definedName>
    <definedName name="ㅏㅏ" localSheetId="5" hidden="1">{#N/A,#N/A,FALSE,"Aging Summary";#N/A,#N/A,FALSE,"Ratio Analysis";#N/A,#N/A,FALSE,"Test 120 Day Accts";#N/A,#N/A,FALSE,"Tickmarks"}</definedName>
    <definedName name="ㅏㅏ" localSheetId="6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hidden="1">{#N/A,#N/A,FALSE,"기술료 비교"}</definedName>
    <definedName name="ㅏㅑㅡ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ㅔ" hidden="1">{#N/A,#N/A,FALSE,"단축1";#N/A,#N/A,FALSE,"단축2";#N/A,#N/A,FALSE,"단축3";#N/A,#N/A,FALSE,"장축";#N/A,#N/A,FALSE,"4WD"}</definedName>
    <definedName name="ㅔㅔㅔ" hidden="1">{#N/A,#N/A,FALSE,"을지 (4)";#N/A,#N/A,FALSE,"을지 (5)";#N/A,#N/A,FALSE,"을지 (6)"}</definedName>
    <definedName name="ㅕㅣㅎ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" hidden="1">#REF!</definedName>
    <definedName name="ㅗㅓㅐㅓㅐ" hidden="1">#REF!</definedName>
    <definedName name="ㅗㅗ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리" hidden="1">{#N/A,#N/A,TRUE,"Y생산";#N/A,#N/A,TRUE,"Y판매";#N/A,#N/A,TRUE,"Y총물량";#N/A,#N/A,TRUE,"Y능력";#N/A,#N/A,TRUE,"YKD"}</definedName>
    <definedName name="ㅡㅡㅡ" hidden="1">#REF!</definedName>
    <definedName name="ㅣㅏ" hidden="1">{#N/A,#N/A,FALSE,"단축1";#N/A,#N/A,FALSE,"단축2";#N/A,#N/A,FALSE,"단축3";#N/A,#N/A,FALSE,"장축";#N/A,#N/A,FALSE,"4WD"}</definedName>
    <definedName name="ㅣㅑㅓㅔ" hidden="1">#REF!</definedName>
    <definedName name="ㅣㅣ" hidden="1">{#N/A,#N/A,TRUE,"Y생산";#N/A,#N/A,TRUE,"Y판매";#N/A,#N/A,TRUE,"Y총물량";#N/A,#N/A,TRUE,"Y능력";#N/A,#N/A,TRUE,"YKD"}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2" i="69" l="1"/>
  <c r="B221" i="69"/>
  <c r="B220" i="69"/>
  <c r="B219" i="69"/>
  <c r="B218" i="69"/>
  <c r="B217" i="69"/>
  <c r="B216" i="69"/>
  <c r="B215" i="69"/>
  <c r="B214" i="69"/>
  <c r="B213" i="69"/>
  <c r="B212" i="69"/>
  <c r="B211" i="69"/>
  <c r="B210" i="69"/>
  <c r="B209" i="69"/>
  <c r="B208" i="69"/>
  <c r="B207" i="69"/>
  <c r="B206" i="69"/>
  <c r="B205" i="69"/>
  <c r="B204" i="69"/>
  <c r="B203" i="69"/>
  <c r="B202" i="69"/>
  <c r="B201" i="69"/>
  <c r="B200" i="69"/>
  <c r="B199" i="69"/>
  <c r="B198" i="69"/>
  <c r="B197" i="69"/>
  <c r="B196" i="69"/>
  <c r="B195" i="69"/>
  <c r="B194" i="69"/>
  <c r="B193" i="69"/>
  <c r="B192" i="69"/>
  <c r="B191" i="69"/>
  <c r="B190" i="69"/>
  <c r="B189" i="69"/>
  <c r="B188" i="69"/>
  <c r="B187" i="69"/>
  <c r="B186" i="69"/>
  <c r="B185" i="69"/>
  <c r="B184" i="69"/>
  <c r="B183" i="69"/>
  <c r="B182" i="69"/>
  <c r="B181" i="69"/>
  <c r="B180" i="69"/>
  <c r="B179" i="69"/>
  <c r="B178" i="69"/>
  <c r="B177" i="69"/>
  <c r="B176" i="69"/>
  <c r="B175" i="69"/>
  <c r="B174" i="69"/>
  <c r="B173" i="69"/>
  <c r="B172" i="69"/>
  <c r="B171" i="69"/>
  <c r="B170" i="69"/>
  <c r="B169" i="69"/>
  <c r="B168" i="69"/>
  <c r="B167" i="69"/>
  <c r="B166" i="69"/>
  <c r="B165" i="69"/>
  <c r="B164" i="69"/>
  <c r="B163" i="69"/>
  <c r="B162" i="69"/>
  <c r="B161" i="69"/>
  <c r="B160" i="69"/>
  <c r="B159" i="69"/>
  <c r="B158" i="69"/>
  <c r="B157" i="69"/>
  <c r="B156" i="69"/>
  <c r="B155" i="69"/>
  <c r="B154" i="69"/>
  <c r="B153" i="69"/>
  <c r="B152" i="69"/>
  <c r="B151" i="69"/>
  <c r="B150" i="69"/>
  <c r="B149" i="69"/>
  <c r="B148" i="69"/>
  <c r="B147" i="69"/>
  <c r="B146" i="69"/>
  <c r="B145" i="69"/>
  <c r="B144" i="69"/>
  <c r="B143" i="69"/>
  <c r="B142" i="69"/>
  <c r="B141" i="69"/>
  <c r="B140" i="69"/>
  <c r="B139" i="69"/>
  <c r="B138" i="69"/>
  <c r="B137" i="69"/>
  <c r="B136" i="69"/>
  <c r="B135" i="69"/>
  <c r="B134" i="69"/>
  <c r="B133" i="69"/>
  <c r="B132" i="69"/>
  <c r="B131" i="69"/>
  <c r="B130" i="69"/>
  <c r="B129" i="69"/>
  <c r="B128" i="69"/>
  <c r="B127" i="69"/>
  <c r="B126" i="69"/>
  <c r="B125" i="69"/>
  <c r="B124" i="69"/>
  <c r="B123" i="69"/>
  <c r="B122" i="69"/>
  <c r="B121" i="69"/>
  <c r="B120" i="69"/>
  <c r="B119" i="69"/>
  <c r="B118" i="69"/>
  <c r="B117" i="69"/>
  <c r="B116" i="69"/>
  <c r="B115" i="69"/>
  <c r="B114" i="69"/>
  <c r="B113" i="69"/>
  <c r="B112" i="69"/>
  <c r="B111" i="69"/>
  <c r="B110" i="69"/>
  <c r="B109" i="69"/>
  <c r="B108" i="69"/>
  <c r="B107" i="69"/>
  <c r="B106" i="69"/>
  <c r="B105" i="69"/>
  <c r="B104" i="69"/>
  <c r="B103" i="69"/>
  <c r="B102" i="69"/>
  <c r="B101" i="69"/>
  <c r="B100" i="69"/>
  <c r="B99" i="69"/>
  <c r="B98" i="69"/>
  <c r="B97" i="69"/>
  <c r="B96" i="69"/>
  <c r="B95" i="69"/>
  <c r="B94" i="69"/>
  <c r="B93" i="69"/>
  <c r="B92" i="69"/>
  <c r="B91" i="69"/>
  <c r="B90" i="69"/>
  <c r="B89" i="69"/>
  <c r="B88" i="69"/>
  <c r="B87" i="69"/>
  <c r="B86" i="69"/>
  <c r="B85" i="69"/>
  <c r="B84" i="69"/>
  <c r="B83" i="69"/>
  <c r="B82" i="69"/>
  <c r="B81" i="69"/>
  <c r="B80" i="69"/>
  <c r="B79" i="69"/>
  <c r="B78" i="69"/>
  <c r="B77" i="69"/>
  <c r="B76" i="69"/>
  <c r="B75" i="69"/>
  <c r="B74" i="69"/>
  <c r="B73" i="69"/>
  <c r="B72" i="69"/>
  <c r="B71" i="69"/>
  <c r="B70" i="69"/>
  <c r="B69" i="69"/>
  <c r="B68" i="69"/>
  <c r="B67" i="69"/>
  <c r="B66" i="69"/>
  <c r="B65" i="69"/>
  <c r="B64" i="69"/>
  <c r="B63" i="69"/>
  <c r="B62" i="69"/>
  <c r="B61" i="69"/>
  <c r="B60" i="69"/>
  <c r="B59" i="69"/>
  <c r="B58" i="69"/>
  <c r="B57" i="69"/>
  <c r="B56" i="69"/>
  <c r="B55" i="69"/>
  <c r="B54" i="69"/>
  <c r="B53" i="69"/>
  <c r="B52" i="69"/>
  <c r="B51" i="69"/>
  <c r="B50" i="69"/>
  <c r="B49" i="69"/>
  <c r="B48" i="69"/>
  <c r="B47" i="69"/>
  <c r="B46" i="69"/>
  <c r="B45" i="69"/>
  <c r="B44" i="69"/>
  <c r="B43" i="69"/>
  <c r="B42" i="69"/>
  <c r="B41" i="69"/>
  <c r="B40" i="69"/>
  <c r="B39" i="69"/>
  <c r="B38" i="69"/>
  <c r="B37" i="69"/>
  <c r="B36" i="69"/>
  <c r="B35" i="69"/>
  <c r="B34" i="69"/>
  <c r="B33" i="69"/>
  <c r="B32" i="69"/>
  <c r="B31" i="69"/>
  <c r="B30" i="69"/>
  <c r="B29" i="69"/>
  <c r="B28" i="69"/>
  <c r="B27" i="69"/>
  <c r="B26" i="69"/>
  <c r="B25" i="69"/>
  <c r="B24" i="69"/>
  <c r="B23" i="69"/>
  <c r="B22" i="69"/>
  <c r="B21" i="69"/>
  <c r="B20" i="69"/>
  <c r="B19" i="69"/>
  <c r="B18" i="69"/>
  <c r="B17" i="69"/>
  <c r="B16" i="69"/>
  <c r="B15" i="69"/>
  <c r="B14" i="69"/>
  <c r="B13" i="69"/>
  <c r="B12" i="69"/>
  <c r="B11" i="69"/>
  <c r="B301" i="68"/>
  <c r="B300" i="68"/>
  <c r="B299" i="68"/>
  <c r="B298" i="68"/>
  <c r="B297" i="68"/>
  <c r="B296" i="68"/>
  <c r="B295" i="68"/>
  <c r="B294" i="68"/>
  <c r="B293" i="68"/>
  <c r="B292" i="68"/>
  <c r="B291" i="68"/>
  <c r="B290" i="68"/>
  <c r="B289" i="68"/>
  <c r="B288" i="68"/>
  <c r="B287" i="68"/>
  <c r="B286" i="68"/>
  <c r="B285" i="68"/>
  <c r="B284" i="68"/>
  <c r="B283" i="68"/>
  <c r="B282" i="68"/>
  <c r="B281" i="68"/>
  <c r="B280" i="68"/>
  <c r="B279" i="68"/>
  <c r="B278" i="68"/>
  <c r="B277" i="68"/>
  <c r="B276" i="68"/>
  <c r="B275" i="68"/>
  <c r="B274" i="68"/>
  <c r="B273" i="68"/>
  <c r="B272" i="68"/>
  <c r="B271" i="68"/>
  <c r="B270" i="68"/>
  <c r="B269" i="68"/>
  <c r="B268" i="68"/>
  <c r="B267" i="68"/>
  <c r="B266" i="68"/>
  <c r="B265" i="68"/>
  <c r="B264" i="68"/>
  <c r="B263" i="68"/>
  <c r="B262" i="68"/>
  <c r="B261" i="68"/>
  <c r="B260" i="68"/>
  <c r="B259" i="68"/>
  <c r="B258" i="68"/>
  <c r="B257" i="68"/>
  <c r="B256" i="68"/>
  <c r="B255" i="68"/>
  <c r="B254" i="68"/>
  <c r="B253" i="68"/>
  <c r="B252" i="68"/>
  <c r="B251" i="68"/>
  <c r="B250" i="68"/>
  <c r="B249" i="68"/>
  <c r="B248" i="68"/>
  <c r="B247" i="68"/>
  <c r="B246" i="68"/>
  <c r="B245" i="68"/>
  <c r="B244" i="68"/>
  <c r="B243" i="68"/>
  <c r="B242" i="68"/>
  <c r="B241" i="68"/>
  <c r="B240" i="68"/>
  <c r="B239" i="68"/>
  <c r="B238" i="68"/>
  <c r="B237" i="68"/>
  <c r="B236" i="68"/>
  <c r="B235" i="68"/>
  <c r="B234" i="68"/>
  <c r="B233" i="68"/>
  <c r="B232" i="68"/>
  <c r="B231" i="68"/>
  <c r="B230" i="68"/>
  <c r="B229" i="68"/>
  <c r="B228" i="68"/>
  <c r="B227" i="68"/>
  <c r="B226" i="68"/>
  <c r="B225" i="68"/>
  <c r="B224" i="68"/>
  <c r="B223" i="68"/>
  <c r="B222" i="68"/>
  <c r="B221" i="68"/>
  <c r="B220" i="68"/>
  <c r="B219" i="68"/>
  <c r="B218" i="68"/>
  <c r="B217" i="68"/>
  <c r="B216" i="68"/>
  <c r="B215" i="68"/>
  <c r="B214" i="68"/>
  <c r="B213" i="68"/>
  <c r="B212" i="68"/>
  <c r="B211" i="68"/>
  <c r="B210" i="68"/>
  <c r="B209" i="68"/>
  <c r="B208" i="68"/>
  <c r="B207" i="68"/>
  <c r="B206" i="68"/>
  <c r="B205" i="68"/>
  <c r="B204" i="68"/>
  <c r="B203" i="68"/>
  <c r="B202" i="68"/>
  <c r="B201" i="68"/>
  <c r="B200" i="68"/>
  <c r="B199" i="68"/>
  <c r="B198" i="68"/>
  <c r="B197" i="68"/>
  <c r="B196" i="68"/>
  <c r="B195" i="68"/>
  <c r="B194" i="68"/>
  <c r="B193" i="68"/>
  <c r="B192" i="68"/>
  <c r="B191" i="68"/>
  <c r="B190" i="68"/>
  <c r="B189" i="68"/>
  <c r="B188" i="68"/>
  <c r="B187" i="68"/>
  <c r="B186" i="68"/>
  <c r="B185" i="68"/>
  <c r="B184" i="68"/>
  <c r="B183" i="68"/>
  <c r="B182" i="68"/>
  <c r="B181" i="68"/>
  <c r="B180" i="68"/>
  <c r="B179" i="68"/>
  <c r="B178" i="68"/>
  <c r="B177" i="68"/>
  <c r="B176" i="68"/>
  <c r="B175" i="68"/>
  <c r="B174" i="68"/>
  <c r="B173" i="68"/>
  <c r="B172" i="68"/>
  <c r="B171" i="68"/>
  <c r="B170" i="68"/>
  <c r="B169" i="68"/>
  <c r="B168" i="68"/>
  <c r="B167" i="68"/>
  <c r="B166" i="68"/>
  <c r="B165" i="68"/>
  <c r="B164" i="68"/>
  <c r="B163" i="68"/>
  <c r="B162" i="68"/>
  <c r="B161" i="68"/>
  <c r="B160" i="68"/>
  <c r="B159" i="68"/>
  <c r="B158" i="68"/>
  <c r="B157" i="68"/>
  <c r="B156" i="68"/>
  <c r="B155" i="68"/>
  <c r="B154" i="68"/>
  <c r="B153" i="68"/>
  <c r="B152" i="68"/>
  <c r="B151" i="68"/>
  <c r="B150" i="68"/>
  <c r="B149" i="68"/>
  <c r="B148" i="68"/>
  <c r="B147" i="68"/>
  <c r="B146" i="68"/>
  <c r="B145" i="68"/>
  <c r="B144" i="68"/>
  <c r="B143" i="68"/>
  <c r="B142" i="68"/>
  <c r="B141" i="68"/>
  <c r="B140" i="68"/>
  <c r="B139" i="68"/>
  <c r="B138" i="68"/>
  <c r="B137" i="68"/>
  <c r="B136" i="68"/>
  <c r="B135" i="68"/>
  <c r="B134" i="68"/>
  <c r="B133" i="68"/>
  <c r="B132" i="68"/>
  <c r="B131" i="68"/>
  <c r="B130" i="68"/>
  <c r="B129" i="68"/>
  <c r="B128" i="68"/>
  <c r="B127" i="68"/>
  <c r="B126" i="68"/>
  <c r="B125" i="68"/>
  <c r="B124" i="68"/>
  <c r="B123" i="68"/>
  <c r="B122" i="68"/>
  <c r="B121" i="68"/>
  <c r="B120" i="68"/>
  <c r="B119" i="68"/>
  <c r="B118" i="68"/>
  <c r="B117" i="68"/>
  <c r="B116" i="68"/>
  <c r="B115" i="68"/>
  <c r="B114" i="68"/>
  <c r="B113" i="68"/>
  <c r="B112" i="68"/>
  <c r="B111" i="68"/>
  <c r="B110" i="68"/>
  <c r="B109" i="68"/>
  <c r="B108" i="68"/>
  <c r="B107" i="68"/>
  <c r="B106" i="68"/>
  <c r="B105" i="68"/>
  <c r="B104" i="68"/>
  <c r="B103" i="68"/>
  <c r="B102" i="68"/>
  <c r="B101" i="68"/>
  <c r="B100" i="68"/>
  <c r="B99" i="68"/>
  <c r="B98" i="68"/>
  <c r="B97" i="68"/>
  <c r="B96" i="68"/>
  <c r="B95" i="68"/>
  <c r="B94" i="68"/>
  <c r="B93" i="68"/>
  <c r="B92" i="68"/>
  <c r="B91" i="68"/>
  <c r="B90" i="68"/>
  <c r="B89" i="68"/>
  <c r="B88" i="68"/>
  <c r="B87" i="68"/>
  <c r="B86" i="68"/>
  <c r="B85" i="68"/>
  <c r="B84" i="68"/>
  <c r="B83" i="68"/>
  <c r="B82" i="68"/>
  <c r="B81" i="68"/>
  <c r="B80" i="68"/>
  <c r="B79" i="68"/>
  <c r="B78" i="68"/>
  <c r="B77" i="68"/>
  <c r="B76" i="68"/>
  <c r="B75" i="68"/>
  <c r="B74" i="68"/>
  <c r="B73" i="68"/>
  <c r="B72" i="68"/>
  <c r="B71" i="68"/>
  <c r="B70" i="68"/>
  <c r="B69" i="68"/>
  <c r="B68" i="68"/>
  <c r="B67" i="68"/>
  <c r="B66" i="68"/>
  <c r="B65" i="68"/>
  <c r="B64" i="68"/>
  <c r="B63" i="68"/>
  <c r="B62" i="68"/>
  <c r="B61" i="68"/>
  <c r="B60" i="68"/>
  <c r="B59" i="68"/>
  <c r="B58" i="68"/>
  <c r="B57" i="68"/>
  <c r="B56" i="68"/>
  <c r="B55" i="68"/>
  <c r="B54" i="68"/>
  <c r="B53" i="68"/>
  <c r="B52" i="68"/>
  <c r="B51" i="68"/>
  <c r="B50" i="68"/>
  <c r="B49" i="68"/>
  <c r="B48" i="68"/>
  <c r="B47" i="68"/>
  <c r="B46" i="68"/>
  <c r="B45" i="68"/>
  <c r="B44" i="68"/>
  <c r="B43" i="68"/>
  <c r="B42" i="68"/>
  <c r="B41" i="68"/>
  <c r="B40" i="68"/>
  <c r="B39" i="68"/>
  <c r="B38" i="68"/>
  <c r="B37" i="68"/>
  <c r="B36" i="68"/>
  <c r="B35" i="68"/>
  <c r="B34" i="68"/>
  <c r="B33" i="68"/>
  <c r="B32" i="68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23" i="67" l="1"/>
  <c r="B122" i="67"/>
  <c r="B121" i="67"/>
  <c r="B120" i="67"/>
  <c r="B119" i="67"/>
  <c r="B118" i="67"/>
  <c r="B117" i="67"/>
  <c r="B116" i="67"/>
  <c r="B115" i="67"/>
  <c r="B114" i="67"/>
  <c r="B113" i="67"/>
  <c r="B112" i="67"/>
  <c r="B111" i="67"/>
  <c r="B110" i="67"/>
  <c r="B109" i="67"/>
  <c r="B108" i="67"/>
  <c r="B107" i="67"/>
  <c r="B106" i="67"/>
  <c r="B105" i="67"/>
  <c r="B104" i="67"/>
  <c r="B103" i="67"/>
  <c r="B102" i="67"/>
  <c r="B101" i="67"/>
  <c r="B100" i="67"/>
  <c r="B99" i="67"/>
  <c r="B98" i="67"/>
  <c r="B97" i="67"/>
  <c r="B96" i="67"/>
  <c r="B95" i="67"/>
  <c r="B94" i="67"/>
  <c r="B93" i="67"/>
  <c r="B92" i="67"/>
  <c r="B91" i="67"/>
  <c r="B90" i="67"/>
  <c r="B89" i="67"/>
  <c r="B88" i="67"/>
  <c r="B87" i="67"/>
  <c r="B86" i="67"/>
  <c r="B85" i="67"/>
  <c r="B84" i="67"/>
  <c r="B83" i="67"/>
  <c r="B82" i="67"/>
  <c r="B81" i="67"/>
  <c r="B80" i="67"/>
  <c r="B79" i="67"/>
  <c r="B78" i="67"/>
  <c r="B77" i="67"/>
  <c r="B76" i="67"/>
  <c r="B75" i="67"/>
  <c r="B74" i="67"/>
  <c r="B73" i="67"/>
  <c r="B72" i="67"/>
  <c r="B71" i="67"/>
  <c r="B70" i="67"/>
  <c r="B69" i="67"/>
  <c r="B68" i="67"/>
  <c r="B67" i="67"/>
  <c r="B66" i="67"/>
  <c r="B65" i="67"/>
  <c r="B64" i="67"/>
  <c r="B63" i="67"/>
  <c r="B62" i="67"/>
  <c r="B61" i="67"/>
  <c r="B60" i="67"/>
  <c r="B59" i="67"/>
  <c r="B58" i="67"/>
  <c r="B57" i="67"/>
  <c r="B56" i="67"/>
  <c r="B55" i="67"/>
  <c r="B54" i="67"/>
  <c r="B53" i="67"/>
  <c r="B52" i="67"/>
  <c r="B51" i="67"/>
  <c r="B50" i="67"/>
  <c r="B49" i="67"/>
  <c r="B48" i="67"/>
  <c r="B47" i="67"/>
  <c r="B46" i="67"/>
  <c r="B45" i="67"/>
  <c r="B44" i="67"/>
  <c r="B43" i="67"/>
  <c r="B42" i="67"/>
  <c r="B41" i="67"/>
  <c r="B40" i="67"/>
  <c r="B39" i="67"/>
  <c r="B38" i="67"/>
  <c r="B37" i="67"/>
  <c r="B36" i="67"/>
  <c r="B35" i="67"/>
  <c r="B34" i="67"/>
  <c r="B33" i="67"/>
  <c r="B32" i="67"/>
  <c r="B31" i="67"/>
  <c r="B30" i="67"/>
  <c r="B29" i="67"/>
  <c r="B28" i="67"/>
  <c r="B27" i="67"/>
  <c r="B26" i="67"/>
  <c r="B25" i="67"/>
  <c r="B24" i="67"/>
  <c r="B23" i="67"/>
  <c r="B22" i="67"/>
  <c r="B21" i="67"/>
  <c r="B20" i="67"/>
  <c r="B19" i="67"/>
  <c r="B18" i="67"/>
  <c r="B17" i="67"/>
  <c r="B16" i="67"/>
  <c r="B15" i="67"/>
  <c r="B14" i="67"/>
  <c r="B13" i="67"/>
  <c r="B12" i="67"/>
  <c r="B11" i="67"/>
  <c r="B692" i="146"/>
  <c r="B691" i="146"/>
  <c r="B690" i="146"/>
  <c r="B689" i="146"/>
  <c r="B688" i="146"/>
  <c r="B687" i="146"/>
  <c r="B686" i="146"/>
  <c r="B685" i="146"/>
  <c r="B684" i="146"/>
  <c r="B683" i="146"/>
  <c r="B682" i="146"/>
  <c r="B681" i="146"/>
  <c r="B680" i="146"/>
  <c r="B679" i="146"/>
  <c r="B678" i="146"/>
  <c r="B677" i="146"/>
  <c r="B676" i="146"/>
  <c r="B675" i="146"/>
  <c r="B674" i="146"/>
  <c r="B673" i="146"/>
  <c r="B672" i="146"/>
  <c r="B671" i="146"/>
  <c r="B670" i="146"/>
  <c r="B669" i="146"/>
  <c r="B668" i="146"/>
  <c r="B667" i="146"/>
  <c r="B666" i="146"/>
  <c r="B665" i="146"/>
  <c r="B664" i="146"/>
  <c r="B663" i="146"/>
  <c r="B662" i="146"/>
  <c r="B661" i="146"/>
  <c r="B660" i="146"/>
  <c r="B659" i="146"/>
  <c r="B658" i="146"/>
  <c r="B657" i="146"/>
  <c r="B656" i="146"/>
  <c r="B655" i="146"/>
  <c r="B654" i="146"/>
  <c r="B653" i="146"/>
  <c r="B652" i="146"/>
  <c r="B651" i="146"/>
  <c r="B650" i="146"/>
  <c r="B649" i="146"/>
  <c r="B648" i="146"/>
  <c r="B647" i="146"/>
  <c r="B646" i="146"/>
  <c r="B645" i="146"/>
  <c r="B644" i="146"/>
  <c r="B643" i="146"/>
  <c r="B642" i="146"/>
  <c r="B641" i="146"/>
  <c r="B640" i="146"/>
  <c r="B639" i="146"/>
  <c r="B638" i="146"/>
  <c r="B637" i="146"/>
  <c r="B636" i="146"/>
  <c r="B635" i="146"/>
  <c r="B634" i="146"/>
  <c r="B633" i="146"/>
  <c r="B632" i="146"/>
  <c r="B631" i="146"/>
  <c r="B630" i="146"/>
  <c r="B629" i="146"/>
  <c r="B628" i="146"/>
  <c r="B627" i="146"/>
  <c r="B626" i="146"/>
  <c r="B625" i="146"/>
  <c r="B624" i="146"/>
  <c r="B623" i="146"/>
  <c r="B622" i="146"/>
  <c r="B621" i="146"/>
  <c r="B620" i="146"/>
  <c r="B619" i="146"/>
  <c r="B618" i="146"/>
  <c r="B617" i="146"/>
  <c r="B616" i="146"/>
  <c r="B615" i="146"/>
  <c r="B614" i="146"/>
  <c r="B613" i="146"/>
  <c r="B612" i="146"/>
  <c r="B611" i="146"/>
  <c r="B610" i="146"/>
  <c r="B609" i="146"/>
  <c r="B608" i="146"/>
  <c r="B607" i="146"/>
  <c r="B606" i="146"/>
  <c r="B605" i="146"/>
  <c r="B604" i="146"/>
  <c r="B603" i="146"/>
  <c r="B602" i="146"/>
  <c r="B601" i="146"/>
  <c r="B600" i="146"/>
  <c r="B599" i="146"/>
  <c r="B598" i="146"/>
  <c r="B597" i="146"/>
  <c r="B596" i="146"/>
  <c r="B595" i="146"/>
  <c r="B594" i="146"/>
  <c r="B593" i="146"/>
  <c r="B592" i="146"/>
  <c r="B591" i="146"/>
  <c r="B590" i="146"/>
  <c r="B589" i="146"/>
  <c r="B588" i="146"/>
  <c r="B587" i="146"/>
  <c r="B586" i="146"/>
  <c r="B585" i="146"/>
  <c r="B584" i="146"/>
  <c r="B583" i="146"/>
  <c r="B582" i="146"/>
  <c r="B581" i="146"/>
  <c r="B580" i="146"/>
  <c r="B579" i="146"/>
  <c r="B578" i="146"/>
  <c r="B577" i="146"/>
  <c r="B576" i="146"/>
  <c r="B575" i="146"/>
  <c r="B574" i="146"/>
  <c r="B573" i="146"/>
  <c r="B572" i="146"/>
  <c r="B571" i="146"/>
  <c r="B570" i="146"/>
  <c r="B569" i="146"/>
  <c r="B568" i="146"/>
  <c r="B567" i="146"/>
  <c r="B566" i="146"/>
  <c r="B565" i="146"/>
  <c r="B564" i="146"/>
  <c r="B563" i="146"/>
  <c r="B562" i="146"/>
  <c r="B561" i="146"/>
  <c r="B560" i="146"/>
  <c r="B559" i="146"/>
  <c r="B558" i="146"/>
  <c r="B557" i="146"/>
  <c r="B556" i="146"/>
  <c r="B555" i="146"/>
  <c r="B554" i="146"/>
  <c r="B553" i="146"/>
  <c r="B552" i="146"/>
  <c r="B551" i="146"/>
  <c r="B550" i="146"/>
  <c r="B549" i="146"/>
  <c r="B548" i="146"/>
  <c r="B547" i="146"/>
  <c r="B546" i="146"/>
  <c r="B545" i="146"/>
  <c r="B544" i="146"/>
  <c r="B543" i="146"/>
  <c r="B542" i="146"/>
  <c r="B541" i="146"/>
  <c r="B540" i="146"/>
  <c r="B539" i="146"/>
  <c r="B538" i="146"/>
  <c r="B537" i="146"/>
  <c r="B536" i="146"/>
  <c r="B535" i="146"/>
  <c r="B534" i="146"/>
  <c r="B533" i="146"/>
  <c r="B532" i="146"/>
  <c r="B531" i="146"/>
  <c r="B530" i="146"/>
  <c r="B529" i="146"/>
  <c r="B528" i="146"/>
  <c r="B527" i="146"/>
  <c r="B526" i="146"/>
  <c r="B525" i="146"/>
  <c r="B524" i="146"/>
  <c r="B523" i="146"/>
  <c r="B522" i="146"/>
  <c r="B521" i="146"/>
  <c r="B520" i="146"/>
  <c r="B519" i="146"/>
  <c r="B518" i="146"/>
  <c r="B517" i="146"/>
  <c r="B516" i="146"/>
  <c r="B515" i="146"/>
  <c r="B514" i="146"/>
  <c r="B513" i="146"/>
  <c r="B512" i="146"/>
  <c r="B511" i="146"/>
  <c r="B510" i="146"/>
  <c r="B509" i="146"/>
  <c r="B508" i="146"/>
  <c r="B507" i="146"/>
  <c r="B506" i="146"/>
  <c r="B505" i="146"/>
  <c r="B504" i="146"/>
  <c r="B503" i="146"/>
  <c r="B502" i="146"/>
  <c r="B501" i="146"/>
  <c r="B500" i="146"/>
  <c r="B499" i="146"/>
  <c r="B498" i="146"/>
  <c r="B497" i="146"/>
  <c r="B496" i="146"/>
  <c r="B495" i="146"/>
  <c r="B494" i="146"/>
  <c r="B493" i="146"/>
  <c r="B492" i="146"/>
  <c r="B491" i="146"/>
  <c r="B490" i="146"/>
  <c r="B489" i="146"/>
  <c r="B488" i="146"/>
  <c r="B487" i="146"/>
  <c r="B486" i="146"/>
  <c r="B485" i="146"/>
  <c r="B484" i="146"/>
  <c r="B483" i="146"/>
  <c r="B482" i="146"/>
  <c r="B481" i="146"/>
  <c r="B480" i="146"/>
  <c r="B479" i="146"/>
  <c r="B478" i="146"/>
  <c r="B477" i="146"/>
  <c r="B476" i="146"/>
  <c r="B475" i="146"/>
  <c r="B474" i="146"/>
  <c r="B473" i="146"/>
  <c r="B472" i="146"/>
  <c r="B471" i="146"/>
  <c r="B470" i="146"/>
  <c r="B469" i="146"/>
  <c r="B468" i="146"/>
  <c r="B467" i="146"/>
  <c r="B466" i="146"/>
  <c r="B465" i="146"/>
  <c r="B464" i="146"/>
  <c r="B463" i="146"/>
  <c r="B462" i="146"/>
  <c r="B461" i="146"/>
  <c r="B460" i="146"/>
  <c r="B459" i="146"/>
  <c r="B458" i="146"/>
  <c r="B457" i="146"/>
  <c r="B456" i="146"/>
  <c r="B455" i="146"/>
  <c r="B454" i="146"/>
  <c r="B453" i="146"/>
  <c r="B452" i="146"/>
  <c r="B451" i="146"/>
  <c r="B450" i="146"/>
  <c r="B449" i="146"/>
  <c r="B448" i="146"/>
  <c r="B447" i="146"/>
  <c r="B446" i="146"/>
  <c r="B445" i="146"/>
  <c r="B444" i="146"/>
  <c r="B443" i="146"/>
  <c r="B442" i="146"/>
  <c r="B441" i="146"/>
  <c r="B440" i="146"/>
  <c r="B439" i="146"/>
  <c r="B438" i="146"/>
  <c r="B437" i="146"/>
  <c r="B436" i="146"/>
  <c r="B435" i="146"/>
  <c r="B434" i="146"/>
  <c r="B433" i="146"/>
  <c r="B432" i="146"/>
  <c r="B431" i="146"/>
  <c r="B430" i="146"/>
  <c r="B429" i="146"/>
  <c r="B428" i="146"/>
  <c r="B427" i="146"/>
  <c r="B426" i="146"/>
  <c r="B425" i="146"/>
  <c r="B424" i="146"/>
  <c r="B423" i="146"/>
  <c r="B422" i="146"/>
  <c r="B421" i="146"/>
  <c r="B420" i="146"/>
  <c r="B419" i="146"/>
  <c r="B418" i="146"/>
  <c r="B417" i="146"/>
  <c r="B416" i="146"/>
  <c r="B415" i="146"/>
  <c r="B414" i="146"/>
  <c r="B413" i="146"/>
  <c r="B412" i="146"/>
  <c r="B411" i="146"/>
  <c r="B410" i="146"/>
  <c r="B409" i="146"/>
  <c r="B408" i="146"/>
  <c r="B407" i="146"/>
  <c r="B406" i="146"/>
  <c r="B405" i="146"/>
  <c r="B404" i="146"/>
  <c r="B403" i="146"/>
  <c r="B402" i="146"/>
  <c r="B401" i="146"/>
  <c r="B400" i="146"/>
  <c r="B399" i="146"/>
  <c r="B398" i="146"/>
  <c r="B397" i="146"/>
  <c r="B396" i="146"/>
  <c r="B395" i="146"/>
  <c r="B394" i="146"/>
  <c r="B393" i="146"/>
  <c r="B392" i="146"/>
  <c r="B391" i="146"/>
  <c r="B390" i="146"/>
  <c r="B389" i="146"/>
  <c r="B388" i="146"/>
  <c r="B387" i="146"/>
  <c r="B386" i="146"/>
  <c r="B385" i="146"/>
  <c r="B384" i="146"/>
  <c r="B383" i="146"/>
  <c r="B382" i="146"/>
  <c r="B381" i="146"/>
  <c r="B380" i="146"/>
  <c r="B379" i="146"/>
  <c r="B378" i="146"/>
  <c r="B377" i="146"/>
  <c r="B376" i="146"/>
  <c r="B375" i="146"/>
  <c r="B374" i="146"/>
  <c r="B373" i="146"/>
  <c r="B372" i="146"/>
  <c r="B371" i="146"/>
  <c r="B370" i="146"/>
  <c r="B369" i="146"/>
  <c r="B368" i="146"/>
  <c r="B367" i="146"/>
  <c r="B366" i="146"/>
  <c r="B365" i="146"/>
  <c r="B364" i="146"/>
  <c r="B363" i="146"/>
  <c r="B362" i="146"/>
  <c r="B361" i="146"/>
  <c r="B360" i="146"/>
  <c r="B359" i="146"/>
  <c r="B358" i="146"/>
  <c r="B357" i="146"/>
  <c r="B356" i="146"/>
  <c r="B355" i="146"/>
  <c r="B354" i="146"/>
  <c r="B353" i="146"/>
  <c r="B352" i="146"/>
  <c r="B351" i="146"/>
  <c r="B350" i="146"/>
  <c r="B349" i="146"/>
  <c r="B348" i="146"/>
  <c r="B347" i="146"/>
  <c r="B346" i="146"/>
  <c r="B345" i="146"/>
  <c r="B344" i="146"/>
  <c r="B343" i="146"/>
  <c r="B342" i="146"/>
  <c r="B341" i="146"/>
  <c r="B340" i="146"/>
  <c r="B339" i="146"/>
  <c r="B338" i="146"/>
  <c r="B337" i="146"/>
  <c r="B336" i="146"/>
  <c r="B335" i="146"/>
  <c r="B334" i="146"/>
  <c r="B333" i="146"/>
  <c r="B332" i="146"/>
  <c r="B331" i="146"/>
  <c r="B330" i="146"/>
  <c r="B329" i="146"/>
  <c r="B328" i="146"/>
  <c r="B327" i="146"/>
  <c r="B326" i="146"/>
  <c r="B325" i="146"/>
  <c r="B324" i="146"/>
  <c r="B323" i="146"/>
  <c r="B322" i="146"/>
  <c r="B321" i="146"/>
  <c r="B320" i="146"/>
  <c r="B319" i="146"/>
  <c r="B318" i="146"/>
  <c r="B317" i="146"/>
  <c r="B316" i="146"/>
  <c r="B315" i="146"/>
  <c r="B314" i="146"/>
  <c r="B313" i="146"/>
  <c r="B312" i="146"/>
  <c r="B311" i="146"/>
  <c r="B310" i="146"/>
  <c r="B309" i="146"/>
  <c r="B308" i="146"/>
  <c r="B307" i="146"/>
  <c r="B306" i="146"/>
  <c r="B305" i="146"/>
  <c r="B304" i="146"/>
  <c r="B303" i="146"/>
  <c r="B302" i="146"/>
  <c r="B301" i="146"/>
  <c r="B300" i="146"/>
  <c r="B299" i="146"/>
  <c r="B298" i="146"/>
  <c r="B297" i="146"/>
  <c r="B296" i="146"/>
  <c r="B295" i="146"/>
  <c r="B294" i="146"/>
  <c r="B293" i="146"/>
  <c r="B292" i="146"/>
  <c r="B291" i="146"/>
  <c r="B290" i="146"/>
  <c r="B289" i="146"/>
  <c r="B288" i="146"/>
  <c r="B287" i="146"/>
  <c r="B286" i="146"/>
  <c r="B285" i="146"/>
  <c r="B284" i="146"/>
  <c r="B283" i="146"/>
  <c r="B282" i="146"/>
  <c r="B281" i="146"/>
  <c r="B280" i="146"/>
  <c r="B279" i="146"/>
  <c r="B278" i="146"/>
  <c r="B277" i="146"/>
  <c r="B276" i="146"/>
  <c r="B275" i="146"/>
  <c r="B274" i="146"/>
  <c r="B273" i="146"/>
  <c r="B272" i="146"/>
  <c r="B271" i="146"/>
  <c r="B270" i="146"/>
  <c r="B269" i="146"/>
  <c r="B268" i="146"/>
  <c r="B267" i="146"/>
  <c r="B266" i="146"/>
  <c r="B265" i="146"/>
  <c r="B264" i="146"/>
  <c r="B263" i="146"/>
  <c r="B262" i="146"/>
  <c r="B261" i="146"/>
  <c r="B260" i="146"/>
  <c r="B259" i="146"/>
  <c r="B258" i="146"/>
  <c r="B257" i="146"/>
  <c r="B256" i="146"/>
  <c r="B255" i="146"/>
  <c r="B254" i="146"/>
  <c r="B253" i="146"/>
  <c r="B252" i="146"/>
  <c r="B251" i="146"/>
  <c r="B250" i="146"/>
  <c r="B249" i="146"/>
  <c r="B248" i="146"/>
  <c r="B247" i="146"/>
  <c r="B246" i="146"/>
  <c r="B245" i="146"/>
  <c r="B244" i="146"/>
  <c r="B243" i="146"/>
  <c r="B242" i="146"/>
  <c r="B241" i="146"/>
  <c r="B240" i="146"/>
  <c r="B239" i="146"/>
  <c r="B238" i="146"/>
  <c r="B237" i="146"/>
  <c r="B236" i="146"/>
  <c r="B235" i="146"/>
  <c r="B234" i="146"/>
  <c r="B233" i="146"/>
  <c r="B232" i="146"/>
  <c r="B231" i="146"/>
  <c r="B230" i="146"/>
  <c r="B229" i="146"/>
  <c r="B228" i="146"/>
  <c r="B227" i="146"/>
  <c r="B226" i="146"/>
  <c r="B225" i="146"/>
  <c r="B224" i="146"/>
  <c r="B223" i="146"/>
  <c r="B222" i="146"/>
  <c r="B221" i="146"/>
  <c r="B220" i="146"/>
  <c r="B219" i="146"/>
  <c r="B218" i="146"/>
  <c r="B217" i="146"/>
  <c r="B216" i="146"/>
  <c r="B215" i="146"/>
  <c r="B214" i="146"/>
  <c r="B213" i="146"/>
  <c r="B212" i="146"/>
  <c r="B211" i="146"/>
  <c r="B210" i="146"/>
  <c r="B209" i="146"/>
  <c r="B208" i="146"/>
  <c r="B207" i="146"/>
  <c r="B206" i="146"/>
  <c r="B205" i="146"/>
  <c r="B204" i="146"/>
  <c r="B203" i="146"/>
  <c r="B202" i="146"/>
  <c r="B201" i="146"/>
  <c r="B200" i="146"/>
  <c r="B199" i="146"/>
  <c r="B198" i="146"/>
  <c r="B197" i="146"/>
  <c r="B196" i="146"/>
  <c r="B195" i="146"/>
  <c r="B194" i="146"/>
  <c r="B193" i="146"/>
  <c r="B192" i="146"/>
  <c r="B191" i="146"/>
  <c r="B190" i="146"/>
  <c r="B189" i="146"/>
  <c r="B188" i="146"/>
  <c r="B187" i="146"/>
  <c r="B186" i="146"/>
  <c r="B185" i="146"/>
  <c r="B184" i="146"/>
  <c r="B183" i="146"/>
  <c r="B182" i="146"/>
  <c r="B181" i="146"/>
  <c r="B180" i="146"/>
  <c r="B179" i="146"/>
  <c r="B178" i="146"/>
  <c r="B177" i="146"/>
  <c r="B176" i="146"/>
  <c r="B175" i="146"/>
  <c r="B174" i="146"/>
  <c r="B173" i="146"/>
  <c r="B172" i="146"/>
  <c r="B171" i="146"/>
  <c r="B170" i="146"/>
  <c r="B169" i="146"/>
  <c r="B168" i="146"/>
  <c r="B167" i="146"/>
  <c r="B166" i="146"/>
  <c r="B165" i="146"/>
  <c r="B164" i="146"/>
  <c r="B163" i="146"/>
  <c r="B162" i="146"/>
  <c r="B161" i="146"/>
  <c r="B160" i="146"/>
  <c r="B159" i="146"/>
  <c r="B158" i="146"/>
  <c r="B157" i="146"/>
  <c r="B156" i="146"/>
  <c r="B155" i="146"/>
  <c r="B154" i="146"/>
  <c r="B153" i="146"/>
  <c r="B152" i="146"/>
  <c r="B151" i="146"/>
  <c r="B150" i="146"/>
  <c r="B149" i="146"/>
  <c r="B148" i="146"/>
  <c r="B147" i="146"/>
  <c r="B146" i="146"/>
  <c r="B145" i="146"/>
  <c r="B144" i="146"/>
  <c r="B143" i="146"/>
  <c r="B142" i="146"/>
  <c r="B141" i="146"/>
  <c r="B140" i="146"/>
  <c r="B139" i="146"/>
  <c r="B138" i="146"/>
  <c r="B137" i="146"/>
  <c r="B136" i="146"/>
  <c r="B135" i="146"/>
  <c r="B134" i="146"/>
  <c r="B133" i="146"/>
  <c r="B132" i="146"/>
  <c r="B131" i="146"/>
  <c r="B130" i="146"/>
  <c r="B129" i="146"/>
  <c r="B128" i="146"/>
  <c r="B127" i="146"/>
  <c r="B126" i="146"/>
  <c r="B125" i="146"/>
  <c r="B124" i="146"/>
  <c r="B123" i="146"/>
  <c r="B122" i="146"/>
  <c r="B121" i="146"/>
  <c r="B120" i="146"/>
  <c r="B119" i="146"/>
  <c r="B118" i="146"/>
  <c r="B117" i="146"/>
  <c r="B116" i="146"/>
  <c r="B115" i="146"/>
  <c r="B114" i="146"/>
  <c r="B113" i="146"/>
  <c r="B112" i="146"/>
  <c r="B111" i="146"/>
  <c r="B110" i="146"/>
  <c r="B109" i="146"/>
  <c r="B108" i="146"/>
  <c r="B107" i="146"/>
  <c r="B106" i="146"/>
  <c r="B105" i="146"/>
  <c r="B104" i="146"/>
  <c r="B103" i="146"/>
  <c r="B102" i="146"/>
  <c r="B101" i="146"/>
  <c r="B100" i="146"/>
  <c r="B99" i="146"/>
  <c r="B98" i="146"/>
  <c r="B97" i="146"/>
  <c r="B96" i="146"/>
  <c r="B95" i="146"/>
  <c r="B94" i="146"/>
  <c r="B93" i="146"/>
  <c r="B92" i="146"/>
  <c r="B91" i="146"/>
  <c r="B90" i="146"/>
  <c r="B89" i="146"/>
  <c r="B88" i="146"/>
  <c r="B87" i="146"/>
  <c r="B86" i="146"/>
  <c r="B85" i="146"/>
  <c r="B84" i="146"/>
  <c r="B83" i="146"/>
  <c r="B82" i="146"/>
  <c r="B81" i="146"/>
  <c r="B80" i="146"/>
  <c r="B79" i="146"/>
  <c r="B78" i="146"/>
  <c r="B77" i="146"/>
  <c r="B76" i="146"/>
  <c r="B75" i="146"/>
  <c r="B74" i="146"/>
  <c r="B73" i="146"/>
  <c r="B72" i="146"/>
  <c r="B71" i="146"/>
  <c r="B70" i="146"/>
  <c r="B69" i="146"/>
  <c r="B68" i="146"/>
  <c r="B67" i="146"/>
  <c r="B66" i="146"/>
  <c r="B65" i="146"/>
  <c r="B64" i="146"/>
  <c r="B63" i="146"/>
  <c r="B62" i="146"/>
  <c r="B61" i="146"/>
  <c r="B60" i="146"/>
  <c r="B59" i="146"/>
  <c r="B58" i="146"/>
  <c r="B57" i="146"/>
  <c r="B56" i="146"/>
  <c r="B55" i="146"/>
  <c r="B54" i="146"/>
  <c r="B53" i="146"/>
  <c r="B52" i="146"/>
  <c r="B51" i="146"/>
  <c r="B50" i="146"/>
  <c r="B49" i="146"/>
  <c r="B48" i="146"/>
  <c r="B47" i="146"/>
  <c r="B46" i="146"/>
  <c r="B45" i="146"/>
  <c r="B44" i="146"/>
  <c r="B43" i="146"/>
  <c r="B42" i="146"/>
  <c r="B41" i="146"/>
  <c r="B40" i="146"/>
  <c r="B39" i="146"/>
  <c r="B38" i="146"/>
  <c r="B37" i="146"/>
  <c r="B36" i="146"/>
  <c r="B35" i="146"/>
  <c r="B34" i="146"/>
  <c r="B33" i="146"/>
  <c r="B32" i="146"/>
  <c r="B31" i="146"/>
  <c r="B30" i="146"/>
  <c r="B29" i="146"/>
  <c r="B28" i="146"/>
  <c r="B27" i="146"/>
  <c r="B26" i="146"/>
  <c r="B25" i="146"/>
  <c r="B24" i="146"/>
  <c r="B23" i="146"/>
  <c r="B22" i="146"/>
  <c r="B21" i="146"/>
  <c r="B20" i="146"/>
  <c r="B19" i="146"/>
  <c r="B18" i="146"/>
  <c r="B17" i="146"/>
  <c r="B16" i="146"/>
  <c r="B15" i="146"/>
  <c r="B14" i="146"/>
  <c r="B13" i="146"/>
  <c r="B12" i="146"/>
  <c r="B11" i="146"/>
  <c r="B17" i="191"/>
  <c r="B71" i="52"/>
  <c r="B72" i="52"/>
  <c r="B73" i="52"/>
  <c r="B64" i="57" l="1"/>
  <c r="B63" i="57"/>
  <c r="B62" i="57"/>
  <c r="B61" i="57"/>
  <c r="B60" i="57"/>
  <c r="B59" i="57"/>
  <c r="B58" i="57"/>
  <c r="B57" i="57"/>
  <c r="B56" i="57"/>
  <c r="B55" i="57"/>
  <c r="B54" i="57"/>
  <c r="B53" i="57"/>
  <c r="B52" i="57"/>
  <c r="B51" i="57"/>
  <c r="B50" i="57"/>
  <c r="B49" i="57"/>
  <c r="B48" i="57"/>
  <c r="B47" i="57"/>
  <c r="B46" i="57"/>
  <c r="B45" i="57"/>
  <c r="B44" i="57"/>
  <c r="B43" i="57"/>
  <c r="B42" i="57"/>
  <c r="B41" i="57"/>
  <c r="B40" i="57"/>
  <c r="B66" i="57" l="1"/>
  <c r="B65" i="57"/>
  <c r="B9" i="146" l="1"/>
  <c r="B23" i="57" l="1"/>
  <c r="B25" i="57"/>
  <c r="B24" i="57"/>
  <c r="B34" i="57"/>
  <c r="B33" i="57"/>
  <c r="B11" i="57"/>
  <c r="B12" i="57"/>
  <c r="B32" i="57"/>
  <c r="B31" i="57"/>
  <c r="B27" i="57"/>
  <c r="B26" i="57"/>
  <c r="B15" i="57"/>
  <c r="B22" i="57"/>
  <c r="B21" i="57"/>
  <c r="B20" i="57"/>
  <c r="B19" i="57"/>
  <c r="B18" i="57"/>
  <c r="B36" i="57"/>
  <c r="B35" i="57"/>
  <c r="B38" i="57"/>
  <c r="B37" i="57"/>
  <c r="B28" i="57"/>
  <c r="B39" i="57"/>
  <c r="B17" i="57"/>
  <c r="B16" i="57"/>
  <c r="B14" i="57"/>
  <c r="B13" i="57"/>
  <c r="B30" i="57"/>
  <c r="B16" i="191" l="1"/>
  <c r="B15" i="191"/>
  <c r="B14" i="191"/>
  <c r="B13" i="191"/>
  <c r="B12" i="191"/>
  <c r="B70" i="52" l="1"/>
  <c r="B69" i="52"/>
  <c r="B68" i="52"/>
  <c r="B67" i="52"/>
  <c r="B66" i="52"/>
  <c r="B65" i="52"/>
  <c r="B64" i="52"/>
  <c r="B63" i="52"/>
  <c r="B62" i="52"/>
  <c r="B61" i="52"/>
  <c r="B60" i="52"/>
  <c r="B59" i="52"/>
  <c r="B58" i="52"/>
  <c r="B57" i="52"/>
  <c r="B56" i="52"/>
  <c r="B55" i="52"/>
  <c r="B54" i="52"/>
  <c r="B53" i="52"/>
  <c r="B52" i="52"/>
  <c r="B51" i="52"/>
  <c r="B50" i="52"/>
  <c r="B49" i="52"/>
  <c r="B48" i="52"/>
  <c r="B47" i="52"/>
  <c r="B46" i="52"/>
  <c r="B45" i="52"/>
  <c r="B44" i="52"/>
  <c r="B43" i="52"/>
  <c r="B42" i="52"/>
  <c r="B41" i="52"/>
  <c r="B40" i="52"/>
  <c r="B39" i="52"/>
  <c r="B38" i="52"/>
  <c r="B37" i="52"/>
  <c r="B36" i="52"/>
  <c r="B35" i="52"/>
  <c r="B34" i="52"/>
  <c r="B33" i="52"/>
  <c r="B32" i="52"/>
  <c r="B31" i="52"/>
  <c r="B30" i="52"/>
  <c r="B29" i="52"/>
  <c r="B28" i="52"/>
  <c r="B27" i="52"/>
  <c r="B26" i="52"/>
  <c r="B25" i="52"/>
  <c r="B24" i="52"/>
  <c r="B23" i="52"/>
  <c r="B22" i="52"/>
  <c r="B21" i="52"/>
  <c r="B20" i="52"/>
  <c r="B19" i="52"/>
  <c r="B18" i="52"/>
  <c r="B17" i="52"/>
  <c r="B16" i="52"/>
  <c r="B15" i="52"/>
  <c r="B14" i="52"/>
  <c r="B13" i="52"/>
  <c r="B12" i="52"/>
  <c r="B11" i="52"/>
  <c r="B11" i="191" l="1"/>
  <c r="B9" i="191"/>
  <c r="C9" i="191" l="1"/>
  <c r="D9" i="191" s="1"/>
  <c r="E9" i="191" s="1"/>
  <c r="F9" i="191" l="1"/>
  <c r="G9" i="191" l="1"/>
  <c r="H9" i="191" s="1"/>
  <c r="I9" i="191" s="1"/>
  <c r="J9" i="191" l="1"/>
  <c r="K9" i="191" s="1"/>
  <c r="B29" i="57"/>
  <c r="B9" i="57"/>
  <c r="B9" i="69"/>
  <c r="B9" i="68"/>
  <c r="B9" i="67"/>
  <c r="C9" i="146"/>
  <c r="B9" i="52"/>
  <c r="D9" i="146" l="1"/>
  <c r="L9" i="191"/>
  <c r="M9" i="191" s="1"/>
  <c r="N9" i="191" s="1"/>
  <c r="O9" i="191" s="1"/>
  <c r="C9" i="69"/>
  <c r="D9" i="69" s="1"/>
  <c r="E9" i="69" s="1"/>
  <c r="C9" i="67"/>
  <c r="D9" i="67" s="1"/>
  <c r="E9" i="67" s="1"/>
  <c r="C9" i="57"/>
  <c r="C9" i="68"/>
  <c r="D9" i="68" s="1"/>
  <c r="C9" i="52"/>
  <c r="D9" i="52" s="1"/>
  <c r="E9" i="52" s="1"/>
  <c r="D9" i="57" l="1"/>
  <c r="F9" i="52"/>
  <c r="G9" i="52" s="1"/>
  <c r="F9" i="69"/>
  <c r="G9" i="69" s="1"/>
  <c r="E9" i="68"/>
  <c r="F9" i="67"/>
  <c r="G9" i="67" s="1"/>
  <c r="E9" i="146"/>
  <c r="P9" i="191"/>
  <c r="Q9" i="191" s="1"/>
  <c r="R9" i="191" s="1"/>
  <c r="S9" i="191" s="1"/>
  <c r="T9" i="191" s="1"/>
  <c r="U9" i="191" s="1"/>
  <c r="V9" i="191" s="1"/>
  <c r="W9" i="191" s="1"/>
  <c r="X9" i="191" s="1"/>
  <c r="E9" i="57" l="1"/>
  <c r="H9" i="52"/>
  <c r="I9" i="52" s="1"/>
  <c r="H9" i="69"/>
  <c r="I9" i="69" s="1"/>
  <c r="J9" i="69" s="1"/>
  <c r="F9" i="68"/>
  <c r="H9" i="67"/>
  <c r="I9" i="67" s="1"/>
  <c r="F9" i="146"/>
  <c r="Y9" i="191"/>
  <c r="Z9" i="191" s="1"/>
  <c r="AA9" i="191" s="1"/>
  <c r="AB9" i="191" s="1"/>
  <c r="AC9" i="191" s="1"/>
  <c r="F9" i="57" l="1"/>
  <c r="G9" i="57" s="1"/>
  <c r="H9" i="57" s="1"/>
  <c r="J9" i="52"/>
  <c r="K9" i="69"/>
  <c r="L9" i="69" s="1"/>
  <c r="M9" i="69" s="1"/>
  <c r="N9" i="69" s="1"/>
  <c r="O9" i="69" s="1"/>
  <c r="G9" i="68"/>
  <c r="J9" i="67"/>
  <c r="G9" i="146"/>
  <c r="I9" i="57" l="1"/>
  <c r="J9" i="57" s="1"/>
  <c r="K9" i="57" s="1"/>
  <c r="L9" i="57" s="1"/>
  <c r="M9" i="57" s="1"/>
  <c r="N9" i="57" s="1"/>
  <c r="O9" i="57" s="1"/>
  <c r="P9" i="57" s="1"/>
  <c r="Q9" i="57" s="1"/>
  <c r="R9" i="57" s="1"/>
  <c r="S9" i="57" s="1"/>
  <c r="K9" i="52"/>
  <c r="L9" i="52" s="1"/>
  <c r="M9" i="52" s="1"/>
  <c r="N9" i="52" s="1"/>
  <c r="H9" i="68"/>
  <c r="I9" i="68" s="1"/>
  <c r="J9" i="68" s="1"/>
  <c r="K9" i="68" s="1"/>
  <c r="K9" i="67"/>
  <c r="H9" i="146"/>
  <c r="I9" i="146" s="1"/>
  <c r="J9" i="146" s="1"/>
  <c r="K9" i="146" s="1"/>
  <c r="L9" i="146" s="1"/>
  <c r="M9" i="146" s="1"/>
  <c r="N9" i="146" s="1"/>
  <c r="O9" i="146" s="1"/>
  <c r="P9" i="69"/>
  <c r="Q9" i="69" s="1"/>
  <c r="O9" i="52" l="1"/>
  <c r="L9" i="68"/>
  <c r="M9" i="68" s="1"/>
  <c r="N9" i="68" s="1"/>
  <c r="O9" i="68" s="1"/>
  <c r="L9" i="67"/>
  <c r="M9" i="67" s="1"/>
  <c r="N9" i="67" s="1"/>
  <c r="O9" i="67" s="1"/>
  <c r="P9" i="67" s="1"/>
  <c r="Q9" i="67" s="1"/>
  <c r="R9" i="67" s="1"/>
  <c r="S9" i="67" s="1"/>
  <c r="T9" i="67" s="1"/>
  <c r="U9" i="67" s="1"/>
  <c r="V9" i="67" s="1"/>
  <c r="W9" i="67" s="1"/>
  <c r="X9" i="67" s="1"/>
  <c r="Y9" i="67" s="1"/>
  <c r="Z9" i="67" s="1"/>
  <c r="AA9" i="67" s="1"/>
  <c r="AB9" i="67" s="1"/>
  <c r="AC9" i="67" s="1"/>
  <c r="AD9" i="67" s="1"/>
  <c r="AE9" i="67" s="1"/>
  <c r="AF9" i="67" s="1"/>
  <c r="AG9" i="67" s="1"/>
  <c r="AH9" i="67" s="1"/>
  <c r="AI9" i="67" s="1"/>
  <c r="AJ9" i="67" s="1"/>
  <c r="AK9" i="67" s="1"/>
  <c r="AL9" i="67" s="1"/>
  <c r="AM9" i="67" s="1"/>
  <c r="AN9" i="67" s="1"/>
  <c r="AO9" i="67" s="1"/>
  <c r="AP9" i="67" s="1"/>
  <c r="AQ9" i="67" s="1"/>
  <c r="AR9" i="67" s="1"/>
  <c r="AS9" i="67" s="1"/>
  <c r="AT9" i="67" s="1"/>
  <c r="AU9" i="67" s="1"/>
  <c r="AV9" i="67" s="1"/>
  <c r="AW9" i="67" s="1"/>
  <c r="AX9" i="67" s="1"/>
  <c r="AY9" i="67" s="1"/>
  <c r="AZ9" i="67" s="1"/>
  <c r="BA9" i="67" s="1"/>
  <c r="BB9" i="67" s="1"/>
  <c r="BC9" i="67" s="1"/>
  <c r="BD9" i="67" s="1"/>
  <c r="BE9" i="67" s="1"/>
  <c r="BF9" i="67" s="1"/>
  <c r="BG9" i="67" s="1"/>
  <c r="BH9" i="67" s="1"/>
  <c r="P9" i="146"/>
  <c r="Q9" i="146" s="1"/>
  <c r="R9" i="146" s="1"/>
  <c r="S9" i="146" s="1"/>
  <c r="T9" i="146" s="1"/>
  <c r="U9" i="146" s="1"/>
  <c r="V9" i="146" s="1"/>
  <c r="P9" i="68" l="1"/>
  <c r="Q9" i="68" s="1"/>
  <c r="BI9" i="67"/>
  <c r="BJ9" i="67" s="1"/>
  <c r="BK9" i="67" s="1"/>
  <c r="BL9" i="67" s="1"/>
  <c r="BM9" i="67" s="1"/>
  <c r="BN9" i="67" s="1"/>
  <c r="R9" i="68" l="1"/>
  <c r="S9" i="68" s="1"/>
  <c r="BO9" i="67"/>
  <c r="BP9" i="67" s="1"/>
  <c r="BQ9" i="67" s="1"/>
  <c r="BR9" i="67" s="1"/>
  <c r="BS9" i="67" s="1"/>
  <c r="BT9" i="67" s="1"/>
  <c r="BU9" i="67" s="1"/>
  <c r="BV9" i="67" s="1"/>
  <c r="BW9" i="67" s="1"/>
  <c r="BX9" i="67" s="1"/>
  <c r="BY9" i="67" s="1"/>
  <c r="BZ9" i="67" s="1"/>
  <c r="CA9" i="67" s="1"/>
  <c r="CB9" i="67" s="1"/>
  <c r="T9" i="68" l="1"/>
  <c r="U9" i="68" s="1"/>
  <c r="V9" i="68" s="1"/>
  <c r="W9" i="68" s="1"/>
  <c r="X9" i="68" s="1"/>
  <c r="Y9" i="68" s="1"/>
  <c r="Z9" i="68" s="1"/>
  <c r="AA9" i="68" s="1"/>
  <c r="AB9" i="68" s="1"/>
  <c r="AC9" i="68" s="1"/>
  <c r="AD9" i="68" s="1"/>
  <c r="AE9" i="68" s="1"/>
  <c r="AF9" i="68" s="1"/>
  <c r="AG9" i="68" s="1"/>
  <c r="AH9" i="68" s="1"/>
  <c r="AI9" i="68" s="1"/>
</calcChain>
</file>

<file path=xl/sharedStrings.xml><?xml version="1.0" encoding="utf-8"?>
<sst xmlns="http://schemas.openxmlformats.org/spreadsheetml/2006/main" count="16889" uniqueCount="2483">
  <si>
    <t>자산확정일</t>
  </si>
  <si>
    <t>차주기본정보</t>
  </si>
  <si>
    <t>매각채권정보</t>
  </si>
  <si>
    <t>근저당설정정보</t>
  </si>
  <si>
    <t>비고</t>
  </si>
  <si>
    <t>일련번호</t>
  </si>
  <si>
    <t>Pool 구분</t>
  </si>
  <si>
    <t>관련차주</t>
  </si>
  <si>
    <t>차주형태</t>
  </si>
  <si>
    <t>대출원금잔액</t>
  </si>
  <si>
    <t>가지급금</t>
  </si>
  <si>
    <t>미수이자</t>
  </si>
  <si>
    <t>차주별 선순위
근저당권 설정액</t>
  </si>
  <si>
    <t>Sheet B</t>
    <phoneticPr fontId="3" type="noConversion"/>
  </si>
  <si>
    <t>채권일반정보</t>
    <phoneticPr fontId="3" type="noConversion"/>
  </si>
  <si>
    <t>차주기본정보</t>
    <phoneticPr fontId="7" type="noConversion"/>
  </si>
  <si>
    <t>비고</t>
    <phoneticPr fontId="7" type="noConversion"/>
  </si>
  <si>
    <t>일련번호</t>
    <phoneticPr fontId="7" type="noConversion"/>
  </si>
  <si>
    <t>차주일련번호</t>
    <phoneticPr fontId="7" type="noConversion"/>
  </si>
  <si>
    <t>대출일련번호</t>
    <phoneticPr fontId="7" type="noConversion"/>
  </si>
  <si>
    <t>대출과목</t>
    <phoneticPr fontId="7" type="noConversion"/>
  </si>
  <si>
    <t>통화표시</t>
    <phoneticPr fontId="7" type="noConversion"/>
  </si>
  <si>
    <t>Sheet D</t>
    <phoneticPr fontId="3" type="noConversion"/>
  </si>
  <si>
    <t>신용보증서 정보</t>
  </si>
  <si>
    <t>신용보증서정보</t>
    <phoneticPr fontId="381" type="noConversion"/>
  </si>
  <si>
    <t>보증기관</t>
    <phoneticPr fontId="7" type="noConversion"/>
  </si>
  <si>
    <t>보증종류</t>
    <phoneticPr fontId="7" type="noConversion"/>
  </si>
  <si>
    <t>채권정보</t>
    <phoneticPr fontId="3" type="noConversion"/>
  </si>
  <si>
    <t>대출잔액정보</t>
    <phoneticPr fontId="3" type="noConversion"/>
  </si>
  <si>
    <t>계좌번호</t>
    <phoneticPr fontId="385" type="noConversion"/>
  </si>
  <si>
    <t>최초대출일</t>
    <phoneticPr fontId="7" type="noConversion"/>
  </si>
  <si>
    <t>대출만기일</t>
    <phoneticPr fontId="7" type="noConversion"/>
  </si>
  <si>
    <t>최종이수일</t>
    <phoneticPr fontId="7" type="noConversion"/>
  </si>
  <si>
    <t>최초대출원금</t>
    <phoneticPr fontId="7" type="noConversion"/>
  </si>
  <si>
    <t>대출금잔액</t>
    <phoneticPr fontId="7" type="noConversion"/>
  </si>
  <si>
    <t>환산된 대출잔액</t>
    <phoneticPr fontId="7" type="noConversion"/>
  </si>
  <si>
    <t>가지급금</t>
    <phoneticPr fontId="7" type="noConversion"/>
  </si>
  <si>
    <t>미상환원금잔액</t>
    <phoneticPr fontId="7" type="noConversion"/>
  </si>
  <si>
    <t>차주명</t>
    <phoneticPr fontId="3" type="noConversion"/>
  </si>
  <si>
    <t>비고</t>
    <phoneticPr fontId="3" type="noConversion"/>
  </si>
  <si>
    <t>보증서번호</t>
    <phoneticPr fontId="7" type="noConversion"/>
  </si>
  <si>
    <t>보증비율</t>
    <phoneticPr fontId="7" type="noConversion"/>
  </si>
  <si>
    <t>통화표시</t>
    <phoneticPr fontId="7" type="noConversion"/>
  </si>
  <si>
    <t>보증금액</t>
    <phoneticPr fontId="7" type="noConversion"/>
  </si>
  <si>
    <t>환산후 보증금액</t>
    <phoneticPr fontId="7" type="noConversion"/>
  </si>
  <si>
    <t>보증잔액</t>
    <phoneticPr fontId="7" type="noConversion"/>
  </si>
  <si>
    <t>환산후 보증잔액</t>
    <phoneticPr fontId="7" type="noConversion"/>
  </si>
  <si>
    <t>관련 대출채권 
일련번호</t>
    <phoneticPr fontId="7" type="noConversion"/>
  </si>
  <si>
    <t>관련 대출채권 
계좌번호</t>
    <phoneticPr fontId="7" type="noConversion"/>
  </si>
  <si>
    <t>비고</t>
    <phoneticPr fontId="7" type="noConversion"/>
  </si>
  <si>
    <t>차주명</t>
  </si>
  <si>
    <t>Sheet C-1</t>
    <phoneticPr fontId="3" type="noConversion"/>
  </si>
  <si>
    <t>담보재산정보_물건정보</t>
  </si>
  <si>
    <t>물건정보</t>
  </si>
  <si>
    <t>경매기본정보</t>
  </si>
  <si>
    <t>경매진행정보</t>
  </si>
  <si>
    <t>차주명</t>
    <phoneticPr fontId="3" type="noConversion"/>
  </si>
  <si>
    <t>물건번호</t>
  </si>
  <si>
    <t>담보소재지1
(특별,광역시/도)</t>
    <phoneticPr fontId="3" type="noConversion"/>
  </si>
  <si>
    <t>담보소재지2
(시/군/구)</t>
  </si>
  <si>
    <t>담보소재지 3
(동/리/읍/면)</t>
  </si>
  <si>
    <t>담보소재지4 (나머지상세지번/기타재산내역)</t>
  </si>
  <si>
    <t>Property Type</t>
  </si>
  <si>
    <t>Property-
대지면적</t>
  </si>
  <si>
    <t>Property-
건물면적</t>
  </si>
  <si>
    <t>Property-
기타(기계기구등)</t>
  </si>
  <si>
    <t>공장저당법 
적용 유무
(Y)</t>
  </si>
  <si>
    <t>Property-
기업은행
최초 설정일자</t>
  </si>
  <si>
    <t>Property
설정 순위</t>
  </si>
  <si>
    <t>통화표시</t>
  </si>
  <si>
    <t>Property별
근저당권설정액</t>
  </si>
  <si>
    <t>환산된 Property별
근저당권설정액</t>
  </si>
  <si>
    <t>공담
Property #</t>
    <phoneticPr fontId="3" type="noConversion"/>
  </si>
  <si>
    <t>공담 Property 금액</t>
  </si>
  <si>
    <t>Property별 
선순위 설정순위</t>
  </si>
  <si>
    <t>Property별
선순위 설정액</t>
  </si>
  <si>
    <t>환산후 Property별
선순위근저당권 설정액</t>
  </si>
  <si>
    <t>선순위
공담 Property #</t>
  </si>
  <si>
    <t>선순위 공담순위</t>
  </si>
  <si>
    <t>선순위 공담 설정액</t>
  </si>
  <si>
    <t>근저당권
일부이전 금액</t>
  </si>
  <si>
    <t>근저당권
일부이전정보</t>
  </si>
  <si>
    <t>선순위
가압류/압류/가처분 유무</t>
    <phoneticPr fontId="3" type="noConversion"/>
  </si>
  <si>
    <t>선순위
가압류/압류/가처분 금액</t>
    <phoneticPr fontId="3" type="noConversion"/>
  </si>
  <si>
    <t>유치권 유무</t>
  </si>
  <si>
    <t>유치권자</t>
  </si>
  <si>
    <t>유치권 신고금액</t>
  </si>
  <si>
    <t>유치권 상세내용</t>
  </si>
  <si>
    <t>선순위
소액보증금 (주택)</t>
    <phoneticPr fontId="381" type="noConversion"/>
  </si>
  <si>
    <t>선순위
소액보증금 (상가)</t>
    <phoneticPr fontId="381" type="noConversion"/>
  </si>
  <si>
    <t>선순위
임차보증금 (주택)</t>
    <phoneticPr fontId="381" type="noConversion"/>
  </si>
  <si>
    <t>선순위
임차보증금 (상가)</t>
    <phoneticPr fontId="381" type="noConversion"/>
  </si>
  <si>
    <t>선순위 임금채권</t>
    <phoneticPr fontId="381" type="noConversion"/>
  </si>
  <si>
    <t>선순위 당해세</t>
    <phoneticPr fontId="381" type="noConversion"/>
  </si>
  <si>
    <t>선순위 조세채권</t>
    <phoneticPr fontId="381" type="noConversion"/>
  </si>
  <si>
    <t>합계</t>
    <phoneticPr fontId="7" type="noConversion"/>
  </si>
  <si>
    <t>감정평가일자
(Property별)</t>
  </si>
  <si>
    <t>감정평가기관
(Property별)</t>
  </si>
  <si>
    <t>토지감정평가액
(Property별)</t>
  </si>
  <si>
    <t>건물 감정평가액
(Property별)</t>
  </si>
  <si>
    <t>기계평가액
(Property별)</t>
  </si>
  <si>
    <t>감정평가액합계
(Property별)</t>
  </si>
  <si>
    <t>경매개시 
여부</t>
  </si>
  <si>
    <t>경매 관할법원</t>
    <phoneticPr fontId="3" type="noConversion"/>
  </si>
  <si>
    <t>최초경매기일</t>
  </si>
  <si>
    <t>최종경매회차</t>
  </si>
  <si>
    <t>최종경매결과</t>
  </si>
  <si>
    <t>최종경매기일</t>
  </si>
  <si>
    <t>차기경매기일</t>
    <phoneticPr fontId="381" type="noConversion"/>
  </si>
  <si>
    <t>낙찰금액</t>
  </si>
  <si>
    <t>최종경매일의 
최저입찰금액</t>
  </si>
  <si>
    <t>차후예정경매일의 
최저입찰금액</t>
  </si>
  <si>
    <t>비고</t>
    <phoneticPr fontId="3" type="noConversion"/>
  </si>
  <si>
    <t>Sheet C-2</t>
    <phoneticPr fontId="3" type="noConversion"/>
  </si>
  <si>
    <t>담보재산정보_부동산등기부등본정보</t>
    <phoneticPr fontId="3" type="noConversion"/>
  </si>
  <si>
    <r>
      <rPr>
        <sz val="9"/>
        <color indexed="9"/>
        <rFont val="맑은 고딕"/>
        <family val="3"/>
        <charset val="129"/>
      </rPr>
      <t>차주기본정보</t>
    </r>
  </si>
  <si>
    <r>
      <rPr>
        <sz val="9"/>
        <color indexed="9"/>
        <rFont val="맑은 고딕"/>
        <family val="3"/>
        <charset val="129"/>
      </rPr>
      <t>지번정보</t>
    </r>
  </si>
  <si>
    <r>
      <rPr>
        <sz val="9"/>
        <color indexed="9"/>
        <rFont val="맑은 고딕"/>
        <family val="3"/>
        <charset val="129"/>
      </rPr>
      <t>지번면적정보</t>
    </r>
  </si>
  <si>
    <r>
      <rPr>
        <sz val="9"/>
        <color indexed="9"/>
        <rFont val="맑은 고딕"/>
        <family val="3"/>
        <charset val="129"/>
      </rPr>
      <t>소유자정보</t>
    </r>
  </si>
  <si>
    <r>
      <rPr>
        <sz val="9"/>
        <color indexed="9"/>
        <rFont val="맑은 고딕"/>
        <family val="3"/>
        <charset val="129"/>
      </rPr>
      <t>근저당권</t>
    </r>
    <r>
      <rPr>
        <sz val="9"/>
        <color indexed="9"/>
        <rFont val="Times New Roman"/>
        <family val="1"/>
      </rPr>
      <t xml:space="preserve"> </t>
    </r>
    <r>
      <rPr>
        <sz val="9"/>
        <color indexed="9"/>
        <rFont val="맑은 고딕"/>
        <family val="3"/>
        <charset val="129"/>
      </rPr>
      <t>정보</t>
    </r>
  </si>
  <si>
    <r>
      <rPr>
        <sz val="9"/>
        <color indexed="9"/>
        <rFont val="맑은 고딕"/>
        <family val="3"/>
        <charset val="129"/>
      </rPr>
      <t>비고</t>
    </r>
  </si>
  <si>
    <t>Property
일련번호</t>
  </si>
  <si>
    <t>등기부등본 일련번호</t>
  </si>
  <si>
    <t>담보소재지1
(특별,광역시/도)</t>
  </si>
  <si>
    <t>담보소재지4 (나머지상세지번/기타재산내역)</t>
    <phoneticPr fontId="417" type="noConversion"/>
  </si>
  <si>
    <t>등기부등본-
담보물형태</t>
    <phoneticPr fontId="3" type="noConversion"/>
  </si>
  <si>
    <t>등기부등본-
대지면적</t>
  </si>
  <si>
    <t>등기부등본-
건물면적</t>
  </si>
  <si>
    <t>대지권비율</t>
  </si>
  <si>
    <t>소유비율</t>
    <phoneticPr fontId="3" type="noConversion"/>
  </si>
  <si>
    <t>소유자명</t>
    <phoneticPr fontId="3" type="noConversion"/>
  </si>
  <si>
    <t>설정순위</t>
  </si>
  <si>
    <t>설정유형</t>
    <phoneticPr fontId="417" type="noConversion"/>
  </si>
  <si>
    <t>근저당권설정액</t>
  </si>
  <si>
    <t>환산후
근저당권 설정액</t>
    <phoneticPr fontId="417" type="noConversion"/>
  </si>
  <si>
    <t>Simple/
Complicated</t>
    <phoneticPr fontId="3" type="noConversion"/>
  </si>
  <si>
    <t>선순위설정순위</t>
  </si>
  <si>
    <t>선순위설정액</t>
  </si>
  <si>
    <t>환산후 선순위 
근저당권 설정액</t>
    <phoneticPr fontId="417" type="noConversion"/>
  </si>
  <si>
    <t>중순위 설정순위</t>
    <phoneticPr fontId="417" type="noConversion"/>
  </si>
  <si>
    <t>통화표시</t>
    <phoneticPr fontId="417" type="noConversion"/>
  </si>
  <si>
    <t xml:space="preserve">중순위 설정액 </t>
    <phoneticPr fontId="417" type="noConversion"/>
  </si>
  <si>
    <t>환산후 중순위
근저당권 설정액</t>
    <phoneticPr fontId="417" type="noConversion"/>
  </si>
  <si>
    <t>Sheet C-3</t>
    <phoneticPr fontId="3" type="noConversion"/>
  </si>
  <si>
    <t xml:space="preserve">담보재산정보_설정순위 </t>
  </si>
  <si>
    <t>차주기본정보</t>
    <phoneticPr fontId="3" type="noConversion"/>
  </si>
  <si>
    <t>물건정보</t>
    <phoneticPr fontId="417" type="noConversion"/>
  </si>
  <si>
    <t>비고</t>
    <phoneticPr fontId="417" type="noConversion"/>
  </si>
  <si>
    <t>일련번호</t>
    <phoneticPr fontId="7" type="noConversion"/>
  </si>
  <si>
    <t>Property
일련번호</t>
    <phoneticPr fontId="7" type="noConversion"/>
  </si>
  <si>
    <t>Property
설정순위</t>
  </si>
  <si>
    <t>Property
근저당권자</t>
  </si>
  <si>
    <t>설정계약서상
Property
근저당권설정 유형</t>
    <phoneticPr fontId="3" type="noConversion"/>
  </si>
  <si>
    <t>통화표시</t>
    <phoneticPr fontId="3" type="noConversion"/>
  </si>
  <si>
    <t>Property
근저당권설정액</t>
    <phoneticPr fontId="3" type="noConversion"/>
  </si>
  <si>
    <t>환산된 Property
근저당권설정액</t>
    <phoneticPr fontId="3" type="noConversion"/>
  </si>
  <si>
    <t>Property
공담번호</t>
  </si>
  <si>
    <t>공장저당법목록번호</t>
  </si>
  <si>
    <t>차주별
근저당권설정액</t>
    <phoneticPr fontId="3" type="noConversion"/>
  </si>
  <si>
    <t>미상환원금잔액</t>
    <phoneticPr fontId="3" type="noConversion"/>
  </si>
  <si>
    <t>차주일반정보</t>
  </si>
  <si>
    <t>Sheet A</t>
    <phoneticPr fontId="3" type="noConversion"/>
  </si>
  <si>
    <t>담보물형태</t>
    <phoneticPr fontId="3" type="noConversion"/>
  </si>
  <si>
    <t>보증기일</t>
    <phoneticPr fontId="3" type="noConversion"/>
  </si>
  <si>
    <t>차주명</t>
    <phoneticPr fontId="3" type="noConversion"/>
  </si>
  <si>
    <t>감정평가구분
(Property별)</t>
    <phoneticPr fontId="3" type="noConversion"/>
  </si>
  <si>
    <t>제시외
(Property별)</t>
    <phoneticPr fontId="381" type="noConversion"/>
  </si>
  <si>
    <t>관할법원</t>
  </si>
  <si>
    <t>합계</t>
    <phoneticPr fontId="3" type="noConversion"/>
  </si>
  <si>
    <t>이자율</t>
    <phoneticPr fontId="7" type="noConversion"/>
  </si>
  <si>
    <t>Property
설정일</t>
    <phoneticPr fontId="3" type="noConversion"/>
  </si>
  <si>
    <t>중소법인</t>
  </si>
  <si>
    <t>중소개인</t>
  </si>
  <si>
    <t>순수개인</t>
  </si>
  <si>
    <t>공장</t>
  </si>
  <si>
    <t>아파트</t>
  </si>
  <si>
    <t>공장용지</t>
  </si>
  <si>
    <t>임야</t>
  </si>
  <si>
    <t>근린상가</t>
  </si>
  <si>
    <t>전</t>
  </si>
  <si>
    <t>화성시</t>
  </si>
  <si>
    <t>아산시</t>
  </si>
  <si>
    <t>김해시</t>
  </si>
  <si>
    <t>김포시</t>
  </si>
  <si>
    <t>음성군</t>
  </si>
  <si>
    <t>서구</t>
  </si>
  <si>
    <t>경기도</t>
  </si>
  <si>
    <t>경상남도</t>
  </si>
  <si>
    <t>인천광역시</t>
  </si>
  <si>
    <t>서울특별시</t>
  </si>
  <si>
    <t>부산광역시</t>
  </si>
  <si>
    <t>충청남도</t>
  </si>
  <si>
    <t>전라남도</t>
  </si>
  <si>
    <t>충청북도</t>
  </si>
  <si>
    <t>안산시 단원구</t>
  </si>
  <si>
    <t>아파트형공장</t>
  </si>
  <si>
    <t>KRW</t>
  </si>
  <si>
    <t>의정부지방법원 고양지원</t>
  </si>
  <si>
    <t>인천지방법원</t>
  </si>
  <si>
    <t>부산지방법원 서부지원</t>
  </si>
  <si>
    <t>수원지방법원</t>
  </si>
  <si>
    <t>수원지방법원 안산지원</t>
  </si>
  <si>
    <t>수원지방법원 안양지원</t>
  </si>
  <si>
    <t>수원지방법원 평택지원</t>
  </si>
  <si>
    <t>대전지방법원</t>
  </si>
  <si>
    <t>창원지방법원</t>
  </si>
  <si>
    <t>대전지방법원 천안지원</t>
  </si>
  <si>
    <t>청주지방법원 충주지원</t>
  </si>
  <si>
    <t>인천지방법원 부천지원</t>
  </si>
  <si>
    <t>울산지방법원</t>
  </si>
  <si>
    <t>R-006</t>
  </si>
  <si>
    <t>R-025</t>
  </si>
  <si>
    <t>중소기업자금대출</t>
  </si>
  <si>
    <t>2층 공장</t>
  </si>
  <si>
    <t>도로</t>
  </si>
  <si>
    <t>대</t>
  </si>
  <si>
    <t>창고용지</t>
  </si>
  <si>
    <t>3층 공장</t>
  </si>
  <si>
    <t>단층 공장</t>
  </si>
  <si>
    <t>단층 제2종근린생활시설</t>
  </si>
  <si>
    <t>Y</t>
  </si>
  <si>
    <t>IBK</t>
  </si>
  <si>
    <t>의정부지방법원</t>
  </si>
  <si>
    <t>비고</t>
    <phoneticPr fontId="3" type="noConversion"/>
  </si>
  <si>
    <t>서울중앙지방법원</t>
  </si>
  <si>
    <t>잡종지</t>
  </si>
  <si>
    <t>강서구</t>
  </si>
  <si>
    <t>단독주택</t>
  </si>
  <si>
    <t>R-003</t>
  </si>
  <si>
    <t>R-007</t>
  </si>
  <si>
    <t>R-010</t>
  </si>
  <si>
    <t>R-011</t>
  </si>
  <si>
    <t>R-012</t>
  </si>
  <si>
    <t>R-015</t>
  </si>
  <si>
    <t>R-019</t>
  </si>
  <si>
    <t>R-020</t>
  </si>
  <si>
    <t>R-026</t>
  </si>
  <si>
    <t>R-035</t>
  </si>
  <si>
    <t>S-001</t>
  </si>
  <si>
    <t>S-003</t>
  </si>
  <si>
    <t>S-007</t>
  </si>
  <si>
    <t>S-009</t>
  </si>
  <si>
    <t>S-015</t>
  </si>
  <si>
    <t>S-016</t>
  </si>
  <si>
    <t>경상북도</t>
  </si>
  <si>
    <t>울산광역시</t>
  </si>
  <si>
    <t>대구지방법원 서부지원</t>
  </si>
  <si>
    <t>1층 공장</t>
  </si>
  <si>
    <t>중소기업은행</t>
  </si>
  <si>
    <t>2,3</t>
  </si>
  <si>
    <t>1,2</t>
  </si>
  <si>
    <t>2</t>
  </si>
  <si>
    <t>3</t>
  </si>
  <si>
    <t>1</t>
  </si>
  <si>
    <t>감정평가정보</t>
    <phoneticPr fontId="3" type="noConversion"/>
  </si>
  <si>
    <t>법정선순위정보</t>
    <phoneticPr fontId="3" type="noConversion"/>
  </si>
  <si>
    <t>상기일괄</t>
  </si>
  <si>
    <t>1,2,3</t>
  </si>
  <si>
    <t>1,2,3,4</t>
  </si>
  <si>
    <t>기금부분신용보증</t>
  </si>
  <si>
    <t>기술부분신용보증</t>
  </si>
  <si>
    <t>MCI보증</t>
  </si>
  <si>
    <t>기술전액신용보증</t>
  </si>
  <si>
    <t>파주시</t>
  </si>
  <si>
    <t>의정부지방법원 남양주지원</t>
  </si>
  <si>
    <t>15층 아파트</t>
  </si>
  <si>
    <t>4층 공장</t>
  </si>
  <si>
    <t>하나은행</t>
  </si>
  <si>
    <t>서울보증보험</t>
  </si>
  <si>
    <t>신용보증기금</t>
  </si>
  <si>
    <t>Regular</t>
  </si>
  <si>
    <t>Special</t>
  </si>
  <si>
    <t>대구광역시</t>
  </si>
  <si>
    <t>달서구</t>
  </si>
  <si>
    <t>연수구</t>
  </si>
  <si>
    <t>구미시</t>
  </si>
  <si>
    <t>근린주택</t>
  </si>
  <si>
    <t>1,2,3,4,5,6</t>
  </si>
  <si>
    <t>수원지방법원 성남지원</t>
  </si>
  <si>
    <t>대구지방법원 김천지원</t>
  </si>
  <si>
    <t>답</t>
  </si>
  <si>
    <t>기술보증기금</t>
  </si>
  <si>
    <t>회생사건번호</t>
  </si>
  <si>
    <t>회생신청일</t>
  </si>
  <si>
    <t>개시결정</t>
  </si>
  <si>
    <t>미수이자</t>
    <phoneticPr fontId="7" type="noConversion"/>
  </si>
  <si>
    <t>대전지방법원 홍성지원</t>
  </si>
  <si>
    <t>평택시</t>
  </si>
  <si>
    <t>수탁부분신용보증</t>
  </si>
  <si>
    <t>R-058</t>
  </si>
  <si>
    <t>R-047</t>
  </si>
  <si>
    <t>R-056</t>
  </si>
  <si>
    <t>R-066</t>
  </si>
  <si>
    <t>R-063</t>
  </si>
  <si>
    <t>R-036</t>
  </si>
  <si>
    <t>R-106</t>
  </si>
  <si>
    <t>R-093</t>
  </si>
  <si>
    <t>R-077</t>
  </si>
  <si>
    <t>R-090</t>
  </si>
  <si>
    <t>R-101</t>
  </si>
  <si>
    <t>R-115</t>
  </si>
  <si>
    <t>R-087</t>
  </si>
  <si>
    <t>R-117</t>
  </si>
  <si>
    <t>R-105</t>
  </si>
  <si>
    <t>R-094</t>
  </si>
  <si>
    <t>R-084</t>
  </si>
  <si>
    <t>R-086</t>
  </si>
  <si>
    <t>R-085</t>
  </si>
  <si>
    <t>R-107</t>
  </si>
  <si>
    <t>R-074</t>
  </si>
  <si>
    <t>R-081</t>
  </si>
  <si>
    <t>R-097</t>
  </si>
  <si>
    <t>R-100</t>
  </si>
  <si>
    <t>다세대주택</t>
  </si>
  <si>
    <t>양촌읍 학운리</t>
  </si>
  <si>
    <t>경산시</t>
  </si>
  <si>
    <t>함안군</t>
  </si>
  <si>
    <t>예산군</t>
  </si>
  <si>
    <t>경주시</t>
  </si>
  <si>
    <t>천안시 서북구</t>
  </si>
  <si>
    <t>용인시 기흥구</t>
  </si>
  <si>
    <t>고양시 덕양구</t>
  </si>
  <si>
    <t>USD</t>
  </si>
  <si>
    <t>4</t>
  </si>
  <si>
    <t>대구지방법원</t>
  </si>
  <si>
    <t>창원지방법원 마산지원</t>
  </si>
  <si>
    <t>수원지방법원 여주지원</t>
  </si>
  <si>
    <t>서울남부지방법원</t>
  </si>
  <si>
    <t>대구지방법원 경주지원</t>
  </si>
  <si>
    <t>광주지방법원 목포지원</t>
  </si>
  <si>
    <t>서울동부지방법원</t>
  </si>
  <si>
    <t>부산지방법원 동부지원</t>
  </si>
  <si>
    <t>신한은행</t>
  </si>
  <si>
    <t>국민은행</t>
  </si>
  <si>
    <t>우리은행</t>
  </si>
  <si>
    <t>오피스텔(주거)</t>
  </si>
  <si>
    <t>가온감정평가법인</t>
  </si>
  <si>
    <t>원창동</t>
  </si>
  <si>
    <t>추후제공</t>
    <phoneticPr fontId="3" type="noConversion"/>
  </si>
  <si>
    <t>\</t>
    <phoneticPr fontId="3" type="noConversion"/>
  </si>
  <si>
    <t>광주지방법원</t>
  </si>
  <si>
    <t>고양시 일산동구</t>
  </si>
  <si>
    <t>강남구</t>
  </si>
  <si>
    <t>남양주시</t>
  </si>
  <si>
    <t>수성구</t>
  </si>
  <si>
    <t>1,3</t>
  </si>
  <si>
    <t>회생기본정보</t>
    <phoneticPr fontId="7" type="noConversion"/>
  </si>
  <si>
    <t>회생채권정보 요약</t>
  </si>
  <si>
    <t>Pool 구분</t>
    <phoneticPr fontId="3" type="noConversion"/>
  </si>
  <si>
    <t>인가/미인가</t>
  </si>
  <si>
    <t>세부
진행단계</t>
    <phoneticPr fontId="7" type="noConversion"/>
  </si>
  <si>
    <t>보전처분일</t>
  </si>
  <si>
    <t>개시결정일</t>
  </si>
  <si>
    <t>채권신고일</t>
    <phoneticPr fontId="7" type="noConversion"/>
  </si>
  <si>
    <t>인가/폐지결정일</t>
    <phoneticPr fontId="3" type="noConversion"/>
  </si>
  <si>
    <t>면제 및 출자전환
- 원금
(Cut-off 이전)</t>
    <phoneticPr fontId="3" type="noConversion"/>
  </si>
  <si>
    <t>그 외 상환금액</t>
  </si>
  <si>
    <t>그 외 증(감)분</t>
  </si>
  <si>
    <t>채권신고 이후
발생한 가지급금</t>
  </si>
  <si>
    <t>서울회생법원</t>
  </si>
  <si>
    <t>최초법사가</t>
    <phoneticPr fontId="3" type="noConversion"/>
  </si>
  <si>
    <t>적용환율(1 USD)</t>
    <phoneticPr fontId="3" type="noConversion"/>
  </si>
  <si>
    <t>R-121</t>
  </si>
  <si>
    <t>R-123</t>
  </si>
  <si>
    <t>R-127</t>
  </si>
  <si>
    <t>R-133</t>
  </si>
  <si>
    <t>포천시</t>
  </si>
  <si>
    <t>창원시 성산구</t>
  </si>
  <si>
    <t>성주군</t>
  </si>
  <si>
    <t>강원특별자치도</t>
  </si>
  <si>
    <t>2,4</t>
  </si>
  <si>
    <t>2층 제1종근린생활시설</t>
  </si>
  <si>
    <t>2층 제2종근린생활시설</t>
  </si>
  <si>
    <t>단층 제1종근린생활시설</t>
  </si>
  <si>
    <t>적용환율(1 JPY)</t>
    <phoneticPr fontId="3" type="noConversion"/>
  </si>
  <si>
    <t>지역전액보증서</t>
  </si>
  <si>
    <t>R-136</t>
  </si>
  <si>
    <t>R-137</t>
  </si>
  <si>
    <t>R-138</t>
  </si>
  <si>
    <t>R-139</t>
  </si>
  <si>
    <t>R-145</t>
  </si>
  <si>
    <t>R-147</t>
  </si>
  <si>
    <t>R-148</t>
  </si>
  <si>
    <t>R-149</t>
  </si>
  <si>
    <t>R-150</t>
  </si>
  <si>
    <t>R-151</t>
  </si>
  <si>
    <t>R-152</t>
  </si>
  <si>
    <t>달성군</t>
  </si>
  <si>
    <t>이천시</t>
  </si>
  <si>
    <t>강화군</t>
  </si>
  <si>
    <t>동산담보</t>
  </si>
  <si>
    <t>두산동</t>
  </si>
  <si>
    <t>기일변경</t>
  </si>
  <si>
    <t>경매신청기관
(IBK)</t>
    <phoneticPr fontId="3" type="noConversion"/>
  </si>
  <si>
    <t>경매개시일자
(IBK)</t>
    <phoneticPr fontId="3" type="noConversion"/>
  </si>
  <si>
    <t>경매사건번호
(IBK)</t>
    <phoneticPr fontId="3" type="noConversion"/>
  </si>
  <si>
    <t>배당요구종기일
(IBK)</t>
    <phoneticPr fontId="3" type="noConversion"/>
  </si>
  <si>
    <t>청구금액
(IBK)</t>
    <phoneticPr fontId="3" type="noConversion"/>
  </si>
  <si>
    <t>차주구분</t>
  </si>
  <si>
    <t>차주구분</t>
    <phoneticPr fontId="3" type="noConversion"/>
  </si>
  <si>
    <t>2층 단독주택</t>
  </si>
  <si>
    <t>주유소용지</t>
  </si>
  <si>
    <t>22층 아파트</t>
  </si>
  <si>
    <t>57층 아파트</t>
  </si>
  <si>
    <t>3층 다세대주택</t>
  </si>
  <si>
    <t>지번번호</t>
  </si>
  <si>
    <t>회생담보권
- 원금</t>
    <phoneticPr fontId="3" type="noConversion"/>
  </si>
  <si>
    <t>회생담보권
- 개시전이자</t>
    <phoneticPr fontId="3" type="noConversion"/>
  </si>
  <si>
    <t>회생채권
- 원금</t>
    <phoneticPr fontId="3" type="noConversion"/>
  </si>
  <si>
    <t>회생채권
- 개시전이자</t>
    <phoneticPr fontId="3" type="noConversion"/>
  </si>
  <si>
    <t>면제 및 출자전환
- 개시전이자
(Cut-off 이전)</t>
    <phoneticPr fontId="3" type="noConversion"/>
  </si>
  <si>
    <t>변제스케쥴에 의한 상환금액
- 원금</t>
    <phoneticPr fontId="3" type="noConversion"/>
  </si>
  <si>
    <t>변제스케쥴에 의한 상환금액
- 개시전이자</t>
    <phoneticPr fontId="3" type="noConversion"/>
  </si>
  <si>
    <t>회생차주정보</t>
  </si>
  <si>
    <t>Sheet A-1</t>
    <phoneticPr fontId="3" type="noConversion"/>
  </si>
  <si>
    <t>물건번호</t>
    <phoneticPr fontId="7" type="noConversion"/>
  </si>
  <si>
    <t>B</t>
  </si>
  <si>
    <t>경매신청기관
(타채권자)</t>
    <phoneticPr fontId="3" type="noConversion"/>
  </si>
  <si>
    <t>경매개시일자
(타채권자)</t>
    <phoneticPr fontId="3" type="noConversion"/>
  </si>
  <si>
    <t>배당요구종기일
(타채권자)</t>
    <phoneticPr fontId="3" type="noConversion"/>
  </si>
  <si>
    <t>경매사건번호
(타채권자)</t>
    <phoneticPr fontId="3" type="noConversion"/>
  </si>
  <si>
    <t>청구금액
(타채권자)</t>
    <phoneticPr fontId="3" type="noConversion"/>
  </si>
  <si>
    <t>중소기업시설자금대출</t>
  </si>
  <si>
    <t>가계일반자금대출</t>
  </si>
  <si>
    <t>중소기업자금회전대출</t>
  </si>
  <si>
    <t>온렌딩운전자금대출</t>
  </si>
  <si>
    <t>신용카드계정</t>
  </si>
  <si>
    <t>지방구조조정시설자금대출</t>
  </si>
  <si>
    <t>기타운전자금대출</t>
  </si>
  <si>
    <t>진흥기금시설자금대출</t>
  </si>
  <si>
    <t>주택자금대출</t>
  </si>
  <si>
    <t>외화수입신용장관련보증대지급금원화</t>
  </si>
  <si>
    <t>무역어음대출</t>
  </si>
  <si>
    <t>기업구매자금대출</t>
  </si>
  <si>
    <t>기타시설자금대출</t>
  </si>
  <si>
    <t>원화해외온렌딩운전자금대출</t>
  </si>
  <si>
    <t>지방구조조정자금대출</t>
  </si>
  <si>
    <t>강제집행보전처분비</t>
  </si>
  <si>
    <t>화재보험료체당금</t>
  </si>
  <si>
    <t>경매비용</t>
  </si>
  <si>
    <t>담보물경비원보수</t>
  </si>
  <si>
    <t>원화가지급금</t>
  </si>
  <si>
    <t>한정</t>
  </si>
  <si>
    <t>특정</t>
  </si>
  <si>
    <t>한정/한정</t>
  </si>
  <si>
    <t>한정/한정/한정/한정/한정/한정</t>
  </si>
  <si>
    <t>한정/한정/한정/한정</t>
  </si>
  <si>
    <t>한정/한정/한정</t>
  </si>
  <si>
    <t>한정/한정/한정/한정/한정</t>
  </si>
  <si>
    <t>포괄</t>
  </si>
  <si>
    <t>대상외</t>
  </si>
  <si>
    <t>추후제공</t>
  </si>
  <si>
    <t>R-003-1</t>
  </si>
  <si>
    <t>R-003-2</t>
  </si>
  <si>
    <t>R-006-1</t>
  </si>
  <si>
    <t>R-007-1</t>
  </si>
  <si>
    <t>R-010-1</t>
  </si>
  <si>
    <t>R-010-2</t>
  </si>
  <si>
    <t>R-011-1</t>
  </si>
  <si>
    <t>R-012-1</t>
  </si>
  <si>
    <t>R-015-1</t>
  </si>
  <si>
    <t>R-019-1</t>
  </si>
  <si>
    <t>R-020-1</t>
  </si>
  <si>
    <t>R-025-1</t>
  </si>
  <si>
    <t>R-025-2</t>
  </si>
  <si>
    <t>R-026-1</t>
  </si>
  <si>
    <t>R-035-1</t>
  </si>
  <si>
    <t>R-036-1</t>
  </si>
  <si>
    <t>R-047-1</t>
  </si>
  <si>
    <t>R-047-2</t>
  </si>
  <si>
    <t>R-056-1</t>
  </si>
  <si>
    <t>R-058-1</t>
  </si>
  <si>
    <t>R-063-1</t>
  </si>
  <si>
    <t>R-066-1</t>
  </si>
  <si>
    <t>R-074-1</t>
  </si>
  <si>
    <t>R-077-1</t>
  </si>
  <si>
    <t>R-081-1</t>
  </si>
  <si>
    <t>R-084-1</t>
  </si>
  <si>
    <t>R-085-1</t>
  </si>
  <si>
    <t>R-086-1</t>
  </si>
  <si>
    <t>R-087-1</t>
  </si>
  <si>
    <t>R-090-1</t>
  </si>
  <si>
    <t>R-093-1</t>
  </si>
  <si>
    <t>R-094-1</t>
  </si>
  <si>
    <t>R-097-1</t>
  </si>
  <si>
    <t>R-100-1</t>
  </si>
  <si>
    <t>R-101-1</t>
  </si>
  <si>
    <t>R-105-1</t>
  </si>
  <si>
    <t>R-106-1</t>
  </si>
  <si>
    <t>R-107-1</t>
  </si>
  <si>
    <t>R-115-1</t>
  </si>
  <si>
    <t>R-117-1</t>
  </si>
  <si>
    <t>R-121-1</t>
  </si>
  <si>
    <t>R-123-1</t>
  </si>
  <si>
    <t>R-133-1</t>
  </si>
  <si>
    <t>R-136-1</t>
  </si>
  <si>
    <t>R-137-1</t>
  </si>
  <si>
    <t>R-138-1</t>
  </si>
  <si>
    <t>R-139-1</t>
  </si>
  <si>
    <t>R-145-1</t>
  </si>
  <si>
    <t>R-147-1</t>
  </si>
  <si>
    <t>R-148-1</t>
  </si>
  <si>
    <t>R-149-1</t>
  </si>
  <si>
    <t>R-151-1</t>
  </si>
  <si>
    <t>R-152-1</t>
  </si>
  <si>
    <t>S-001-1</t>
  </si>
  <si>
    <t>S-001-2</t>
  </si>
  <si>
    <t>S-001-3</t>
  </si>
  <si>
    <t>S-001-4</t>
  </si>
  <si>
    <t>S-003-1</t>
  </si>
  <si>
    <t>S-003-2</t>
  </si>
  <si>
    <t>S-003-3</t>
  </si>
  <si>
    <t>S-003-4</t>
  </si>
  <si>
    <t>S-007-1</t>
  </si>
  <si>
    <t>S-009-1</t>
  </si>
  <si>
    <t>S-015-1</t>
  </si>
  <si>
    <t>S-016-1</t>
  </si>
  <si>
    <t>R-003-1-1</t>
  </si>
  <si>
    <t>R-003-2-1</t>
  </si>
  <si>
    <t>R-003-2-2</t>
  </si>
  <si>
    <t>R-006-1-1</t>
  </si>
  <si>
    <t>R-006-1-2</t>
  </si>
  <si>
    <t>R-006-1-3</t>
  </si>
  <si>
    <t>R-006-1-4</t>
  </si>
  <si>
    <t>R-006-1-5</t>
  </si>
  <si>
    <t>R-006-1-6</t>
  </si>
  <si>
    <t>R-006-1-7</t>
  </si>
  <si>
    <t>R-007-1-1</t>
  </si>
  <si>
    <t>R-010-1-1</t>
  </si>
  <si>
    <t>R-010-1-2</t>
  </si>
  <si>
    <t>R-010-1-3</t>
  </si>
  <si>
    <t>R-010-2-1</t>
  </si>
  <si>
    <t>R-011-1-1</t>
  </si>
  <si>
    <t>R-011-1-2</t>
  </si>
  <si>
    <t>R-011-1-3</t>
  </si>
  <si>
    <t>R-011-1-4</t>
  </si>
  <si>
    <t>R-012-1-1</t>
  </si>
  <si>
    <t>R-012-1-2</t>
  </si>
  <si>
    <t>R-015-1-1</t>
  </si>
  <si>
    <t>R-015-1-2</t>
  </si>
  <si>
    <t>R-019-1-1</t>
  </si>
  <si>
    <t>R-019-1-2</t>
  </si>
  <si>
    <t>R-019-1-3</t>
  </si>
  <si>
    <t>R-020-1-1</t>
  </si>
  <si>
    <t>R-020-1-2</t>
  </si>
  <si>
    <t>R-020-1-3</t>
  </si>
  <si>
    <t>R-020-1-4</t>
  </si>
  <si>
    <t>R-025-1-1</t>
  </si>
  <si>
    <t>R-025-1-2</t>
  </si>
  <si>
    <t>R-025-1-3</t>
  </si>
  <si>
    <t>R-025-2-1</t>
  </si>
  <si>
    <t>R-026-1-1</t>
  </si>
  <si>
    <t>R-026-1-2</t>
  </si>
  <si>
    <t>R-026-1-3</t>
  </si>
  <si>
    <t>R-035-1-1</t>
  </si>
  <si>
    <t>R-035-1-2</t>
  </si>
  <si>
    <t>R-035-1-3</t>
  </si>
  <si>
    <t>R-036-1-1</t>
  </si>
  <si>
    <t>R-036-1-2</t>
  </si>
  <si>
    <t>R-047-1-1</t>
  </si>
  <si>
    <t>R-047-1-2</t>
  </si>
  <si>
    <t>R-047-1-3</t>
  </si>
  <si>
    <t>R-047-1-4</t>
  </si>
  <si>
    <t>R-056-1-1</t>
  </si>
  <si>
    <t>R-058-1-1</t>
  </si>
  <si>
    <t>R-058-1-2</t>
  </si>
  <si>
    <t>R-058-1-3</t>
  </si>
  <si>
    <t>R-063-1-1</t>
  </si>
  <si>
    <t>R-063-1-2</t>
  </si>
  <si>
    <t>R-063-1-3</t>
  </si>
  <si>
    <t>R-063-1-4</t>
  </si>
  <si>
    <t>R-063-1-5</t>
  </si>
  <si>
    <t>R-063-1-6</t>
  </si>
  <si>
    <t>R-063-1-7</t>
  </si>
  <si>
    <t>R-063-1-8</t>
  </si>
  <si>
    <t>R-063-1-9</t>
  </si>
  <si>
    <t>R-066-1-1</t>
  </si>
  <si>
    <t>R-074-1-1</t>
  </si>
  <si>
    <t>R-077-1-1</t>
  </si>
  <si>
    <t>R-077-1-2</t>
  </si>
  <si>
    <t>R-077-1-3</t>
  </si>
  <si>
    <t>R-077-1-4</t>
  </si>
  <si>
    <t>R-081-1-1</t>
  </si>
  <si>
    <t>R-081-1-2</t>
  </si>
  <si>
    <t>R-084-1-1</t>
  </si>
  <si>
    <t>R-084-1-2</t>
  </si>
  <si>
    <t>R-085-1-1</t>
  </si>
  <si>
    <t>R-086-1-1</t>
  </si>
  <si>
    <t>R-087-1-1</t>
  </si>
  <si>
    <t>R-090-1-1</t>
  </si>
  <si>
    <t>R-090-1-2</t>
  </si>
  <si>
    <t>R-093-1-1</t>
  </si>
  <si>
    <t>R-094-1-1</t>
  </si>
  <si>
    <t>R-094-1-2</t>
  </si>
  <si>
    <t>R-097-1-1</t>
  </si>
  <si>
    <t>R-100-1-1</t>
  </si>
  <si>
    <t>R-101-1-1</t>
  </si>
  <si>
    <t>R-101-1-2</t>
  </si>
  <si>
    <t>R-105-1-1</t>
  </si>
  <si>
    <t>R-106-1-1</t>
  </si>
  <si>
    <t>R-107-1-1</t>
  </si>
  <si>
    <t>R-115-1-1</t>
  </si>
  <si>
    <t>R-117-1-1</t>
  </si>
  <si>
    <t>R-121-1-1</t>
  </si>
  <si>
    <t>R-123-1-1</t>
  </si>
  <si>
    <t>R-133-1-1</t>
  </si>
  <si>
    <t>R-136-1-1</t>
  </si>
  <si>
    <t>R-137-1-1</t>
  </si>
  <si>
    <t>R-138-1-1</t>
  </si>
  <si>
    <t>R-139-1-1</t>
  </si>
  <si>
    <t>R-145-1-1</t>
  </si>
  <si>
    <t>R-147-1-1</t>
  </si>
  <si>
    <t>R-148-1-1</t>
  </si>
  <si>
    <t>R-149-1-1</t>
  </si>
  <si>
    <t>R-151-1-1</t>
  </si>
  <si>
    <t>R-152-1-1</t>
  </si>
  <si>
    <t>S-001-1-1</t>
  </si>
  <si>
    <t>S-001-1-2</t>
  </si>
  <si>
    <t>S-001-1-3</t>
  </si>
  <si>
    <t>S-001-2-1</t>
  </si>
  <si>
    <t>S-003-1-1</t>
  </si>
  <si>
    <t>S-003-1-2</t>
  </si>
  <si>
    <t>S-007-1-1</t>
  </si>
  <si>
    <t>S-009-1-1</t>
  </si>
  <si>
    <t>S-009-1-2</t>
  </si>
  <si>
    <t>S-015-1-1</t>
  </si>
  <si>
    <t>S-016-1-1</t>
  </si>
  <si>
    <t>R-003-1-2</t>
  </si>
  <si>
    <t>R-019-1-4</t>
  </si>
  <si>
    <t>R-074-1-2</t>
  </si>
  <si>
    <t>R-085-1-2</t>
  </si>
  <si>
    <t>R-086-1-2</t>
  </si>
  <si>
    <t>R-052</t>
  </si>
  <si>
    <t>R-073</t>
  </si>
  <si>
    <t>정*영</t>
  </si>
  <si>
    <t>R-146</t>
  </si>
  <si>
    <t>R-153</t>
  </si>
  <si>
    <t>김*환</t>
  </si>
  <si>
    <t>M04**2407NU**096</t>
  </si>
  <si>
    <t>창고</t>
  </si>
  <si>
    <t>양도담보</t>
  </si>
  <si>
    <t>동구</t>
  </si>
  <si>
    <t>중구</t>
  </si>
  <si>
    <t>영덕동</t>
  </si>
  <si>
    <t>주유소</t>
  </si>
  <si>
    <t>1,2,4</t>
  </si>
  <si>
    <t>대지</t>
  </si>
  <si>
    <t>1,3,4</t>
  </si>
  <si>
    <t>R-052-1</t>
  </si>
  <si>
    <t>대저1동</t>
  </si>
  <si>
    <t>2,3,4</t>
  </si>
  <si>
    <t>R-073-1</t>
  </si>
  <si>
    <t>사무실</t>
  </si>
  <si>
    <t>울주군</t>
  </si>
  <si>
    <t>R-146-1</t>
  </si>
  <si>
    <t>양평군</t>
  </si>
  <si>
    <t>강릉시</t>
  </si>
  <si>
    <t>무</t>
  </si>
  <si>
    <t>구감정가</t>
  </si>
  <si>
    <t>나라감정평가법인</t>
  </si>
  <si>
    <t>태평양감정평가법인</t>
  </si>
  <si>
    <t>제일감정평가법인</t>
  </si>
  <si>
    <t>미래새한감정평가법인</t>
  </si>
  <si>
    <t>대한감정평가법인</t>
  </si>
  <si>
    <t>하나감정평가법인</t>
  </si>
  <si>
    <t>대일감정원</t>
  </si>
  <si>
    <t>한국감정원</t>
  </si>
  <si>
    <t>삼창감정평가법인</t>
  </si>
  <si>
    <t>대화감정평가법인</t>
  </si>
  <si>
    <t>가람감정평가법인</t>
  </si>
  <si>
    <t>중앙감정평가법인</t>
  </si>
  <si>
    <t>경일감정평가법인</t>
  </si>
  <si>
    <t>통일감정평가법인</t>
  </si>
  <si>
    <t>KB아파트시세
(2025-01-17)</t>
  </si>
  <si>
    <t>춘천지방법원 강릉지원</t>
  </si>
  <si>
    <t>상기 일괄</t>
  </si>
  <si>
    <t>R-003-1-3</t>
  </si>
  <si>
    <t>R-015-1-3</t>
  </si>
  <si>
    <t>R-019-1-5</t>
  </si>
  <si>
    <t>R-019-1-6</t>
  </si>
  <si>
    <t>R-026-1-4</t>
  </si>
  <si>
    <t>R-036-1-3</t>
  </si>
  <si>
    <t>R-036-1-4</t>
  </si>
  <si>
    <t>R-047-1-5</t>
  </si>
  <si>
    <t>R-047-1-6</t>
  </si>
  <si>
    <t>R-047-1-7</t>
  </si>
  <si>
    <t>R-047-1-8</t>
  </si>
  <si>
    <t>R-047-2-1</t>
  </si>
  <si>
    <t>R-052-1-1</t>
  </si>
  <si>
    <t>R-063-1-10</t>
  </si>
  <si>
    <t>R-063-1-11</t>
  </si>
  <si>
    <t>R-063-1-12</t>
  </si>
  <si>
    <t>R-073-1-1</t>
  </si>
  <si>
    <t>R-073-1-2</t>
  </si>
  <si>
    <t>R-074-1-3</t>
  </si>
  <si>
    <t>R-074-1-4</t>
  </si>
  <si>
    <t>R-086-1-3</t>
  </si>
  <si>
    <t>R-086-1-4</t>
  </si>
  <si>
    <t>R-086-1-5</t>
  </si>
  <si>
    <t>R-090-1-3</t>
  </si>
  <si>
    <t>R-146-1-1</t>
  </si>
  <si>
    <t>S-001-2-2</t>
  </si>
  <si>
    <t>S-003-2-1</t>
  </si>
  <si>
    <t>140-2</t>
  </si>
  <si>
    <t>555</t>
  </si>
  <si>
    <t>491</t>
  </si>
  <si>
    <t>1205</t>
  </si>
  <si>
    <t>1205-2</t>
  </si>
  <si>
    <t>545-4</t>
  </si>
  <si>
    <t>3층 창고시설</t>
  </si>
  <si>
    <t>단층 위험물저장및처리시설</t>
  </si>
  <si>
    <t>15층 공동주택</t>
  </si>
  <si>
    <t>김*영</t>
  </si>
  <si>
    <t>포괄/한정</t>
  </si>
  <si>
    <t>제6조 목록 제2021-27호</t>
  </si>
  <si>
    <t>제7조 목록 제90호</t>
  </si>
  <si>
    <t>기금전액신용보증</t>
  </si>
  <si>
    <t>상기일괄</t>
    <phoneticPr fontId="3" type="noConversion"/>
  </si>
  <si>
    <t>(주)코***스</t>
  </si>
  <si>
    <t>주식회사 제****팜</t>
  </si>
  <si>
    <t>신*****비유한회사농업회사법인</t>
  </si>
  <si>
    <t>에*******니(주)</t>
  </si>
  <si>
    <t>주식회사 커****다</t>
  </si>
  <si>
    <t>엔***코(주)</t>
  </si>
  <si>
    <t>중****스 주식회사</t>
  </si>
  <si>
    <t>(유)현********인</t>
  </si>
  <si>
    <t>(주)달***니</t>
  </si>
  <si>
    <t>서울회생법원 2025회합239</t>
  </si>
  <si>
    <t>농업회사법인 주식회사 초*들</t>
  </si>
  <si>
    <t>(주)동*****터</t>
  </si>
  <si>
    <t>(주)상****스</t>
  </si>
  <si>
    <t>신**품</t>
  </si>
  <si>
    <t>한*****로(주)</t>
  </si>
  <si>
    <t>주식회사 유*****크</t>
  </si>
  <si>
    <t>파*텍(주)</t>
  </si>
  <si>
    <t>한***임(주)</t>
  </si>
  <si>
    <t>R-060</t>
  </si>
  <si>
    <t>주식회사 아***텍</t>
  </si>
  <si>
    <t>(주)광***피</t>
  </si>
  <si>
    <t>화****자(주)</t>
  </si>
  <si>
    <t>주식회사 팩*팩</t>
  </si>
  <si>
    <t>예**수(주)</t>
  </si>
  <si>
    <t>영***지(주)</t>
  </si>
  <si>
    <t>(주)금**통</t>
  </si>
  <si>
    <t>(주)풍**통</t>
  </si>
  <si>
    <t>(주)케***틸</t>
  </si>
  <si>
    <t>경***보(주)</t>
  </si>
  <si>
    <t>세****스(주)</t>
  </si>
  <si>
    <t>(주)아***텍</t>
  </si>
  <si>
    <t>(주)태***지</t>
  </si>
  <si>
    <t>대**공</t>
  </si>
  <si>
    <t>(주)재***벌</t>
  </si>
  <si>
    <t>사회적협동조합 푸**늘</t>
  </si>
  <si>
    <t>에***스</t>
  </si>
  <si>
    <t>(주)유*****링</t>
  </si>
  <si>
    <t>(주)엠*******션</t>
  </si>
  <si>
    <t>태**업(주)</t>
  </si>
  <si>
    <t>주식회사 리**러</t>
  </si>
  <si>
    <t>(주)현*</t>
  </si>
  <si>
    <t>(주)대****발</t>
  </si>
  <si>
    <t>박*숙</t>
  </si>
  <si>
    <t>차*근</t>
  </si>
  <si>
    <t>차*원</t>
  </si>
  <si>
    <t>이*균</t>
  </si>
  <si>
    <t>왕*상</t>
  </si>
  <si>
    <t>전*득</t>
  </si>
  <si>
    <t>김*태</t>
  </si>
  <si>
    <t>구*범</t>
  </si>
  <si>
    <t>유*규</t>
  </si>
  <si>
    <t>박*수</t>
  </si>
  <si>
    <t>윤*원</t>
  </si>
  <si>
    <t>윤*진</t>
  </si>
  <si>
    <t>박*찬</t>
  </si>
  <si>
    <t>신*자</t>
  </si>
  <si>
    <t>이*미</t>
  </si>
  <si>
    <t>(주)등******트</t>
  </si>
  <si>
    <t>서울회생법원 2025회합191</t>
  </si>
  <si>
    <t>(주)신**크</t>
  </si>
  <si>
    <t>부산회생법원 2025회합1021</t>
  </si>
  <si>
    <t>세******아(주)</t>
  </si>
  <si>
    <t>서울회생법원 2024회합100096</t>
  </si>
  <si>
    <t>(주)카*텍</t>
  </si>
  <si>
    <t>서울회생법원 2025회합157</t>
  </si>
  <si>
    <t>주식회사 정**지</t>
  </si>
  <si>
    <t>서울회생법원 2025회합167</t>
  </si>
  <si>
    <t>(주)단*</t>
  </si>
  <si>
    <t>서울회생법원 2025간회합178</t>
  </si>
  <si>
    <t>S-022</t>
  </si>
  <si>
    <t>(주)제****스</t>
  </si>
  <si>
    <t>대구지방법원 2025간회합1020</t>
  </si>
  <si>
    <t>IBK 2025-3 Program</t>
    <phoneticPr fontId="3" type="noConversion"/>
  </si>
  <si>
    <t>2025회합191</t>
  </si>
  <si>
    <t>부산회생법원</t>
  </si>
  <si>
    <t>2025회합1021</t>
  </si>
  <si>
    <t>2024회합100096</t>
  </si>
  <si>
    <t>2025회합157</t>
  </si>
  <si>
    <t>2025회합167</t>
  </si>
  <si>
    <t>2025간회합178</t>
  </si>
  <si>
    <t>2025간회합1020</t>
  </si>
  <si>
    <t>054**188432**034</t>
  </si>
  <si>
    <t>054**188432**035</t>
  </si>
  <si>
    <t>054**188432**041</t>
  </si>
  <si>
    <t>054**188432**042</t>
  </si>
  <si>
    <t>054**188432**048</t>
  </si>
  <si>
    <t>054**188432**051</t>
  </si>
  <si>
    <t>054**188432**062</t>
  </si>
  <si>
    <t>054**188432**064</t>
  </si>
  <si>
    <t>054**188432**065</t>
  </si>
  <si>
    <t>054**188432**071</t>
  </si>
  <si>
    <t>716**262505**035</t>
  </si>
  <si>
    <t>716**262505**055</t>
  </si>
  <si>
    <t>716**262505**066</t>
  </si>
  <si>
    <t>716**262505**068</t>
  </si>
  <si>
    <t>716**262505**089</t>
  </si>
  <si>
    <t>716**262506**091</t>
  </si>
  <si>
    <t>134**521532**032</t>
  </si>
  <si>
    <t>472**663732**032</t>
  </si>
  <si>
    <t>472**663732**036</t>
  </si>
  <si>
    <t>472**663732**040</t>
  </si>
  <si>
    <t>716**262507**074</t>
  </si>
  <si>
    <t>971**153432**035</t>
  </si>
  <si>
    <t>971**153432**036</t>
  </si>
  <si>
    <t>971**153432**037</t>
  </si>
  <si>
    <t>971**153432**038</t>
  </si>
  <si>
    <t>971**153432**041</t>
  </si>
  <si>
    <t>971**153432**042</t>
  </si>
  <si>
    <t>971**153432**050</t>
  </si>
  <si>
    <t>971**153432**051</t>
  </si>
  <si>
    <t>971**153432**063</t>
  </si>
  <si>
    <t>971**153432**065</t>
  </si>
  <si>
    <t>971**153432**067</t>
  </si>
  <si>
    <t>971**153434**032</t>
  </si>
  <si>
    <t>971**153434**037</t>
  </si>
  <si>
    <t>758**262505**001</t>
  </si>
  <si>
    <t>758**302507**001</t>
  </si>
  <si>
    <t>758**312504**004</t>
  </si>
  <si>
    <t>758**312505**002</t>
  </si>
  <si>
    <t>758**312506**017</t>
  </si>
  <si>
    <t>971**012503**001</t>
  </si>
  <si>
    <t>971**012503**003</t>
  </si>
  <si>
    <t>218**548304**019</t>
  </si>
  <si>
    <t>218**548332**063</t>
  </si>
  <si>
    <t>218**548332**077</t>
  </si>
  <si>
    <t>218**548332**079</t>
  </si>
  <si>
    <t>218**548332**085</t>
  </si>
  <si>
    <t>218**548332**097</t>
  </si>
  <si>
    <t>218**548332**098</t>
  </si>
  <si>
    <t>218**548332**099</t>
  </si>
  <si>
    <t>218**548332**100</t>
  </si>
  <si>
    <t>218**548332**101</t>
  </si>
  <si>
    <t>218**548332**106</t>
  </si>
  <si>
    <t>716**012503**014</t>
  </si>
  <si>
    <t>716**262506**004</t>
  </si>
  <si>
    <t>716**262506**005</t>
  </si>
  <si>
    <t>716**262506**006</t>
  </si>
  <si>
    <t>716**262506**014</t>
  </si>
  <si>
    <t>621**967332**061</t>
  </si>
  <si>
    <t>621**967332**062</t>
  </si>
  <si>
    <t>621**967332**068</t>
  </si>
  <si>
    <t>621**967332**069</t>
  </si>
  <si>
    <t>621**967332**070</t>
  </si>
  <si>
    <t>621**967332**072</t>
  </si>
  <si>
    <t>621**967332**073</t>
  </si>
  <si>
    <t>621**967332**074</t>
  </si>
  <si>
    <t>621**967332**075</t>
  </si>
  <si>
    <t>716**262507**077</t>
  </si>
  <si>
    <t>716**302505**126</t>
  </si>
  <si>
    <t>561**824032**035</t>
  </si>
  <si>
    <t>561**824032**036</t>
  </si>
  <si>
    <t>561**824032**039</t>
  </si>
  <si>
    <t>561**824032**045</t>
  </si>
  <si>
    <t>561**824032**067</t>
  </si>
  <si>
    <t>561**824032**077</t>
  </si>
  <si>
    <t>561**824032**079</t>
  </si>
  <si>
    <t>561**824032**085</t>
  </si>
  <si>
    <t>561**824032**086</t>
  </si>
  <si>
    <t>561**824032**087</t>
  </si>
  <si>
    <t>561**824032**090</t>
  </si>
  <si>
    <t>561**824032**092</t>
  </si>
  <si>
    <t>561**824032**093</t>
  </si>
  <si>
    <t>561**824032**094</t>
  </si>
  <si>
    <t>561**824032**097</t>
  </si>
  <si>
    <t>561**824032**098</t>
  </si>
  <si>
    <t>561**824032**099</t>
  </si>
  <si>
    <t>561**824032**100</t>
  </si>
  <si>
    <t>561**824032**101</t>
  </si>
  <si>
    <t>561**824032**102</t>
  </si>
  <si>
    <t>561**824032**103</t>
  </si>
  <si>
    <t>561**824032**104</t>
  </si>
  <si>
    <t>561**824032**112</t>
  </si>
  <si>
    <t>561**824032**114</t>
  </si>
  <si>
    <t>751**262507**022</t>
  </si>
  <si>
    <t>751**302507**017</t>
  </si>
  <si>
    <t>119**431432**042</t>
  </si>
  <si>
    <t>119**431432**046</t>
  </si>
  <si>
    <t>119**431432**051</t>
  </si>
  <si>
    <t>119**012504**001</t>
  </si>
  <si>
    <t>716**262507**065</t>
  </si>
  <si>
    <t>716**312505**116</t>
  </si>
  <si>
    <t>716**312506**083</t>
  </si>
  <si>
    <t>716**312507**073</t>
  </si>
  <si>
    <t>971**954332**032</t>
  </si>
  <si>
    <t>971**954332**033</t>
  </si>
  <si>
    <t>971**954332**034</t>
  </si>
  <si>
    <t>971**954332**039</t>
  </si>
  <si>
    <t>971**954332**040</t>
  </si>
  <si>
    <t>971**954332**041</t>
  </si>
  <si>
    <t>971**954332**044</t>
  </si>
  <si>
    <t>971**954332**045</t>
  </si>
  <si>
    <t>758**262505**004</t>
  </si>
  <si>
    <t>758**312504**022</t>
  </si>
  <si>
    <t>758**312505**001</t>
  </si>
  <si>
    <t>758**312506**016</t>
  </si>
  <si>
    <t>758**312507**004</t>
  </si>
  <si>
    <t>012**520132**042</t>
  </si>
  <si>
    <t>012**520132**043</t>
  </si>
  <si>
    <t>012**520132**045</t>
  </si>
  <si>
    <t>012**520132**047</t>
  </si>
  <si>
    <t>012**520132**052</t>
  </si>
  <si>
    <t>012**520132**055</t>
  </si>
  <si>
    <t>012**520132**057</t>
  </si>
  <si>
    <t>012**012503**001</t>
  </si>
  <si>
    <t>716**262506**038</t>
  </si>
  <si>
    <t>153**778432**031</t>
  </si>
  <si>
    <t>153**778432**032</t>
  </si>
  <si>
    <t>153**778432**033</t>
  </si>
  <si>
    <t>153**778432**034</t>
  </si>
  <si>
    <t>530**546601**011</t>
  </si>
  <si>
    <t>759**262502**021</t>
  </si>
  <si>
    <t>759**262502**022</t>
  </si>
  <si>
    <t>759**312503**017</t>
  </si>
  <si>
    <t>759**312504**005</t>
  </si>
  <si>
    <t>759**312505**016</t>
  </si>
  <si>
    <t>759**312506**014</t>
  </si>
  <si>
    <t>759**312507**003</t>
  </si>
  <si>
    <t>416**534632**033</t>
  </si>
  <si>
    <t>416**534632**035</t>
  </si>
  <si>
    <t>416**534632**037</t>
  </si>
  <si>
    <t>416**534632**100</t>
  </si>
  <si>
    <t>416**534632**198</t>
  </si>
  <si>
    <t>416**534632**199</t>
  </si>
  <si>
    <t>416**534632**200</t>
  </si>
  <si>
    <t>416**534632**201</t>
  </si>
  <si>
    <t>416**534632**202</t>
  </si>
  <si>
    <t>416**534632**203</t>
  </si>
  <si>
    <t>416**534632**204</t>
  </si>
  <si>
    <t>416**534632**207</t>
  </si>
  <si>
    <t>416**534632**208</t>
  </si>
  <si>
    <t>416**534632**209</t>
  </si>
  <si>
    <t>416**534632**211</t>
  </si>
  <si>
    <t>416**534632**212</t>
  </si>
  <si>
    <t>416**534632**213</t>
  </si>
  <si>
    <t>416**534632**214</t>
  </si>
  <si>
    <t>416**534632**215</t>
  </si>
  <si>
    <t>416**534632**216</t>
  </si>
  <si>
    <t>416**534632**217</t>
  </si>
  <si>
    <t>416**534634**033</t>
  </si>
  <si>
    <t>781**262506**018</t>
  </si>
  <si>
    <t>781**262506**019</t>
  </si>
  <si>
    <t>781**302506**023</t>
  </si>
  <si>
    <t>781**312507**051</t>
  </si>
  <si>
    <t>098**252432**373</t>
  </si>
  <si>
    <t>098**252432**461</t>
  </si>
  <si>
    <t>098**252432**468</t>
  </si>
  <si>
    <t>098**252432**484</t>
  </si>
  <si>
    <t>098**252432**487</t>
  </si>
  <si>
    <t>098**252432**512</t>
  </si>
  <si>
    <t>098**252434**036</t>
  </si>
  <si>
    <t>781**262507**034</t>
  </si>
  <si>
    <t>781**312504**060</t>
  </si>
  <si>
    <t>781**312505**059</t>
  </si>
  <si>
    <t>781**312506**060</t>
  </si>
  <si>
    <t>781**312507**071</t>
  </si>
  <si>
    <t>985**038832**037</t>
  </si>
  <si>
    <t>985**038832**038</t>
  </si>
  <si>
    <t>985**038832**061</t>
  </si>
  <si>
    <t>985**038832**069</t>
  </si>
  <si>
    <t>985**038832**080</t>
  </si>
  <si>
    <t>985**038832**081</t>
  </si>
  <si>
    <t>985**038832**082</t>
  </si>
  <si>
    <t>985**038832**087</t>
  </si>
  <si>
    <t>985**038832**094</t>
  </si>
  <si>
    <t>985**038832**039</t>
  </si>
  <si>
    <t>985**038832**043</t>
  </si>
  <si>
    <t>985**038832**058</t>
  </si>
  <si>
    <t>716**012507**055</t>
  </si>
  <si>
    <t>716**262507**082</t>
  </si>
  <si>
    <t>716**302506**103</t>
  </si>
  <si>
    <t>716**312507**163</t>
  </si>
  <si>
    <t>985**012501**001</t>
  </si>
  <si>
    <t>045**966331**034</t>
  </si>
  <si>
    <t>045**966332**044</t>
  </si>
  <si>
    <t>045**966332**049</t>
  </si>
  <si>
    <t>045**966332**051</t>
  </si>
  <si>
    <t>045**966332**052</t>
  </si>
  <si>
    <t>045**966332**055</t>
  </si>
  <si>
    <t>045**966332**058</t>
  </si>
  <si>
    <t>045**966332**059</t>
  </si>
  <si>
    <t>045**966332**060</t>
  </si>
  <si>
    <t>045**966332**063</t>
  </si>
  <si>
    <t>045**966334**031</t>
  </si>
  <si>
    <t>716**012506**013</t>
  </si>
  <si>
    <t>716**012506**014</t>
  </si>
  <si>
    <t>934**540832**037</t>
  </si>
  <si>
    <t>934**540832**038</t>
  </si>
  <si>
    <t>781**262507**009</t>
  </si>
  <si>
    <t>931**538131**031</t>
  </si>
  <si>
    <t>931**538131**032</t>
  </si>
  <si>
    <t>931**538132**035</t>
  </si>
  <si>
    <t>931**538132**040</t>
  </si>
  <si>
    <t>716**262506**057</t>
  </si>
  <si>
    <t>716**302503**091</t>
  </si>
  <si>
    <t>258**914732**707</t>
  </si>
  <si>
    <t>258**914732**027</t>
  </si>
  <si>
    <t>258**914732**045</t>
  </si>
  <si>
    <t>258**914732**420</t>
  </si>
  <si>
    <t>258**914732**442</t>
  </si>
  <si>
    <t>258**914732**453</t>
  </si>
  <si>
    <t>258**914732**720</t>
  </si>
  <si>
    <t>258**914732**722</t>
  </si>
  <si>
    <t>377**380904**011</t>
  </si>
  <si>
    <t>601**510031**031</t>
  </si>
  <si>
    <t>601**510032**051</t>
  </si>
  <si>
    <t>601**510032**052</t>
  </si>
  <si>
    <t>601**510032**054</t>
  </si>
  <si>
    <t>601**510032**055</t>
  </si>
  <si>
    <t>601**510032**056</t>
  </si>
  <si>
    <t>601**510032**057</t>
  </si>
  <si>
    <t>601**510034**035</t>
  </si>
  <si>
    <t>601**510034**036</t>
  </si>
  <si>
    <t>781**012507**003</t>
  </si>
  <si>
    <t>781**262504**015</t>
  </si>
  <si>
    <t>781**302503**016</t>
  </si>
  <si>
    <t>781**312504**027</t>
  </si>
  <si>
    <t>781**312504**067</t>
  </si>
  <si>
    <t>781**312506**026</t>
  </si>
  <si>
    <t>781**312506**065</t>
  </si>
  <si>
    <t>781**312507**078</t>
  </si>
  <si>
    <t>989**193132**033</t>
  </si>
  <si>
    <t>989**193132**034</t>
  </si>
  <si>
    <t>989**193132**035</t>
  </si>
  <si>
    <t>989**193132**036</t>
  </si>
  <si>
    <t>989**193132**038</t>
  </si>
  <si>
    <t>156**611004**029</t>
  </si>
  <si>
    <t>637**698432**041</t>
  </si>
  <si>
    <t>637**698432**042</t>
  </si>
  <si>
    <t>637**698432**043</t>
  </si>
  <si>
    <t>637**698432**044</t>
  </si>
  <si>
    <t>637**698432**046</t>
  </si>
  <si>
    <t>637**698432**049</t>
  </si>
  <si>
    <t>637**698432**050</t>
  </si>
  <si>
    <t>637**698432**051</t>
  </si>
  <si>
    <t>637**698432**053</t>
  </si>
  <si>
    <t>637**698434**037</t>
  </si>
  <si>
    <t>759**302506**002</t>
  </si>
  <si>
    <t>759**312506**020</t>
  </si>
  <si>
    <t>759**312507**010</t>
  </si>
  <si>
    <t>447**008101**012</t>
  </si>
  <si>
    <t>447**008132**713</t>
  </si>
  <si>
    <t>447**008132**078</t>
  </si>
  <si>
    <t>447**008132**477</t>
  </si>
  <si>
    <t>447**008132**589</t>
  </si>
  <si>
    <t>447**008132**592</t>
  </si>
  <si>
    <t>447**008132**595</t>
  </si>
  <si>
    <t>447**008132**628</t>
  </si>
  <si>
    <t>447**008132**632</t>
  </si>
  <si>
    <t>447**008132**689</t>
  </si>
  <si>
    <t>447**008132**690</t>
  </si>
  <si>
    <t>447**008132**693</t>
  </si>
  <si>
    <t>447**008132**694</t>
  </si>
  <si>
    <t>447**008132**695</t>
  </si>
  <si>
    <t>447**008132**697</t>
  </si>
  <si>
    <t>447**008132**699</t>
  </si>
  <si>
    <t>447**008132**700</t>
  </si>
  <si>
    <t>447**008132**701</t>
  </si>
  <si>
    <t>447**008132**702</t>
  </si>
  <si>
    <t>447**008132**703</t>
  </si>
  <si>
    <t>447**008132**704</t>
  </si>
  <si>
    <t>447**008132**705</t>
  </si>
  <si>
    <t>447**008132**706</t>
  </si>
  <si>
    <t>447**008132**708</t>
  </si>
  <si>
    <t>447**008132**709</t>
  </si>
  <si>
    <t>447**008132**711</t>
  </si>
  <si>
    <t>447**008132**715</t>
  </si>
  <si>
    <t>447**008132**717</t>
  </si>
  <si>
    <t>447**008132**718</t>
  </si>
  <si>
    <t>447**008132**720</t>
  </si>
  <si>
    <t>447**008134**040</t>
  </si>
  <si>
    <t>447**012502**001</t>
  </si>
  <si>
    <t>751**262506**002</t>
  </si>
  <si>
    <t>751**302504**009</t>
  </si>
  <si>
    <t>751**312504**017</t>
  </si>
  <si>
    <t>751**312505**018</t>
  </si>
  <si>
    <t>751**312506**011</t>
  </si>
  <si>
    <t>751**312507**007</t>
  </si>
  <si>
    <t>529**089832**036</t>
  </si>
  <si>
    <t>529**089832**039</t>
  </si>
  <si>
    <t>529**012501**001</t>
  </si>
  <si>
    <t>751**262504**009</t>
  </si>
  <si>
    <t>751**302504**012</t>
  </si>
  <si>
    <t>751**312502**002</t>
  </si>
  <si>
    <t>751**312502**043</t>
  </si>
  <si>
    <t>751**312503**063</t>
  </si>
  <si>
    <t>751**312505**016</t>
  </si>
  <si>
    <t>751**312506**013</t>
  </si>
  <si>
    <t>751**312507**038</t>
  </si>
  <si>
    <t>144**421804**011</t>
  </si>
  <si>
    <t>144**421832**040</t>
  </si>
  <si>
    <t>144**421832**041</t>
  </si>
  <si>
    <t>144**421832**044</t>
  </si>
  <si>
    <t>144**421832**049</t>
  </si>
  <si>
    <t>144**421832**050</t>
  </si>
  <si>
    <t>166**253132**031</t>
  </si>
  <si>
    <t>751**262502**006</t>
  </si>
  <si>
    <t>751**302502**016</t>
  </si>
  <si>
    <t>751**302503**004</t>
  </si>
  <si>
    <t>510**658431**031</t>
  </si>
  <si>
    <t>510**658431**032</t>
  </si>
  <si>
    <t>510**658432**032</t>
  </si>
  <si>
    <t>510**658432**033</t>
  </si>
  <si>
    <t>510**658432**034</t>
  </si>
  <si>
    <t>510**658432**035</t>
  </si>
  <si>
    <t>510**658432**037</t>
  </si>
  <si>
    <t>510**012505**001</t>
  </si>
  <si>
    <t>781**262506**022</t>
  </si>
  <si>
    <t>781**262506**023</t>
  </si>
  <si>
    <t>781**262507**002</t>
  </si>
  <si>
    <t>781**262507**004</t>
  </si>
  <si>
    <t>781**262507**025</t>
  </si>
  <si>
    <t>781**312507**046</t>
  </si>
  <si>
    <t>121**235904**014</t>
  </si>
  <si>
    <t>338**203604**044</t>
  </si>
  <si>
    <t>338**203632**355</t>
  </si>
  <si>
    <t>338**203632**356</t>
  </si>
  <si>
    <t>338**203632**361</t>
  </si>
  <si>
    <t>338**203632**362</t>
  </si>
  <si>
    <t>M04**2310NU**242</t>
  </si>
  <si>
    <t>M04**2312NU**040</t>
  </si>
  <si>
    <t>M04**2312NU**107</t>
  </si>
  <si>
    <t>M04**2312NU**114</t>
  </si>
  <si>
    <t>M04**2312NU**121</t>
  </si>
  <si>
    <t>M04**2312NU**139</t>
  </si>
  <si>
    <t>M04**2312NU**146</t>
  </si>
  <si>
    <t>M04**2403NU**185</t>
  </si>
  <si>
    <t>021**216832**032</t>
  </si>
  <si>
    <t>021**216832**035</t>
  </si>
  <si>
    <t>021**216832**038</t>
  </si>
  <si>
    <t>021**216832**039</t>
  </si>
  <si>
    <t>408**216831**031</t>
  </si>
  <si>
    <t>408**216832**044</t>
  </si>
  <si>
    <t>408**216832**047</t>
  </si>
  <si>
    <t>408**216832**050</t>
  </si>
  <si>
    <t>758**262505**002</t>
  </si>
  <si>
    <t>758**302504**029</t>
  </si>
  <si>
    <t>144**911404**013</t>
  </si>
  <si>
    <t>489**855432**038</t>
  </si>
  <si>
    <t>489**855432**039</t>
  </si>
  <si>
    <t>489**855432**042</t>
  </si>
  <si>
    <t>489**012411**002</t>
  </si>
  <si>
    <t>751**262507**007</t>
  </si>
  <si>
    <t>751**262507**008</t>
  </si>
  <si>
    <t>425**641732**815</t>
  </si>
  <si>
    <t>425**641732**827</t>
  </si>
  <si>
    <t>425**641732**837</t>
  </si>
  <si>
    <t>425**641732**843</t>
  </si>
  <si>
    <t>716**262507**085</t>
  </si>
  <si>
    <t>658**840032**031</t>
  </si>
  <si>
    <t>658**840032**034</t>
  </si>
  <si>
    <t>658**840032**036</t>
  </si>
  <si>
    <t>658**840032**038</t>
  </si>
  <si>
    <t>781**012507**004</t>
  </si>
  <si>
    <t>781**262502**027</t>
  </si>
  <si>
    <t>781**312501**033</t>
  </si>
  <si>
    <t>781**312502**042</t>
  </si>
  <si>
    <t>781**312503**038</t>
  </si>
  <si>
    <t>781**312504**022</t>
  </si>
  <si>
    <t>781**312505**031</t>
  </si>
  <si>
    <t>781**312505**066</t>
  </si>
  <si>
    <t>781**312507**004</t>
  </si>
  <si>
    <t>781**312507**092</t>
  </si>
  <si>
    <t>656**168532**034</t>
  </si>
  <si>
    <t>656**168532**035</t>
  </si>
  <si>
    <t>656**168532**036</t>
  </si>
  <si>
    <t>781**262506**007</t>
  </si>
  <si>
    <t>781**302506**007</t>
  </si>
  <si>
    <t>781**312506**029</t>
  </si>
  <si>
    <t>781**312507**040</t>
  </si>
  <si>
    <t>522**090232**136</t>
  </si>
  <si>
    <t>522**090232**234</t>
  </si>
  <si>
    <t>522**090232**243</t>
  </si>
  <si>
    <t>522**090232**268</t>
  </si>
  <si>
    <t>522**090232**330</t>
  </si>
  <si>
    <t>522**090232**723</t>
  </si>
  <si>
    <t>522**090232**725</t>
  </si>
  <si>
    <t>522**090232**726</t>
  </si>
  <si>
    <t>522**090232**727</t>
  </si>
  <si>
    <t>522**090232**728</t>
  </si>
  <si>
    <t>522**090232**729</t>
  </si>
  <si>
    <t>522**090232**730</t>
  </si>
  <si>
    <t>522**090232**731</t>
  </si>
  <si>
    <t>522**090232**732</t>
  </si>
  <si>
    <t>781**012507**001</t>
  </si>
  <si>
    <t>781**262506**021</t>
  </si>
  <si>
    <t>781**262507**007</t>
  </si>
  <si>
    <t>781**312504**012</t>
  </si>
  <si>
    <t>781**312505**016</t>
  </si>
  <si>
    <t>781**312506**013</t>
  </si>
  <si>
    <t>781**312507**024</t>
  </si>
  <si>
    <t>128**249332**031</t>
  </si>
  <si>
    <t>183**957132**032</t>
  </si>
  <si>
    <t>183**957132**033</t>
  </si>
  <si>
    <t>183**957132**034</t>
  </si>
  <si>
    <t>183**957132**037</t>
  </si>
  <si>
    <t>183**957132**038</t>
  </si>
  <si>
    <t>758**012506**003</t>
  </si>
  <si>
    <t>758**262507**003</t>
  </si>
  <si>
    <t>758**302507**008</t>
  </si>
  <si>
    <t>758**312507**017</t>
  </si>
  <si>
    <t>524**487032**035</t>
  </si>
  <si>
    <t>524**487032**037</t>
  </si>
  <si>
    <t>524**487032**038</t>
  </si>
  <si>
    <t>524**487032**040</t>
  </si>
  <si>
    <t>524**487032**043</t>
  </si>
  <si>
    <t>524**487032**054</t>
  </si>
  <si>
    <t>524**487032**055</t>
  </si>
  <si>
    <t>524**487034**031</t>
  </si>
  <si>
    <t>716**262506**036</t>
  </si>
  <si>
    <t>716**262506**037</t>
  </si>
  <si>
    <t>716**312505**040</t>
  </si>
  <si>
    <t>716**312505**041</t>
  </si>
  <si>
    <t>716**312506**039</t>
  </si>
  <si>
    <t>716**312507**030</t>
  </si>
  <si>
    <t>278**774532**150</t>
  </si>
  <si>
    <t>278**774532**041</t>
  </si>
  <si>
    <t>278**774532**096</t>
  </si>
  <si>
    <t>278**774532**100</t>
  </si>
  <si>
    <t>278**774532**126</t>
  </si>
  <si>
    <t>759**262507**005</t>
  </si>
  <si>
    <t>068**607201**038</t>
  </si>
  <si>
    <t>068**607232**046</t>
  </si>
  <si>
    <t>068**607232**055</t>
  </si>
  <si>
    <t>068**607232**056</t>
  </si>
  <si>
    <t>068**607232**057</t>
  </si>
  <si>
    <t>068**607232**058</t>
  </si>
  <si>
    <t>716**262506**061</t>
  </si>
  <si>
    <t>716**302503**146</t>
  </si>
  <si>
    <t>487**954732**045</t>
  </si>
  <si>
    <t>487**954732**047</t>
  </si>
  <si>
    <t>487**954732**034</t>
  </si>
  <si>
    <t>487**954732**035</t>
  </si>
  <si>
    <t>487**954732**042</t>
  </si>
  <si>
    <t>487**954732**043</t>
  </si>
  <si>
    <t>487**954732**044</t>
  </si>
  <si>
    <t>716**262507**120</t>
  </si>
  <si>
    <t>716**302505**122</t>
  </si>
  <si>
    <t>374**301732**032</t>
  </si>
  <si>
    <t>374**301732**034</t>
  </si>
  <si>
    <t>374**301732**040</t>
  </si>
  <si>
    <t>374**301732**043</t>
  </si>
  <si>
    <t>374**301732**044</t>
  </si>
  <si>
    <t>374**301732**045</t>
  </si>
  <si>
    <t>374**301732**048</t>
  </si>
  <si>
    <t>374**301732**049</t>
  </si>
  <si>
    <t>374**301734**032</t>
  </si>
  <si>
    <t>374**301734**033</t>
  </si>
  <si>
    <t>374**012411**001</t>
  </si>
  <si>
    <t>012**144301**013</t>
  </si>
  <si>
    <t>012**144301**021</t>
  </si>
  <si>
    <t>012**144332**033</t>
  </si>
  <si>
    <t>012**144332**034</t>
  </si>
  <si>
    <t>012**144332**035</t>
  </si>
  <si>
    <t>716**262505**022</t>
  </si>
  <si>
    <t>716**302505**069</t>
  </si>
  <si>
    <t>618**212532**038</t>
  </si>
  <si>
    <t>759**262507**012</t>
  </si>
  <si>
    <t>759**302507**002</t>
  </si>
  <si>
    <t>759**302507**003</t>
  </si>
  <si>
    <t>063**697032**031</t>
  </si>
  <si>
    <t>063**697032**033</t>
  </si>
  <si>
    <t>716**262506**021</t>
  </si>
  <si>
    <t>716**302505**139</t>
  </si>
  <si>
    <t>422**155032**032</t>
  </si>
  <si>
    <t>716**262504**038</t>
  </si>
  <si>
    <t>637**818532**040</t>
  </si>
  <si>
    <t>637**818532**043</t>
  </si>
  <si>
    <t>637**818532**044</t>
  </si>
  <si>
    <t>637**818532**055</t>
  </si>
  <si>
    <t>522**132932**034</t>
  </si>
  <si>
    <t>781**262507**031</t>
  </si>
  <si>
    <t>016**689232**034</t>
  </si>
  <si>
    <t>716**262504**006</t>
  </si>
  <si>
    <t>013**031232**031</t>
  </si>
  <si>
    <t>013**031232**032</t>
  </si>
  <si>
    <t>716**262507**109</t>
  </si>
  <si>
    <t>028**035932**042</t>
  </si>
  <si>
    <t>028**035932**047</t>
  </si>
  <si>
    <t>028**035932**048</t>
  </si>
  <si>
    <t>083**283232**031</t>
  </si>
  <si>
    <t>716**262506**077</t>
  </si>
  <si>
    <t>374**132732**032</t>
  </si>
  <si>
    <t>208**823132**031</t>
  </si>
  <si>
    <t>716**262507**002</t>
  </si>
  <si>
    <t>083**041932**031</t>
  </si>
  <si>
    <t>716**262506**008</t>
  </si>
  <si>
    <t>929**893432**032</t>
  </si>
  <si>
    <t>083**938532**035</t>
  </si>
  <si>
    <t>716**262506**076</t>
  </si>
  <si>
    <t>091**926002**020</t>
  </si>
  <si>
    <t>091**926032**341</t>
  </si>
  <si>
    <t>781**262504**029</t>
  </si>
  <si>
    <t>781**302504**025</t>
  </si>
  <si>
    <t>614**017232**034</t>
  </si>
  <si>
    <t>716**262507**128</t>
  </si>
  <si>
    <t>009**288032**033</t>
  </si>
  <si>
    <t>716**262507**003</t>
  </si>
  <si>
    <t>111**300032**043</t>
  </si>
  <si>
    <t>111**300032**041</t>
  </si>
  <si>
    <t>716**012501**036</t>
  </si>
  <si>
    <t>405**319213**912</t>
  </si>
  <si>
    <t>289**362432**901</t>
  </si>
  <si>
    <t>289**362432**975</t>
  </si>
  <si>
    <t>289**362432**095</t>
  </si>
  <si>
    <t>289**362432**096</t>
  </si>
  <si>
    <t>289**362432**105</t>
  </si>
  <si>
    <t>289**362432**181</t>
  </si>
  <si>
    <t>289**362434**321</t>
  </si>
  <si>
    <t>289**362458**041</t>
  </si>
  <si>
    <t>289**362458**042</t>
  </si>
  <si>
    <t>289**362458**044</t>
  </si>
  <si>
    <t>289**362458**045</t>
  </si>
  <si>
    <t>289**362458**046</t>
  </si>
  <si>
    <t>289**362458**047</t>
  </si>
  <si>
    <t>289**362458**048</t>
  </si>
  <si>
    <t>289**362458**049</t>
  </si>
  <si>
    <t>377**435104**015</t>
  </si>
  <si>
    <t>499**650532**659</t>
  </si>
  <si>
    <t>외화기타지급보증대지급금원화</t>
  </si>
  <si>
    <t>M04**2011ZZ**018</t>
  </si>
  <si>
    <t>828**012506**002</t>
  </si>
  <si>
    <t>BC강제집행보전처분비용</t>
  </si>
  <si>
    <t>415**702932**032</t>
  </si>
  <si>
    <t>415**702932**033</t>
  </si>
  <si>
    <t>415**702932**034</t>
  </si>
  <si>
    <t>415**702932**038</t>
  </si>
  <si>
    <t>415**702932**041</t>
  </si>
  <si>
    <t>415**702932**043</t>
  </si>
  <si>
    <t>415**702932**057</t>
  </si>
  <si>
    <t>415**702932**058</t>
  </si>
  <si>
    <t>415**702932**060</t>
  </si>
  <si>
    <t>415**702932**062</t>
  </si>
  <si>
    <t>415**702932**070</t>
  </si>
  <si>
    <t>415**702932**074</t>
  </si>
  <si>
    <t>415**702932**075</t>
  </si>
  <si>
    <t>513**108285**982</t>
  </si>
  <si>
    <t>415**362507**001</t>
  </si>
  <si>
    <t>828**302506**004</t>
  </si>
  <si>
    <t>828**312505**042</t>
  </si>
  <si>
    <t>828**312506**053</t>
  </si>
  <si>
    <t>828**312507**028</t>
  </si>
  <si>
    <t>218**048232**083</t>
  </si>
  <si>
    <t>218**048232**085</t>
  </si>
  <si>
    <t>218**048232**086</t>
  </si>
  <si>
    <t>218**048234**033</t>
  </si>
  <si>
    <t>558**306684**939</t>
  </si>
  <si>
    <t>218**048201**016</t>
  </si>
  <si>
    <t>218**048232**047</t>
  </si>
  <si>
    <t>218**048232**052</t>
  </si>
  <si>
    <t>218**048232**058</t>
  </si>
  <si>
    <t>218**048232**066</t>
  </si>
  <si>
    <t>257**006132**045</t>
  </si>
  <si>
    <t>257**006132**048</t>
  </si>
  <si>
    <t>257**006132**049</t>
  </si>
  <si>
    <t>257**006132**052</t>
  </si>
  <si>
    <t>257**006132**064</t>
  </si>
  <si>
    <t>257**006132**072</t>
  </si>
  <si>
    <t>257**006132**082</t>
  </si>
  <si>
    <t>257**006132**104</t>
  </si>
  <si>
    <t>257**006132**106</t>
  </si>
  <si>
    <t>257**006132**109</t>
  </si>
  <si>
    <t>M04**2407NU**192</t>
  </si>
  <si>
    <t>M04**2410NU**445</t>
  </si>
  <si>
    <t>M04**2411NU**121</t>
  </si>
  <si>
    <t>M04**2411NU**242</t>
  </si>
  <si>
    <t>M04**2411NU**250</t>
  </si>
  <si>
    <t>M04**2411NU**349</t>
  </si>
  <si>
    <t>M04**2411NU**406</t>
  </si>
  <si>
    <t>M04**2412NU**096</t>
  </si>
  <si>
    <t>M04**2412NU**139</t>
  </si>
  <si>
    <t>M04**2502NU**089</t>
  </si>
  <si>
    <t>M04**2502NU**267</t>
  </si>
  <si>
    <t>513**107630**953</t>
  </si>
  <si>
    <t>828**302506**006</t>
  </si>
  <si>
    <t>828**312505**045</t>
  </si>
  <si>
    <t>828**312506**056</t>
  </si>
  <si>
    <t>828**312507**031</t>
  </si>
  <si>
    <t>054**415901**011</t>
  </si>
  <si>
    <t>054**415932**031</t>
  </si>
  <si>
    <t>054**415932**033</t>
  </si>
  <si>
    <t>054**415932**034</t>
  </si>
  <si>
    <t>054**415932**035</t>
  </si>
  <si>
    <t>513**107690**902</t>
  </si>
  <si>
    <t>070**009732**033</t>
  </si>
  <si>
    <t>070**009732**034</t>
  </si>
  <si>
    <t>070**009732**035</t>
  </si>
  <si>
    <t>070**009732**037</t>
  </si>
  <si>
    <t>070**012507**001</t>
  </si>
  <si>
    <t>179**757932**031</t>
  </si>
  <si>
    <t>179**757932**033</t>
  </si>
  <si>
    <t>179**757932**034</t>
  </si>
  <si>
    <t>179**757932**035</t>
  </si>
  <si>
    <t>759**262405**001</t>
  </si>
  <si>
    <t>759**312405**029</t>
  </si>
  <si>
    <t>759**312406**028</t>
  </si>
  <si>
    <t>759**312407**005</t>
  </si>
  <si>
    <t>759**312408**023</t>
  </si>
  <si>
    <t>759**312409**010</t>
  </si>
  <si>
    <t>759**312410**002</t>
  </si>
  <si>
    <t>759**312411**009</t>
  </si>
  <si>
    <t>759**312412**007</t>
  </si>
  <si>
    <t>759**312501**001</t>
  </si>
  <si>
    <t>759**312502**001</t>
  </si>
  <si>
    <t>759**312503**015</t>
  </si>
  <si>
    <t>759**312504**010</t>
  </si>
  <si>
    <t>759**312505**028</t>
  </si>
  <si>
    <t>828**312506**013</t>
  </si>
  <si>
    <t>828**312507**007</t>
  </si>
  <si>
    <t>수원시 권선구</t>
  </si>
  <si>
    <t>용인시 처인구</t>
  </si>
  <si>
    <t>포곡읍 삼계리</t>
  </si>
  <si>
    <t>56-3(토지, 1동, 2동, 3동, 4동 건물 4개동), 56-22, 56-23(토지 2필지)</t>
  </si>
  <si>
    <t>새솔동</t>
  </si>
  <si>
    <t>258-77, 258-107(토지 2필지, 양지상 건물)</t>
  </si>
  <si>
    <t>청라동</t>
  </si>
  <si>
    <t>164-1 청라풍림엑슬루타워 제101동 제29층 제2901호</t>
  </si>
  <si>
    <t>중산동</t>
  </si>
  <si>
    <t>1374-1, 1375-1, 1377-1(토지 3필지, 삼지상 아쿠아관광코리아 건물), 1374-8, 1375-10, 1375-14(토지 3필지)</t>
  </si>
  <si>
    <t>감정평가법인삼일</t>
  </si>
  <si>
    <t>목포시</t>
  </si>
  <si>
    <t>대양동</t>
  </si>
  <si>
    <t>1180-5(토지)</t>
  </si>
  <si>
    <t>1,2,3,4,5</t>
  </si>
  <si>
    <t>2,3,4,5</t>
  </si>
  <si>
    <t>1180-5 신세계에프앤비1동(건물)</t>
  </si>
  <si>
    <t>별내동</t>
  </si>
  <si>
    <t>932(토지, 건물, 주2동 건물 2개동)</t>
  </si>
  <si>
    <t>화도읍 가곡리</t>
  </si>
  <si>
    <t>279-26, 279-61(토지 2필지, 양지상 건물, 제1호 건물 2개동), 279-81, 279-94, 279-102(토지 3필지)</t>
  </si>
  <si>
    <t>호평동</t>
  </si>
  <si>
    <t>724 호평파라곤 제티06동 제3층 제301호</t>
  </si>
  <si>
    <t>신촌동</t>
  </si>
  <si>
    <t>63-22(토지, 건물), 63-20, 63-21, 63-24(토지 3필지)</t>
  </si>
  <si>
    <t>동패동</t>
  </si>
  <si>
    <t>1695-3 미소시티 제1층 제106호, 제2층 제204호(집합건물 2개호)</t>
  </si>
  <si>
    <t>장항동</t>
  </si>
  <si>
    <t>868 웨스턴돔2 제2층 제비-257호</t>
  </si>
  <si>
    <t>직산읍 석곡리</t>
  </si>
  <si>
    <t>139-16, 81-15, 90-8, 93-5, 139-17, 140-2(토지 6필지)</t>
  </si>
  <si>
    <t>박*동</t>
  </si>
  <si>
    <t>1. 타기관 경매사건은 토지 1필지(석곡동 139-16)에 대한 강제경매 건임</t>
  </si>
  <si>
    <t>139-16 1동(건물)</t>
  </si>
  <si>
    <t>1,2,3,4,5,6,7,8,9,10</t>
  </si>
  <si>
    <t>군북면 사도리</t>
  </si>
  <si>
    <t>1329(토지, 제주1동호, 제주2동호 건물 2개동)</t>
  </si>
  <si>
    <t>리랩스감정평가사사무소</t>
  </si>
  <si>
    <t>법원감정가</t>
  </si>
  <si>
    <t>신안군</t>
  </si>
  <si>
    <t>압해읍 동서리</t>
  </si>
  <si>
    <t>471, 478-3(토지 2필지, 양지상 제1동, 제2동, 제3동 건물 3개동), 469-10, 471-8, 471-9, 482-3, 482-5(토지 5필지)</t>
  </si>
  <si>
    <t>걸포동</t>
  </si>
  <si>
    <t>1205, 1208(토지 2필지, 양지상 가동, 나동 건물 2개동)</t>
  </si>
  <si>
    <t>하기 일괄</t>
  </si>
  <si>
    <t>1205-2, 1208-2(토지 2필지, 양지상 가동 건물)</t>
  </si>
  <si>
    <t>논공읍 본리리</t>
  </si>
  <si>
    <t>29-124(토지, 건물), 29-175(토지)</t>
  </si>
  <si>
    <t>건흥감정평가사사무소</t>
  </si>
  <si>
    <t>113 수성에스케이리더스뷰 제103동 제11층 제1102호</t>
  </si>
  <si>
    <t>주상복합(주거)</t>
  </si>
  <si>
    <t>생림면 봉림리</t>
  </si>
  <si>
    <t>88-2(토지, 건물), 88-12, 88-13(토지 2필지)</t>
  </si>
  <si>
    <t>가야감정평가사사무소</t>
  </si>
  <si>
    <t>서대신동1가</t>
  </si>
  <si>
    <t>54-17 유니온캐슬2차 제10층 제1001호</t>
  </si>
  <si>
    <t>3,4</t>
  </si>
  <si>
    <t>사하구</t>
  </si>
  <si>
    <t>괴정동</t>
  </si>
  <si>
    <t>697-11 사남신익아파트 제2동 제7층 제702호</t>
  </si>
  <si>
    <t>697-11 사남신익아파트 제2동 제9층 제906호</t>
  </si>
  <si>
    <t>상동면 우계리</t>
  </si>
  <si>
    <t>755-3(토지, 755-3외 2필지 제에이동호, 제씨동호 건물 2개동)</t>
  </si>
  <si>
    <t>송산면 중송리</t>
  </si>
  <si>
    <t>161-28, 161-5(토지 2필지, 양지상 제1동호, 제2동호 건물 2개동호)</t>
  </si>
  <si>
    <t>2022-10-17/2024-11-04</t>
  </si>
  <si>
    <t>중앙감정평가법인/가온감정평가법인</t>
  </si>
  <si>
    <t>광주광역시</t>
  </si>
  <si>
    <t>상지석동</t>
  </si>
  <si>
    <t>554-118(토지, 1동, 2동, 3동, 4동 건물 4개동), 554-99, 554-115, 554-120(토지 3필지)</t>
  </si>
  <si>
    <t>연다산동</t>
  </si>
  <si>
    <t>984(토지)</t>
  </si>
  <si>
    <t>강하면 전수리</t>
  </si>
  <si>
    <t>447-4(토지, 건물)</t>
  </si>
  <si>
    <t>447-12, 447-13, 447-14(토지 3필지)</t>
  </si>
  <si>
    <t>일산동</t>
  </si>
  <si>
    <t>961-2(토지)</t>
  </si>
  <si>
    <t>안양시 만안구</t>
  </si>
  <si>
    <t>안양동</t>
  </si>
  <si>
    <t>199-32 동영벤처스텔 제에이동 제7층 제705호</t>
  </si>
  <si>
    <t>조리읍 장곡리</t>
  </si>
  <si>
    <t>603-26(토지, 제가동호, 제나동호, 제다동호, 제라동호, 제마동호, 제바동호 건물 6개동)</t>
  </si>
  <si>
    <t>영동군</t>
  </si>
  <si>
    <t>용산면 법화리</t>
  </si>
  <si>
    <t>19, 산2(토지 2필지)</t>
  </si>
  <si>
    <t>청주지방법원 영동지원</t>
  </si>
  <si>
    <t>외동읍 석계리</t>
  </si>
  <si>
    <t>2077-6(토지, 아진일렉텍1동, 아진일렉텍사무동 건물 2개동)</t>
  </si>
  <si>
    <t>향남읍 길성리</t>
  </si>
  <si>
    <t>286-2(토지, 제1동, 제2동 건물 2개동), 286-1, 286-3, 286-4, 286-5, 286-6, 286-7, 286-8, 286-9, 286-10(토지 9필지)</t>
  </si>
  <si>
    <t>진량읍 가야리</t>
  </si>
  <si>
    <t>81-1(토지)</t>
  </si>
  <si>
    <t>갈산동</t>
  </si>
  <si>
    <t>355-9(토지, 에이동, 비이동 건물 2개동)</t>
  </si>
  <si>
    <t>금산군</t>
  </si>
  <si>
    <t>추부면 신평리</t>
  </si>
  <si>
    <t>1004 공장((주)세창실업)2동공장(건물)</t>
  </si>
  <si>
    <t>봉산면 효교리</t>
  </si>
  <si>
    <t>163-20, 163-26(토지 2필지, 양지상 건물), 163-23, 163-24, 163-25(토지 3필지)</t>
  </si>
  <si>
    <t>둔포면 염작리</t>
  </si>
  <si>
    <t>87-2(토지, 1동, 2동, 3동 건물 3개동)</t>
  </si>
  <si>
    <t>둔포면 둔포리</t>
  </si>
  <si>
    <t>292 우정에쉐르아파트 제102동 제15층 제1502호</t>
  </si>
  <si>
    <t>성남시 중원구</t>
  </si>
  <si>
    <t>은행동</t>
  </si>
  <si>
    <t>1344-1 제지하층 제1호</t>
  </si>
  <si>
    <t>다세대</t>
  </si>
  <si>
    <t>446-7(토지, 주건축물제1동 건물), 446-6, 447-6, 447-7(토지 3필지)</t>
  </si>
  <si>
    <t>2025본756</t>
  </si>
  <si>
    <t>옥련동</t>
  </si>
  <si>
    <t>563-7(토지, 건물)</t>
  </si>
  <si>
    <t>KRW/USD</t>
  </si>
  <si>
    <t>KRW 480,000,000+KRW 130,000,000+KRW 140,000,000+KRW 130,000,000+KRW 100,000,000+USD 600,000</t>
  </si>
  <si>
    <t>광산구</t>
  </si>
  <si>
    <t>신창동</t>
  </si>
  <si>
    <t>1086-9(토지, 건물)</t>
  </si>
  <si>
    <t>신당동</t>
  </si>
  <si>
    <t>진위면 갈곶리</t>
  </si>
  <si>
    <t>728-2 평택진위스마트큐브지식산업센터 제2층 제공201호</t>
  </si>
  <si>
    <t>화곡동</t>
  </si>
  <si>
    <t>1091 화곡푸르지오 제130동 제1층 제104호</t>
  </si>
  <si>
    <t>웅촌면 은현리</t>
  </si>
  <si>
    <t>1-37(토지, 제에이동호 건물), 1-50, 1-70, 1-72, 1-73, 1-74(토지 5필지)</t>
  </si>
  <si>
    <t>2021-11-19/2017-04-26</t>
  </si>
  <si>
    <t>제일감정평가법인/삼창감정평가법인</t>
  </si>
  <si>
    <t>죽동동</t>
  </si>
  <si>
    <t>383-1(토지, 건물), 383-5(토지)</t>
  </si>
  <si>
    <t>칠북면 화천리</t>
  </si>
  <si>
    <t>721(토지, 건물)</t>
  </si>
  <si>
    <t>상남동</t>
  </si>
  <si>
    <t>71-3외 2필지 상남아크로타워 제17층 제비1706호</t>
  </si>
  <si>
    <t>서천군</t>
  </si>
  <si>
    <t>비인면 관리</t>
  </si>
  <si>
    <t>563-2(토지, 1동, 2동 건물 2개동)</t>
  </si>
  <si>
    <t>2021-05-18/2021-10-14</t>
  </si>
  <si>
    <t>대화감정평가법인/대화감정평가법인</t>
  </si>
  <si>
    <t>563-2 3동(건물)</t>
  </si>
  <si>
    <t>양평읍 대흥리</t>
  </si>
  <si>
    <t>50-2(토지, 건물), 52-3(토지)</t>
  </si>
  <si>
    <t>원삼면 두창리</t>
  </si>
  <si>
    <t>1285-1, 1208-1, 1285-9(토지 3필지, 삼지상 건물, 제1호, 제2호 건물 3개동), 1285-12(토지, 건물), 1285-8, 1285-10, 1285-13, 1285-14(토지 4필지)</t>
  </si>
  <si>
    <t>1285-12 소재 양도담보 좌승식 전동지게차 1대</t>
  </si>
  <si>
    <t>임은동</t>
  </si>
  <si>
    <t>129-1(토지, 건물)</t>
  </si>
  <si>
    <t>세운감정평가사사무소</t>
  </si>
  <si>
    <t>광평동</t>
  </si>
  <si>
    <t>792-15 구미광평 푸르지오1차 제103동 제5층 제502호</t>
  </si>
  <si>
    <t>양천구</t>
  </si>
  <si>
    <t>목동</t>
  </si>
  <si>
    <t>908-34 부영그린타운3차 제14층 제1403호</t>
  </si>
  <si>
    <t>청덕동</t>
  </si>
  <si>
    <t>556 용인테크노밸리지식산업센터 제2층 제씨203호</t>
  </si>
  <si>
    <t>동해시</t>
  </si>
  <si>
    <t>구호동</t>
  </si>
  <si>
    <t>235-19(토지, 건물)</t>
  </si>
  <si>
    <t>교동</t>
  </si>
  <si>
    <t>1775 부영아파트 제505동 제1층 제101호</t>
  </si>
  <si>
    <t>향동동</t>
  </si>
  <si>
    <t>391 디엠씨플렉스데시앙 제10층 제케이비1006호</t>
  </si>
  <si>
    <t>391 디엠씨플렉스데시앙 제10층 제케이비1005호</t>
  </si>
  <si>
    <t>선남면 용신리</t>
  </si>
  <si>
    <t>542, 545-4(토지 2필지, 양지상 건물), 542-1, 27(토지 2필지)</t>
  </si>
  <si>
    <t>풍암동</t>
  </si>
  <si>
    <t>777외 1필지 에스케이뷰아파트 제102동 제13층 제1302호</t>
  </si>
  <si>
    <t>대부남동</t>
  </si>
  <si>
    <t>산192-3(토지)</t>
  </si>
  <si>
    <t>1126-389(토지)</t>
  </si>
  <si>
    <t>지묘동</t>
  </si>
  <si>
    <t>360 태왕그린힐즈 제101동 제17층 제1702호</t>
  </si>
  <si>
    <t>신북면 심곡리</t>
  </si>
  <si>
    <t>456-3(토지, 건물), 451-2(토지)</t>
  </si>
  <si>
    <t>화정동</t>
  </si>
  <si>
    <t>성동구</t>
  </si>
  <si>
    <t>성수동1가</t>
  </si>
  <si>
    <t>244-3 성수빌딩 제4층 제402호</t>
  </si>
  <si>
    <t>내가면 오상리</t>
  </si>
  <si>
    <t>293-3, 293-8, 293-11, 293-12, 293-21, 293-26, 293-29(토지 7필지)</t>
  </si>
  <si>
    <t>신둔면 수광리</t>
  </si>
  <si>
    <t>555(토지)</t>
  </si>
  <si>
    <t>543-2(토지)</t>
  </si>
  <si>
    <t>1029 유-타워 제32층 제3204호</t>
  </si>
  <si>
    <t>성석동</t>
  </si>
  <si>
    <t>1147-3 청우하이츠빌 제101동 제3층 제301호</t>
  </si>
  <si>
    <t>계양구</t>
  </si>
  <si>
    <t>임학동</t>
  </si>
  <si>
    <t>25-14 제3층 제301호</t>
  </si>
  <si>
    <t>성남시 분당구</t>
  </si>
  <si>
    <t>운중동</t>
  </si>
  <si>
    <t>918 산운마을 제1306동 제7층 제703호</t>
  </si>
  <si>
    <t>미추홀구</t>
  </si>
  <si>
    <t>용현동</t>
  </si>
  <si>
    <t>456-125, 456-635(토지 2필지, 제4층 제402호 집합건물)</t>
  </si>
  <si>
    <t>수영구</t>
  </si>
  <si>
    <t>망미동</t>
  </si>
  <si>
    <t>979-72 현대한누리타운 제101동 제12층 제1203호</t>
  </si>
  <si>
    <t>2025타경5243</t>
  </si>
  <si>
    <t>부천시 원미구</t>
  </si>
  <si>
    <t>상동</t>
  </si>
  <si>
    <t>527-1 진달래마을 제2244동 제9층 제902호</t>
  </si>
  <si>
    <t>권선동</t>
  </si>
  <si>
    <t>1038-1 제지하층 제비02호</t>
  </si>
  <si>
    <t>서둔동</t>
  </si>
  <si>
    <t>260-107 진성빌라 제지하층 제102호</t>
  </si>
  <si>
    <t>검산동</t>
  </si>
  <si>
    <t>439-1(토지, 제1동호, 제2동호 건물 2개동)</t>
  </si>
  <si>
    <t>마두동</t>
  </si>
  <si>
    <t>972(토지, 건물)</t>
  </si>
  <si>
    <t>KRW 1,200,000,000+KRW 1,200,000,000+USD 62,706</t>
  </si>
  <si>
    <t>4,5</t>
  </si>
  <si>
    <t>971(토지, 건물)</t>
  </si>
  <si>
    <t>1698 책향기마을10단지동문굿모닝힐 제1002동 제14층 제1402호</t>
  </si>
  <si>
    <t>2,5</t>
  </si>
  <si>
    <t>796 강촌마을아파트 제708동 제2층 제201호</t>
  </si>
  <si>
    <t>796 강촌마을아파트 제702동 제4층 제404호</t>
  </si>
  <si>
    <t>951 별빛마을아파트 제1010동 제11층 제1102호</t>
  </si>
  <si>
    <t>감정평가법인 대일감정원</t>
  </si>
  <si>
    <t>한림면 명동리</t>
  </si>
  <si>
    <t>1167-13, 1056-15(토지 2필지, 에이동, 디동 건물 2개동)</t>
  </si>
  <si>
    <t>상동면 매리</t>
  </si>
  <si>
    <t>1035-30(토지)</t>
  </si>
  <si>
    <t>생림면 생철리</t>
  </si>
  <si>
    <t>136-3(토지)</t>
  </si>
  <si>
    <t>해평면 월호리</t>
  </si>
  <si>
    <t>377-7(토지)</t>
  </si>
  <si>
    <t>933(토지, 건물)</t>
  </si>
  <si>
    <t>점포</t>
  </si>
  <si>
    <t>대소면 삼호리</t>
  </si>
  <si>
    <t>491, 491-2(토지 2필지, 가동, 다동 건물 2개동)</t>
  </si>
  <si>
    <t>산32-4, 산32-5, 산33-8, 산33-10(토지 4필지)</t>
  </si>
  <si>
    <t>구거</t>
  </si>
  <si>
    <t>491외 1필지 제나동호(건물)</t>
  </si>
  <si>
    <t>491외 1필지 라동(건물)</t>
  </si>
  <si>
    <t>491외 1필지 소재 동산담보 기계기구 5식 [1. 카보니제이션 퍼네이스(모델명 EKKO-2#169, 제조사 GREENPOWER(건화테크), 제조연월 2023), 2. 카보니제이션 퍼네이스(모델명 EKKO-2#162, 제조사 GREENPOWER(RUMANIA), 제조연월 2021), 3. 차콜 버닝 킬론(모델명 EKKO-2#172, 제조사 GREENPOWER(POLAND), 제조연월 2023), 4. 차콜 버닝 킬론(모델명 EKKO-2#172, 제조사 GREENPOWER(POLAND), 제조연월 2023), 5. 카보니제이션 퍼네이스(모델명 EKKO-2#160, 제조사 GREENPOWER(건화테크), 제조연월 2023)]</t>
  </si>
  <si>
    <t>대치동</t>
  </si>
  <si>
    <t>1029 대치에스케이뷰 제103동 제6층 제601호</t>
  </si>
  <si>
    <t>40-44(토지, 주건축물제1동 건물), 40-43(토지)</t>
  </si>
  <si>
    <t>김천시</t>
  </si>
  <si>
    <t>남면 부상리</t>
  </si>
  <si>
    <t>898-7, 898-2(토지 2필지, 씨동 건물), 898-8(토지, 디동 건물)</t>
  </si>
  <si>
    <t>달서감정평가사사무소</t>
  </si>
  <si>
    <t>R-003-3</t>
  </si>
  <si>
    <t>R-003-4</t>
  </si>
  <si>
    <t>R-003-5</t>
  </si>
  <si>
    <t>R-007-2</t>
  </si>
  <si>
    <t>R-007-3</t>
  </si>
  <si>
    <t>R-010-3</t>
  </si>
  <si>
    <t>R-010-4</t>
  </si>
  <si>
    <t>R-011-2</t>
  </si>
  <si>
    <t>R-011-3</t>
  </si>
  <si>
    <t>R-012-2</t>
  </si>
  <si>
    <t>R-020-2</t>
  </si>
  <si>
    <t>R-026-2</t>
  </si>
  <si>
    <t>R-026-3</t>
  </si>
  <si>
    <t>R-026-4</t>
  </si>
  <si>
    <t>R-047-3</t>
  </si>
  <si>
    <t>R-047-4</t>
  </si>
  <si>
    <t>R-058-2</t>
  </si>
  <si>
    <t>R-060-1</t>
  </si>
  <si>
    <t>R-063-2</t>
  </si>
  <si>
    <t>R-073-2</t>
  </si>
  <si>
    <t>R-077-2</t>
  </si>
  <si>
    <t>R-077-3</t>
  </si>
  <si>
    <t>R-081-2</t>
  </si>
  <si>
    <t>R-086-2</t>
  </si>
  <si>
    <t>R-094-2</t>
  </si>
  <si>
    <t>R-097-2</t>
  </si>
  <si>
    <t>R-100-2</t>
  </si>
  <si>
    <t>R-100-3</t>
  </si>
  <si>
    <t>R-101-2</t>
  </si>
  <si>
    <t>R-107-2</t>
  </si>
  <si>
    <t>R-115-2</t>
  </si>
  <si>
    <t>R-123-2</t>
  </si>
  <si>
    <t>R-127-1</t>
  </si>
  <si>
    <t>R-127-2</t>
  </si>
  <si>
    <t>R-138-2</t>
  </si>
  <si>
    <t>R-150-1</t>
  </si>
  <si>
    <t>R-153-1</t>
  </si>
  <si>
    <t>S-001-5</t>
  </si>
  <si>
    <t>S-001-6</t>
  </si>
  <si>
    <t>S-001-7</t>
  </si>
  <si>
    <t>S-009-2</t>
  </si>
  <si>
    <t>S-009-3</t>
  </si>
  <si>
    <t>S-009-4</t>
  </si>
  <si>
    <t>S-009-5</t>
  </si>
  <si>
    <t>S-022-1</t>
  </si>
  <si>
    <t>Not Filed</t>
    <phoneticPr fontId="3" type="noConversion"/>
  </si>
  <si>
    <t>Filed</t>
    <phoneticPr fontId="3" type="noConversion"/>
  </si>
  <si>
    <t>IBK</t>
    <phoneticPr fontId="7" type="noConversion"/>
  </si>
  <si>
    <t>2025타경56142</t>
    <phoneticPr fontId="7" type="noConversion"/>
  </si>
  <si>
    <t>68-11, 69-3(토지 2필지), 송산그린시티이디2블럭10-2 1동(건물), 송산그린시티이디2.12-3 1동(건물)</t>
    <phoneticPr fontId="3" type="noConversion"/>
  </si>
  <si>
    <t>2025타경56248</t>
    <phoneticPr fontId="7" type="noConversion"/>
  </si>
  <si>
    <t>2025타경33545</t>
    <phoneticPr fontId="7" type="noConversion"/>
  </si>
  <si>
    <t>13-20(토지, 건물)</t>
    <phoneticPr fontId="3" type="noConversion"/>
  </si>
  <si>
    <t>2025타경509464</t>
    <phoneticPr fontId="7" type="noConversion"/>
  </si>
  <si>
    <t>2025타경509463</t>
    <phoneticPr fontId="7" type="noConversion"/>
  </si>
  <si>
    <t>2025타경51106</t>
    <phoneticPr fontId="7" type="noConversion"/>
  </si>
  <si>
    <t>㈜우****업</t>
    <phoneticPr fontId="3" type="noConversion"/>
  </si>
  <si>
    <t>2025타경362</t>
    <phoneticPr fontId="7" type="noConversion"/>
  </si>
  <si>
    <t>상기 일괄</t>
    <phoneticPr fontId="7" type="noConversion"/>
  </si>
  <si>
    <t>1180-5 신세계에프앤비2동(건물)</t>
    <phoneticPr fontId="3" type="noConversion"/>
  </si>
  <si>
    <t>2025타경71796</t>
    <phoneticPr fontId="7" type="noConversion"/>
  </si>
  <si>
    <t>2025타경71789</t>
    <phoneticPr fontId="7" type="noConversion"/>
  </si>
  <si>
    <t>158-42(토지, 에이동 건물), 158-53(토지, 비동 건물), 149-23, 149-24, 153-2(토지 3필지)</t>
    <phoneticPr fontId="3" type="noConversion"/>
  </si>
  <si>
    <t>2025타경71793</t>
    <phoneticPr fontId="7" type="noConversion"/>
  </si>
  <si>
    <t>2025타경71794</t>
    <phoneticPr fontId="7" type="noConversion"/>
  </si>
  <si>
    <t>2025타경333</t>
    <phoneticPr fontId="7" type="noConversion"/>
  </si>
  <si>
    <t>2025타경51133</t>
    <phoneticPr fontId="7" type="noConversion"/>
  </si>
  <si>
    <t>2025타경33736</t>
    <phoneticPr fontId="7" type="noConversion"/>
  </si>
  <si>
    <t>로****록주식회사</t>
    <phoneticPr fontId="3" type="noConversion"/>
  </si>
  <si>
    <t>2025타경1967</t>
    <phoneticPr fontId="7" type="noConversion"/>
  </si>
  <si>
    <t>1. 선행경매사건(2025타경1967)에서 경매 미신청한 걸포동 1208번지 토지는 IBK에서 신청한 물건 2번에 포함되어 배당종기 별도 지정됨</t>
    <phoneticPr fontId="7" type="noConversion"/>
  </si>
  <si>
    <t>2025타경30995</t>
    <phoneticPr fontId="7" type="noConversion"/>
  </si>
  <si>
    <t>1. 법원감정평가서상 제시외 건물 173.2㎡(㉠. 기계실 59.2㎡, ㉡. 통로 72㎡, ㉢. 창고 42㎡) 소재</t>
    <phoneticPr fontId="7" type="noConversion"/>
  </si>
  <si>
    <t>2025타경7471</t>
    <phoneticPr fontId="7" type="noConversion"/>
  </si>
  <si>
    <t>3순위 신용보증기금</t>
    <phoneticPr fontId="3" type="noConversion"/>
  </si>
  <si>
    <t>2025타경11679</t>
    <phoneticPr fontId="7" type="noConversion"/>
  </si>
  <si>
    <t>하나은행</t>
    <phoneticPr fontId="7" type="noConversion"/>
  </si>
  <si>
    <t>2025타경526</t>
    <phoneticPr fontId="7" type="noConversion"/>
  </si>
  <si>
    <t>집행정지</t>
    <phoneticPr fontId="3" type="noConversion"/>
  </si>
  <si>
    <t>1. 법원의 감정평가서상 제시외 건물 965.4㎡(ㄱ. 승강기 test타워 150㎡, ㄴ. 공장일부 120㎡, ㄷ. 사무실 숙소 가추 등 226㎡, ㄹ. 사무실 및 작업장 220㎡, ㅁ. 기계실 57㎡, ㅂ. 기계실 12.6㎡, ㅅ. 견사 6㎡, ㅇ. 휴게실 21.8㎡, ㅈ. 창고 66㎡, ㅊ. 창고 72㎡, ㅋ. 기계실 14㎡) 소재</t>
    <phoneticPr fontId="7" type="noConversion"/>
  </si>
  <si>
    <t>2025타경101612</t>
    <phoneticPr fontId="7" type="noConversion"/>
  </si>
  <si>
    <t>2순위 기술보증기금</t>
    <phoneticPr fontId="3" type="noConversion"/>
  </si>
  <si>
    <t>답</t>
    <phoneticPr fontId="3" type="noConversion"/>
  </si>
  <si>
    <t>1순위 기술보증기금</t>
    <phoneticPr fontId="3" type="noConversion"/>
  </si>
  <si>
    <t>2025타경12094</t>
    <phoneticPr fontId="7" type="noConversion"/>
  </si>
  <si>
    <t>1. 법원감정평가서상 제시외 건물 1,643.53㎡(ㄱ. 풋살장 1,531.4㎡, ㄴ. 샤워실, 화장실, 사무실 75.2㎡, ㄷ. 가추 15.75㎡, ㄹ. 창고 14.88㎡, ㅁ. 창고 6.3㎡) 및 제시외 조명탑 8식 소재</t>
    <phoneticPr fontId="7" type="noConversion"/>
  </si>
  <si>
    <t>2025타경101165</t>
    <phoneticPr fontId="7" type="noConversion"/>
  </si>
  <si>
    <t>(주)에*원</t>
    <phoneticPr fontId="3" type="noConversion"/>
  </si>
  <si>
    <t>2025타경101015</t>
    <phoneticPr fontId="7" type="noConversion"/>
  </si>
  <si>
    <t>2025타경10456</t>
    <phoneticPr fontId="7" type="noConversion"/>
  </si>
  <si>
    <t>3순위 기술보증기금</t>
    <phoneticPr fontId="3" type="noConversion"/>
  </si>
  <si>
    <t>1004(토지, 주식회사세창실업추부공장 제1호 건물)</t>
    <phoneticPr fontId="3" type="noConversion"/>
  </si>
  <si>
    <t>2025타경502697</t>
    <phoneticPr fontId="7" type="noConversion"/>
  </si>
  <si>
    <t>2025타경15667</t>
    <phoneticPr fontId="7" type="noConversion"/>
  </si>
  <si>
    <t>2025타경11269</t>
    <phoneticPr fontId="7" type="noConversion"/>
  </si>
  <si>
    <t>주식회사유*콘</t>
    <phoneticPr fontId="3" type="noConversion"/>
  </si>
  <si>
    <t>2024타경115504</t>
    <phoneticPr fontId="7" type="noConversion"/>
  </si>
  <si>
    <t>2025타경12043</t>
    <phoneticPr fontId="7" type="noConversion"/>
  </si>
  <si>
    <t>2025타경101630</t>
    <phoneticPr fontId="7" type="noConversion"/>
  </si>
  <si>
    <t>446-7 주건축물제1동 건물 내 동산담보 기계기구 2식(① 제품명 : 냉동실, 모델명 : D-R035-C030U040, 제조사 : 동일냉동플렌트, 제조연월 : 2021. 05. 1식, ② 제품명 : 냉장실, 모델명 : D-R005-C003U005, 제조사 : 동일냉동플렌트, 제조연월 : 2021. 05. 1식)</t>
    <phoneticPr fontId="3" type="noConversion"/>
  </si>
  <si>
    <t>2025타경32767</t>
    <phoneticPr fontId="7" type="noConversion"/>
  </si>
  <si>
    <t>453-4, 453-5, 453-6, 453-10(토지 4필지, 사지상 건물)</t>
    <phoneticPr fontId="3" type="noConversion"/>
  </si>
  <si>
    <t>2025타경11397</t>
    <phoneticPr fontId="7" type="noConversion"/>
  </si>
  <si>
    <t>2025타경101581</t>
    <phoneticPr fontId="7" type="noConversion"/>
  </si>
  <si>
    <t>2025타경20715</t>
    <phoneticPr fontId="7" type="noConversion"/>
  </si>
  <si>
    <t>1. 법원의 감정서상 제시외 건물 약 478.2㎡(㉠. 창고 약 11.2㎡, ㉡. 가추 약 6㎡, ㉢. 가추 약 6.5㎡, ㉣. 작업장 약 450㎡, ㉤. 가추 약 3㎡, ㉥. 가추 약 1.5㎡) 소재하며 제시외 기계기구 6식(평가액 15,680,000원) 확인되나 리스, 제3자 소유권 주장 등 분쟁의 여지로 감정평가금액에 포함하지 않음</t>
    <phoneticPr fontId="7" type="noConversion"/>
  </si>
  <si>
    <t>2025타경15841</t>
    <phoneticPr fontId="7" type="noConversion"/>
  </si>
  <si>
    <t>한***텍 주식회사</t>
    <phoneticPr fontId="3" type="noConversion"/>
  </si>
  <si>
    <t>2025타경924</t>
    <phoneticPr fontId="7" type="noConversion"/>
  </si>
  <si>
    <t>2025타경31335</t>
    <phoneticPr fontId="7" type="noConversion"/>
  </si>
  <si>
    <t>2025타경664</t>
    <phoneticPr fontId="7" type="noConversion"/>
  </si>
  <si>
    <t>1. IBK 담보 중 동소 대흥리 50-2(토지, 건물)에 대하여만 신청한 선행 강제경매사건(2024타경39354 - 2024-09-12 (주)경***벌 청구액 74,594,861원) 존재</t>
    <phoneticPr fontId="7" type="noConversion"/>
  </si>
  <si>
    <t>2025타경56378</t>
    <phoneticPr fontId="7" type="noConversion"/>
  </si>
  <si>
    <t>주식회사장**업</t>
    <phoneticPr fontId="3" type="noConversion"/>
  </si>
  <si>
    <t>2024타경80288</t>
    <phoneticPr fontId="7" type="noConversion"/>
  </si>
  <si>
    <t>1. 선행 강제경매사건 본건 IBK 담보 외 '경기도 용인시 기흥구 하갈동 331-55, 331-58, 331-169(토지 3필지)' 포함 경매사건 진행중임.</t>
    <phoneticPr fontId="7" type="noConversion"/>
  </si>
  <si>
    <t>2025타경11208</t>
    <phoneticPr fontId="7" type="noConversion"/>
  </si>
  <si>
    <t>2025타경10451</t>
    <phoneticPr fontId="7" type="noConversion"/>
  </si>
  <si>
    <t>㈜오에스비저축은행</t>
    <phoneticPr fontId="7" type="noConversion"/>
  </si>
  <si>
    <t>2025타경10477</t>
    <phoneticPr fontId="7" type="noConversion"/>
  </si>
  <si>
    <t>아파트</t>
    <phoneticPr fontId="3" type="noConversion"/>
  </si>
  <si>
    <t>2025타경63107</t>
    <phoneticPr fontId="7" type="noConversion"/>
  </si>
  <si>
    <t>2025타경31520</t>
    <phoneticPr fontId="7" type="noConversion"/>
  </si>
  <si>
    <t>2025타경32987</t>
    <phoneticPr fontId="7" type="noConversion"/>
  </si>
  <si>
    <t>2025타경52156</t>
    <phoneticPr fontId="7" type="noConversion"/>
  </si>
  <si>
    <t>2025타경51250</t>
    <phoneticPr fontId="7" type="noConversion"/>
  </si>
  <si>
    <t>(주)오케이저축은행</t>
    <phoneticPr fontId="7" type="noConversion"/>
  </si>
  <si>
    <t>2025타경509047</t>
    <phoneticPr fontId="7" type="noConversion"/>
  </si>
  <si>
    <t>2025타경30644</t>
    <phoneticPr fontId="7" type="noConversion"/>
  </si>
  <si>
    <t>농업협동조합자산관리회사</t>
    <phoneticPr fontId="7" type="noConversion"/>
  </si>
  <si>
    <t>2024타경43025</t>
    <phoneticPr fontId="7" type="noConversion"/>
  </si>
  <si>
    <t>2025타경56545</t>
    <phoneticPr fontId="7" type="noConversion"/>
  </si>
  <si>
    <t>2025타경63567</t>
    <phoneticPr fontId="7" type="noConversion"/>
  </si>
  <si>
    <t>㈜렌*나</t>
    <phoneticPr fontId="3" type="noConversion"/>
  </si>
  <si>
    <t>2024타경86672</t>
    <phoneticPr fontId="7" type="noConversion"/>
  </si>
  <si>
    <t>2025타경509734</t>
    <phoneticPr fontId="7" type="noConversion"/>
  </si>
  <si>
    <t>㈜위*안외 1명</t>
    <phoneticPr fontId="3" type="noConversion"/>
  </si>
  <si>
    <t>2024타경71706</t>
    <phoneticPr fontId="7" type="noConversion"/>
  </si>
  <si>
    <t>2025타경510146</t>
    <phoneticPr fontId="7" type="noConversion"/>
  </si>
  <si>
    <t>피********스㈜</t>
    <phoneticPr fontId="3" type="noConversion"/>
  </si>
  <si>
    <t>2025타경5088</t>
    <phoneticPr fontId="7" type="noConversion"/>
  </si>
  <si>
    <t>에이치에프케이사일유동화전문(유)</t>
    <phoneticPr fontId="7" type="noConversion"/>
  </si>
  <si>
    <t>2024타경41593</t>
    <phoneticPr fontId="7" type="noConversion"/>
  </si>
  <si>
    <t>2025타경56743</t>
    <phoneticPr fontId="7" type="noConversion"/>
  </si>
  <si>
    <t>기술보증기금</t>
    <phoneticPr fontId="7" type="noConversion"/>
  </si>
  <si>
    <t>2025타경52501</t>
    <phoneticPr fontId="7" type="noConversion"/>
  </si>
  <si>
    <t>2순위 신용보증기금</t>
    <phoneticPr fontId="3" type="noConversion"/>
  </si>
  <si>
    <t>2024타경13035</t>
    <phoneticPr fontId="7" type="noConversion"/>
  </si>
  <si>
    <t>1. 법원감정평가서상 제시외 기계기구 1식(집진기 1식) 소재
2. 법원감정평가서상 제시외 기계기구 1식(지하수관정 1식) 매각에서 제외</t>
    <phoneticPr fontId="7" type="noConversion"/>
  </si>
  <si>
    <t>미인가</t>
    <phoneticPr fontId="3" type="noConversion"/>
  </si>
  <si>
    <t>S</t>
    <phoneticPr fontId="3" type="noConversion"/>
  </si>
  <si>
    <t>56-3 1동</t>
  </si>
  <si>
    <t>4층 제2종근린생활시설</t>
  </si>
  <si>
    <t>56-3 2동</t>
  </si>
  <si>
    <t>56-3 3동</t>
  </si>
  <si>
    <t>56-3 4동</t>
  </si>
  <si>
    <t>56-3</t>
  </si>
  <si>
    <t>1. 2001-11-14 한국가스공사 지상권 설정(가스의 수송 및 저장을 위한 가스관및 부대시설의 설치)</t>
    <phoneticPr fontId="3" type="noConversion"/>
  </si>
  <si>
    <t>56-22</t>
  </si>
  <si>
    <t>56-23</t>
  </si>
  <si>
    <t>송산그린시티이디2블럭10-2 1동</t>
  </si>
  <si>
    <t>송산그린시티이디2.12-3 1동</t>
  </si>
  <si>
    <t>68-11</t>
  </si>
  <si>
    <t>69-3</t>
  </si>
  <si>
    <t>258-77외 1필지 가동</t>
  </si>
  <si>
    <t>258-77</t>
  </si>
  <si>
    <t>258-107</t>
  </si>
  <si>
    <t>13-20</t>
  </si>
  <si>
    <t>47층 업무시설(오피스텔)</t>
  </si>
  <si>
    <t>한정</t>
    <phoneticPr fontId="3" type="noConversion"/>
  </si>
  <si>
    <t>1374-1외 2필지 아쿠아관광코리아</t>
  </si>
  <si>
    <t>4층 제1종,제2종근린생활시설</t>
  </si>
  <si>
    <t>1374-1</t>
  </si>
  <si>
    <t>1375-1</t>
  </si>
  <si>
    <t>1377-1</t>
  </si>
  <si>
    <t>1374-8</t>
  </si>
  <si>
    <t>1375-10</t>
  </si>
  <si>
    <t>1375-14</t>
  </si>
  <si>
    <t>주식회사 제**팜</t>
  </si>
  <si>
    <t>1180-5</t>
  </si>
  <si>
    <t>1180-5 신세계에프앤비1동</t>
  </si>
  <si>
    <t>1180-5 신세계에프앤비2동</t>
  </si>
  <si>
    <t>932</t>
  </si>
  <si>
    <t>932 주2동</t>
  </si>
  <si>
    <t>279-26외 1필지</t>
  </si>
  <si>
    <t>279-26외 1필지 제1호</t>
  </si>
  <si>
    <t>제2종근린생활시설</t>
  </si>
  <si>
    <t>279-26</t>
  </si>
  <si>
    <t>279-61</t>
  </si>
  <si>
    <t>279-81</t>
  </si>
  <si>
    <t>279-94</t>
  </si>
  <si>
    <t>279-102</t>
  </si>
  <si>
    <t>158-42 에이동</t>
  </si>
  <si>
    <t>158-42</t>
  </si>
  <si>
    <t>158-53 비동</t>
  </si>
  <si>
    <t>158-53</t>
  </si>
  <si>
    <t>149-23</t>
  </si>
  <si>
    <t>149-24</t>
  </si>
  <si>
    <t>153-2</t>
  </si>
  <si>
    <t>4층 아파트(테라스하우스)</t>
  </si>
  <si>
    <t>63-22</t>
  </si>
  <si>
    <t>단층 공장, 1층 공장/사무실, 2층 기숙사, 화장실</t>
  </si>
  <si>
    <t>63-20</t>
  </si>
  <si>
    <t>63-21</t>
  </si>
  <si>
    <t>63-24</t>
  </si>
  <si>
    <t>1695-3 미소시티 제1층 제106호</t>
  </si>
  <si>
    <t>지하 3층, 지상 10층 제1,2종근린생활시설, 교육연구시설, 업무시설</t>
  </si>
  <si>
    <t>1695-3 미소시티 제2층 제204호</t>
  </si>
  <si>
    <t>9층 판매시설, 문화 및 집회시설, 업무시설</t>
  </si>
  <si>
    <t>139-16</t>
  </si>
  <si>
    <t>81-15</t>
  </si>
  <si>
    <t>90-8</t>
  </si>
  <si>
    <t>93-5</t>
  </si>
  <si>
    <t>139-17</t>
  </si>
  <si>
    <t>139-16 1동</t>
  </si>
  <si>
    <t>한정/한정/한정/한정/한정/한정/한정/한정/한정/한정</t>
  </si>
  <si>
    <t>1329 제주1동호</t>
  </si>
  <si>
    <t>2층 공장, 단층 화장실</t>
  </si>
  <si>
    <t>1329 제주2동호</t>
  </si>
  <si>
    <t>2층 공장, 2층 사무실, 4층 구내식당,샤워실,기숙사,계단실,온수물탱크실</t>
  </si>
  <si>
    <t>1329</t>
  </si>
  <si>
    <t>471외 1필지 제1동</t>
  </si>
  <si>
    <t>단층 창고시설(농산물산지유통시설), 2층 사무소 및 휴게실</t>
  </si>
  <si>
    <t>471외 1필지 제2동</t>
  </si>
  <si>
    <t>단층 창고시설(농산물산지유통시설)</t>
  </si>
  <si>
    <t>471외 1필지 제3동</t>
  </si>
  <si>
    <t>단층 일반창고</t>
  </si>
  <si>
    <t>471</t>
  </si>
  <si>
    <t>478-3</t>
  </si>
  <si>
    <t>469-10</t>
  </si>
  <si>
    <t>471-8</t>
  </si>
  <si>
    <t>471-9</t>
  </si>
  <si>
    <t>482-3</t>
  </si>
  <si>
    <t>482-5</t>
  </si>
  <si>
    <t>1205외 1필지 가동</t>
  </si>
  <si>
    <t>1205외 1필지 나동</t>
  </si>
  <si>
    <t>1208</t>
  </si>
  <si>
    <t>1205-2외 1필지 가동</t>
  </si>
  <si>
    <t>1208-2</t>
  </si>
  <si>
    <t>29-124</t>
  </si>
  <si>
    <t>단층 공장, 3층 준비실, 냉장실, 사무실, 단층창고, 단층통로, 단층기계실, 단층 화장실, 단층 수위실, 3층 식당, 2층 냉장고 및 창고</t>
  </si>
  <si>
    <t>29-175</t>
  </si>
  <si>
    <t>88-2</t>
  </si>
  <si>
    <t>단층 일반공장, 단층 샤워실,탈의실,화장실,펌프실, 2층 사무실, 2층 창고</t>
  </si>
  <si>
    <t>88-12</t>
  </si>
  <si>
    <t>88-13</t>
  </si>
  <si>
    <t>10층 공동주택</t>
  </si>
  <si>
    <t>11층 공동주택, 대피소, 노인정, 관리실, 경비실, 전기 및 펌프실, 주차장, 공중변소</t>
  </si>
  <si>
    <t>755-3외 2필지 제에이동호</t>
  </si>
  <si>
    <t>1. 본건 건물 등본상 '동소 우계리 755-3, 755-9, 755-11 위 삼지상' 소재하는 것으로 등재되어 있으나, 2014-01-10 토지합병으로 인하여 '동소 우계리 755-3 지상' 소재</t>
    <phoneticPr fontId="3" type="noConversion"/>
  </si>
  <si>
    <t>755-3외 2필지 제씨동호</t>
  </si>
  <si>
    <t>755-3</t>
  </si>
  <si>
    <t>161-28외 1필지 제1동호</t>
  </si>
  <si>
    <t>김*묵</t>
  </si>
  <si>
    <t>161-28외 1필지 제2동호</t>
  </si>
  <si>
    <t>161-28</t>
  </si>
  <si>
    <t>161-5</t>
  </si>
  <si>
    <t>기계기구 2식</t>
  </si>
  <si>
    <t>554-118 1동</t>
  </si>
  <si>
    <t>554-118 2동</t>
  </si>
  <si>
    <t>554-118 3동</t>
  </si>
  <si>
    <t>554-118 4동</t>
  </si>
  <si>
    <t>554-118</t>
  </si>
  <si>
    <t>554-99</t>
  </si>
  <si>
    <t>554-115</t>
  </si>
  <si>
    <t>554-120</t>
  </si>
  <si>
    <t>984</t>
  </si>
  <si>
    <t>447-4</t>
  </si>
  <si>
    <t>2층 농가주택</t>
  </si>
  <si>
    <t>김*영, 박*옥</t>
  </si>
  <si>
    <t>447-12</t>
  </si>
  <si>
    <t>447-13</t>
  </si>
  <si>
    <t>447-14</t>
  </si>
  <si>
    <t>961-2</t>
  </si>
  <si>
    <t>송*상</t>
  </si>
  <si>
    <t>포괄</t>
    <phoneticPr fontId="3" type="noConversion"/>
  </si>
  <si>
    <t>8층 아파트형공장</t>
  </si>
  <si>
    <t>603-26 제가동호</t>
  </si>
  <si>
    <t>603-26 제나동호</t>
  </si>
  <si>
    <t>603-26 제다동호</t>
  </si>
  <si>
    <t>603-26 제라동호</t>
  </si>
  <si>
    <t>603-26 제마동호</t>
  </si>
  <si>
    <t>603-26 제바동호</t>
  </si>
  <si>
    <t>603-26</t>
  </si>
  <si>
    <t>산2</t>
  </si>
  <si>
    <t>19</t>
  </si>
  <si>
    <t>김*수</t>
  </si>
  <si>
    <t>2077-6 아진일렉텍1동</t>
  </si>
  <si>
    <t>2077-6 아진일렉텍사무동</t>
  </si>
  <si>
    <t>2077-6</t>
  </si>
  <si>
    <t>286-2 제1동</t>
  </si>
  <si>
    <t>286-2 제2동</t>
  </si>
  <si>
    <t>286-2</t>
  </si>
  <si>
    <t>286-1</t>
  </si>
  <si>
    <t>286-3</t>
  </si>
  <si>
    <t>286-4</t>
  </si>
  <si>
    <t>286-5</t>
  </si>
  <si>
    <t>286-6</t>
  </si>
  <si>
    <t>286-7</t>
  </si>
  <si>
    <t>286-8</t>
  </si>
  <si>
    <t>286-9</t>
  </si>
  <si>
    <t>286-10</t>
  </si>
  <si>
    <t>81-1</t>
  </si>
  <si>
    <t>355-9 에이동</t>
  </si>
  <si>
    <t>355-9 비이동</t>
  </si>
  <si>
    <t>355-9</t>
  </si>
  <si>
    <t>2층 근린생활시설</t>
  </si>
  <si>
    <t>1004 주식회사세창실업추부공장 제1호</t>
  </si>
  <si>
    <t>1004</t>
  </si>
  <si>
    <t>1004 공장((주)세창실업)2동공장</t>
  </si>
  <si>
    <t>163-20외 1필지</t>
  </si>
  <si>
    <t>한정/한정</t>
    <phoneticPr fontId="3" type="noConversion"/>
  </si>
  <si>
    <t>163-20</t>
  </si>
  <si>
    <t>163-26</t>
  </si>
  <si>
    <t>163-23</t>
  </si>
  <si>
    <t>163-24</t>
  </si>
  <si>
    <t>163-25</t>
  </si>
  <si>
    <t>87-2 1동</t>
  </si>
  <si>
    <t>87-2 2동</t>
  </si>
  <si>
    <t>87-2 3동</t>
  </si>
  <si>
    <t>87-2</t>
  </si>
  <si>
    <t>최*돌</t>
  </si>
  <si>
    <t>4층 다세대 주택(10세대)</t>
  </si>
  <si>
    <t>오*애</t>
  </si>
  <si>
    <t>446-7 주건축물제1동</t>
  </si>
  <si>
    <t>단층 제1종근린생활시설(소매점)</t>
  </si>
  <si>
    <t>446-7</t>
  </si>
  <si>
    <t>446-6</t>
  </si>
  <si>
    <t>447-6</t>
  </si>
  <si>
    <t>447-7</t>
  </si>
  <si>
    <t>563-7</t>
  </si>
  <si>
    <t>1086-9</t>
  </si>
  <si>
    <t>단층 근린생활시설, 단층 제2종근린생활시설</t>
  </si>
  <si>
    <t>453-4외 3필지</t>
  </si>
  <si>
    <t>단층 공장, 단층 기숙사, 단층 사무실</t>
  </si>
  <si>
    <t>453-4</t>
  </si>
  <si>
    <t>453-5</t>
  </si>
  <si>
    <t>453-6</t>
  </si>
  <si>
    <t>453-10</t>
  </si>
  <si>
    <t>8층 근린생활시설 및 기타공장</t>
  </si>
  <si>
    <t>14층 공동주택(아파트)</t>
  </si>
  <si>
    <t>윤*남</t>
  </si>
  <si>
    <t>1-37 제에이동호</t>
  </si>
  <si>
    <t>2층 공장, 부속건물 2층 공장</t>
  </si>
  <si>
    <t>1-37</t>
  </si>
  <si>
    <t>1-50</t>
  </si>
  <si>
    <t>1-70</t>
  </si>
  <si>
    <t>1-72</t>
  </si>
  <si>
    <t>1-73</t>
  </si>
  <si>
    <t>1-74</t>
  </si>
  <si>
    <t>383-1</t>
  </si>
  <si>
    <t>단층 제2종근린생활시설(제조업소)</t>
  </si>
  <si>
    <t>383-5</t>
  </si>
  <si>
    <t>721</t>
  </si>
  <si>
    <t>단층공해공장, 단층사무실</t>
  </si>
  <si>
    <t>김*은</t>
  </si>
  <si>
    <t>34층 업무시설(오피스텔) 및 근린생활시설</t>
  </si>
  <si>
    <t>563-2 1동</t>
  </si>
  <si>
    <t>563-2 2동</t>
  </si>
  <si>
    <t>563-2</t>
  </si>
  <si>
    <t>563-2 3동</t>
  </si>
  <si>
    <t>50-2</t>
  </si>
  <si>
    <t>주식회사대***씨</t>
  </si>
  <si>
    <t>52-3</t>
  </si>
  <si>
    <t>1. 2024-01-10 하나은행 지상권 설정</t>
  </si>
  <si>
    <t>1285-1외 2필지</t>
  </si>
  <si>
    <t>용인시</t>
  </si>
  <si>
    <t>1285-1외 2필지 제1호</t>
  </si>
  <si>
    <t>1285-1외 2필지 제2호</t>
  </si>
  <si>
    <t>1층 휴게실</t>
  </si>
  <si>
    <t>1285-1</t>
  </si>
  <si>
    <t>1208-1</t>
  </si>
  <si>
    <t>1285-9</t>
  </si>
  <si>
    <t>1285-12</t>
  </si>
  <si>
    <t>1285-8</t>
  </si>
  <si>
    <t>1285-10</t>
  </si>
  <si>
    <t>1285-13</t>
  </si>
  <si>
    <t>1285-14</t>
  </si>
  <si>
    <t>129-1</t>
  </si>
  <si>
    <t>김*선</t>
  </si>
  <si>
    <t>지상17층 공동주택</t>
  </si>
  <si>
    <t>24층 아파트 및 판매시설,업무시설</t>
  </si>
  <si>
    <t>김*삼</t>
  </si>
  <si>
    <t>10층 공장(지식산업센터).근린생활시설</t>
  </si>
  <si>
    <t>235-19</t>
  </si>
  <si>
    <t>한*영</t>
  </si>
  <si>
    <t>17층 아파트</t>
  </si>
  <si>
    <t>20층 공장(지식산업센터) 및 지원시설(근린생활시설, 운동시설)</t>
  </si>
  <si>
    <t>542외 1필지</t>
  </si>
  <si>
    <t>단층 공장 및 창고, 단층 공장(사무실)</t>
  </si>
  <si>
    <t>542</t>
  </si>
  <si>
    <t>542-1</t>
  </si>
  <si>
    <t>27</t>
  </si>
  <si>
    <t>김*환, 박*영</t>
  </si>
  <si>
    <t>산192-3</t>
  </si>
  <si>
    <t>1126-389</t>
  </si>
  <si>
    <t>박*경</t>
  </si>
  <si>
    <t>456-3</t>
  </si>
  <si>
    <t>단층 공장(2개동호)</t>
  </si>
  <si>
    <t>451-2</t>
  </si>
  <si>
    <t>5층 제2종근린생활시설</t>
  </si>
  <si>
    <t>293-3</t>
  </si>
  <si>
    <t>293-8</t>
  </si>
  <si>
    <t>293-11</t>
  </si>
  <si>
    <t>293-12</t>
  </si>
  <si>
    <t>293-21</t>
  </si>
  <si>
    <t>293-26</t>
  </si>
  <si>
    <t>293-29</t>
  </si>
  <si>
    <t>543-2</t>
  </si>
  <si>
    <t>34층 공장</t>
  </si>
  <si>
    <t>4층 공동주택(다세대주택)</t>
  </si>
  <si>
    <t>35층 공동주택(아파트)</t>
  </si>
  <si>
    <t>456-125외 1필지 제4층 제402호</t>
  </si>
  <si>
    <t>4층 다세대주택</t>
  </si>
  <si>
    <t>미등기</t>
  </si>
  <si>
    <t>456-125</t>
  </si>
  <si>
    <t>456-635</t>
  </si>
  <si>
    <t>16층 공동주택</t>
  </si>
  <si>
    <t>439-1 제1동호</t>
  </si>
  <si>
    <t>439-1 제2동호</t>
  </si>
  <si>
    <t>439-1</t>
  </si>
  <si>
    <t>1. 2008-10-14 요역지역권(목적 통행, 승역지 동소 439-6, 439-13, 439-9)</t>
  </si>
  <si>
    <t>972</t>
  </si>
  <si>
    <t>971</t>
  </si>
  <si>
    <t>단독주택(1가구)</t>
  </si>
  <si>
    <t>정*경</t>
  </si>
  <si>
    <t>정*식</t>
  </si>
  <si>
    <t>최*정</t>
  </si>
  <si>
    <t>1167-13외 1필지 에이동</t>
  </si>
  <si>
    <t>2층 공장, 2층 사무실, 단층 창고, 단층 공장(창고)</t>
  </si>
  <si>
    <t>1167-13외 1필지 디동</t>
  </si>
  <si>
    <t>1167-13</t>
  </si>
  <si>
    <t>1056-15</t>
  </si>
  <si>
    <t>1035-30</t>
  </si>
  <si>
    <t>이*하</t>
  </si>
  <si>
    <t>136-3</t>
  </si>
  <si>
    <t>377-7</t>
  </si>
  <si>
    <t>933</t>
  </si>
  <si>
    <t>근저당권</t>
  </si>
  <si>
    <t>491외 1필지 가동</t>
  </si>
  <si>
    <t>491외 1필지 다동</t>
  </si>
  <si>
    <t>491-2</t>
  </si>
  <si>
    <t>산32-4</t>
  </si>
  <si>
    <t>산32-5</t>
  </si>
  <si>
    <t>산33-8</t>
  </si>
  <si>
    <t>산33-10</t>
  </si>
  <si>
    <t>491외 1필지 제나동호</t>
  </si>
  <si>
    <t>단층 공장(위험물저장소)</t>
  </si>
  <si>
    <t>491외 1필지 라동</t>
  </si>
  <si>
    <t>단층 공장(숙소)</t>
  </si>
  <si>
    <t>기계기구 5식</t>
  </si>
  <si>
    <t>40-44 주건축물제1동</t>
  </si>
  <si>
    <t>40-44</t>
  </si>
  <si>
    <t>40-43</t>
  </si>
  <si>
    <t>898-7외 1필지 씨동</t>
  </si>
  <si>
    <t>1층 공장(물품제조공장)</t>
  </si>
  <si>
    <t>898-7</t>
  </si>
  <si>
    <t>898-2</t>
  </si>
  <si>
    <t>898-8 디동</t>
  </si>
  <si>
    <t>898-8</t>
  </si>
  <si>
    <t>R-003-1-4</t>
  </si>
  <si>
    <t>R-003-1-5</t>
  </si>
  <si>
    <t>R-003-1-6</t>
  </si>
  <si>
    <t>R-003-1-7</t>
  </si>
  <si>
    <t>R-003-2-3</t>
  </si>
  <si>
    <t>R-003-2-4</t>
  </si>
  <si>
    <t>R-003-3-1</t>
  </si>
  <si>
    <t>R-003-3-2</t>
  </si>
  <si>
    <t>R-003-3-3</t>
  </si>
  <si>
    <t>R-003-4-1</t>
  </si>
  <si>
    <t>R-003-4-2</t>
  </si>
  <si>
    <t>R-003-5-1</t>
  </si>
  <si>
    <t>R-007-2-1</t>
  </si>
  <si>
    <t>R-007-3-1</t>
  </si>
  <si>
    <t>R-010-2-2</t>
  </si>
  <si>
    <t>R-010-2-3</t>
  </si>
  <si>
    <t>R-010-2-4</t>
  </si>
  <si>
    <t>R-010-2-5</t>
  </si>
  <si>
    <t>R-010-2-6</t>
  </si>
  <si>
    <t>R-010-2-7</t>
  </si>
  <si>
    <t>R-010-3-1</t>
  </si>
  <si>
    <t>R-010-3-2</t>
  </si>
  <si>
    <t>R-010-3-3</t>
  </si>
  <si>
    <t>R-010-3-4</t>
  </si>
  <si>
    <t>R-010-3-5</t>
  </si>
  <si>
    <t>R-010-3-6</t>
  </si>
  <si>
    <t>R-010-3-7</t>
  </si>
  <si>
    <t>R-010-4-1</t>
  </si>
  <si>
    <t>R-011-1-5</t>
  </si>
  <si>
    <t>R-011-2-1</t>
  </si>
  <si>
    <t>R-011-2-2</t>
  </si>
  <si>
    <t>R-011-3-1</t>
  </si>
  <si>
    <t>R-012-1-3</t>
  </si>
  <si>
    <t>R-012-1-4</t>
  </si>
  <si>
    <t>R-012-1-5</t>
  </si>
  <si>
    <t>R-012-1-6</t>
  </si>
  <si>
    <t>R-012-2-1</t>
  </si>
  <si>
    <t>R-019-1-7</t>
  </si>
  <si>
    <t>R-019-1-8</t>
  </si>
  <si>
    <t>R-019-1-9</t>
  </si>
  <si>
    <t>R-019-1-10</t>
  </si>
  <si>
    <t>R-020-2-1</t>
  </si>
  <si>
    <t>R-020-2-2</t>
  </si>
  <si>
    <t>R-020-2-3</t>
  </si>
  <si>
    <t>R-026-2-1</t>
  </si>
  <si>
    <t>R-026-3-1</t>
  </si>
  <si>
    <t>R-026-4-1</t>
  </si>
  <si>
    <t>R-047-3-1</t>
  </si>
  <si>
    <t>R-047-3-2</t>
  </si>
  <si>
    <t>R-047-4-1</t>
  </si>
  <si>
    <t>R-047-4-2</t>
  </si>
  <si>
    <t>R-047-4-3</t>
  </si>
  <si>
    <t>R-058-1-4</t>
  </si>
  <si>
    <t>R-058-1-5</t>
  </si>
  <si>
    <t>R-058-1-6</t>
  </si>
  <si>
    <t>R-058-1-7</t>
  </si>
  <si>
    <t>R-058-2-1</t>
  </si>
  <si>
    <t>R-058-2-2</t>
  </si>
  <si>
    <t>R-060-1-1</t>
  </si>
  <si>
    <t>R-060-1-2</t>
  </si>
  <si>
    <t>R-060-1-3</t>
  </si>
  <si>
    <t>R-063-2-1</t>
  </si>
  <si>
    <t>R-066-1-2</t>
  </si>
  <si>
    <t>R-066-1-3</t>
  </si>
  <si>
    <t>R-073-2-1</t>
  </si>
  <si>
    <t>R-074-1-5</t>
  </si>
  <si>
    <t>R-074-1-6</t>
  </si>
  <si>
    <t>R-077-2-1</t>
  </si>
  <si>
    <t>R-077-3-1</t>
  </si>
  <si>
    <t>R-081-1-3</t>
  </si>
  <si>
    <t>R-081-1-4</t>
  </si>
  <si>
    <t>R-081-1-5</t>
  </si>
  <si>
    <t>R-081-2-1</t>
  </si>
  <si>
    <t>R-086-2-1</t>
  </si>
  <si>
    <t>R-090-1-4</t>
  </si>
  <si>
    <t>R-090-1-5</t>
  </si>
  <si>
    <t>R-090-1-6</t>
  </si>
  <si>
    <t>R-090-1-7</t>
  </si>
  <si>
    <t>R-093-1-2</t>
  </si>
  <si>
    <t>R-093-1-3</t>
  </si>
  <si>
    <t>R-094-2-1</t>
  </si>
  <si>
    <t>R-097-1-2</t>
  </si>
  <si>
    <t>R-097-1-3</t>
  </si>
  <si>
    <t>R-097-2-1</t>
  </si>
  <si>
    <t>R-100-1-2</t>
  </si>
  <si>
    <t>R-100-1-3</t>
  </si>
  <si>
    <t>R-100-2-1</t>
  </si>
  <si>
    <t>R-100-2-2</t>
  </si>
  <si>
    <t>R-100-2-3</t>
  </si>
  <si>
    <t>R-100-2-4</t>
  </si>
  <si>
    <t>R-100-2-5</t>
  </si>
  <si>
    <t>R-100-2-6</t>
  </si>
  <si>
    <t>R-100-2-7</t>
  </si>
  <si>
    <t>R-100-2-8</t>
  </si>
  <si>
    <t>R-100-2-9</t>
  </si>
  <si>
    <t>R-100-2-10</t>
  </si>
  <si>
    <t>R-100-2-11</t>
  </si>
  <si>
    <t>R-100-2-12</t>
  </si>
  <si>
    <t>R-101-2-1</t>
  </si>
  <si>
    <t>R-107-1-2</t>
  </si>
  <si>
    <t>R-107-2-1</t>
  </si>
  <si>
    <t>R-115-2-1</t>
  </si>
  <si>
    <t>R-117-1-2</t>
  </si>
  <si>
    <t>R-117-1-3</t>
  </si>
  <si>
    <t>R-117-1-4</t>
  </si>
  <si>
    <t>R-117-1-5</t>
  </si>
  <si>
    <t>R-123-2-1</t>
  </si>
  <si>
    <t>R-127-1-1</t>
  </si>
  <si>
    <t>R-127-2-1</t>
  </si>
  <si>
    <t>R-127-2-2</t>
  </si>
  <si>
    <t>R-127-2-3</t>
  </si>
  <si>
    <t>R-137-1-2</t>
  </si>
  <si>
    <t>R-137-1-3</t>
  </si>
  <si>
    <t>R-137-1-4</t>
  </si>
  <si>
    <t>R-137-1-5</t>
  </si>
  <si>
    <t>R-137-1-6</t>
  </si>
  <si>
    <t>R-137-1-7</t>
  </si>
  <si>
    <t>R-138-2-1</t>
  </si>
  <si>
    <t>R-149-1-2</t>
  </si>
  <si>
    <t>R-149-1-3</t>
  </si>
  <si>
    <t>R-150-1-1</t>
  </si>
  <si>
    <t>R-153-1-1</t>
  </si>
  <si>
    <t>S-001-3-1</t>
  </si>
  <si>
    <t>S-001-3-2</t>
  </si>
  <si>
    <t>S-001-4-1</t>
  </si>
  <si>
    <t>S-001-5-1</t>
  </si>
  <si>
    <t>S-001-6-1</t>
  </si>
  <si>
    <t>S-001-7-1</t>
  </si>
  <si>
    <t>S-003-1-3</t>
  </si>
  <si>
    <t>S-003-1-4</t>
  </si>
  <si>
    <t>S-003-3-1</t>
  </si>
  <si>
    <t>S-003-4-1</t>
  </si>
  <si>
    <t>S-007-1-2</t>
  </si>
  <si>
    <t>S-009-1-3</t>
  </si>
  <si>
    <t>S-009-1-4</t>
  </si>
  <si>
    <t>S-009-2-1</t>
  </si>
  <si>
    <t>S-009-2-2</t>
  </si>
  <si>
    <t>S-009-2-3</t>
  </si>
  <si>
    <t>S-009-2-4</t>
  </si>
  <si>
    <t>S-009-3-1</t>
  </si>
  <si>
    <t>S-009-4-1</t>
  </si>
  <si>
    <t>S-009-5-1</t>
  </si>
  <si>
    <t>S-016-1-2</t>
  </si>
  <si>
    <t>S-016-1-3</t>
  </si>
  <si>
    <t>S-022-1-1</t>
  </si>
  <si>
    <t>S-022-1-2</t>
  </si>
  <si>
    <t>S-022-1-3</t>
  </si>
  <si>
    <t>S-022-1-4</t>
  </si>
  <si>
    <t>S-022-1-5</t>
  </si>
  <si>
    <t>제6조 목록 제2023-68호</t>
  </si>
  <si>
    <t>제6조 목록 제2023-69호</t>
  </si>
  <si>
    <t>제6조 목록 제2025-2호</t>
  </si>
  <si>
    <t>제6조 목록 제2025-6331호</t>
  </si>
  <si>
    <t>제6조 목록 제2025-1호</t>
  </si>
  <si>
    <t>제6조 목록 제2022-347호</t>
  </si>
  <si>
    <t>제6조 목록 제2023-41호</t>
  </si>
  <si>
    <t>제6조 목록 제2022-103호</t>
  </si>
  <si>
    <t>제6조 목록 제2021-259호</t>
  </si>
  <si>
    <t>제6조 목록 제2023-509호</t>
  </si>
  <si>
    <t>제6조 목록 제2019-155호</t>
  </si>
  <si>
    <t>제6조 목록 제2015-1374호</t>
  </si>
  <si>
    <t>제6조 목록 제2015-1375호</t>
  </si>
  <si>
    <t>제6조 목록 제2015-1376호</t>
  </si>
  <si>
    <t>제6조 목록 제2016-1199호</t>
  </si>
  <si>
    <t>제6조 목록 제2018-118호</t>
  </si>
  <si>
    <t>제6조 목록 제2024-897호</t>
  </si>
  <si>
    <t>제6조 목록 제2023-171호</t>
  </si>
  <si>
    <t>제6조 목록 제645호</t>
  </si>
  <si>
    <t>제6조 목록 제2013-928호</t>
  </si>
  <si>
    <t>제6조 목록 제2016-796호</t>
  </si>
  <si>
    <t>제6조 목록 제2019-150호</t>
  </si>
  <si>
    <t>제6조 목록 제2019-550호</t>
  </si>
  <si>
    <t>제6조 목록 제2023-754호</t>
  </si>
  <si>
    <t>제7조 목록 제45호</t>
  </si>
  <si>
    <t>제7조 목록 제6호</t>
  </si>
  <si>
    <t>제6조 목록 제2013-32호</t>
  </si>
  <si>
    <t>제6조 목록 제2013-83호</t>
  </si>
  <si>
    <t>제6조 목록 제2021-26호</t>
  </si>
  <si>
    <t>1. 2019-01-31 공동담보 '동소 염작리 87-2 2동, 3동 건물 2개동' 근저당권담보추가</t>
  </si>
  <si>
    <t>제6조 목록 제2016-253호</t>
  </si>
  <si>
    <t>제6조 목록 제2017-81호</t>
  </si>
  <si>
    <t>제6조 목록 제2017-401호</t>
  </si>
  <si>
    <t>제6조 목록 제2024-536호</t>
  </si>
  <si>
    <t>제7조 목록 제47호</t>
  </si>
  <si>
    <t>제7조 목록 제448호</t>
  </si>
  <si>
    <t>제7조 목록 제239호</t>
  </si>
  <si>
    <t>제6조 목록 제2021-212호</t>
  </si>
  <si>
    <t>제6조 목록 제2021-213호</t>
  </si>
  <si>
    <t>제6조 목록 제2022-28호</t>
  </si>
  <si>
    <t>삼성생명보험주식회사</t>
  </si>
  <si>
    <t>제6조 목록 제2017-21호</t>
  </si>
  <si>
    <t>제6조 목록 제2018-06호</t>
  </si>
  <si>
    <t>제6조 목록 제2024-49호</t>
  </si>
  <si>
    <t>송산농업협동조합</t>
  </si>
  <si>
    <t>1. 2021-09-29 채권최고액 132,000,000원에서 100,000,000원으로 감액</t>
  </si>
  <si>
    <t>1. 2024-06-03 채권최고액 74,400,000원에서 12,600,000원으로 감액</t>
  </si>
  <si>
    <t>1. 2019-11-07 채권최고액 120,000,000원에서 95,300,000원으로 감액</t>
  </si>
  <si>
    <t>1. 2014-05-02 채권최고액 38,400,000원에서 18,000,000원으로 감액</t>
  </si>
  <si>
    <t>제6조 목록 제2022-739호/제6조 목록 제2023-835호</t>
  </si>
  <si>
    <t>1. 2023-08-04 디동 건물 추가설정</t>
  </si>
  <si>
    <t>제6조 목록 제2023-85호/제6조 목록 제2023-836호</t>
  </si>
  <si>
    <t>제6조 목록 제2023-1068호</t>
  </si>
  <si>
    <t>생림농업협동조합</t>
  </si>
  <si>
    <t>제6조 목록 제2016-77호</t>
  </si>
  <si>
    <t>제6조 목록 제2016-309호</t>
  </si>
  <si>
    <t>제6조 목록 제2016-313호</t>
  </si>
  <si>
    <t>제6조 목록 제2023-190호</t>
  </si>
  <si>
    <t>제6조 목록 제2019-99호</t>
  </si>
  <si>
    <t>제6조 목록 제2019-129호</t>
  </si>
  <si>
    <t>1. 2020-12-30 건물 추가설정</t>
    <phoneticPr fontId="3" type="noConversion"/>
  </si>
  <si>
    <t>1. 2021-02-04 토지 2순위로 추가설정</t>
    <phoneticPr fontId="3" type="noConversion"/>
  </si>
  <si>
    <t>1. 2021-02-04 건물 2순위로 추가설정</t>
    <phoneticPr fontId="3" type="noConversion"/>
  </si>
  <si>
    <t>1. 2025-02-12 채권최고액 3,480,000,000원에서 4,320,000,000원으로 증액 변경계약</t>
    <phoneticPr fontId="3" type="noConversion"/>
  </si>
  <si>
    <t>1. 2023-02-21 건물 추가설정</t>
    <phoneticPr fontId="3" type="noConversion"/>
  </si>
  <si>
    <t>1. 2021-10-18 건물 추가설정</t>
    <phoneticPr fontId="3" type="noConversion"/>
  </si>
  <si>
    <t>1. 2023-01-26 건물 추가설정</t>
    <phoneticPr fontId="3" type="noConversion"/>
  </si>
  <si>
    <t>1. 2021-06-16 제씨동호 건물 3순위로 추가설정</t>
    <phoneticPr fontId="3" type="noConversion"/>
  </si>
  <si>
    <t>1. 제씨동호 건물은 1순위로 설정</t>
    <phoneticPr fontId="3" type="noConversion"/>
  </si>
  <si>
    <t>1. 제씨동호 건물은 2순위로 설정</t>
    <phoneticPr fontId="3" type="noConversion"/>
  </si>
  <si>
    <t>1, 2010-11-22 비이동 건물 담보추가</t>
    <phoneticPr fontId="3" type="noConversion"/>
  </si>
  <si>
    <t>1. 변경전상호 (주)세**업</t>
    <phoneticPr fontId="3" type="noConversion"/>
  </si>
  <si>
    <t>1. 2013-06-10 4순위 근저당권에 2동공장(담보일련번호 2번) 담보추가</t>
    <phoneticPr fontId="3" type="noConversion"/>
  </si>
  <si>
    <t>1. 1순위 건물 추가 설정</t>
    <phoneticPr fontId="3" type="noConversion"/>
  </si>
  <si>
    <t>1. IBK 타채무자 차*근</t>
    <phoneticPr fontId="3" type="noConversion"/>
  </si>
  <si>
    <t>1. IBK 타채무자 김*태</t>
    <phoneticPr fontId="3" type="noConversion"/>
  </si>
  <si>
    <t>1. 2009-06-10 제1동호, 제2동호 건물 추가설정</t>
    <phoneticPr fontId="3" type="noConversion"/>
  </si>
  <si>
    <t>무보전자_선적전</t>
  </si>
  <si>
    <t>504202300209</t>
  </si>
  <si>
    <t>971**153432***037</t>
  </si>
  <si>
    <t>504202300210</t>
  </si>
  <si>
    <t>971**153432***036</t>
  </si>
  <si>
    <t>504202300224</t>
  </si>
  <si>
    <t>971**153434***032</t>
  </si>
  <si>
    <t>504202300226</t>
  </si>
  <si>
    <t>971**153432***035</t>
  </si>
  <si>
    <t>504202300244</t>
  </si>
  <si>
    <t>971**153432***042</t>
  </si>
  <si>
    <t>504202300243</t>
  </si>
  <si>
    <t>971**153432***041</t>
  </si>
  <si>
    <t>504202500027</t>
  </si>
  <si>
    <t>971**153432***065</t>
  </si>
  <si>
    <t>504202500026</t>
  </si>
  <si>
    <t>971**153432***067</t>
  </si>
  <si>
    <t>TAL202200670</t>
  </si>
  <si>
    <t>621**967332***061</t>
  </si>
  <si>
    <t>TAL202400234</t>
  </si>
  <si>
    <t>621**967332***073</t>
  </si>
  <si>
    <t>TAL202400233</t>
  </si>
  <si>
    <t>621**967332***074</t>
  </si>
  <si>
    <t>TAL202400231</t>
  </si>
  <si>
    <t>621**967332***072</t>
  </si>
  <si>
    <t>301202000888</t>
  </si>
  <si>
    <t>561**824032***035</t>
  </si>
  <si>
    <t>301202100583</t>
  </si>
  <si>
    <t>561**824032***085</t>
  </si>
  <si>
    <t>301202100582</t>
  </si>
  <si>
    <t>561**824032***086</t>
  </si>
  <si>
    <t>301202100584</t>
  </si>
  <si>
    <t>561**824032***087</t>
  </si>
  <si>
    <t>301202200578</t>
  </si>
  <si>
    <t>561**824032***093</t>
  </si>
  <si>
    <t>301202200577</t>
  </si>
  <si>
    <t>561**824032***094</t>
  </si>
  <si>
    <t>TOG202200005</t>
  </si>
  <si>
    <t>971**954332***033</t>
  </si>
  <si>
    <t>TOG202300001</t>
  </si>
  <si>
    <t>971**954332***041</t>
  </si>
  <si>
    <t>TQL202000796</t>
  </si>
  <si>
    <t>098**252432***461</t>
  </si>
  <si>
    <t>307201600311</t>
  </si>
  <si>
    <t>985**038832***037</t>
  </si>
  <si>
    <t>307201600312</t>
  </si>
  <si>
    <t>985**038832***038</t>
  </si>
  <si>
    <t>307201600454</t>
  </si>
  <si>
    <t>985**038832***043</t>
  </si>
  <si>
    <t>TAW202301411</t>
  </si>
  <si>
    <t>045**966332***051</t>
  </si>
  <si>
    <t>TAW202400277</t>
  </si>
  <si>
    <t>045**966332***059</t>
  </si>
  <si>
    <t>407202000802</t>
  </si>
  <si>
    <t>637**698432***043</t>
  </si>
  <si>
    <t>407202200527</t>
  </si>
  <si>
    <t>637**698432***049</t>
  </si>
  <si>
    <t>306202100045</t>
  </si>
  <si>
    <t>425**641732***827</t>
  </si>
  <si>
    <t>701202000412</t>
  </si>
  <si>
    <t>128**249332***031</t>
  </si>
  <si>
    <t>502202100240</t>
  </si>
  <si>
    <t>183**957132***032</t>
  </si>
  <si>
    <t>502202100245</t>
  </si>
  <si>
    <t>183**957132***033</t>
  </si>
  <si>
    <t>502202100246</t>
  </si>
  <si>
    <t>183**957132***034</t>
  </si>
  <si>
    <t>TND202300132</t>
  </si>
  <si>
    <t>183**957132***037</t>
  </si>
  <si>
    <t>502202400502</t>
  </si>
  <si>
    <t>183**957132***038</t>
  </si>
  <si>
    <t>TID202000005</t>
  </si>
  <si>
    <t>524**487032***038</t>
  </si>
  <si>
    <t>TIG202004329</t>
  </si>
  <si>
    <t>524**487032***040</t>
  </si>
  <si>
    <t>GBF202043452</t>
  </si>
  <si>
    <t>278**774532***041</t>
  </si>
  <si>
    <t>TPJ202200498</t>
  </si>
  <si>
    <t>278**774532***126</t>
  </si>
  <si>
    <t>304201900172</t>
  </si>
  <si>
    <t>487**954732***035</t>
  </si>
  <si>
    <t>304201900173</t>
  </si>
  <si>
    <t>487**954732***034</t>
  </si>
  <si>
    <t>304202100548</t>
  </si>
  <si>
    <t>487**954732***042</t>
  </si>
  <si>
    <t>304202100549</t>
  </si>
  <si>
    <t>487**954732***043</t>
  </si>
  <si>
    <t>TJB202300361</t>
  </si>
  <si>
    <t>374**301732***045</t>
  </si>
  <si>
    <t>TAT201900097</t>
  </si>
  <si>
    <t>012**144332***033</t>
  </si>
  <si>
    <t>TAT202100460</t>
  </si>
  <si>
    <t>012**144301***021</t>
  </si>
  <si>
    <t>2002000218685</t>
  </si>
  <si>
    <t>083**041932***031</t>
  </si>
  <si>
    <t>2001901196969</t>
  </si>
  <si>
    <t>083**938532***035</t>
  </si>
  <si>
    <t>1516059632</t>
  </si>
  <si>
    <t>499**650599***031</t>
  </si>
  <si>
    <t>TQJ202200354</t>
  </si>
  <si>
    <t>415**702999***031</t>
  </si>
  <si>
    <t>TQJ202200355</t>
  </si>
  <si>
    <t>415**702932***034</t>
  </si>
  <si>
    <t>TQJ202200552</t>
  </si>
  <si>
    <t>415**702932***038</t>
  </si>
  <si>
    <t>TQJ202300445</t>
  </si>
  <si>
    <t>415**702932***057</t>
  </si>
  <si>
    <t>TQJ202300673</t>
  </si>
  <si>
    <t>415**702932***058</t>
  </si>
  <si>
    <t>TAM202300818</t>
  </si>
  <si>
    <t>070**009732***035</t>
  </si>
  <si>
    <t>TAM202301155</t>
  </si>
  <si>
    <t>070**009732***037</t>
  </si>
  <si>
    <t>6,7</t>
    <phoneticPr fontId="3" type="noConversion"/>
  </si>
  <si>
    <t>무역보험공사</t>
    <phoneticPr fontId="3" type="noConversion"/>
  </si>
  <si>
    <t>4,5</t>
    <phoneticPr fontId="3" type="noConversion"/>
  </si>
  <si>
    <t>2,3</t>
    <phoneticPr fontId="3" type="noConversion"/>
  </si>
  <si>
    <t>9,10</t>
    <phoneticPr fontId="3" type="noConversion"/>
  </si>
  <si>
    <t>7,8</t>
    <phoneticPr fontId="3" type="noConversion"/>
  </si>
  <si>
    <t>14,15</t>
    <phoneticPr fontId="3" type="noConversion"/>
  </si>
  <si>
    <t>1,2</t>
    <phoneticPr fontId="3" type="noConversion"/>
  </si>
  <si>
    <t>11,12</t>
    <phoneticPr fontId="3" type="noConversion"/>
  </si>
  <si>
    <t>3,4</t>
    <phoneticPr fontId="3" type="noConversion"/>
  </si>
  <si>
    <t>5,6</t>
    <phoneticPr fontId="3" type="noConversion"/>
  </si>
  <si>
    <t>8,9</t>
    <phoneticPr fontId="3" type="noConversion"/>
  </si>
  <si>
    <t>경북신용보증재단</t>
    <phoneticPr fontId="3" type="noConversion"/>
  </si>
  <si>
    <t>10,11</t>
    <phoneticPr fontId="3" type="noConversion"/>
  </si>
  <si>
    <t>8~15</t>
    <phoneticPr fontId="3" type="noConversion"/>
  </si>
  <si>
    <t>18,19</t>
    <phoneticPr fontId="3" type="noConversion"/>
  </si>
  <si>
    <t>12,13</t>
    <phoneticPr fontId="3" type="noConversion"/>
  </si>
  <si>
    <t>Pool B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</si>
</sst>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0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-* #,##0.00_-;\-* #,##0.00_-;_-* &quot;-&quot;_-;_-@_-"/>
    <numFmt numFmtId="177" formatCode="#,##0_-;[Red]\(#,##0\)_-;\-_-"/>
    <numFmt numFmtId="178" formatCode="0_ "/>
    <numFmt numFmtId="179" formatCode="[$-F400]h:mm:ss\ AM/PM"/>
    <numFmt numFmtId="180" formatCode="#."/>
    <numFmt numFmtId="181" formatCode="&quot;?&quot;#,##0;[Red]&quot;?&quot;&quot;-&quot;#,##0"/>
    <numFmt numFmtId="182" formatCode="0.0000%"/>
    <numFmt numFmtId="183" formatCode="_ &quot;₩&quot;* #,##0_ ;_ &quot;₩&quot;* \-#,##0_ ;_ &quot;₩&quot;* &quot;-&quot;_ ;_ @_ "/>
    <numFmt numFmtId="184" formatCode="_ &quot;₩&quot;* #,##0_ ;_ &quot;₩&quot;* &quot;₩&quot;&quot;₩&quot;&quot;₩&quot;&quot;₩&quot;&quot;₩&quot;&quot;₩&quot;&quot;₩&quot;\-#,##0_ ;_ &quot;₩&quot;* &quot;-&quot;_ ;_ @_ "/>
    <numFmt numFmtId="185" formatCode="_ &quot;$&quot;* #,##0_ ;_ &quot;$&quot;* \-#,##0_ ;_ &quot;$&quot;* &quot;-&quot;_ ;_ @_ "/>
    <numFmt numFmtId="186" formatCode="&quot;₩&quot;#,##0;[Red]&quot;₩&quot;&quot;-&quot;#,##0"/>
    <numFmt numFmtId="187" formatCode="&quot;₩&quot;#,##0.00;[Red]&quot;₩&quot;\-#,##0.00"/>
    <numFmt numFmtId="188" formatCode="_(&quot;$&quot;* #,##0_);_(&quot;$&quot;* \(#,##0\);_(&quot;$&quot;* &quot;-&quot;_);_(@_)"/>
    <numFmt numFmtId="189" formatCode="&quot;$&quot;#,##0_);[Red]\(&quot;$&quot;#,##0\)"/>
    <numFmt numFmtId="190" formatCode="_ &quot;₩&quot;* #,##0.00_ ;_ &quot;₩&quot;* \-#,##0.00_ ;_ &quot;₩&quot;* &quot;-&quot;??_ ;_ @_ "/>
    <numFmt numFmtId="191" formatCode="_ &quot;$&quot;* #,##0.00_ ;_ &quot;$&quot;* \-#,##0.00_ ;_ &quot;$&quot;* &quot;-&quot;??_ ;_ @_ "/>
    <numFmt numFmtId="192" formatCode="&quot;₩&quot;#,##0;[Red]&quot;₩&quot;\-#,##0"/>
    <numFmt numFmtId="193" formatCode="_(&quot;$&quot;* #,##0.00_);_(&quot;$&quot;* \(#,##0.00\);_(&quot;$&quot;* &quot;-&quot;??_);_(@_)"/>
    <numFmt numFmtId="194" formatCode="&quot;$&quot;#,##0.00_);[Red]\(&quot;$&quot;#,##0.00\)"/>
    <numFmt numFmtId="195" formatCode="_ * #,##0_ ;_ * \-#,##0_ ;_ * &quot;-&quot;_ ;_ @_ "/>
    <numFmt numFmtId="196" formatCode="_ * #,##0.00_ ;_ * \-#,##0.00_ ;_ * &quot;-&quot;??_ ;_ @_ "/>
    <numFmt numFmtId="197" formatCode="#,##0.0000;[Red]&quot;-&quot;#,##0.0000"/>
    <numFmt numFmtId="198" formatCode="#,##0.00;[Red]&quot;-&quot;#,##0.00"/>
    <numFmt numFmtId="199" formatCode="#,##0.0_ "/>
    <numFmt numFmtId="200" formatCode="_(* #,##0.0_);_(* \(#,##0.0\);_(* &quot;-&quot;?_);@_)"/>
    <numFmt numFmtId="201" formatCode="0.0%"/>
    <numFmt numFmtId="202" formatCode="_-* #,##0.000_-;\-* #,##0.000_-;_-* &quot;-&quot;_-;_-@_-"/>
    <numFmt numFmtId="203" formatCode="General_)"/>
    <numFmt numFmtId="204" formatCode="0.0000000%"/>
    <numFmt numFmtId="205" formatCode="_(* #,##0_);_(* \(#,##0\);_(* &quot;-&quot;_);_(@_)"/>
    <numFmt numFmtId="206" formatCode="#,##0_%_);\(#,##0\)_%;#,##0_%_);@_%_)"/>
    <numFmt numFmtId="207" formatCode="#,##0.00_%_);\(#,##0.00\)_%;#,##0.00_%_);@_%_)"/>
    <numFmt numFmtId="208" formatCode="&quot;$&quot;#,##0.00_);&quot;₩&quot;\!\(&quot;$&quot;#,##0.00&quot;₩&quot;\!\)"/>
    <numFmt numFmtId="209" formatCode="mmm\.yy"/>
    <numFmt numFmtId="210" formatCode="0.000%"/>
    <numFmt numFmtId="211" formatCode="&quot;₩&quot;#,##0;[Red]&quot;₩&quot;&quot;₩&quot;\-#,##0"/>
    <numFmt numFmtId="212" formatCode="&quot;$&quot;#,##0_%_);\(&quot;$&quot;#,##0\)_%;&quot;$&quot;#,##0_%_);@_%_)"/>
    <numFmt numFmtId="213" formatCode="&quot;$&quot;#,##0.00_%_);\(&quot;$&quot;#,##0.00\)_%;&quot;$&quot;#,##0.00_%_);@_%_)"/>
    <numFmt numFmtId="214" formatCode="#,##0_ "/>
    <numFmt numFmtId="215" formatCode="&quot;₩&quot;#,##0;&quot;₩&quot;&quot;₩&quot;&quot;₩&quot;&quot;₩&quot;\-#,##0"/>
    <numFmt numFmtId="216" formatCode="&quot;?#,##0.00;\-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?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#,##0.00"/>
    <numFmt numFmtId="217" formatCode="_ * #,##0_ ;_ * &quot;₩&quot;\-#,##0_ ;_ * &quot;-&quot;_ ;_ @_ "/>
    <numFmt numFmtId="218" formatCode="m/d/yy_%_)"/>
    <numFmt numFmtId="219" formatCode="* #,##0_%;* \-#,##0_%;* #,##0_%;@_%"/>
    <numFmt numFmtId="220" formatCode="&quot;?#,##0.00;\-&quot;&quot;&quot;&quot;&quot;&quot;&quot;&quot;&quot;&quot;&quot;&quot;&quot;&quot;&quot;&quot;&quot;&quot;&quot;&quot;&quot;&quot;&quot;&quot;&quot;&quot;&quot;&quot;&quot;&quot;&quot;&quot;&quot;&quot;&quot;&quot;&quot;&quot;&quot;&quot;?&quot;&quot;&quot;&quot;&quot;&quot;&quot;&quot;&quot;&quot;&quot;&quot;&quot;&quot;&quot;&quot;&quot;&quot;&quot;&quot;&quot;&quot;&quot;&quot;&quot;&quot;&quot;&quot;&quot;&quot;&quot;&quot;&quot;&quot;&quot;&quot;&quot;&quot;&quot;#,##0.00"/>
    <numFmt numFmtId="221" formatCode="_ &quot;₩&quot;* #,##0.00_ ;_ &quot;₩&quot;* &quot;₩&quot;\-#,##0.00_ ;_ &quot;₩&quot;* &quot;-&quot;??_ ;_ @_ "/>
    <numFmt numFmtId="222" formatCode="0_%_);\(0\)_%;0_%_);@_%_)"/>
    <numFmt numFmtId="223" formatCode="_-[$€-2]* #,##0.00_-;\-[$€-2]* #,##0.00_-;_-[$€-2]* &quot;-&quot;??_-"/>
    <numFmt numFmtId="224" formatCode="&quot;₩&quot;#,##0.00;&quot;₩&quot;&quot;₩&quot;\-#,##0.00"/>
    <numFmt numFmtId="225" formatCode="0.0\%_);\(0.0\%\);0.0\%_);@_%_)"/>
    <numFmt numFmtId="226" formatCode="_ &quot;₩&quot;* #,##0_ ;_ &quot;₩&quot;* &quot;₩&quot;\-#,##0_ ;_ &quot;₩&quot;* &quot;-&quot;_ ;_ @_ "/>
    <numFmt numFmtId="227" formatCode="#,##0;[Red]&quot;△&quot;#,##0"/>
    <numFmt numFmtId="228" formatCode="\ \ \ #,###"/>
    <numFmt numFmtId="229" formatCode="0.00000000"/>
    <numFmt numFmtId="230" formatCode="0.00000%"/>
    <numFmt numFmtId="231" formatCode="&quot;?#,##0.00;[Red]\-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?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#,##0.00"/>
    <numFmt numFmtId="232" formatCode="&quot;₩&quot;#,##0.00;[Red]&quot;₩&quot;&quot;₩&quot;\-#,##0.00"/>
    <numFmt numFmtId="233" formatCode="_ * #,##0.00_ ;_ * \-#,##0.00_ ;_ * &quot;-&quot;_ ;_ @_ "/>
    <numFmt numFmtId="234" formatCode="_-&quot;?&quot;* #,##0_-;\-&quot;?&quot;* #,##0_-;_-&quot;?&quot;* &quot;-&quot;_-;_-@_-"/>
    <numFmt numFmtId="235" formatCode="0.000000%"/>
    <numFmt numFmtId="236" formatCode="#,##0&quot;£&quot;_);[Red]\(#,##0&quot;£&quot;\)"/>
    <numFmt numFmtId="237" formatCode="_-* #,##0.0000_-;\-* #,##0.0000_-;_-* &quot;-&quot;??_-;_-@_-"/>
    <numFmt numFmtId="238" formatCode="\(0.0%\)"/>
    <numFmt numFmtId="239" formatCode="#,##0&quot;포&quot;"/>
    <numFmt numFmtId="240" formatCode="&quot;₩&quot;#,##0_);&quot;₩&quot;&quot;₩&quot;\(&quot;₩&quot;#,##0&quot;₩&quot;&quot;₩&quot;\)"/>
    <numFmt numFmtId="241" formatCode="#,##0;&quot;△&quot;#,##0"/>
    <numFmt numFmtId="242" formatCode="#,##0_);\(#,##0\)"/>
    <numFmt numFmtId="243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244" formatCode="#,##0&quot;Vial&quot;"/>
    <numFmt numFmtId="245" formatCode="#,##0;[Red]\(#,##0\);\-"/>
    <numFmt numFmtId="246" formatCode="0.000"/>
    <numFmt numFmtId="247" formatCode="#,##0;&quot;-&quot;#,##0"/>
    <numFmt numFmtId="248" formatCode="&quot;$&quot;#,##0.00_);\(&quot;$&quot;#,##0.00\)"/>
    <numFmt numFmtId="249" formatCode="_(* #,##0.00_);_(* \(#,##0.00\);_(* &quot;-&quot;??_);_(@_)"/>
    <numFmt numFmtId="250" formatCode="_ &quot;₩&quot;* #,##0_ ;_ &quot;₩&quot;* &quot;₩&quot;\!\-#,##0_ ;_ &quot;₩&quot;* &quot;-&quot;_ ;_ @_ "/>
    <numFmt numFmtId="251" formatCode="000000"/>
    <numFmt numFmtId="252" formatCode="#,##0&quot;㎖&quot;"/>
    <numFmt numFmtId="253" formatCode="#,##0&quot;g&quot;"/>
    <numFmt numFmtId="254" formatCode="&quot;PG1130&quot;@&quot;01&quot;"/>
    <numFmt numFmtId="255" formatCode="&quot;₩&quot;#,##0;[Red]&quot;₩&quot;\!\-&quot;₩&quot;#,##0"/>
    <numFmt numFmtId="256" formatCode="&quot; ￦&quot;#,##0_);&quot;(￦&quot;#,##0\);&quot; ￦&quot;\-_)"/>
    <numFmt numFmtId="257" formatCode="#0&quot;일&quot;"/>
    <numFmt numFmtId="258" formatCode="#,##0&quot;정&quot;"/>
    <numFmt numFmtId="259" formatCode="#,##0&quot;매&quot;"/>
    <numFmt numFmtId="260" formatCode="&quot;#&quot;##0"/>
    <numFmt numFmtId="261" formatCode="#,##0;[Red]\-#,##0;\-"/>
    <numFmt numFmtId="262" formatCode="[Blue]#,##0.00;[Red]\-#,##0.00"/>
    <numFmt numFmtId="263" formatCode="#,##0&quot;캅셀&quot;"/>
    <numFmt numFmtId="264" formatCode="#,##0\ "/>
    <numFmt numFmtId="265" formatCode="_(&quot;₩&quot;* #,##0_);_(&quot;₩&quot;* \(#,##0\);_(&quot;₩&quot;* &quot;-&quot;_);_(@_)"/>
    <numFmt numFmtId="266" formatCode="_-&quot;$&quot;* #,##0_-;\-&quot;$&quot;* #,##0_-;_-&quot;$&quot;* &quot;-&quot;_-;_-@_-"/>
    <numFmt numFmtId="267" formatCode="&quot;?&quot;#,##0;[Red]&quot;?&quot;\-#,##0"/>
    <numFmt numFmtId="268" formatCode="\ \ \ \ \ @"/>
    <numFmt numFmtId="269" formatCode="_-&quot;$&quot;* #,##0.00_-;\-&quot;$&quot;* #,##0.00_-;_-&quot;$&quot;* &quot;-&quot;??_-;_-@_-"/>
    <numFmt numFmtId="270" formatCode="&quot;₩&quot;#,##0;&quot;₩&quot;\-#,##0"/>
    <numFmt numFmtId="271" formatCode="_-[$€]* #,##0.00_-;\-[$€]* #,##0.00_-;_-[$€]* &quot;-&quot;??_-;_-@_-"/>
    <numFmt numFmtId="272" formatCode="_-&quot;₫&quot;* #,##0_-;\-&quot;₫&quot;* #,##0_-;_-&quot;₫&quot;* &quot;-&quot;_-;_-@_-"/>
    <numFmt numFmtId="273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74" formatCode="&quot;₩&quot;\!\$#,##0_);[Red]&quot;₩&quot;\!\(&quot;₩&quot;\!\$#,##0&quot;₩&quot;\!\)"/>
    <numFmt numFmtId="275" formatCode=";;;"/>
    <numFmt numFmtId="276" formatCode="_-* #,##0\ &quot;F&quot;_-;\-* #,##0\ &quot;F&quot;_-;_-* &quot;-&quot;\ &quot;F&quot;_-;_-@_-"/>
    <numFmt numFmtId="277" formatCode="_-* #,##0\ _F_-;\-* #,##0\ _F_-;_-* &quot;-&quot;\ _F_-;_-@_-"/>
    <numFmt numFmtId="278" formatCode="_-* #,##0.0_-;\-* #,##0.0_-;_-* &quot;-&quot;??_-;_-@_-"/>
    <numFmt numFmtId="279" formatCode="yy/mm/d"/>
    <numFmt numFmtId="280" formatCode="&quot;£&quot;#,##0;[Red]\-&quot;£&quot;#,##0"/>
    <numFmt numFmtId="281" formatCode="#,##0\ &quot;FB&quot;;\-#,##0\ &quot;FB&quot;"/>
    <numFmt numFmtId="282" formatCode="_-* #,##0&quot;$&quot;_-;\-* #,##0&quot;$&quot;_-;_-* &quot;-&quot;&quot;$&quot;_-;_-@_-"/>
    <numFmt numFmtId="283" formatCode="_-&quot;$&quot;\ * #,##0_-;\-&quot;$&quot;\ * #,##0_-;_-&quot;$&quot;\ * &quot;-&quot;_-;_-@_-"/>
    <numFmt numFmtId="284" formatCode="_-* #,##0\ &quot;₫&quot;_-;\-* #,##0\ &quot;₫&quot;_-;_-* &quot;-&quot;\ &quot;₫&quot;_-;_-@_-"/>
    <numFmt numFmtId="285" formatCode="_-* #,##0.00\ _₫_-;\-* #,##0.00\ _₫_-;_-* &quot;-&quot;??\ _₫_-;_-@_-"/>
    <numFmt numFmtId="286" formatCode="_-* #,##0.00\ _F_-;\-* #,##0.00\ _F_-;_-* &quot;-&quot;??\ _F_-;_-@_-"/>
    <numFmt numFmtId="287" formatCode="_-* #,##0.00\ _V_N_D_-;\-* #,##0.00\ _V_N_D_-;_-* &quot;-&quot;??\ _V_N_D_-;_-@_-"/>
    <numFmt numFmtId="288" formatCode="_-* #,##0.00_$_-;\-* #,##0.00_$_-;_-* &quot;-&quot;??_$_-;_-@_-"/>
    <numFmt numFmtId="289" formatCode="#,##0.00\ &quot;FB&quot;;\-#,##0.00\ &quot;FB&quot;"/>
    <numFmt numFmtId="290" formatCode="_-* #,##0.00_ñ_-;\-* #,##0.00_ñ_-;_-* &quot;-&quot;??_ñ_-;_-@_-"/>
    <numFmt numFmtId="291" formatCode="_-* #,##0\ _₫_-;\-* #,##0\ _₫_-;_-* &quot;-&quot;\ _₫_-;_-@_-"/>
    <numFmt numFmtId="292" formatCode="_-* #,##0\ _V_N_D_-;\-* #,##0\ _V_N_D_-;_-* &quot;-&quot;\ _V_N_D_-;_-@_-"/>
    <numFmt numFmtId="293" formatCode="_-* #,##0_$_-;\-* #,##0_$_-;_-* &quot;-&quot;_$_-;_-@_-"/>
    <numFmt numFmtId="294" formatCode="#,##0\ &quot;FB&quot;;[Red]\-#,##0\ &quot;FB&quot;"/>
    <numFmt numFmtId="295" formatCode="_-* #,##0_ñ_-;\-* #,##0_ñ_-;_-* &quot;-&quot;_ñ_-;_-@_-"/>
    <numFmt numFmtId="296" formatCode="&quot;     &quot;@"/>
    <numFmt numFmtId="297" formatCode="_(&quot;￡&quot;* #,##0_);_(&quot;￡&quot;* \(#,##0\);_(&quot;￡&quot;* &quot;-&quot;_);_(@_)"/>
    <numFmt numFmtId="298" formatCode="_(&quot;￡&quot;* #,##0.0_);_(&quot;￡&quot;* \(#,##0.0\);_(&quot;￡&quot;* &quot;-&quot;_);_(@_)"/>
    <numFmt numFmtId="299" formatCode="_(&quot;￡&quot;* #,##0.00_);_(&quot;￡&quot;* \(#,##0.00\);_(&quot;￡&quot;* &quot;-&quot;_);_(@_)"/>
    <numFmt numFmtId="300" formatCode="_(* #,##0\p_);_(* \(#,##0\p\);_(* &quot;-&quot;\ \p_);_(@_)"/>
    <numFmt numFmtId="301" formatCode="_(* #,##0.00\p_);_(* \(#,##0.00\p\);_(* &quot;-&quot;\ \p_);_(@_)"/>
    <numFmt numFmtId="302" formatCode="&quot;￡&quot;#,##0.00"/>
    <numFmt numFmtId="303" formatCode="&quot;111-&quot;@"/>
    <numFmt numFmtId="304" formatCode="&quot;(&quot;0&quot;)&quot;"/>
    <numFmt numFmtId="305" formatCode="#,##0.00_);\(#,##0.00\);&quot;- &quot;"/>
    <numFmt numFmtId="306" formatCode="&quot;£&quot;#,##0.00;\-&quot;£&quot;#,##0.00"/>
    <numFmt numFmtId="307" formatCode="&quot;     &quot;General"/>
    <numFmt numFmtId="308" formatCode="&quot;       &quot;@"/>
    <numFmt numFmtId="309" formatCode="_(* #,##0.0000000_);_(* \(#,##0.0000000\);_(* &quot;-&quot;??_);_(@_)"/>
    <numFmt numFmtId="310" formatCode="#,##0&quot;VND&quot;_);[Red]\(#,##0&quot;VND&quot;\)"/>
    <numFmt numFmtId="311" formatCode="_(* #,##0.00000000_);_(* \(#,##0.00000000\);_(* &quot;-&quot;??_);_(@_)"/>
    <numFmt numFmtId="312" formatCode="d/&quot;기&quot;&quot;정&quot;&quot;치&quot;"/>
    <numFmt numFmtId="313" formatCode="&quot;SFr.&quot;\ #,##0;[Red]&quot;SFr.&quot;\ \-#,##0"/>
    <numFmt numFmtId="314" formatCode="&quot;SFr.&quot;\ #,##0.00;[Red]&quot;SFr.&quot;\ \-#,##0.00"/>
    <numFmt numFmtId="315" formatCode="_-* #,##0_-;&quot;₩&quot;\!\-* #,##0_-;_-* &quot;-&quot;_-;_-@_-"/>
    <numFmt numFmtId="316" formatCode="&quot; &quot;@"/>
    <numFmt numFmtId="317" formatCode="#,##0;[Red]#,##0"/>
    <numFmt numFmtId="318" formatCode="#,##0;\-#,##0;&quot;-&quot;"/>
    <numFmt numFmtId="319" formatCode="\-\2\2\4&quot; &quot;"/>
    <numFmt numFmtId="320" formatCode="\-\1&quot; &quot;"/>
    <numFmt numFmtId="321" formatCode="#,##0&quot;  &quot;"/>
    <numFmt numFmtId="322" formatCode="\-\1\4\4&quot; &quot;"/>
    <numFmt numFmtId="323" formatCode="_-* #,##0.00\ &quot;F&quot;_-;\-* #,##0.00\ &quot;F&quot;_-;_-* &quot;-&quot;??\ &quot;F&quot;_-;_-@_-"/>
    <numFmt numFmtId="324" formatCode="_(* #,##0.0_);_(* \(#,##0.0\);_(* &quot;-&quot;??_);_(@_)"/>
    <numFmt numFmtId="325" formatCode="m/s"/>
    <numFmt numFmtId="326" formatCode="#,##0.00;[Red]#,##0.00"/>
    <numFmt numFmtId="327" formatCode="#,##0.000"/>
    <numFmt numFmtId="328" formatCode="_(&quot;$&quot;* #,##0.0_);_(&quot;$&quot;* \(#,##0.0\);_(&quot;$&quot;* &quot;-&quot;_);_(@_)"/>
    <numFmt numFmtId="329" formatCode="_-* #,##0_-;\-* #,##0_-;_-* &quot;-&quot;??_-;_-@_-"/>
    <numFmt numFmtId="330" formatCode="_(&quot;$&quot;* #,##0.00_);_(&quot;$&quot;* \(#,##0.00\);_(&quot;$&quot;* &quot;-&quot;_);_(@_)"/>
    <numFmt numFmtId="331" formatCode="&quot;₩&quot;#,##0;[Red]&quot;₩&quot;&quot;₩&quot;&quot;₩&quot;&quot;₩&quot;&quot;₩&quot;\-#,##0"/>
    <numFmt numFmtId="332" formatCode="_(* #,##0_);_(* \(#,##0\);_(* &quot;&quot;\ \-\ &quot;&quot;_);_(@_)"/>
    <numFmt numFmtId="333" formatCode="_-* #,##0.00_-;_-* #,##0.00\-;_-* &quot;-&quot;??_-;_-@_-"/>
    <numFmt numFmtId="334" formatCode="&quot;₩&quot;#,##0.00;[Red]&quot;₩&quot;&quot;₩&quot;&quot;₩&quot;&quot;₩&quot;&quot;₩&quot;\-#,##0.00"/>
    <numFmt numFmtId="335" formatCode="&quot;$&quot;#,##0.00"/>
    <numFmt numFmtId="336" formatCode="_(* #,##0_);_(* \(#,##0\);_(* &quot; - &quot;_);_(@_)"/>
    <numFmt numFmtId="337" formatCode="&quot;SFr.&quot;#,##0.00;&quot;SFr.&quot;\-#,##0.00"/>
    <numFmt numFmtId="338" formatCode="_ &quot;kr&quot;\ * #,##0_ ;_ &quot;kr&quot;\ * \-#,##0_ ;_ &quot;kr&quot;\ * &quot;-&quot;_ ;_ @_ "/>
    <numFmt numFmtId="339" formatCode="_ * #,##0.0"/>
    <numFmt numFmtId="340" formatCode="_-* #,##0.00_-;&quot;₩&quot;\-* #,##0.00_-;_-* &quot;-&quot;??_-;_-@_-"/>
    <numFmt numFmtId="341" formatCode="&quot;₩&quot;#,##0.00;&quot;₩&quot;&quot;₩&quot;&quot;₩&quot;&quot;₩&quot;&quot;₩&quot;\-&quot;₩&quot;#,##0.00"/>
    <numFmt numFmtId="342" formatCode="_-* #,##0.00_-;&quot;₩&quot;&quot;₩&quot;&quot;₩&quot;\-* #,##0.00_-;_-* &quot;-&quot;??_-;_-@_-"/>
    <numFmt numFmtId="343" formatCode="_-* #,##0.0_-;\-* #,##0.0_-;_-* &quot;-&quot;_-;_-@_-"/>
    <numFmt numFmtId="344" formatCode="&quot;$&quot;#,##0_);[Red]&quot;₩&quot;\(&quot;$&quot;#,##0&quot;₩&quot;\)"/>
    <numFmt numFmtId="345" formatCode="_-* #,##0.00000_-;\-* #,##0.00000_-;_-* &quot;-&quot;_-;_-@_-"/>
    <numFmt numFmtId="346" formatCode="0_);[Red]\(0\)"/>
    <numFmt numFmtId="347" formatCode="mmmm\ d\,\ yyyy"/>
    <numFmt numFmtId="348" formatCode="_(&quot;₩&quot;* #,##0.00_);_(&quot;₩&quot;* \(#,##0.00\);_(&quot;₩&quot;* &quot;-&quot;??_);_(@_)"/>
    <numFmt numFmtId="349" formatCode="#,##0.0_);\(#,##0.0\)"/>
    <numFmt numFmtId="350" formatCode="&quot;£&quot;\ #,##0_);[Red]\(&quot;£&quot;\ #,##0\)"/>
    <numFmt numFmtId="351" formatCode="&quot;¥&quot;\ #,##0_);[Red]\(&quot;¥&quot;\ #,##0\)"/>
    <numFmt numFmtId="352" formatCode="&quot;$&quot;#,##0;[Red]\-&quot;$&quot;#,##0"/>
    <numFmt numFmtId="353" formatCode="&quot;$&quot;#,##0.0_);\(&quot;$&quot;#,##0.0\)"/>
    <numFmt numFmtId="354" formatCode="0.0000000"/>
    <numFmt numFmtId="355" formatCode="&quot;￥&quot;#,##0;&quot;￥&quot;\-#,##0"/>
    <numFmt numFmtId="356" formatCode="m&quot;/&quot;d&quot;/&quot;yy"/>
    <numFmt numFmtId="357" formatCode="_(&quot;$&quot;* #,##0_);_(&quot;$&quot;* &quot;₩&quot;\!\(#,##0&quot;₩&quot;\!\);_(&quot;$&quot;* &quot;-&quot;_);_(@_)"/>
    <numFmt numFmtId="358" formatCode="_ &quot;₩&quot;* #,##0_ ;_ &quot;₩&quot;* &quot;₩&quot;&quot;₩&quot;&quot;₩&quot;&quot;₩&quot;\-#,##0_ ;_ &quot;₩&quot;* &quot;-&quot;_ ;_ @_ "/>
    <numFmt numFmtId="359" formatCode="_(&quot;RM&quot;* #,##0_);_(&quot;RM&quot;* &quot;₩&quot;\!\(#,##0&quot;₩&quot;\!\);_(&quot;RM&quot;* &quot;-&quot;_);_(@_)"/>
    <numFmt numFmtId="360" formatCode="&quot;₩&quot;#,##0.00;[Red]&quot;₩&quot;&quot;₩&quot;\!\-#,##0.00"/>
    <numFmt numFmtId="361" formatCode="_ &quot;₩&quot;* #,##0_ ;_ &quot;₩&quot;* &quot;₩&quot;&quot;₩&quot;\!\!\-#,##0_ ;_ &quot;₩&quot;* &quot;-&quot;_ ;_ @_ "/>
    <numFmt numFmtId="362" formatCode="_(&quot;$&quot;* #,##0.00_);_(&quot;$&quot;* &quot;₩&quot;\!\(#,##0.00&quot;₩&quot;\!\);_(&quot;$&quot;* &quot;-&quot;??_);_(@_)"/>
    <numFmt numFmtId="363" formatCode="_ &quot;₩&quot;* #,##0.00_ ;_ &quot;₩&quot;* &quot;₩&quot;\!\-#,##0.00_ ;_ &quot;₩&quot;* &quot;-&quot;??_ ;_ @_ "/>
    <numFmt numFmtId="364" formatCode="_ &quot;₩&quot;* #,##0.00_ ;_ &quot;₩&quot;* &quot;₩&quot;&quot;₩&quot;\!\!\-#,##0.00_ ;_ &quot;₩&quot;* &quot;-&quot;??_ ;_ @_ "/>
    <numFmt numFmtId="365" formatCode="_ &quot;₩&quot;* #,##0.00_ ;_ &quot;₩&quot;* &quot;₩&quot;&quot;₩&quot;&quot;₩&quot;\!\!\!\-#,##0.00_ ;_ &quot;₩&quot;* &quot;-&quot;??_ ;_ @_ "/>
    <numFmt numFmtId="366" formatCode="_ &quot;₩&quot;* #,##0.00_ ;_ &quot;₩&quot;* &quot;₩&quot;&quot;₩&quot;&quot;₩&quot;&quot;₩&quot;\-#,##0.00_ ;_ &quot;₩&quot;* &quot;-&quot;??_ ;_ @_ "/>
    <numFmt numFmtId="367" formatCode="_-* #,##0.0_-;&quot;₩&quot;\!\-* #,##0.0_-;_-* &quot;-&quot;_-;_-@_-"/>
    <numFmt numFmtId="368" formatCode="_(&quot;RM&quot;* #,##0.00_);_(&quot;RM&quot;* &quot;₩&quot;\!\(#,##0.00&quot;₩&quot;\!\);_(&quot;RM&quot;* &quot;-&quot;??_);_(@_)"/>
    <numFmt numFmtId="369" formatCode="_(&quot;RM&quot;* #,##0.00_);_(&quot;RM&quot;* &quot;₩&quot;&quot;₩&quot;\!\!\(#,##0.00&quot;₩&quot;&quot;₩&quot;\!\!\);_(&quot;RM&quot;* &quot;-&quot;??_);_(@_)"/>
    <numFmt numFmtId="370" formatCode="&quot;₩&quot;\!\$#,##0.00_);&quot;₩&quot;\!\(&quot;₩&quot;\!\$#,##0.00&quot;₩&quot;\!\)"/>
    <numFmt numFmtId="371" formatCode="_-* #,##0.00_-;&quot;₩&quot;\!\-* #,##0.00_-;_-* &quot;-&quot;_-;_-@_-"/>
    <numFmt numFmtId="372" formatCode="&quot;₩&quot;&quot;₩&quot;\!\!\$#,##0.00_);&quot;₩&quot;&quot;₩&quot;\!\!\(&quot;₩&quot;&quot;₩&quot;\!\!\$#,##0.00&quot;₩&quot;&quot;₩&quot;\!\!\)"/>
    <numFmt numFmtId="373" formatCode="_(* #,##0_);_(* &quot;₩&quot;\!\(#,##0&quot;₩&quot;\!\);_(* &quot;-&quot;_);_(@_)"/>
    <numFmt numFmtId="374" formatCode="_ * #,##0_ ;_ * &quot;₩&quot;\!\-#,##0_ ;_ * &quot;-&quot;_ ;_ @_ "/>
    <numFmt numFmtId="375" formatCode="_ * #,##0_ ;_ * &quot;₩&quot;&quot;₩&quot;\!\!\-#,##0_ ;_ * &quot;-&quot;_ ;_ @_ "/>
    <numFmt numFmtId="376" formatCode="_ * #,##0_ ;_ * &quot;₩&quot;&quot;₩&quot;&quot;₩&quot;\!\!\!\-#,##0_ ;_ * &quot;-&quot;_ ;_ @_ "/>
    <numFmt numFmtId="377" formatCode="_-* #,##0_-;&quot;₩&quot;&quot;₩&quot;&quot;₩&quot;\!\!\!\-* #,##0_-;_-* &quot;-&quot;_-;_-@_-"/>
    <numFmt numFmtId="378" formatCode="#,##0.00_-;[Red]\(#,##0.00\)_-;\-_-"/>
    <numFmt numFmtId="379" formatCode="#,##0_);[Red]\(#,##0\);\-_;"/>
  </numFmts>
  <fonts count="445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name val="Times New Roman"/>
      <family val="1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0"/>
      <name val="바탕체"/>
      <family val="1"/>
      <charset val="129"/>
    </font>
    <font>
      <sz val="10"/>
      <name val="Helv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"/>
      <color indexed="18"/>
      <name val="Courier"/>
      <family val="3"/>
    </font>
    <font>
      <sz val="12"/>
      <name val="바탕체"/>
      <family val="1"/>
      <charset val="129"/>
    </font>
    <font>
      <i/>
      <sz val="12"/>
      <name val="바탕체"/>
      <family val="1"/>
      <charset val="129"/>
    </font>
    <font>
      <u/>
      <sz val="8.4"/>
      <color indexed="12"/>
      <name val="Arial"/>
      <family val="2"/>
    </font>
    <font>
      <sz val="12"/>
      <name val="奔覆眉"/>
      <family val="3"/>
      <charset val="129"/>
    </font>
    <font>
      <sz val="11"/>
      <name val="돋?o"/>
      <family val="3"/>
      <charset val="129"/>
    </font>
    <font>
      <sz val="10"/>
      <name val="굴림체"/>
      <family val="3"/>
      <charset val="129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12"/>
      <name val="ⓒoUAAA¨u"/>
      <family val="1"/>
      <charset val="129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0"/>
      <name val="돋움"/>
      <family val="3"/>
      <charset val="129"/>
    </font>
    <font>
      <sz val="12"/>
      <name val="¹UAAA¼"/>
      <family val="1"/>
      <charset val="129"/>
    </font>
    <font>
      <sz val="9"/>
      <color indexed="8"/>
      <name val="Arial"/>
      <family val="2"/>
    </font>
    <font>
      <sz val="10"/>
      <color theme="1"/>
      <name val="가는각진제목체"/>
      <family val="1"/>
      <charset val="129"/>
    </font>
    <font>
      <sz val="10"/>
      <color theme="1"/>
      <name val="가는각진제목체"/>
      <family val="2"/>
      <charset val="129"/>
    </font>
    <font>
      <sz val="10"/>
      <color theme="1"/>
      <name val="가는각진제목체"/>
      <family val="3"/>
      <charset val="129"/>
    </font>
    <font>
      <sz val="9"/>
      <color indexed="9"/>
      <name val="Arial"/>
      <family val="2"/>
    </font>
    <font>
      <sz val="10"/>
      <color theme="0"/>
      <name val="가는각진제목체"/>
      <family val="1"/>
      <charset val="129"/>
    </font>
    <font>
      <sz val="10"/>
      <color theme="0"/>
      <name val="가는각진제목체"/>
      <family val="2"/>
      <charset val="129"/>
    </font>
    <font>
      <sz val="10"/>
      <color theme="0"/>
      <name val="가는각진제목체"/>
      <family val="3"/>
      <charset val="129"/>
    </font>
    <font>
      <sz val="10"/>
      <color theme="0"/>
      <name val="맑은 고딕"/>
      <family val="2"/>
      <charset val="129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2"/>
      <name val="¸íÁ¶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0"/>
      <name val="Geneva"/>
      <family val="2"/>
    </font>
    <font>
      <sz val="11"/>
      <name val="µ¸¿ò"/>
      <family val="3"/>
      <charset val="129"/>
    </font>
    <font>
      <sz val="12"/>
      <name val="Arial"/>
      <family val="2"/>
    </font>
    <font>
      <sz val="10"/>
      <name val="¹UAAA¼"/>
      <family val="1"/>
      <charset val="129"/>
    </font>
    <font>
      <sz val="12"/>
      <name val="±¼¸²Ã¼"/>
      <family val="3"/>
      <charset val="129"/>
    </font>
    <font>
      <sz val="9"/>
      <color indexed="20"/>
      <name val="Arial"/>
      <family val="2"/>
    </font>
    <font>
      <sz val="10"/>
      <color rgb="FF9C0006"/>
      <name val="가는각진제목체"/>
      <family val="1"/>
      <charset val="129"/>
    </font>
    <font>
      <sz val="10"/>
      <color rgb="FF9C0006"/>
      <name val="가는각진제목체"/>
      <family val="2"/>
      <charset val="129"/>
    </font>
    <font>
      <sz val="10"/>
      <color rgb="FF9C0006"/>
      <name val="가는각진제목체"/>
      <family val="3"/>
      <charset val="129"/>
    </font>
    <font>
      <b/>
      <sz val="8"/>
      <color indexed="24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2"/>
      <name val="¡¾¨????÷A¨?"/>
      <family val="3"/>
      <charset val="129"/>
    </font>
    <font>
      <sz val="12"/>
      <name val="¡¾¨ù¢¬©÷A¨ù"/>
      <family val="3"/>
      <charset val="129"/>
    </font>
    <font>
      <sz val="10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3"/>
      <charset val="129"/>
    </font>
    <font>
      <sz val="12"/>
      <name val="±¼¸²A¼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0"/>
      <name val="±¼¸²A¼"/>
      <family val="3"/>
      <charset val="129"/>
    </font>
    <font>
      <b/>
      <sz val="9"/>
      <color indexed="52"/>
      <name val="Arial"/>
      <family val="2"/>
    </font>
    <font>
      <b/>
      <sz val="10"/>
      <color rgb="FFFA7D00"/>
      <name val="가는각진제목체"/>
      <family val="1"/>
      <charset val="129"/>
    </font>
    <font>
      <b/>
      <sz val="10"/>
      <color rgb="FFFA7D00"/>
      <name val="가는각진제목체"/>
      <family val="2"/>
      <charset val="129"/>
    </font>
    <font>
      <b/>
      <sz val="10"/>
      <color rgb="FFFA7D00"/>
      <name val="가는각진제목체"/>
      <family val="3"/>
      <charset val="129"/>
    </font>
    <font>
      <b/>
      <sz val="10"/>
      <name val="Helv"/>
      <family val="2"/>
    </font>
    <font>
      <b/>
      <sz val="9"/>
      <color indexed="9"/>
      <name val="Arial"/>
      <family val="2"/>
    </font>
    <font>
      <b/>
      <sz val="10"/>
      <color theme="0"/>
      <name val="가는각진제목체"/>
      <family val="1"/>
      <charset val="129"/>
    </font>
    <font>
      <b/>
      <sz val="10"/>
      <color theme="0"/>
      <name val="가는각진제목체"/>
      <family val="2"/>
      <charset val="129"/>
    </font>
    <font>
      <b/>
      <sz val="10"/>
      <color theme="0"/>
      <name val="가는각진제목체"/>
      <family val="3"/>
      <charset val="129"/>
    </font>
    <font>
      <sz val="1"/>
      <color indexed="8"/>
      <name val="Courier"/>
      <family val="3"/>
    </font>
    <font>
      <sz val="12"/>
      <name val="Tms Rmn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name val="Tahoma"/>
      <family val="2"/>
    </font>
    <font>
      <sz val="10"/>
      <color theme="1"/>
      <name val="Arial"/>
      <family val="2"/>
      <charset val="129"/>
    </font>
    <font>
      <sz val="8"/>
      <name val="Palatino"/>
      <family val="1"/>
    </font>
    <font>
      <sz val="10"/>
      <name val="MS Serif"/>
      <family val="1"/>
    </font>
    <font>
      <sz val="11"/>
      <name val="돋움체"/>
      <family val="3"/>
      <charset val="129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i/>
      <sz val="9"/>
      <color indexed="23"/>
      <name val="Arial"/>
      <family val="2"/>
    </font>
    <font>
      <i/>
      <sz val="10"/>
      <color rgb="FF7F7F7F"/>
      <name val="가는각진제목체"/>
      <family val="1"/>
      <charset val="129"/>
    </font>
    <font>
      <i/>
      <sz val="10"/>
      <color rgb="FF7F7F7F"/>
      <name val="가는각진제목체"/>
      <family val="2"/>
      <charset val="129"/>
    </font>
    <font>
      <i/>
      <sz val="10"/>
      <color rgb="FF7F7F7F"/>
      <name val="가는각진제목체"/>
      <family val="3"/>
      <charset val="129"/>
    </font>
    <font>
      <i/>
      <sz val="1"/>
      <color indexed="8"/>
      <name val="Courier"/>
      <family val="3"/>
    </font>
    <font>
      <u/>
      <sz val="7.5"/>
      <color indexed="36"/>
      <name val="Arial"/>
      <family val="2"/>
    </font>
    <font>
      <sz val="7"/>
      <name val="Palatino"/>
      <family val="1"/>
    </font>
    <font>
      <sz val="9"/>
      <color indexed="17"/>
      <name val="Arial"/>
      <family val="2"/>
    </font>
    <font>
      <sz val="10"/>
      <color rgb="FF006100"/>
      <name val="가는각진제목체"/>
      <family val="1"/>
      <charset val="129"/>
    </font>
    <font>
      <sz val="10"/>
      <color rgb="FF006100"/>
      <name val="가는각진제목체"/>
      <family val="2"/>
      <charset val="129"/>
    </font>
    <font>
      <sz val="10"/>
      <color rgb="FF006100"/>
      <name val="가는각진제목체"/>
      <family val="3"/>
      <charset val="129"/>
    </font>
    <font>
      <b/>
      <sz val="12"/>
      <color indexed="8"/>
      <name val="Times New Roman"/>
      <family val="1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i/>
      <sz val="11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5"/>
      <color indexed="56"/>
      <name val="Arial"/>
      <family val="2"/>
    </font>
    <font>
      <b/>
      <sz val="15"/>
      <color theme="3"/>
      <name val="가는각진제목체"/>
      <family val="1"/>
      <charset val="129"/>
    </font>
    <font>
      <b/>
      <sz val="15"/>
      <color theme="3"/>
      <name val="가는각진제목체"/>
      <family val="2"/>
      <charset val="129"/>
    </font>
    <font>
      <b/>
      <sz val="15"/>
      <color theme="3"/>
      <name val="가는각진제목체"/>
      <family val="3"/>
      <charset val="129"/>
    </font>
    <font>
      <b/>
      <sz val="13"/>
      <color indexed="56"/>
      <name val="Arial"/>
      <family val="2"/>
    </font>
    <font>
      <b/>
      <sz val="13"/>
      <color theme="3"/>
      <name val="가는각진제목체"/>
      <family val="1"/>
      <charset val="129"/>
    </font>
    <font>
      <b/>
      <sz val="13"/>
      <color theme="3"/>
      <name val="가는각진제목체"/>
      <family val="2"/>
      <charset val="129"/>
    </font>
    <font>
      <b/>
      <sz val="13"/>
      <color theme="3"/>
      <name val="가는각진제목체"/>
      <family val="3"/>
      <charset val="129"/>
    </font>
    <font>
      <b/>
      <sz val="11"/>
      <color indexed="56"/>
      <name val="Arial"/>
      <family val="2"/>
    </font>
    <font>
      <b/>
      <sz val="11"/>
      <color theme="3"/>
      <name val="가는각진제목체"/>
      <family val="1"/>
      <charset val="129"/>
    </font>
    <font>
      <b/>
      <sz val="11"/>
      <color theme="3"/>
      <name val="가는각진제목체"/>
      <family val="2"/>
      <charset val="129"/>
    </font>
    <font>
      <b/>
      <sz val="11"/>
      <color theme="3"/>
      <name val="가는각진제목체"/>
      <family val="3"/>
      <charset val="129"/>
    </font>
    <font>
      <b/>
      <sz val="12"/>
      <name val="Tms Rmn"/>
      <family val="1"/>
    </font>
    <font>
      <b/>
      <i/>
      <sz val="22"/>
      <name val="Times New Roman"/>
      <family val="1"/>
    </font>
    <font>
      <u/>
      <sz val="8.8000000000000007"/>
      <color theme="10"/>
      <name val="굴림"/>
      <family val="3"/>
      <charset val="129"/>
    </font>
    <font>
      <sz val="9"/>
      <color indexed="62"/>
      <name val="Arial"/>
      <family val="2"/>
    </font>
    <font>
      <sz val="10"/>
      <color rgb="FF3F3F76"/>
      <name val="가는각진제목체"/>
      <family val="1"/>
      <charset val="129"/>
    </font>
    <font>
      <sz val="10"/>
      <color rgb="FF3F3F76"/>
      <name val="가는각진제목체"/>
      <family val="2"/>
      <charset val="129"/>
    </font>
    <font>
      <sz val="10"/>
      <color rgb="FF3F3F76"/>
      <name val="가는각진제목체"/>
      <family val="3"/>
      <charset val="129"/>
    </font>
    <font>
      <sz val="10"/>
      <color indexed="12"/>
      <name val="Arial"/>
      <family val="2"/>
    </font>
    <font>
      <sz val="9"/>
      <color indexed="52"/>
      <name val="Arial"/>
      <family val="2"/>
    </font>
    <font>
      <sz val="10"/>
      <color rgb="FFFA7D00"/>
      <name val="가는각진제목체"/>
      <family val="1"/>
      <charset val="129"/>
    </font>
    <font>
      <sz val="10"/>
      <color rgb="FFFA7D00"/>
      <name val="가는각진제목체"/>
      <family val="2"/>
      <charset val="129"/>
    </font>
    <font>
      <sz val="10"/>
      <color rgb="FFFA7D00"/>
      <name val="가는각진제목체"/>
      <family val="3"/>
      <charset val="129"/>
    </font>
    <font>
      <u/>
      <sz val="10"/>
      <color indexed="9"/>
      <name val="Arial"/>
      <family val="2"/>
    </font>
    <font>
      <b/>
      <sz val="14"/>
      <color indexed="24"/>
      <name val="Book Antiqua"/>
      <family val="1"/>
    </font>
    <font>
      <b/>
      <sz val="11"/>
      <name val="Helv"/>
      <family val="2"/>
    </font>
    <font>
      <u/>
      <sz val="8"/>
      <color indexed="9"/>
      <name val="Arial"/>
      <family val="2"/>
    </font>
    <font>
      <sz val="9"/>
      <color indexed="60"/>
      <name val="Arial"/>
      <family val="2"/>
    </font>
    <font>
      <sz val="10"/>
      <color rgb="FF9C6500"/>
      <name val="가는각진제목체"/>
      <family val="1"/>
      <charset val="129"/>
    </font>
    <font>
      <sz val="10"/>
      <color rgb="FF9C6500"/>
      <name val="가는각진제목체"/>
      <family val="2"/>
      <charset val="129"/>
    </font>
    <font>
      <sz val="10"/>
      <color rgb="FF9C6500"/>
      <name val="가는각진제목체"/>
      <family val="3"/>
      <charset val="129"/>
    </font>
    <font>
      <sz val="7"/>
      <name val="Small Fonts"/>
      <family val="2"/>
    </font>
    <font>
      <sz val="12"/>
      <name val="Helv"/>
      <family val="2"/>
    </font>
    <font>
      <sz val="11"/>
      <name val="굴림"/>
      <family val="3"/>
      <charset val="129"/>
    </font>
    <font>
      <u/>
      <sz val="18"/>
      <name val="Times New Roman"/>
      <family val="1"/>
    </font>
    <font>
      <sz val="10"/>
      <color indexed="8"/>
      <name val="가는각진제목체"/>
      <family val="1"/>
      <charset val="129"/>
    </font>
    <font>
      <sz val="10"/>
      <color indexed="8"/>
      <name val="가는각진제목체"/>
      <family val="3"/>
      <charset val="129"/>
    </font>
    <font>
      <b/>
      <sz val="9"/>
      <color indexed="16"/>
      <name val="Arial"/>
      <family val="2"/>
    </font>
    <font>
      <sz val="14"/>
      <name val="?¾’?"/>
      <family val="3"/>
      <charset val="129"/>
    </font>
    <font>
      <sz val="14"/>
      <name val="–¾’©"/>
      <family val="3"/>
      <charset val="129"/>
    </font>
    <font>
      <b/>
      <sz val="9"/>
      <color indexed="63"/>
      <name val="Arial"/>
      <family val="2"/>
    </font>
    <font>
      <b/>
      <sz val="10"/>
      <color rgb="FF3F3F3F"/>
      <name val="가는각진제목체"/>
      <family val="1"/>
      <charset val="129"/>
    </font>
    <font>
      <b/>
      <sz val="10"/>
      <color rgb="FF3F3F3F"/>
      <name val="가는각진제목체"/>
      <family val="2"/>
      <charset val="129"/>
    </font>
    <font>
      <b/>
      <sz val="10"/>
      <color rgb="FF3F3F3F"/>
      <name val="가는각진제목체"/>
      <family val="3"/>
      <charset val="129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i/>
      <sz val="14"/>
      <name val="Times New Roman"/>
      <family val="1"/>
    </font>
    <font>
      <b/>
      <sz val="22"/>
      <name val="Book Antiqua"/>
      <family val="1"/>
    </font>
    <font>
      <sz val="9"/>
      <color indexed="8"/>
      <name val="맑은 고딕"/>
      <family val="3"/>
      <charset val="129"/>
    </font>
    <font>
      <b/>
      <i/>
      <sz val="9"/>
      <color indexed="60"/>
      <name val="Arial"/>
      <family val="2"/>
    </font>
    <font>
      <u val="singleAccounting"/>
      <sz val="10"/>
      <name val="Arial"/>
      <family val="2"/>
    </font>
    <font>
      <b/>
      <sz val="10"/>
      <name val="Times New Roman"/>
      <family val="1"/>
    </font>
    <font>
      <b/>
      <sz val="12"/>
      <color indexed="18"/>
      <name val="Arial"/>
      <family val="2"/>
    </font>
    <font>
      <b/>
      <sz val="8"/>
      <color indexed="8"/>
      <name val="Helv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1"/>
      <name val="Times New Roman"/>
      <family val="1"/>
    </font>
    <font>
      <b/>
      <sz val="18"/>
      <color indexed="56"/>
      <name val="맑은 고딕"/>
      <family val="3"/>
      <charset val="129"/>
    </font>
    <font>
      <b/>
      <sz val="18"/>
      <color indexed="56"/>
      <name val="맑은 고딕"/>
      <family val="3"/>
    </font>
    <font>
      <b/>
      <sz val="18"/>
      <color theme="3"/>
      <name val="맑은 고딕"/>
      <family val="3"/>
      <charset val="129"/>
      <scheme val="major"/>
    </font>
    <font>
      <b/>
      <sz val="9"/>
      <color indexed="8"/>
      <name val="Arial"/>
      <family val="2"/>
    </font>
    <font>
      <b/>
      <sz val="10"/>
      <color theme="1"/>
      <name val="가는각진제목체"/>
      <family val="1"/>
      <charset val="129"/>
    </font>
    <font>
      <b/>
      <sz val="10"/>
      <color theme="1"/>
      <name val="가는각진제목체"/>
      <family val="2"/>
      <charset val="129"/>
    </font>
    <font>
      <b/>
      <sz val="10"/>
      <color theme="1"/>
      <name val="가는각진제목체"/>
      <family val="3"/>
      <charset val="129"/>
    </font>
    <font>
      <u val="double"/>
      <sz val="8"/>
      <color indexed="8"/>
      <name val="Arial"/>
      <family val="2"/>
    </font>
    <font>
      <sz val="11"/>
      <color indexed="12"/>
      <name val="Times New Roman"/>
      <family val="1"/>
    </font>
    <font>
      <sz val="9"/>
      <color indexed="10"/>
      <name val="Arial"/>
      <family val="2"/>
    </font>
    <font>
      <sz val="10"/>
      <color rgb="FFFF0000"/>
      <name val="가는각진제목체"/>
      <family val="1"/>
      <charset val="129"/>
    </font>
    <font>
      <sz val="10"/>
      <color rgb="FFFF0000"/>
      <name val="가는각진제목체"/>
      <family val="2"/>
      <charset val="129"/>
    </font>
    <font>
      <sz val="10"/>
      <color rgb="FFFF0000"/>
      <name val="가는각진제목체"/>
      <family val="3"/>
      <charset val="129"/>
    </font>
    <font>
      <sz val="12"/>
      <name val="ｱｼｸｲﾃｼ"/>
      <family val="3"/>
    </font>
    <font>
      <sz val="10"/>
      <color indexed="10"/>
      <name val="굴림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맑은 고딕"/>
      <family val="3"/>
    </font>
    <font>
      <b/>
      <sz val="11"/>
      <color indexed="52"/>
      <name val="맑은 고딕"/>
      <family val="3"/>
      <charset val="129"/>
    </font>
    <font>
      <b/>
      <sz val="11"/>
      <color indexed="52"/>
      <name val="맑은 고딕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맑은 고딕"/>
      <family val="3"/>
    </font>
    <font>
      <u/>
      <sz val="12"/>
      <color indexed="36"/>
      <name val="바탕체"/>
      <family val="1"/>
      <charset val="129"/>
    </font>
    <font>
      <u/>
      <sz val="9.35"/>
      <color indexed="36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8"/>
      <color indexed="8"/>
      <name val="Arial"/>
      <family val="2"/>
    </font>
    <font>
      <sz val="14"/>
      <name val="뼥??"/>
      <family val="3"/>
      <charset val="129"/>
    </font>
    <font>
      <sz val="14"/>
      <name val="뼻뮝"/>
      <family val="3"/>
      <charset val="129"/>
    </font>
    <font>
      <sz val="14"/>
      <name val="ＭＳ 明朝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9"/>
      <name val="Arial Narrow"/>
      <family val="2"/>
    </font>
    <font>
      <sz val="10"/>
      <color indexed="8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맑은 고딕"/>
      <family val="3"/>
    </font>
    <font>
      <i/>
      <sz val="11"/>
      <color indexed="23"/>
      <name val="맑은 고딕"/>
      <family val="3"/>
      <charset val="129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</font>
    <font>
      <sz val="10"/>
      <name val="굴림"/>
      <family val="3"/>
      <charset val="129"/>
    </font>
    <font>
      <b/>
      <sz val="12"/>
      <color indexed="16"/>
      <name val="굴림체"/>
      <family val="3"/>
      <charset val="129"/>
    </font>
    <font>
      <sz val="10"/>
      <color theme="1"/>
      <name val="Tahoma"/>
      <family val="2"/>
    </font>
    <font>
      <sz val="9"/>
      <color indexed="8"/>
      <name val="본문 글꼴"/>
      <family val="3"/>
      <charset val="129"/>
    </font>
    <font>
      <sz val="11"/>
      <color indexed="8"/>
      <name val="Calibri"/>
      <family val="2"/>
    </font>
    <font>
      <sz val="12"/>
      <name val="돋움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맑은 고딕"/>
      <family val="3"/>
    </font>
    <font>
      <u/>
      <sz val="11"/>
      <color indexed="36"/>
      <name val="굴림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맑은 고딕"/>
      <family val="3"/>
    </font>
    <font>
      <sz val="10"/>
      <name val="궁서(English)"/>
      <family val="3"/>
      <charset val="129"/>
    </font>
    <font>
      <sz val="11"/>
      <name val="바탕"/>
      <family val="1"/>
      <charset val="129"/>
    </font>
    <font>
      <sz val="11"/>
      <color indexed="62"/>
      <name val="맑은 고딕"/>
      <family val="3"/>
      <charset val="129"/>
    </font>
    <font>
      <sz val="11"/>
      <color indexed="62"/>
      <name val="맑은 고딕"/>
      <family val="3"/>
    </font>
    <font>
      <sz val="10"/>
      <color indexed="24"/>
      <name val="MS Sans Serif"/>
      <family val="2"/>
    </font>
    <font>
      <b/>
      <sz val="15"/>
      <color indexed="56"/>
      <name val="맑은 고딕"/>
      <family val="3"/>
      <charset val="129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  <charset val="129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  <charset val="129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2"/>
      <charset val="129"/>
    </font>
    <font>
      <sz val="11"/>
      <color indexed="17"/>
      <name val="맑은 고딕"/>
      <family val="3"/>
      <charset val="129"/>
    </font>
    <font>
      <sz val="11"/>
      <color indexed="17"/>
      <name val="맑은 고딕"/>
      <family val="3"/>
    </font>
    <font>
      <b/>
      <sz val="11"/>
      <color indexed="63"/>
      <name val="맑은 고딕"/>
      <family val="3"/>
      <charset val="129"/>
    </font>
    <font>
      <b/>
      <sz val="11"/>
      <color indexed="63"/>
      <name val="맑은 고딕"/>
      <family val="3"/>
    </font>
    <font>
      <sz val="11"/>
      <name val="굴림체"/>
      <family val="3"/>
      <charset val="129"/>
    </font>
    <font>
      <sz val="11"/>
      <name val="ＭＳ Ｐゴシック"/>
      <family val="2"/>
      <charset val="128"/>
    </font>
    <font>
      <b/>
      <sz val="12"/>
      <name val="굴림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9"/>
      <name val="굴림"/>
      <family val="3"/>
      <charset val="129"/>
    </font>
    <font>
      <sz val="10"/>
      <name val="돋움체"/>
      <family val="3"/>
      <charset val="129"/>
    </font>
    <font>
      <sz val="9"/>
      <color theme="1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color theme="1"/>
      <name val="본문 글꼴"/>
      <family val="3"/>
      <charset val="129"/>
    </font>
    <font>
      <u/>
      <sz val="10"/>
      <color theme="10"/>
      <name val="맑은 고딕"/>
      <family val="2"/>
      <charset val="129"/>
      <scheme val="minor"/>
    </font>
    <font>
      <u/>
      <sz val="9.35"/>
      <color theme="10"/>
      <name val="돋움"/>
      <family val="3"/>
      <charset val="129"/>
    </font>
    <font>
      <u/>
      <sz val="10"/>
      <color indexed="12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u/>
      <sz val="9"/>
      <color indexed="12"/>
      <name val="돋움"/>
      <family val="3"/>
      <charset val="129"/>
    </font>
    <font>
      <sz val="12"/>
      <name val="VNI-Times"/>
      <family val="2"/>
    </font>
    <font>
      <i/>
      <sz val="12"/>
      <name val="굴림체"/>
      <family val="3"/>
      <charset val="129"/>
    </font>
    <font>
      <sz val="10"/>
      <name val="VNI-Times"/>
      <family val="2"/>
    </font>
    <font>
      <sz val="12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indexed="12"/>
      <name val="Helv"/>
      <family val="2"/>
    </font>
    <font>
      <sz val="12"/>
      <name val="????"/>
      <family val="1"/>
      <charset val="136"/>
    </font>
    <font>
      <sz val="12"/>
      <name val="???"/>
      <family val="2"/>
    </font>
    <font>
      <u/>
      <sz val="11"/>
      <color indexed="36"/>
      <name val="굃굍 굊긕긘긞긏"/>
      <family val="3"/>
      <charset val="129"/>
    </font>
    <font>
      <sz val="10"/>
      <name val="VNI-Aptima"/>
      <family val="2"/>
    </font>
    <font>
      <b/>
      <sz val="12"/>
      <name val="¹UAAA¼"/>
      <family val="1"/>
      <charset val="129"/>
    </font>
    <font>
      <sz val="11"/>
      <name val="ⓒoUAAA¨u"/>
      <family val="1"/>
      <charset val="129"/>
    </font>
    <font>
      <sz val="14"/>
      <name val="‚l‚r –¾’©"/>
      <family val="3"/>
      <charset val="128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20"/>
      <name val="돋움체"/>
      <family val="3"/>
      <charset val="129"/>
    </font>
    <font>
      <sz val="1"/>
      <color indexed="16"/>
      <name val="Courier"/>
      <family val="3"/>
    </font>
    <font>
      <b/>
      <sz val="15"/>
      <color indexed="24"/>
      <name val="¹UAAA¼"/>
      <family val="1"/>
      <charset val="129"/>
    </font>
    <font>
      <sz val="10"/>
      <name val="‚l‚r ƒSƒVƒbƒN"/>
      <family val="3"/>
    </font>
    <font>
      <sz val="10"/>
      <name val="Courier New"/>
      <family val="3"/>
    </font>
    <font>
      <u/>
      <sz val="12"/>
      <name val="MS Sans Serif"/>
      <family val="2"/>
    </font>
    <font>
      <sz val="10"/>
      <name val="옛체"/>
      <family val="1"/>
      <charset val="129"/>
    </font>
    <font>
      <sz val="7"/>
      <name val="바탕체"/>
      <family val="1"/>
      <charset val="129"/>
    </font>
    <font>
      <sz val="12"/>
      <name val="명조"/>
      <family val="3"/>
      <charset val="129"/>
    </font>
    <font>
      <sz val="10"/>
      <color indexed="8"/>
      <name val="Times New Roman"/>
      <family val="1"/>
    </font>
    <font>
      <sz val="10"/>
      <color indexed="9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4"/>
      <name val="Arial"/>
      <family val="2"/>
    </font>
    <font>
      <sz val="12"/>
      <name val="¨ÏoUAAA¡§u"/>
      <family val="1"/>
      <charset val="129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¥ì¢¬¢¯o"/>
      <family val="3"/>
    </font>
    <font>
      <sz val="12"/>
      <color indexed="8"/>
      <name val="¹ÙÅÁÃ¼"/>
      <family val="1"/>
      <charset val="129"/>
    </font>
    <font>
      <sz val="11"/>
      <name val="μ¸¿o"/>
      <family val="1"/>
      <charset val="129"/>
    </font>
    <font>
      <sz val="11"/>
      <name val="μ¸¿oA¼"/>
      <family val="3"/>
      <charset val="129"/>
    </font>
    <font>
      <sz val="12"/>
      <name val="¹ÙÅÁÃ¼"/>
      <family val="3"/>
      <charset val="129"/>
    </font>
    <font>
      <sz val="12"/>
      <name val="¹UAAA¼"/>
      <family val="3"/>
    </font>
    <font>
      <sz val="12"/>
      <name val="UAAA"/>
      <family val="1"/>
    </font>
    <font>
      <sz val="11"/>
      <name val="レo"/>
      <family val="3"/>
      <charset val="129"/>
    </font>
    <font>
      <sz val="8"/>
      <name val="Times New Roman"/>
      <family val="1"/>
    </font>
    <font>
      <sz val="10"/>
      <color indexed="8"/>
      <name val="MS Sans Serif"/>
      <family val="2"/>
    </font>
    <font>
      <sz val="10"/>
      <color indexed="20"/>
      <name val="맑은 고딕"/>
      <family val="3"/>
      <charset val="129"/>
    </font>
    <font>
      <b/>
      <sz val="12"/>
      <name val="Arial MT"/>
      <family val="2"/>
    </font>
    <font>
      <sz val="12"/>
      <name val="￠RER￠R¡×u¡ER￠R¡¿u¡ERE "/>
      <family val="3"/>
      <charset val="129"/>
    </font>
    <font>
      <sz val="12"/>
      <name val="¨IoUAAA¡§u"/>
      <family val="1"/>
      <charset val="129"/>
    </font>
    <font>
      <sz val="11"/>
      <name val="µ¸¿ò"/>
      <family val="1"/>
      <charset val="129"/>
    </font>
    <font>
      <sz val="12"/>
      <name val="±¼¸²A¼"/>
      <family val="1"/>
      <charset val="129"/>
    </font>
    <font>
      <sz val="12"/>
      <name val="¹ÙÅÁÃ¼"/>
      <family val="1"/>
    </font>
    <font>
      <sz val="10"/>
      <name val="±¼¸²A¼"/>
      <family val="3"/>
    </font>
    <font>
      <sz val="10"/>
      <name val="±¼¸²Ã¼"/>
      <family val="3"/>
    </font>
    <font>
      <sz val="10"/>
      <name val="±¼¸²A¼"/>
      <family val="1"/>
      <charset val="129"/>
    </font>
    <font>
      <b/>
      <sz val="10"/>
      <color indexed="52"/>
      <name val="맑은 고딕"/>
      <family val="3"/>
      <charset val="129"/>
    </font>
    <font>
      <sz val="10"/>
      <color indexed="10"/>
      <name val="Helv"/>
      <family val="2"/>
    </font>
    <font>
      <b/>
      <sz val="10"/>
      <color indexed="9"/>
      <name val="맑은 고딕"/>
      <family val="3"/>
      <charset val="129"/>
    </font>
    <font>
      <b/>
      <sz val="8"/>
      <name val="Arial"/>
      <family val="2"/>
    </font>
    <font>
      <b/>
      <sz val="10"/>
      <color indexed="43"/>
      <name val="Arial"/>
      <family val="2"/>
    </font>
    <font>
      <b/>
      <sz val="8"/>
      <color indexed="43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8"/>
      <color indexed="12"/>
      <name val="Times New Roman"/>
      <family val="1"/>
    </font>
    <font>
      <sz val="10"/>
      <name val="Courier"/>
      <family val="3"/>
    </font>
    <font>
      <sz val="12"/>
      <name val="ㄏoUAAA¨u"/>
      <family val="1"/>
      <charset val="129"/>
    </font>
    <font>
      <sz val="8"/>
      <color indexed="39"/>
      <name val="MS Sans Serif"/>
      <family val="2"/>
    </font>
    <font>
      <sz val="10"/>
      <name val="Lucida Bright"/>
      <family val="1"/>
    </font>
    <font>
      <b/>
      <u val="double"/>
      <sz val="9"/>
      <name val="Arial"/>
      <family val="2"/>
    </font>
    <font>
      <sz val="10"/>
      <color indexed="14"/>
      <name val="Helv"/>
      <family val="2"/>
    </font>
    <font>
      <i/>
      <sz val="10"/>
      <color indexed="23"/>
      <name val="맑은 고딕"/>
      <family val="3"/>
      <charset val="129"/>
    </font>
    <font>
      <b/>
      <sz val="11"/>
      <name val="Arial"/>
      <family val="2"/>
    </font>
    <font>
      <b/>
      <sz val="14"/>
      <name val="Albertus Extra Bold"/>
      <family val="2"/>
    </font>
    <font>
      <sz val="10"/>
      <color indexed="17"/>
      <name val="맑은 고딕"/>
      <family val="3"/>
      <charset val="129"/>
    </font>
    <font>
      <b/>
      <sz val="12"/>
      <color indexed="8"/>
      <name val="Arial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10"/>
      <color indexed="62"/>
      <name val="맑은 고딕"/>
      <family val="3"/>
      <charset val="129"/>
    </font>
    <font>
      <sz val="10"/>
      <name val="ＭＳ ゴシック"/>
      <family val="3"/>
      <charset val="129"/>
    </font>
    <font>
      <b/>
      <sz val="10"/>
      <color indexed="8"/>
      <name val="Arial"/>
      <family val="2"/>
    </font>
    <font>
      <sz val="10"/>
      <color indexed="52"/>
      <name val="맑은 고딕"/>
      <family val="3"/>
      <charset val="129"/>
    </font>
    <font>
      <b/>
      <sz val="20"/>
      <name val="Albertus Extra Bold"/>
      <family val="2"/>
    </font>
    <font>
      <b/>
      <sz val="12"/>
      <name val="Albertus Extra Bold"/>
      <family val="2"/>
    </font>
    <font>
      <sz val="14"/>
      <name val="Arial"/>
      <family val="2"/>
    </font>
    <font>
      <sz val="12"/>
      <name val="宋体"/>
      <family val="3"/>
      <charset val="129"/>
    </font>
    <font>
      <sz val="11"/>
      <name val="IiE┉E?o"/>
      <family val="3"/>
    </font>
    <font>
      <b/>
      <u val="singleAccounting"/>
      <sz val="9"/>
      <color indexed="9"/>
      <name val="Arial"/>
      <family val="2"/>
    </font>
    <font>
      <sz val="7"/>
      <color indexed="8"/>
      <name val="Arial"/>
      <family val="2"/>
    </font>
    <font>
      <b/>
      <i/>
      <sz val="10"/>
      <color indexed="9"/>
      <name val="Arial"/>
      <family val="2"/>
    </font>
    <font>
      <b/>
      <sz val="10"/>
      <color indexed="30"/>
      <name val="Arial"/>
      <family val="2"/>
    </font>
    <font>
      <b/>
      <sz val="22"/>
      <color indexed="54"/>
      <name val="Times New Roman"/>
      <family val="1"/>
    </font>
    <font>
      <u/>
      <sz val="9"/>
      <name val="Arial"/>
      <family val="2"/>
    </font>
    <font>
      <b/>
      <sz val="9"/>
      <color indexed="52"/>
      <name val="맑은 고딕"/>
      <family val="3"/>
      <charset val="129"/>
    </font>
    <font>
      <sz val="12"/>
      <name val="Courier"/>
      <family val="3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u/>
      <sz val="9.35"/>
      <color indexed="13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theme="1"/>
      <name val="Times New Roman"/>
      <family val="1"/>
    </font>
    <font>
      <b/>
      <i/>
      <sz val="18"/>
      <name val="맑은 고딕"/>
      <family val="3"/>
      <charset val="129"/>
      <scheme val="minor"/>
    </font>
    <font>
      <b/>
      <i/>
      <sz val="16"/>
      <name val="Times New Roman"/>
      <family val="1"/>
    </font>
    <font>
      <sz val="16"/>
      <name val="Times New Roman"/>
      <family val="1"/>
    </font>
    <font>
      <b/>
      <i/>
      <sz val="16"/>
      <name val="맑은 고딕"/>
      <family val="3"/>
      <charset val="129"/>
      <scheme val="minor"/>
    </font>
    <font>
      <sz val="11"/>
      <name val="Times New Roman"/>
      <family val="1"/>
    </font>
    <font>
      <b/>
      <i/>
      <sz val="12"/>
      <name val="맑은 고딕"/>
      <family val="3"/>
      <charset val="129"/>
      <scheme val="minor"/>
    </font>
    <font>
      <b/>
      <i/>
      <sz val="14"/>
      <name val="맑은 고딕"/>
      <family val="3"/>
      <charset val="129"/>
    </font>
    <font>
      <b/>
      <i/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i/>
      <sz val="14"/>
      <color rgb="FFFF0000"/>
      <name val="Times New Roman"/>
      <family val="1"/>
    </font>
    <font>
      <b/>
      <i/>
      <sz val="9"/>
      <name val="Times New Roman"/>
      <family val="1"/>
    </font>
    <font>
      <b/>
      <i/>
      <sz val="14"/>
      <name val="Times New Roman"/>
      <family val="1"/>
    </font>
    <font>
      <b/>
      <i/>
      <sz val="9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2"/>
      <name val="ＭＳ Ｐゴシック"/>
      <family val="2"/>
      <charset val="128"/>
    </font>
    <font>
      <sz val="8"/>
      <name val="맑은 고딕"/>
      <family val="2"/>
      <charset val="129"/>
    </font>
    <font>
      <sz val="12"/>
      <color indexed="8"/>
      <name val="굴림"/>
      <family val="3"/>
      <charset val="129"/>
    </font>
    <font>
      <sz val="12"/>
      <name val="???"/>
      <family val="3"/>
      <charset val="255"/>
    </font>
    <font>
      <sz val="11"/>
      <name val="??????"/>
      <family val="1"/>
    </font>
    <font>
      <sz val="11"/>
      <name val="????"/>
      <family val="3"/>
    </font>
    <font>
      <sz val="12"/>
      <color indexed="8"/>
      <name val="?UAAA?"/>
      <family val="2"/>
      <charset val="204"/>
    </font>
    <font>
      <sz val="12"/>
      <name val="ⓒoUAAA¨u"/>
      <family val="3"/>
      <charset val="129"/>
    </font>
    <font>
      <sz val="10"/>
      <name val="Lucida Sans Typewriter"/>
      <family val="3"/>
    </font>
    <font>
      <sz val="12"/>
      <name val="MS Sans Serif"/>
      <family val="2"/>
    </font>
    <font>
      <b/>
      <sz val="12"/>
      <name val="돋움체"/>
      <family val="3"/>
      <charset val="129"/>
    </font>
    <font>
      <sz val="14"/>
      <name val="바탕체"/>
      <family val="1"/>
      <charset val="129"/>
    </font>
    <font>
      <sz val="11"/>
      <color indexed="42"/>
      <name val="맑은 고딕"/>
      <family val="3"/>
      <charset val="129"/>
    </font>
    <font>
      <sz val="12"/>
      <name val="?UAAA?"/>
      <family val="1"/>
    </font>
    <font>
      <sz val="11"/>
      <name val="??o"/>
      <family val="1"/>
    </font>
    <font>
      <sz val="12"/>
      <name val="1UAÁA1"/>
      <family val="1"/>
    </font>
    <font>
      <sz val="12"/>
      <name val="¡§IoUAAA￠R¡×u"/>
      <family val="1"/>
      <charset val="129"/>
    </font>
    <font>
      <sz val="12"/>
      <name val="¡ERERER￠RERER¡ERER¡ERE?IoUA"/>
      <family val="1"/>
      <charset val="129"/>
    </font>
    <font>
      <sz val="12"/>
      <name val="¹ÙÅÁÃ¼"/>
      <family val="1"/>
      <charset val="128"/>
    </font>
    <font>
      <sz val="11"/>
      <name val="µ¸?o"/>
      <family val="3"/>
      <charset val="255"/>
    </font>
    <font>
      <sz val="12"/>
      <name val="¹UAAA¼"/>
      <family val="1"/>
    </font>
    <font>
      <sz val="12"/>
      <name val="±1¸2A1"/>
      <family val="3"/>
      <charset val="255"/>
    </font>
    <font>
      <sz val="11"/>
      <name val="µ¸¿ò"/>
      <family val="3"/>
      <charset val="255"/>
    </font>
    <font>
      <sz val="12"/>
      <name val="¹UAAA¼"/>
      <family val="1"/>
      <charset val="128"/>
    </font>
    <font>
      <sz val="10"/>
      <name val="¹ÙÅÁÃ¼"/>
      <family val="3"/>
      <charset val="129"/>
    </font>
    <font>
      <sz val="11"/>
      <name val="돋움"/>
      <family val="3"/>
    </font>
    <font>
      <sz val="10"/>
      <color indexed="8"/>
      <name val="Geneva"/>
      <family val="2"/>
    </font>
    <font>
      <b/>
      <i/>
      <sz val="17"/>
      <name val="Times New Roman"/>
      <family val="1"/>
    </font>
    <font>
      <b/>
      <i/>
      <sz val="12"/>
      <name val="Times New Roman"/>
      <family val="1"/>
    </font>
    <font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9"/>
      <name val="Times New Roman"/>
      <family val="1"/>
    </font>
    <font>
      <b/>
      <i/>
      <sz val="9"/>
      <color indexed="9"/>
      <name val="Times New Roman"/>
      <family val="1"/>
    </font>
    <font>
      <b/>
      <sz val="11"/>
      <name val="돋움"/>
      <family val="3"/>
      <charset val="129"/>
    </font>
    <font>
      <sz val="9"/>
      <color indexed="9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b/>
      <sz val="11"/>
      <color indexed="9"/>
      <name val="Calibri"/>
      <family val="2"/>
    </font>
    <font>
      <i/>
      <sz val="11"/>
      <color indexed="22"/>
      <name val="Calibri"/>
      <family val="2"/>
    </font>
    <font>
      <b/>
      <sz val="15"/>
      <color indexed="45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sz val="8"/>
      <name val="???"/>
      <family val="1"/>
    </font>
    <font>
      <sz val="10"/>
      <name val="PragmaticaCTT"/>
      <family val="2"/>
      <charset val="204"/>
    </font>
    <font>
      <sz val="10"/>
      <name val="Arial Narrow"/>
      <family val="2"/>
    </font>
    <font>
      <sz val="12"/>
      <name val="바탕"/>
      <family val="1"/>
      <charset val="129"/>
    </font>
    <font>
      <sz val="11"/>
      <color indexed="8"/>
      <name val="맑은 고딕"/>
      <family val="2"/>
    </font>
    <font>
      <sz val="14"/>
      <name val="Times New Roman"/>
      <family val="1"/>
    </font>
    <font>
      <sz val="9"/>
      <color theme="1"/>
      <name val="Times New Roman"/>
      <family val="1"/>
    </font>
    <font>
      <sz val="12"/>
      <name val="맑은 고딕"/>
      <family val="1"/>
      <charset val="129"/>
    </font>
    <font>
      <sz val="11"/>
      <name val="Arial Unicode MS"/>
      <family val="1"/>
      <charset val="129"/>
    </font>
    <font>
      <sz val="11"/>
      <color rgb="FF000000"/>
      <name val="맑은 고딕"/>
      <family val="3"/>
      <charset val="129"/>
    </font>
    <font>
      <sz val="10"/>
      <name val="Arial Unicode MS"/>
      <family val="1"/>
      <charset val="129"/>
    </font>
    <font>
      <sz val="10"/>
      <name val="맑은 고딕"/>
      <family val="1"/>
      <charset val="129"/>
    </font>
    <font>
      <b/>
      <sz val="9"/>
      <name val="Times New Roman"/>
      <family val="1"/>
    </font>
    <font>
      <sz val="11"/>
      <name val="맑은 고딕"/>
      <family val="1"/>
      <charset val="129"/>
    </font>
    <font>
      <sz val="16"/>
      <name val="맑은 고딕"/>
      <family val="1"/>
      <charset val="129"/>
    </font>
    <font>
      <sz val="9"/>
      <name val="맑은 고딕"/>
      <family val="1"/>
      <charset val="129"/>
    </font>
    <font>
      <sz val="9"/>
      <name val="바탕"/>
      <family val="1"/>
      <charset val="129"/>
    </font>
    <font>
      <sz val="11"/>
      <name val="Times New Roman"/>
      <family val="1"/>
      <charset val="129"/>
    </font>
    <font>
      <sz val="9"/>
      <color rgb="FF000000"/>
      <name val="맑은 고딕"/>
      <family val="3"/>
      <charset val="129"/>
      <scheme val="major"/>
    </font>
  </fonts>
  <fills count="9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72C7E7"/>
        <bgColor indexed="64"/>
      </patternFill>
    </fill>
    <fill>
      <patternFill patternType="gray125">
        <fgColor indexed="8"/>
      </patternFill>
    </fill>
    <fill>
      <patternFill patternType="solid">
        <fgColor indexed="15"/>
      </patternFill>
    </fill>
    <fill>
      <patternFill patternType="solid">
        <fgColor indexed="4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A452A"/>
        <bgColor indexed="64"/>
      </patternFill>
    </fill>
    <fill>
      <patternFill patternType="solid">
        <fgColor rgb="FFC5BE9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indexed="61"/>
      </patternFill>
    </fill>
    <fill>
      <patternFill patternType="solid">
        <fgColor indexed="38"/>
      </patternFill>
    </fill>
    <fill>
      <patternFill patternType="solid">
        <fgColor indexed="63"/>
      </patternFill>
    </fill>
    <fill>
      <patternFill patternType="solid">
        <fgColor indexed="40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1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16"/>
      </top>
      <bottom style="thin">
        <color indexed="1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16"/>
      </top>
      <bottom style="thin">
        <color indexed="16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2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18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thick">
        <color indexed="3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</borders>
  <cellStyleXfs count="327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7" fillId="0" borderId="0"/>
    <xf numFmtId="0" fontId="6" fillId="0" borderId="0"/>
    <xf numFmtId="41" fontId="6" fillId="0" borderId="0" applyFont="0" applyFill="0" applyBorder="0" applyAlignment="0" applyProtection="0"/>
    <xf numFmtId="179" fontId="6" fillId="0" borderId="0"/>
    <xf numFmtId="0" fontId="18" fillId="0" borderId="0"/>
    <xf numFmtId="0" fontId="17" fillId="0" borderId="0"/>
    <xf numFmtId="0" fontId="19" fillId="0" borderId="0"/>
    <xf numFmtId="0" fontId="20" fillId="0" borderId="0" applyNumberFormat="0" applyFill="0" applyBorder="0" applyAlignment="0" applyProtection="0"/>
    <xf numFmtId="24" fontId="21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24" fillId="0" borderId="0" applyNumberFormat="0" applyFill="0" applyBorder="0" applyAlignment="0" applyProtection="0"/>
    <xf numFmtId="180" fontId="22" fillId="0" borderId="0">
      <protection locked="0"/>
    </xf>
    <xf numFmtId="180" fontId="22" fillId="0" borderId="0">
      <protection locked="0"/>
    </xf>
    <xf numFmtId="0" fontId="17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2" fillId="0" borderId="0">
      <protection locked="0"/>
    </xf>
    <xf numFmtId="180" fontId="22" fillId="0" borderId="0">
      <protection locked="0"/>
    </xf>
    <xf numFmtId="180" fontId="22" fillId="0" borderId="0">
      <protection locked="0"/>
    </xf>
    <xf numFmtId="40" fontId="21" fillId="0" borderId="0" applyFont="0" applyFill="0" applyBorder="0" applyAlignment="0" applyProtection="0"/>
    <xf numFmtId="0" fontId="17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0" fontId="17" fillId="0" borderId="0"/>
    <xf numFmtId="0" fontId="29" fillId="0" borderId="0" applyFont="0" applyFill="0" applyBorder="0" applyAlignment="0" applyProtection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23" fillId="0" borderId="0" applyFont="0" applyFill="0" applyBorder="0" applyAlignment="0" applyProtection="0"/>
    <xf numFmtId="0" fontId="23" fillId="0" borderId="0"/>
    <xf numFmtId="0" fontId="3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31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34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31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9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31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31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22" fillId="0" borderId="0">
      <protection locked="0"/>
    </xf>
    <xf numFmtId="40" fontId="32" fillId="0" borderId="0" applyFont="0" applyFill="0" applyBorder="0" applyAlignment="0" applyProtection="0"/>
    <xf numFmtId="180" fontId="22" fillId="0" borderId="0">
      <protection locked="0"/>
    </xf>
    <xf numFmtId="180" fontId="22" fillId="0" borderId="0">
      <protection locked="0"/>
    </xf>
    <xf numFmtId="180" fontId="22" fillId="0" borderId="0">
      <protection locked="0"/>
    </xf>
    <xf numFmtId="180" fontId="22" fillId="0" borderId="0">
      <protection locked="0"/>
    </xf>
    <xf numFmtId="0" fontId="33" fillId="0" borderId="0"/>
    <xf numFmtId="0" fontId="33" fillId="0" borderId="0"/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80" fontId="22" fillId="0" borderId="0">
      <protection locked="0"/>
    </xf>
    <xf numFmtId="38" fontId="34" fillId="0" borderId="3">
      <alignment horizontal="right" vertical="center"/>
      <protection locked="0"/>
    </xf>
    <xf numFmtId="0" fontId="17" fillId="0" borderId="0" applyNumberFormat="0" applyFill="0" applyBorder="0" applyAlignment="0" applyProtection="0"/>
    <xf numFmtId="180" fontId="22" fillId="0" borderId="0">
      <protection locked="0"/>
    </xf>
    <xf numFmtId="0" fontId="36" fillId="3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179" fontId="36" fillId="35" borderId="0" applyNumberFormat="0" applyBorder="0" applyAlignment="0" applyProtection="0">
      <alignment vertical="center"/>
    </xf>
    <xf numFmtId="179" fontId="36" fillId="35" borderId="0" applyNumberFormat="0" applyBorder="0" applyAlignment="0" applyProtection="0">
      <alignment vertical="center"/>
    </xf>
    <xf numFmtId="179" fontId="36" fillId="35" borderId="0" applyNumberFormat="0" applyBorder="0" applyAlignment="0" applyProtection="0">
      <alignment vertical="center"/>
    </xf>
    <xf numFmtId="179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179" fontId="36" fillId="36" borderId="0" applyNumberFormat="0" applyBorder="0" applyAlignment="0" applyProtection="0">
      <alignment vertical="center"/>
    </xf>
    <xf numFmtId="179" fontId="36" fillId="36" borderId="0" applyNumberFormat="0" applyBorder="0" applyAlignment="0" applyProtection="0">
      <alignment vertical="center"/>
    </xf>
    <xf numFmtId="179" fontId="36" fillId="36" borderId="0" applyNumberFormat="0" applyBorder="0" applyAlignment="0" applyProtection="0">
      <alignment vertical="center"/>
    </xf>
    <xf numFmtId="179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179" fontId="36" fillId="37" borderId="0" applyNumberFormat="0" applyBorder="0" applyAlignment="0" applyProtection="0">
      <alignment vertical="center"/>
    </xf>
    <xf numFmtId="179" fontId="36" fillId="37" borderId="0" applyNumberFormat="0" applyBorder="0" applyAlignment="0" applyProtection="0">
      <alignment vertical="center"/>
    </xf>
    <xf numFmtId="179" fontId="36" fillId="37" borderId="0" applyNumberFormat="0" applyBorder="0" applyAlignment="0" applyProtection="0">
      <alignment vertical="center"/>
    </xf>
    <xf numFmtId="179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179" fontId="36" fillId="39" borderId="0" applyNumberFormat="0" applyBorder="0" applyAlignment="0" applyProtection="0">
      <alignment vertical="center"/>
    </xf>
    <xf numFmtId="179" fontId="36" fillId="39" borderId="0" applyNumberFormat="0" applyBorder="0" applyAlignment="0" applyProtection="0">
      <alignment vertical="center"/>
    </xf>
    <xf numFmtId="179" fontId="36" fillId="39" borderId="0" applyNumberFormat="0" applyBorder="0" applyAlignment="0" applyProtection="0">
      <alignment vertical="center"/>
    </xf>
    <xf numFmtId="179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179" fontId="36" fillId="40" borderId="0" applyNumberFormat="0" applyBorder="0" applyAlignment="0" applyProtection="0">
      <alignment vertical="center"/>
    </xf>
    <xf numFmtId="179" fontId="36" fillId="40" borderId="0" applyNumberFormat="0" applyBorder="0" applyAlignment="0" applyProtection="0">
      <alignment vertical="center"/>
    </xf>
    <xf numFmtId="179" fontId="36" fillId="40" borderId="0" applyNumberFormat="0" applyBorder="0" applyAlignment="0" applyProtection="0">
      <alignment vertical="center"/>
    </xf>
    <xf numFmtId="179" fontId="36" fillId="40" borderId="0" applyNumberFormat="0" applyBorder="0" applyAlignment="0" applyProtection="0">
      <alignment vertical="center"/>
    </xf>
    <xf numFmtId="179" fontId="3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179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179" fontId="3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179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179" fontId="36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179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179" fontId="3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179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179" fontId="3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179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179" fontId="36" fillId="42" borderId="0" applyNumberFormat="0" applyBorder="0" applyAlignment="0" applyProtection="0">
      <alignment vertical="center"/>
    </xf>
    <xf numFmtId="179" fontId="36" fillId="42" borderId="0" applyNumberFormat="0" applyBorder="0" applyAlignment="0" applyProtection="0">
      <alignment vertical="center"/>
    </xf>
    <xf numFmtId="179" fontId="36" fillId="42" borderId="0" applyNumberFormat="0" applyBorder="0" applyAlignment="0" applyProtection="0">
      <alignment vertical="center"/>
    </xf>
    <xf numFmtId="179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179" fontId="36" fillId="43" borderId="0" applyNumberFormat="0" applyBorder="0" applyAlignment="0" applyProtection="0">
      <alignment vertical="center"/>
    </xf>
    <xf numFmtId="179" fontId="36" fillId="43" borderId="0" applyNumberFormat="0" applyBorder="0" applyAlignment="0" applyProtection="0">
      <alignment vertical="center"/>
    </xf>
    <xf numFmtId="179" fontId="36" fillId="43" borderId="0" applyNumberFormat="0" applyBorder="0" applyAlignment="0" applyProtection="0">
      <alignment vertical="center"/>
    </xf>
    <xf numFmtId="179" fontId="36" fillId="4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179" fontId="36" fillId="44" borderId="0" applyNumberFormat="0" applyBorder="0" applyAlignment="0" applyProtection="0">
      <alignment vertical="center"/>
    </xf>
    <xf numFmtId="179" fontId="36" fillId="44" borderId="0" applyNumberFormat="0" applyBorder="0" applyAlignment="0" applyProtection="0">
      <alignment vertical="center"/>
    </xf>
    <xf numFmtId="179" fontId="36" fillId="44" borderId="0" applyNumberFormat="0" applyBorder="0" applyAlignment="0" applyProtection="0">
      <alignment vertical="center"/>
    </xf>
    <xf numFmtId="179" fontId="36" fillId="44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179" fontId="36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179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179" fontId="36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179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179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179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179" fontId="36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179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79" fontId="40" fillId="45" borderId="0" applyNumberFormat="0" applyBorder="0" applyAlignment="0" applyProtection="0">
      <alignment vertical="center"/>
    </xf>
    <xf numFmtId="179" fontId="40" fillId="45" borderId="0" applyNumberFormat="0" applyBorder="0" applyAlignment="0" applyProtection="0">
      <alignment vertical="center"/>
    </xf>
    <xf numFmtId="179" fontId="40" fillId="45" borderId="0" applyNumberFormat="0" applyBorder="0" applyAlignment="0" applyProtection="0">
      <alignment vertical="center"/>
    </xf>
    <xf numFmtId="179" fontId="40" fillId="45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79" fontId="40" fillId="42" borderId="0" applyNumberFormat="0" applyBorder="0" applyAlignment="0" applyProtection="0">
      <alignment vertical="center"/>
    </xf>
    <xf numFmtId="179" fontId="40" fillId="42" borderId="0" applyNumberFormat="0" applyBorder="0" applyAlignment="0" applyProtection="0">
      <alignment vertical="center"/>
    </xf>
    <xf numFmtId="179" fontId="40" fillId="42" borderId="0" applyNumberFormat="0" applyBorder="0" applyAlignment="0" applyProtection="0">
      <alignment vertical="center"/>
    </xf>
    <xf numFmtId="179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79" fontId="40" fillId="43" borderId="0" applyNumberFormat="0" applyBorder="0" applyAlignment="0" applyProtection="0">
      <alignment vertical="center"/>
    </xf>
    <xf numFmtId="179" fontId="40" fillId="43" borderId="0" applyNumberFormat="0" applyBorder="0" applyAlignment="0" applyProtection="0">
      <alignment vertical="center"/>
    </xf>
    <xf numFmtId="179" fontId="40" fillId="43" borderId="0" applyNumberFormat="0" applyBorder="0" applyAlignment="0" applyProtection="0">
      <alignment vertical="center"/>
    </xf>
    <xf numFmtId="179" fontId="40" fillId="4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79" fontId="40" fillId="48" borderId="0" applyNumberFormat="0" applyBorder="0" applyAlignment="0" applyProtection="0">
      <alignment vertical="center"/>
    </xf>
    <xf numFmtId="179" fontId="40" fillId="48" borderId="0" applyNumberFormat="0" applyBorder="0" applyAlignment="0" applyProtection="0">
      <alignment vertical="center"/>
    </xf>
    <xf numFmtId="179" fontId="40" fillId="48" borderId="0" applyNumberFormat="0" applyBorder="0" applyAlignment="0" applyProtection="0">
      <alignment vertical="center"/>
    </xf>
    <xf numFmtId="179" fontId="40" fillId="48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179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179" fontId="40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179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79" fontId="40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179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179" fontId="40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179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0" fillId="4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179" fontId="40" fillId="49" borderId="0" applyNumberFormat="0" applyBorder="0" applyAlignment="0" applyProtection="0">
      <alignment vertical="center"/>
    </xf>
    <xf numFmtId="179" fontId="40" fillId="49" borderId="0" applyNumberFormat="0" applyBorder="0" applyAlignment="0" applyProtection="0">
      <alignment vertical="center"/>
    </xf>
    <xf numFmtId="179" fontId="40" fillId="49" borderId="0" applyNumberFormat="0" applyBorder="0" applyAlignment="0" applyProtection="0">
      <alignment vertical="center"/>
    </xf>
    <xf numFmtId="179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179" fontId="40" fillId="50" borderId="0" applyNumberFormat="0" applyBorder="0" applyAlignment="0" applyProtection="0">
      <alignment vertical="center"/>
    </xf>
    <xf numFmtId="179" fontId="40" fillId="50" borderId="0" applyNumberFormat="0" applyBorder="0" applyAlignment="0" applyProtection="0">
      <alignment vertical="center"/>
    </xf>
    <xf numFmtId="179" fontId="40" fillId="50" borderId="0" applyNumberFormat="0" applyBorder="0" applyAlignment="0" applyProtection="0">
      <alignment vertical="center"/>
    </xf>
    <xf numFmtId="179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179" fontId="40" fillId="51" borderId="0" applyNumberFormat="0" applyBorder="0" applyAlignment="0" applyProtection="0">
      <alignment vertical="center"/>
    </xf>
    <xf numFmtId="179" fontId="40" fillId="51" borderId="0" applyNumberFormat="0" applyBorder="0" applyAlignment="0" applyProtection="0">
      <alignment vertical="center"/>
    </xf>
    <xf numFmtId="179" fontId="40" fillId="51" borderId="0" applyNumberFormat="0" applyBorder="0" applyAlignment="0" applyProtection="0">
      <alignment vertical="center"/>
    </xf>
    <xf numFmtId="179" fontId="40" fillId="5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179" fontId="40" fillId="52" borderId="0" applyNumberFormat="0" applyBorder="0" applyAlignment="0" applyProtection="0">
      <alignment vertical="center"/>
    </xf>
    <xf numFmtId="179" fontId="40" fillId="52" borderId="0" applyNumberFormat="0" applyBorder="0" applyAlignment="0" applyProtection="0">
      <alignment vertical="center"/>
    </xf>
    <xf numFmtId="179" fontId="40" fillId="52" borderId="0" applyNumberFormat="0" applyBorder="0" applyAlignment="0" applyProtection="0">
      <alignment vertical="center"/>
    </xf>
    <xf numFmtId="179" fontId="40" fillId="52" borderId="0" applyNumberFormat="0" applyBorder="0" applyAlignment="0" applyProtection="0">
      <alignment vertical="center"/>
    </xf>
    <xf numFmtId="180" fontId="22" fillId="0" borderId="0">
      <protection locked="0"/>
    </xf>
    <xf numFmtId="180" fontId="22" fillId="0" borderId="0">
      <protection locked="0"/>
    </xf>
    <xf numFmtId="183" fontId="35" fillId="0" borderId="0" applyFont="0" applyFill="0" applyBorder="0" applyAlignment="0" applyProtection="0"/>
    <xf numFmtId="184" fontId="17" fillId="0" borderId="0" applyFont="0" applyFill="0" applyBorder="0" applyAlignment="0" applyProtection="0"/>
    <xf numFmtId="183" fontId="50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183" fontId="50" fillId="0" borderId="0" applyFont="0" applyFill="0" applyBorder="0" applyAlignment="0" applyProtection="0"/>
    <xf numFmtId="183" fontId="50" fillId="0" borderId="0" applyFont="0" applyFill="0" applyBorder="0" applyAlignment="0" applyProtection="0"/>
    <xf numFmtId="185" fontId="35" fillId="0" borderId="0" applyFont="0" applyFill="0" applyBorder="0" applyAlignment="0" applyProtection="0"/>
    <xf numFmtId="185" fontId="50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35" fillId="0" borderId="0" applyFont="0" applyFill="0" applyBorder="0" applyAlignment="0" applyProtection="0"/>
    <xf numFmtId="187" fontId="50" fillId="0" borderId="0" applyFont="0" applyFill="0" applyBorder="0" applyAlignment="0" applyProtection="0"/>
    <xf numFmtId="188" fontId="52" fillId="0" borderId="0" applyFont="0" applyFill="0" applyBorder="0" applyAlignment="0" applyProtection="0"/>
    <xf numFmtId="189" fontId="52" fillId="0" borderId="0" applyFont="0" applyFill="0" applyBorder="0" applyAlignment="0" applyProtection="0"/>
    <xf numFmtId="189" fontId="52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18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86" fontId="21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191" fontId="35" fillId="0" borderId="0" applyFont="0" applyFill="0" applyBorder="0" applyAlignment="0" applyProtection="0"/>
    <xf numFmtId="191" fontId="50" fillId="0" borderId="0" applyFont="0" applyFill="0" applyBorder="0" applyAlignment="0" applyProtection="0"/>
    <xf numFmtId="187" fontId="21" fillId="0" borderId="0" applyFont="0" applyFill="0" applyBorder="0" applyAlignment="0" applyProtection="0"/>
    <xf numFmtId="192" fontId="35" fillId="0" borderId="0" applyFont="0" applyFill="0" applyBorder="0" applyAlignment="0" applyProtection="0"/>
    <xf numFmtId="192" fontId="50" fillId="0" borderId="0" applyFont="0" applyFill="0" applyBorder="0" applyAlignment="0" applyProtection="0"/>
    <xf numFmtId="193" fontId="52" fillId="0" borderId="0" applyFont="0" applyFill="0" applyBorder="0" applyAlignment="0" applyProtection="0"/>
    <xf numFmtId="194" fontId="52" fillId="0" borderId="0" applyFont="0" applyFill="0" applyBorder="0" applyAlignment="0" applyProtection="0"/>
    <xf numFmtId="194" fontId="52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21" fillId="0" borderId="0"/>
    <xf numFmtId="0" fontId="21" fillId="0" borderId="0"/>
    <xf numFmtId="0" fontId="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80" fontId="22" fillId="0" borderId="0">
      <protection locked="0"/>
    </xf>
    <xf numFmtId="180" fontId="22" fillId="0" borderId="0">
      <protection locked="0"/>
    </xf>
    <xf numFmtId="195" fontId="35" fillId="0" borderId="0" applyFont="0" applyFill="0" applyBorder="0" applyAlignment="0" applyProtection="0"/>
    <xf numFmtId="180" fontId="22" fillId="0" borderId="0">
      <protection locked="0"/>
    </xf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50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41" fontId="52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50" fillId="0" borderId="0" applyFont="0" applyFill="0" applyBorder="0" applyAlignment="0" applyProtection="0"/>
    <xf numFmtId="197" fontId="49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35" fillId="0" borderId="0" applyFont="0" applyFill="0" applyBorder="0" applyAlignment="0" applyProtection="0"/>
    <xf numFmtId="196" fontId="50" fillId="0" borderId="0" applyFont="0" applyFill="0" applyBorder="0" applyAlignment="0" applyProtection="0"/>
    <xf numFmtId="40" fontId="21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198" fontId="35" fillId="0" borderId="0" applyFont="0" applyFill="0" applyBorder="0" applyAlignment="0" applyProtection="0"/>
    <xf numFmtId="198" fontId="50" fillId="0" borderId="0" applyFont="0" applyFill="0" applyBorder="0" applyAlignment="0" applyProtection="0"/>
    <xf numFmtId="43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196" fontId="35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0" fontId="16" fillId="0" borderId="0"/>
    <xf numFmtId="0" fontId="47" fillId="0" borderId="0" applyFont="0" applyFill="0" applyBorder="0" applyAlignment="0" applyProtection="0"/>
    <xf numFmtId="0" fontId="57" fillId="36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179" fontId="57" fillId="36" borderId="0" applyNumberFormat="0" applyBorder="0" applyAlignment="0" applyProtection="0">
      <alignment vertical="center"/>
    </xf>
    <xf numFmtId="179" fontId="57" fillId="36" borderId="0" applyNumberFormat="0" applyBorder="0" applyAlignment="0" applyProtection="0">
      <alignment vertical="center"/>
    </xf>
    <xf numFmtId="179" fontId="57" fillId="36" borderId="0" applyNumberFormat="0" applyBorder="0" applyAlignment="0" applyProtection="0">
      <alignment vertical="center"/>
    </xf>
    <xf numFmtId="179" fontId="57" fillId="36" borderId="0" applyNumberFormat="0" applyBorder="0" applyAlignment="0" applyProtection="0">
      <alignment vertical="center"/>
    </xf>
    <xf numFmtId="199" fontId="47" fillId="0" borderId="0">
      <alignment horizontal="right"/>
      <protection locked="0"/>
    </xf>
    <xf numFmtId="49" fontId="61" fillId="0" borderId="0" applyFont="0" applyFill="0" applyBorder="0" applyAlignment="0" applyProtection="0">
      <alignment horizontal="left"/>
    </xf>
    <xf numFmtId="200" fontId="62" fillId="0" borderId="0" applyAlignment="0" applyProtection="0"/>
    <xf numFmtId="201" fontId="63" fillId="0" borderId="0" applyFill="0" applyBorder="0" applyAlignment="0" applyProtection="0"/>
    <xf numFmtId="49" fontId="63" fillId="0" borderId="0" applyNumberFormat="0" applyAlignment="0" applyProtection="0">
      <alignment horizontal="left"/>
    </xf>
    <xf numFmtId="49" fontId="64" fillId="0" borderId="23" applyNumberFormat="0" applyAlignment="0" applyProtection="0">
      <alignment horizontal="left" wrapText="1"/>
    </xf>
    <xf numFmtId="49" fontId="64" fillId="0" borderId="0" applyNumberFormat="0" applyAlignment="0" applyProtection="0">
      <alignment horizontal="left" wrapText="1"/>
    </xf>
    <xf numFmtId="49" fontId="65" fillId="0" borderId="0" applyAlignment="0" applyProtection="0">
      <alignment horizontal="left"/>
    </xf>
    <xf numFmtId="202" fontId="6" fillId="0" borderId="0" applyFont="0" applyFill="0" applyBorder="0" applyAlignment="0" applyProtection="0"/>
    <xf numFmtId="0" fontId="66" fillId="0" borderId="0"/>
    <xf numFmtId="0" fontId="67" fillId="0" borderId="0"/>
    <xf numFmtId="0" fontId="31" fillId="0" borderId="0"/>
    <xf numFmtId="180" fontId="22" fillId="0" borderId="0">
      <protection locked="0"/>
    </xf>
    <xf numFmtId="0" fontId="48" fillId="0" borderId="0"/>
    <xf numFmtId="0" fontId="68" fillId="0" borderId="0"/>
    <xf numFmtId="0" fontId="69" fillId="0" borderId="0"/>
    <xf numFmtId="0" fontId="70" fillId="0" borderId="0"/>
    <xf numFmtId="0" fontId="50" fillId="0" borderId="0"/>
    <xf numFmtId="0" fontId="71" fillId="0" borderId="0"/>
    <xf numFmtId="0" fontId="71" fillId="0" borderId="0"/>
    <xf numFmtId="0" fontId="56" fillId="0" borderId="0"/>
    <xf numFmtId="0" fontId="30" fillId="0" borderId="0"/>
    <xf numFmtId="0" fontId="50" fillId="0" borderId="0"/>
    <xf numFmtId="180" fontId="22" fillId="0" borderId="0">
      <protection locked="0"/>
    </xf>
    <xf numFmtId="0" fontId="51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35" fillId="0" borderId="0"/>
    <xf numFmtId="0" fontId="50" fillId="0" borderId="0"/>
    <xf numFmtId="0" fontId="51" fillId="0" borderId="0"/>
    <xf numFmtId="0" fontId="50" fillId="0" borderId="0"/>
    <xf numFmtId="0" fontId="21" fillId="0" borderId="0"/>
    <xf numFmtId="0" fontId="21" fillId="0" borderId="0"/>
    <xf numFmtId="0" fontId="35" fillId="0" borderId="0"/>
    <xf numFmtId="0" fontId="50" fillId="0" borderId="0"/>
    <xf numFmtId="0" fontId="51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35" fillId="0" borderId="0"/>
    <xf numFmtId="0" fontId="50" fillId="0" borderId="0"/>
    <xf numFmtId="0" fontId="51" fillId="0" borderId="0"/>
    <xf numFmtId="0" fontId="50" fillId="0" borderId="0"/>
    <xf numFmtId="0" fontId="35" fillId="0" borderId="0"/>
    <xf numFmtId="0" fontId="50" fillId="0" borderId="0"/>
    <xf numFmtId="0" fontId="48" fillId="0" borderId="0"/>
    <xf numFmtId="0" fontId="53" fillId="0" borderId="0"/>
    <xf numFmtId="203" fontId="19" fillId="0" borderId="0"/>
    <xf numFmtId="203" fontId="19" fillId="0" borderId="0"/>
    <xf numFmtId="0" fontId="71" fillId="0" borderId="0"/>
    <xf numFmtId="0" fontId="5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72" fillId="0" borderId="0"/>
    <xf numFmtId="0" fontId="73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6" fillId="0" borderId="0" applyFill="0" applyBorder="0" applyAlignment="0"/>
    <xf numFmtId="0" fontId="75" fillId="53" borderId="24" applyNumberFormat="0" applyAlignment="0" applyProtection="0">
      <alignment vertical="center"/>
    </xf>
    <xf numFmtId="0" fontId="76" fillId="6" borderId="8" applyNumberFormat="0" applyAlignment="0" applyProtection="0">
      <alignment vertical="center"/>
    </xf>
    <xf numFmtId="0" fontId="76" fillId="6" borderId="8" applyNumberFormat="0" applyAlignment="0" applyProtection="0">
      <alignment vertical="center"/>
    </xf>
    <xf numFmtId="0" fontId="77" fillId="6" borderId="8" applyNumberFormat="0" applyAlignment="0" applyProtection="0">
      <alignment vertical="center"/>
    </xf>
    <xf numFmtId="0" fontId="78" fillId="6" borderId="8" applyNumberFormat="0" applyAlignment="0" applyProtection="0">
      <alignment vertical="center"/>
    </xf>
    <xf numFmtId="0" fontId="75" fillId="53" borderId="24" applyNumberFormat="0" applyAlignment="0" applyProtection="0">
      <alignment vertical="center"/>
    </xf>
    <xf numFmtId="0" fontId="77" fillId="6" borderId="8" applyNumberFormat="0" applyAlignment="0" applyProtection="0">
      <alignment vertical="center"/>
    </xf>
    <xf numFmtId="179" fontId="75" fillId="53" borderId="24" applyNumberFormat="0" applyAlignment="0" applyProtection="0">
      <alignment vertical="center"/>
    </xf>
    <xf numFmtId="179" fontId="75" fillId="53" borderId="24" applyNumberFormat="0" applyAlignment="0" applyProtection="0">
      <alignment vertical="center"/>
    </xf>
    <xf numFmtId="179" fontId="75" fillId="53" borderId="24" applyNumberFormat="0" applyAlignment="0" applyProtection="0">
      <alignment vertical="center"/>
    </xf>
    <xf numFmtId="179" fontId="75" fillId="53" borderId="24" applyNumberFormat="0" applyAlignment="0" applyProtection="0">
      <alignment vertical="center"/>
    </xf>
    <xf numFmtId="204" fontId="6" fillId="54" borderId="0" applyNumberFormat="0" applyFont="0" applyBorder="0" applyAlignment="0">
      <protection locked="0"/>
    </xf>
    <xf numFmtId="0" fontId="79" fillId="0" borderId="0"/>
    <xf numFmtId="0" fontId="79" fillId="0" borderId="0"/>
    <xf numFmtId="0" fontId="80" fillId="55" borderId="25" applyNumberFormat="0" applyAlignment="0" applyProtection="0">
      <alignment vertical="center"/>
    </xf>
    <xf numFmtId="0" fontId="81" fillId="7" borderId="11" applyNumberFormat="0" applyAlignment="0" applyProtection="0">
      <alignment vertical="center"/>
    </xf>
    <xf numFmtId="0" fontId="81" fillId="7" borderId="11" applyNumberFormat="0" applyAlignment="0" applyProtection="0">
      <alignment vertical="center"/>
    </xf>
    <xf numFmtId="0" fontId="82" fillId="7" borderId="11" applyNumberFormat="0" applyAlignment="0" applyProtection="0">
      <alignment vertical="center"/>
    </xf>
    <xf numFmtId="0" fontId="83" fillId="7" borderId="11" applyNumberFormat="0" applyAlignment="0" applyProtection="0">
      <alignment vertical="center"/>
    </xf>
    <xf numFmtId="0" fontId="80" fillId="55" borderId="25" applyNumberFormat="0" applyAlignment="0" applyProtection="0">
      <alignment vertical="center"/>
    </xf>
    <xf numFmtId="0" fontId="82" fillId="7" borderId="11" applyNumberFormat="0" applyAlignment="0" applyProtection="0">
      <alignment vertical="center"/>
    </xf>
    <xf numFmtId="179" fontId="80" fillId="55" borderId="25" applyNumberFormat="0" applyAlignment="0" applyProtection="0">
      <alignment vertical="center"/>
    </xf>
    <xf numFmtId="179" fontId="80" fillId="55" borderId="25" applyNumberFormat="0" applyAlignment="0" applyProtection="0">
      <alignment vertical="center"/>
    </xf>
    <xf numFmtId="179" fontId="80" fillId="55" borderId="25" applyNumberFormat="0" applyAlignment="0" applyProtection="0">
      <alignment vertical="center"/>
    </xf>
    <xf numFmtId="179" fontId="80" fillId="55" borderId="25" applyNumberFormat="0" applyAlignment="0" applyProtection="0">
      <alignment vertical="center"/>
    </xf>
    <xf numFmtId="4" fontId="84" fillId="0" borderId="0">
      <protection locked="0"/>
    </xf>
    <xf numFmtId="37" fontId="85" fillId="0" borderId="0"/>
    <xf numFmtId="37" fontId="85" fillId="0" borderId="0"/>
    <xf numFmtId="37" fontId="85" fillId="0" borderId="0"/>
    <xf numFmtId="37" fontId="85" fillId="0" borderId="0"/>
    <xf numFmtId="37" fontId="85" fillId="0" borderId="0"/>
    <xf numFmtId="37" fontId="85" fillId="0" borderId="0"/>
    <xf numFmtId="37" fontId="85" fillId="0" borderId="0"/>
    <xf numFmtId="37" fontId="85" fillId="0" borderId="0"/>
    <xf numFmtId="3" fontId="21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8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3" fontId="2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206" fontId="90" fillId="0" borderId="0" applyFont="0" applyFill="0" applyBorder="0" applyAlignment="0" applyProtection="0">
      <alignment horizontal="right"/>
    </xf>
    <xf numFmtId="207" fontId="90" fillId="0" borderId="0" applyFont="0" applyFill="0" applyBorder="0" applyAlignment="0" applyProtection="0">
      <alignment horizontal="right"/>
    </xf>
    <xf numFmtId="208" fontId="6" fillId="0" borderId="0"/>
    <xf numFmtId="209" fontId="6" fillId="0" borderId="0"/>
    <xf numFmtId="180" fontId="22" fillId="0" borderId="0">
      <protection locked="0"/>
    </xf>
    <xf numFmtId="210" fontId="6" fillId="0" borderId="0" applyFont="0" applyFill="0" applyBorder="0" applyAlignment="0" applyProtection="0"/>
    <xf numFmtId="0" fontId="91" fillId="0" borderId="0" applyNumberFormat="0" applyAlignment="0">
      <alignment horizontal="left"/>
    </xf>
    <xf numFmtId="211" fontId="92" fillId="0" borderId="0">
      <protection locked="0"/>
    </xf>
    <xf numFmtId="192" fontId="21" fillId="0" borderId="0" applyFont="0" applyFill="0" applyBorder="0" applyAlignment="0" applyProtection="0"/>
    <xf numFmtId="212" fontId="90" fillId="0" borderId="0" applyFont="0" applyFill="0" applyBorder="0" applyAlignment="0" applyProtection="0">
      <alignment horizontal="right"/>
    </xf>
    <xf numFmtId="213" fontId="90" fillId="0" borderId="0" applyFont="0" applyFill="0" applyBorder="0" applyAlignment="0" applyProtection="0">
      <alignment horizontal="right"/>
    </xf>
    <xf numFmtId="214" fontId="23" fillId="0" borderId="26" applyFill="0" applyBorder="0" applyAlignment="0"/>
    <xf numFmtId="180" fontId="22" fillId="0" borderId="0">
      <protection locked="0"/>
    </xf>
    <xf numFmtId="215" fontId="6" fillId="0" borderId="0" applyFont="0" applyFill="0" applyBorder="0" applyAlignment="0" applyProtection="0"/>
    <xf numFmtId="216" fontId="23" fillId="0" borderId="0"/>
    <xf numFmtId="179" fontId="6" fillId="0" borderId="0"/>
    <xf numFmtId="0" fontId="6" fillId="0" borderId="0"/>
    <xf numFmtId="217" fontId="92" fillId="0" borderId="0">
      <protection locked="0"/>
    </xf>
    <xf numFmtId="218" fontId="90" fillId="0" borderId="0" applyFont="0" applyFill="0" applyBorder="0" applyAlignment="0" applyProtection="0"/>
    <xf numFmtId="0" fontId="54" fillId="0" borderId="0" applyFill="0" applyBorder="0" applyAlignment="0" applyProtection="0"/>
    <xf numFmtId="219" fontId="17" fillId="0" borderId="0"/>
    <xf numFmtId="220" fontId="23" fillId="0" borderId="0"/>
    <xf numFmtId="221" fontId="6" fillId="0" borderId="0"/>
    <xf numFmtId="222" fontId="90" fillId="0" borderId="27" applyNumberFormat="0" applyFont="0" applyFill="0" applyAlignment="0" applyProtection="0"/>
    <xf numFmtId="188" fontId="93" fillId="0" borderId="0" applyFill="0" applyBorder="0" applyAlignment="0" applyProtection="0"/>
    <xf numFmtId="0" fontId="94" fillId="0" borderId="0" applyNumberFormat="0" applyAlignment="0">
      <alignment horizontal="left"/>
    </xf>
    <xf numFmtId="223" fontId="6" fillId="0" borderId="0" applyFont="0" applyFill="0" applyBorder="0" applyAlignment="0" applyProtection="0">
      <alignment vertical="center"/>
    </xf>
    <xf numFmtId="223" fontId="6" fillId="0" borderId="0" applyFon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179" fontId="95" fillId="0" borderId="0" applyNumberFormat="0" applyFill="0" applyBorder="0" applyAlignment="0" applyProtection="0">
      <alignment vertical="center"/>
    </xf>
    <xf numFmtId="179" fontId="95" fillId="0" borderId="0" applyNumberFormat="0" applyFill="0" applyBorder="0" applyAlignment="0" applyProtection="0">
      <alignment vertical="center"/>
    </xf>
    <xf numFmtId="179" fontId="95" fillId="0" borderId="0" applyNumberFormat="0" applyFill="0" applyBorder="0" applyAlignment="0" applyProtection="0">
      <alignment vertical="center"/>
    </xf>
    <xf numFmtId="179" fontId="95" fillId="0" borderId="0" applyNumberFormat="0" applyFill="0" applyBorder="0" applyAlignment="0" applyProtection="0">
      <alignment vertical="center"/>
    </xf>
    <xf numFmtId="0" fontId="84" fillId="0" borderId="0">
      <protection locked="0"/>
    </xf>
    <xf numFmtId="0" fontId="84" fillId="0" borderId="0">
      <protection locked="0"/>
    </xf>
    <xf numFmtId="0" fontId="99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99" fillId="0" borderId="0">
      <protection locked="0"/>
    </xf>
    <xf numFmtId="224" fontId="92" fillId="0" borderId="0"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Fill="0" applyBorder="0" applyProtection="0">
      <alignment horizontal="left"/>
    </xf>
    <xf numFmtId="0" fontId="102" fillId="37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179" fontId="102" fillId="37" borderId="0" applyNumberFormat="0" applyBorder="0" applyAlignment="0" applyProtection="0">
      <alignment vertical="center"/>
    </xf>
    <xf numFmtId="179" fontId="102" fillId="37" borderId="0" applyNumberFormat="0" applyBorder="0" applyAlignment="0" applyProtection="0">
      <alignment vertical="center"/>
    </xf>
    <xf numFmtId="179" fontId="102" fillId="37" borderId="0" applyNumberFormat="0" applyBorder="0" applyAlignment="0" applyProtection="0">
      <alignment vertical="center"/>
    </xf>
    <xf numFmtId="179" fontId="102" fillId="37" borderId="0" applyNumberFormat="0" applyBorder="0" applyAlignment="0" applyProtection="0">
      <alignment vertical="center"/>
    </xf>
    <xf numFmtId="38" fontId="63" fillId="56" borderId="0" applyNumberFormat="0" applyBorder="0" applyAlignment="0" applyProtection="0"/>
    <xf numFmtId="38" fontId="63" fillId="56" borderId="0" applyNumberFormat="0" applyBorder="0" applyAlignment="0" applyProtection="0"/>
    <xf numFmtId="38" fontId="63" fillId="56" borderId="0" applyNumberFormat="0" applyBorder="0" applyAlignment="0" applyProtection="0"/>
    <xf numFmtId="0" fontId="106" fillId="0" borderId="28">
      <alignment horizontal="left" vertical="center"/>
      <protection locked="0"/>
    </xf>
    <xf numFmtId="225" fontId="90" fillId="0" borderId="0" applyFont="0" applyFill="0" applyBorder="0" applyAlignment="0" applyProtection="0">
      <alignment horizontal="right"/>
    </xf>
    <xf numFmtId="0" fontId="107" fillId="0" borderId="0" applyNumberFormat="0" applyBorder="0"/>
    <xf numFmtId="0" fontId="108" fillId="0" borderId="29" applyNumberFormat="0" applyBorder="0"/>
    <xf numFmtId="0" fontId="109" fillId="0" borderId="0"/>
    <xf numFmtId="0" fontId="110" fillId="0" borderId="0">
      <alignment horizontal="left"/>
    </xf>
    <xf numFmtId="0" fontId="110" fillId="0" borderId="0">
      <alignment horizontal="left"/>
    </xf>
    <xf numFmtId="0" fontId="107" fillId="0" borderId="30" applyNumberFormat="0" applyAlignment="0" applyProtection="0">
      <alignment horizontal="left" vertical="center"/>
    </xf>
    <xf numFmtId="0" fontId="107" fillId="0" borderId="30" applyNumberFormat="0" applyAlignment="0" applyProtection="0">
      <alignment horizontal="left" vertical="center"/>
    </xf>
    <xf numFmtId="0" fontId="107" fillId="0" borderId="31">
      <alignment horizontal="left" vertical="center"/>
    </xf>
    <xf numFmtId="0" fontId="107" fillId="0" borderId="31">
      <alignment horizontal="left" vertical="center"/>
    </xf>
    <xf numFmtId="14" fontId="111" fillId="57" borderId="22">
      <alignment horizontal="center" vertical="center" wrapText="1"/>
    </xf>
    <xf numFmtId="0" fontId="112" fillId="0" borderId="32" applyNumberFormat="0" applyFill="0" applyAlignment="0" applyProtection="0">
      <alignment vertical="center"/>
    </xf>
    <xf numFmtId="0" fontId="113" fillId="0" borderId="5" applyNumberFormat="0" applyFill="0" applyAlignment="0" applyProtection="0">
      <alignment vertical="center"/>
    </xf>
    <xf numFmtId="0" fontId="113" fillId="0" borderId="5" applyNumberFormat="0" applyFill="0" applyAlignment="0" applyProtection="0">
      <alignment vertical="center"/>
    </xf>
    <xf numFmtId="0" fontId="114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114" fillId="0" borderId="5" applyNumberFormat="0" applyFill="0" applyAlignment="0" applyProtection="0">
      <alignment vertical="center"/>
    </xf>
    <xf numFmtId="179" fontId="112" fillId="0" borderId="32" applyNumberFormat="0" applyFill="0" applyAlignment="0" applyProtection="0">
      <alignment vertical="center"/>
    </xf>
    <xf numFmtId="179" fontId="112" fillId="0" borderId="32" applyNumberFormat="0" applyFill="0" applyAlignment="0" applyProtection="0">
      <alignment vertical="center"/>
    </xf>
    <xf numFmtId="179" fontId="112" fillId="0" borderId="32" applyNumberFormat="0" applyFill="0" applyAlignment="0" applyProtection="0">
      <alignment vertical="center"/>
    </xf>
    <xf numFmtId="179" fontId="112" fillId="0" borderId="32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6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179" fontId="116" fillId="0" borderId="33" applyNumberFormat="0" applyFill="0" applyAlignment="0" applyProtection="0">
      <alignment vertical="center"/>
    </xf>
    <xf numFmtId="179" fontId="116" fillId="0" borderId="33" applyNumberFormat="0" applyFill="0" applyAlignment="0" applyProtection="0">
      <alignment vertical="center"/>
    </xf>
    <xf numFmtId="179" fontId="116" fillId="0" borderId="33" applyNumberFormat="0" applyFill="0" applyAlignment="0" applyProtection="0">
      <alignment vertical="center"/>
    </xf>
    <xf numFmtId="179" fontId="116" fillId="0" borderId="33" applyNumberFormat="0" applyFill="0" applyAlignment="0" applyProtection="0">
      <alignment vertical="center"/>
    </xf>
    <xf numFmtId="0" fontId="120" fillId="0" borderId="34" applyNumberFormat="0" applyFill="0" applyAlignment="0" applyProtection="0">
      <alignment vertical="center"/>
    </xf>
    <xf numFmtId="0" fontId="121" fillId="0" borderId="7" applyNumberFormat="0" applyFill="0" applyAlignment="0" applyProtection="0">
      <alignment vertical="center"/>
    </xf>
    <xf numFmtId="0" fontId="121" fillId="0" borderId="7" applyNumberFormat="0" applyFill="0" applyAlignment="0" applyProtection="0">
      <alignment vertical="center"/>
    </xf>
    <xf numFmtId="0" fontId="122" fillId="0" borderId="7" applyNumberFormat="0" applyFill="0" applyAlignment="0" applyProtection="0">
      <alignment vertical="center"/>
    </xf>
    <xf numFmtId="0" fontId="123" fillId="0" borderId="7" applyNumberFormat="0" applyFill="0" applyAlignment="0" applyProtection="0">
      <alignment vertical="center"/>
    </xf>
    <xf numFmtId="0" fontId="120" fillId="0" borderId="34" applyNumberFormat="0" applyFill="0" applyAlignment="0" applyProtection="0">
      <alignment vertical="center"/>
    </xf>
    <xf numFmtId="0" fontId="122" fillId="0" borderId="7" applyNumberFormat="0" applyFill="0" applyAlignment="0" applyProtection="0">
      <alignment vertical="center"/>
    </xf>
    <xf numFmtId="179" fontId="120" fillId="0" borderId="34" applyNumberFormat="0" applyFill="0" applyAlignment="0" applyProtection="0">
      <alignment vertical="center"/>
    </xf>
    <xf numFmtId="179" fontId="120" fillId="0" borderId="34" applyNumberFormat="0" applyFill="0" applyAlignment="0" applyProtection="0">
      <alignment vertical="center"/>
    </xf>
    <xf numFmtId="179" fontId="120" fillId="0" borderId="34" applyNumberFormat="0" applyFill="0" applyAlignment="0" applyProtection="0">
      <alignment vertical="center"/>
    </xf>
    <xf numFmtId="179" fontId="120" fillId="0" borderId="34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179" fontId="120" fillId="0" borderId="0" applyNumberFormat="0" applyFill="0" applyBorder="0" applyAlignment="0" applyProtection="0">
      <alignment vertical="center"/>
    </xf>
    <xf numFmtId="179" fontId="120" fillId="0" borderId="0" applyNumberFormat="0" applyFill="0" applyBorder="0" applyAlignment="0" applyProtection="0">
      <alignment vertical="center"/>
    </xf>
    <xf numFmtId="179" fontId="120" fillId="0" borderId="0" applyNumberFormat="0" applyFill="0" applyBorder="0" applyAlignment="0" applyProtection="0">
      <alignment vertical="center"/>
    </xf>
    <xf numFmtId="179" fontId="120" fillId="0" borderId="0" applyNumberFormat="0" applyFill="0" applyBorder="0" applyAlignment="0" applyProtection="0">
      <alignment vertical="center"/>
    </xf>
    <xf numFmtId="179" fontId="124" fillId="0" borderId="0"/>
    <xf numFmtId="179" fontId="124" fillId="0" borderId="0"/>
    <xf numFmtId="0" fontId="124" fillId="0" borderId="0"/>
    <xf numFmtId="226" fontId="92" fillId="0" borderId="0">
      <protection locked="0"/>
    </xf>
    <xf numFmtId="226" fontId="92" fillId="0" borderId="0">
      <protection locked="0"/>
    </xf>
    <xf numFmtId="0" fontId="125" fillId="0" borderId="35" applyNumberFormat="0" applyFill="0" applyBorder="0" applyAlignment="0" applyProtection="0">
      <alignment horizontal="left"/>
    </xf>
    <xf numFmtId="0" fontId="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7" fillId="40" borderId="24" applyNumberFormat="0" applyAlignment="0" applyProtection="0">
      <alignment vertical="center"/>
    </xf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0" fontId="127" fillId="40" borderId="24" applyNumberFormat="0" applyAlignment="0" applyProtection="0">
      <alignment vertical="center"/>
    </xf>
    <xf numFmtId="0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0" fontId="128" fillId="5" borderId="8" applyNumberFormat="0" applyAlignment="0" applyProtection="0">
      <alignment vertical="center"/>
    </xf>
    <xf numFmtId="0" fontId="128" fillId="5" borderId="8" applyNumberFormat="0" applyAlignment="0" applyProtection="0">
      <alignment vertical="center"/>
    </xf>
    <xf numFmtId="0" fontId="129" fillId="5" borderId="8" applyNumberFormat="0" applyAlignment="0" applyProtection="0">
      <alignment vertical="center"/>
    </xf>
    <xf numFmtId="0" fontId="130" fillId="5" borderId="8" applyNumberFormat="0" applyAlignment="0" applyProtection="0">
      <alignment vertical="center"/>
    </xf>
    <xf numFmtId="0" fontId="127" fillId="40" borderId="24" applyNumberFormat="0" applyAlignment="0" applyProtection="0">
      <alignment vertical="center"/>
    </xf>
    <xf numFmtId="0" fontId="129" fillId="5" borderId="8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0" fontId="128" fillId="5" borderId="8" applyNumberFormat="0" applyAlignment="0" applyProtection="0">
      <alignment vertical="center"/>
    </xf>
    <xf numFmtId="0" fontId="129" fillId="5" borderId="8" applyNumberFormat="0" applyAlignment="0" applyProtection="0">
      <alignment vertical="center"/>
    </xf>
    <xf numFmtId="0" fontId="130" fillId="5" borderId="8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0" fontId="128" fillId="5" borderId="8" applyNumberFormat="0" applyAlignment="0" applyProtection="0">
      <alignment vertical="center"/>
    </xf>
    <xf numFmtId="0" fontId="129" fillId="5" borderId="8" applyNumberFormat="0" applyAlignment="0" applyProtection="0">
      <alignment vertical="center"/>
    </xf>
    <xf numFmtId="0" fontId="130" fillId="5" borderId="8" applyNumberFormat="0" applyAlignment="0" applyProtection="0">
      <alignment vertical="center"/>
    </xf>
    <xf numFmtId="0" fontId="128" fillId="5" borderId="8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0" fontId="129" fillId="5" borderId="8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0" fontId="131" fillId="0" borderId="0" applyNumberFormat="0" applyFill="0" applyBorder="0" applyAlignment="0">
      <protection locked="0"/>
    </xf>
    <xf numFmtId="227" fontId="23" fillId="0" borderId="0">
      <alignment vertical="center"/>
    </xf>
    <xf numFmtId="0" fontId="15" fillId="0" borderId="0" applyNumberFormat="0" applyFont="0" applyFill="0" applyBorder="0" applyProtection="0">
      <alignment horizontal="left" vertical="center"/>
    </xf>
    <xf numFmtId="0" fontId="132" fillId="0" borderId="36" applyNumberFormat="0" applyFill="0" applyAlignment="0" applyProtection="0">
      <alignment vertical="center"/>
    </xf>
    <xf numFmtId="0" fontId="133" fillId="0" borderId="10" applyNumberFormat="0" applyFill="0" applyAlignment="0" applyProtection="0">
      <alignment vertical="center"/>
    </xf>
    <xf numFmtId="0" fontId="133" fillId="0" borderId="10" applyNumberFormat="0" applyFill="0" applyAlignment="0" applyProtection="0">
      <alignment vertical="center"/>
    </xf>
    <xf numFmtId="0" fontId="134" fillId="0" borderId="10" applyNumberFormat="0" applyFill="0" applyAlignment="0" applyProtection="0">
      <alignment vertical="center"/>
    </xf>
    <xf numFmtId="0" fontId="135" fillId="0" borderId="10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4" fillId="0" borderId="10" applyNumberFormat="0" applyFill="0" applyAlignment="0" applyProtection="0">
      <alignment vertical="center"/>
    </xf>
    <xf numFmtId="179" fontId="132" fillId="0" borderId="36" applyNumberFormat="0" applyFill="0" applyAlignment="0" applyProtection="0">
      <alignment vertical="center"/>
    </xf>
    <xf numFmtId="179" fontId="132" fillId="0" borderId="36" applyNumberFormat="0" applyFill="0" applyAlignment="0" applyProtection="0">
      <alignment vertical="center"/>
    </xf>
    <xf numFmtId="179" fontId="132" fillId="0" borderId="36" applyNumberFormat="0" applyFill="0" applyAlignment="0" applyProtection="0">
      <alignment vertical="center"/>
    </xf>
    <xf numFmtId="179" fontId="132" fillId="0" borderId="36" applyNumberFormat="0" applyFill="0" applyAlignment="0" applyProtection="0">
      <alignment vertical="center"/>
    </xf>
    <xf numFmtId="38" fontId="136" fillId="58" borderId="0">
      <alignment horizontal="left" indent="1"/>
    </xf>
    <xf numFmtId="228" fontId="90" fillId="0" borderId="0" applyFont="0" applyFill="0" applyBorder="0" applyAlignment="0" applyProtection="0"/>
    <xf numFmtId="229" fontId="90" fillId="0" borderId="0" applyFont="0" applyFill="0" applyBorder="0" applyAlignment="0" applyProtection="0"/>
    <xf numFmtId="0" fontId="137" fillId="56" borderId="37">
      <alignment horizontal="left" vertical="top" indent="2"/>
    </xf>
    <xf numFmtId="0" fontId="138" fillId="0" borderId="22"/>
    <xf numFmtId="0" fontId="138" fillId="0" borderId="22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2" fontId="6" fillId="0" borderId="0" applyFont="0" applyFill="0" applyBorder="0" applyAlignment="0" applyProtection="0"/>
    <xf numFmtId="230" fontId="6" fillId="0" borderId="0" applyFont="0" applyFill="0" applyBorder="0" applyAlignment="0" applyProtection="0"/>
    <xf numFmtId="0" fontId="139" fillId="59" borderId="29"/>
    <xf numFmtId="0" fontId="140" fillId="60" borderId="0" applyNumberFormat="0" applyBorder="0" applyAlignment="0" applyProtection="0">
      <alignment vertical="center"/>
    </xf>
    <xf numFmtId="0" fontId="141" fillId="4" borderId="0" applyNumberFormat="0" applyBorder="0" applyAlignment="0" applyProtection="0">
      <alignment vertical="center"/>
    </xf>
    <xf numFmtId="0" fontId="141" fillId="4" borderId="0" applyNumberFormat="0" applyBorder="0" applyAlignment="0" applyProtection="0">
      <alignment vertical="center"/>
    </xf>
    <xf numFmtId="0" fontId="142" fillId="4" borderId="0" applyNumberFormat="0" applyBorder="0" applyAlignment="0" applyProtection="0">
      <alignment vertical="center"/>
    </xf>
    <xf numFmtId="0" fontId="143" fillId="4" borderId="0" applyNumberFormat="0" applyBorder="0" applyAlignment="0" applyProtection="0">
      <alignment vertical="center"/>
    </xf>
    <xf numFmtId="0" fontId="140" fillId="60" borderId="0" applyNumberFormat="0" applyBorder="0" applyAlignment="0" applyProtection="0">
      <alignment vertical="center"/>
    </xf>
    <xf numFmtId="0" fontId="142" fillId="4" borderId="0" applyNumberFormat="0" applyBorder="0" applyAlignment="0" applyProtection="0">
      <alignment vertical="center"/>
    </xf>
    <xf numFmtId="179" fontId="140" fillId="60" borderId="0" applyNumberFormat="0" applyBorder="0" applyAlignment="0" applyProtection="0">
      <alignment vertical="center"/>
    </xf>
    <xf numFmtId="179" fontId="140" fillId="60" borderId="0" applyNumberFormat="0" applyBorder="0" applyAlignment="0" applyProtection="0">
      <alignment vertical="center"/>
    </xf>
    <xf numFmtId="179" fontId="140" fillId="60" borderId="0" applyNumberFormat="0" applyBorder="0" applyAlignment="0" applyProtection="0">
      <alignment vertical="center"/>
    </xf>
    <xf numFmtId="179" fontId="140" fillId="60" borderId="0" applyNumberFormat="0" applyBorder="0" applyAlignment="0" applyProtection="0">
      <alignment vertical="center"/>
    </xf>
    <xf numFmtId="37" fontId="144" fillId="0" borderId="0"/>
    <xf numFmtId="0" fontId="23" fillId="0" borderId="0"/>
    <xf numFmtId="231" fontId="23" fillId="0" borderId="0"/>
    <xf numFmtId="0" fontId="23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89" fillId="0" borderId="0">
      <alignment vertical="center"/>
    </xf>
    <xf numFmtId="0" fontId="3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146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146" fillId="0" borderId="0">
      <alignment vertical="center"/>
    </xf>
    <xf numFmtId="0" fontId="17" fillId="0" borderId="0">
      <alignment vertical="center"/>
    </xf>
    <xf numFmtId="0" fontId="14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146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" fillId="0" borderId="0">
      <alignment vertical="center"/>
    </xf>
    <xf numFmtId="0" fontId="17" fillId="0" borderId="0"/>
    <xf numFmtId="0" fontId="1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6" fillId="0" borderId="0"/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" fillId="0" borderId="0"/>
    <xf numFmtId="0" fontId="6" fillId="0" borderId="0"/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6" fillId="0" borderId="0"/>
    <xf numFmtId="0" fontId="86" fillId="0" borderId="0">
      <alignment vertical="center"/>
    </xf>
    <xf numFmtId="0" fontId="146" fillId="0" borderId="0">
      <alignment vertical="center"/>
    </xf>
    <xf numFmtId="0" fontId="6" fillId="0" borderId="0">
      <alignment vertical="center"/>
    </xf>
    <xf numFmtId="0" fontId="6" fillId="0" borderId="0"/>
    <xf numFmtId="0" fontId="8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88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" fillId="0" borderId="0"/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208" fontId="6" fillId="0" borderId="0"/>
    <xf numFmtId="179" fontId="6" fillId="0" borderId="0"/>
    <xf numFmtId="0" fontId="88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6" fillId="0" borderId="0">
      <alignment vertical="center"/>
    </xf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0" fontId="17" fillId="0" borderId="0"/>
    <xf numFmtId="0" fontId="17" fillId="0" borderId="0"/>
    <xf numFmtId="0" fontId="14" fillId="0" borderId="0">
      <alignment vertical="center"/>
    </xf>
    <xf numFmtId="0" fontId="8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9" fontId="6" fillId="0" borderId="0"/>
    <xf numFmtId="179" fontId="6" fillId="0" borderId="0"/>
    <xf numFmtId="179" fontId="6" fillId="0" borderId="0"/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0" fontId="14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179" fontId="6" fillId="0" borderId="0"/>
    <xf numFmtId="0" fontId="17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46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46" fillId="0" borderId="0">
      <alignment vertical="center"/>
    </xf>
    <xf numFmtId="0" fontId="86" fillId="0" borderId="0">
      <alignment vertical="center"/>
    </xf>
    <xf numFmtId="0" fontId="38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8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8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38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/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17" fillId="0" borderId="0"/>
    <xf numFmtId="0" fontId="6" fillId="0" borderId="0"/>
    <xf numFmtId="0" fontId="86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180" fontId="22" fillId="0" borderId="0">
      <protection locked="0"/>
    </xf>
    <xf numFmtId="179" fontId="147" fillId="0" borderId="0" applyFont="0" applyFill="0" applyBorder="0" applyAlignment="0" applyProtection="0">
      <alignment horizontal="centerContinuous"/>
    </xf>
    <xf numFmtId="179" fontId="147" fillId="0" borderId="0" applyFont="0" applyFill="0" applyBorder="0" applyAlignment="0" applyProtection="0">
      <alignment horizontal="centerContinuous"/>
    </xf>
    <xf numFmtId="0" fontId="15" fillId="0" borderId="0" applyFont="0" applyFill="0" applyBorder="0" applyAlignment="0" applyProtection="0">
      <alignment horizontal="centerContinuous"/>
    </xf>
    <xf numFmtId="0" fontId="15" fillId="0" borderId="0" applyFont="0" applyFill="0" applyBorder="0" applyAlignment="0" applyProtection="0">
      <alignment horizontal="centerContinuous"/>
    </xf>
    <xf numFmtId="0" fontId="15" fillId="0" borderId="0" applyFont="0" applyFill="0" applyBorder="0" applyAlignment="0" applyProtection="0">
      <alignment horizontal="centerContinuous"/>
    </xf>
    <xf numFmtId="0" fontId="6" fillId="0" borderId="0" applyFont="0" applyFill="0" applyBorder="0" applyAlignment="0" applyProtection="0">
      <alignment horizontal="centerContinuous"/>
    </xf>
    <xf numFmtId="0" fontId="6" fillId="0" borderId="0"/>
    <xf numFmtId="0" fontId="6" fillId="61" borderId="38" applyNumberFormat="0" applyFont="0" applyAlignment="0" applyProtection="0">
      <alignment vertical="center"/>
    </xf>
    <xf numFmtId="0" fontId="148" fillId="8" borderId="12" applyNumberFormat="0" applyFont="0" applyAlignment="0" applyProtection="0">
      <alignment vertical="center"/>
    </xf>
    <xf numFmtId="0" fontId="148" fillId="8" borderId="12" applyNumberFormat="0" applyFont="0" applyAlignment="0" applyProtection="0">
      <alignment vertical="center"/>
    </xf>
    <xf numFmtId="0" fontId="38" fillId="8" borderId="12" applyNumberFormat="0" applyFont="0" applyAlignment="0" applyProtection="0">
      <alignment vertical="center"/>
    </xf>
    <xf numFmtId="0" fontId="149" fillId="8" borderId="12" applyNumberFormat="0" applyFont="0" applyAlignment="0" applyProtection="0">
      <alignment vertical="center"/>
    </xf>
    <xf numFmtId="0" fontId="6" fillId="61" borderId="38" applyNumberFormat="0" applyFont="0" applyAlignment="0" applyProtection="0">
      <alignment vertical="center"/>
    </xf>
    <xf numFmtId="0" fontId="38" fillId="8" borderId="12" applyNumberFormat="0" applyFont="0" applyAlignment="0" applyProtection="0">
      <alignment vertical="center"/>
    </xf>
    <xf numFmtId="179" fontId="6" fillId="61" borderId="38" applyNumberFormat="0" applyFont="0" applyAlignment="0" applyProtection="0">
      <alignment vertical="center"/>
    </xf>
    <xf numFmtId="179" fontId="6" fillId="61" borderId="38" applyNumberFormat="0" applyFont="0" applyAlignment="0" applyProtection="0">
      <alignment vertical="center"/>
    </xf>
    <xf numFmtId="179" fontId="6" fillId="61" borderId="38" applyNumberFormat="0" applyFont="0" applyAlignment="0" applyProtection="0">
      <alignment vertical="center"/>
    </xf>
    <xf numFmtId="179" fontId="6" fillId="61" borderId="38" applyNumberFormat="0" applyFont="0" applyAlignment="0" applyProtection="0">
      <alignment vertical="center"/>
    </xf>
    <xf numFmtId="0" fontId="150" fillId="0" borderId="39">
      <alignment vertical="top" wrapText="1"/>
    </xf>
    <xf numFmtId="40" fontId="151" fillId="0" borderId="0" applyFont="0" applyFill="0" applyBorder="0" applyAlignment="0" applyProtection="0"/>
    <xf numFmtId="38" fontId="15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0" fontId="152" fillId="0" borderId="0" applyFont="0" applyFill="0" applyBorder="0" applyAlignment="0" applyProtection="0"/>
    <xf numFmtId="38" fontId="152" fillId="0" borderId="0" applyFont="0" applyFill="0" applyBorder="0" applyAlignment="0" applyProtection="0"/>
    <xf numFmtId="0" fontId="17" fillId="0" borderId="0"/>
    <xf numFmtId="0" fontId="153" fillId="53" borderId="40" applyNumberFormat="0" applyAlignment="0" applyProtection="0">
      <alignment vertical="center"/>
    </xf>
    <xf numFmtId="0" fontId="154" fillId="6" borderId="9" applyNumberFormat="0" applyAlignment="0" applyProtection="0">
      <alignment vertical="center"/>
    </xf>
    <xf numFmtId="0" fontId="154" fillId="6" borderId="9" applyNumberFormat="0" applyAlignment="0" applyProtection="0">
      <alignment vertical="center"/>
    </xf>
    <xf numFmtId="0" fontId="155" fillId="6" borderId="9" applyNumberFormat="0" applyAlignment="0" applyProtection="0">
      <alignment vertical="center"/>
    </xf>
    <xf numFmtId="0" fontId="156" fillId="6" borderId="9" applyNumberFormat="0" applyAlignment="0" applyProtection="0">
      <alignment vertical="center"/>
    </xf>
    <xf numFmtId="0" fontId="153" fillId="53" borderId="40" applyNumberFormat="0" applyAlignment="0" applyProtection="0">
      <alignment vertical="center"/>
    </xf>
    <xf numFmtId="0" fontId="155" fillId="6" borderId="9" applyNumberFormat="0" applyAlignment="0" applyProtection="0">
      <alignment vertical="center"/>
    </xf>
    <xf numFmtId="179" fontId="153" fillId="53" borderId="40" applyNumberFormat="0" applyAlignment="0" applyProtection="0">
      <alignment vertical="center"/>
    </xf>
    <xf numFmtId="179" fontId="153" fillId="53" borderId="40" applyNumberFormat="0" applyAlignment="0" applyProtection="0">
      <alignment vertical="center"/>
    </xf>
    <xf numFmtId="179" fontId="153" fillId="53" borderId="40" applyNumberFormat="0" applyAlignment="0" applyProtection="0">
      <alignment vertical="center"/>
    </xf>
    <xf numFmtId="179" fontId="153" fillId="53" borderId="40" applyNumberFormat="0" applyAlignment="0" applyProtection="0">
      <alignment vertical="center"/>
    </xf>
    <xf numFmtId="40" fontId="87" fillId="56" borderId="0">
      <alignment horizontal="right"/>
    </xf>
    <xf numFmtId="0" fontId="157" fillId="62" borderId="0">
      <alignment horizontal="center"/>
    </xf>
    <xf numFmtId="0" fontId="158" fillId="63" borderId="41"/>
    <xf numFmtId="0" fontId="159" fillId="0" borderId="0" applyBorder="0">
      <alignment horizontal="centerContinuous"/>
    </xf>
    <xf numFmtId="0" fontId="160" fillId="0" borderId="0" applyBorder="0">
      <alignment horizontal="centerContinuous"/>
    </xf>
    <xf numFmtId="0" fontId="161" fillId="53" borderId="40" applyNumberFormat="0" applyAlignment="0" applyProtection="0">
      <alignment vertical="center"/>
    </xf>
    <xf numFmtId="1" fontId="162" fillId="0" borderId="0" applyProtection="0">
      <alignment horizontal="right" vertical="center"/>
    </xf>
    <xf numFmtId="0" fontId="163" fillId="56" borderId="0"/>
    <xf numFmtId="0" fontId="164" fillId="56" borderId="22"/>
    <xf numFmtId="0" fontId="18" fillId="0" borderId="0"/>
    <xf numFmtId="232" fontId="92" fillId="0" borderId="0">
      <protection locked="0"/>
    </xf>
    <xf numFmtId="233" fontId="92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34" fontId="6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23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8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23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232" fontId="92" fillId="0" borderId="0">
      <protection locked="0"/>
    </xf>
    <xf numFmtId="235" fontId="6" fillId="0" borderId="0" applyFont="0" applyFill="0" applyBorder="0" applyAlignment="0" applyProtection="0"/>
    <xf numFmtId="0" fontId="166" fillId="62" borderId="42"/>
    <xf numFmtId="0" fontId="21" fillId="0" borderId="0" applyNumberFormat="0" applyFont="0" applyFill="0" applyBorder="0" applyAlignment="0" applyProtection="0">
      <alignment horizontal="left"/>
    </xf>
    <xf numFmtId="236" fontId="17" fillId="0" borderId="0" applyNumberFormat="0" applyFill="0" applyBorder="0" applyAlignment="0" applyProtection="0">
      <alignment horizontal="left"/>
    </xf>
    <xf numFmtId="0" fontId="23" fillId="0" borderId="0"/>
    <xf numFmtId="0" fontId="17" fillId="0" borderId="0"/>
    <xf numFmtId="188" fontId="167" fillId="0" borderId="0" applyFill="0" applyBorder="0" applyAlignment="0" applyProtection="0"/>
    <xf numFmtId="2" fontId="168" fillId="0" borderId="0">
      <alignment horizontal="left" vertical="center"/>
      <protection locked="0"/>
    </xf>
    <xf numFmtId="0" fontId="111" fillId="0" borderId="43"/>
    <xf numFmtId="0" fontId="169" fillId="0" borderId="0">
      <alignment horizontal="left" indent="1"/>
    </xf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38" fillId="0" borderId="0"/>
    <xf numFmtId="0" fontId="138" fillId="0" borderId="0"/>
    <xf numFmtId="40" fontId="170" fillId="0" borderId="0" applyBorder="0">
      <alignment horizontal="right"/>
    </xf>
    <xf numFmtId="0" fontId="171" fillId="0" borderId="0" applyBorder="0" applyProtection="0">
      <alignment vertical="center"/>
    </xf>
    <xf numFmtId="222" fontId="171" fillId="0" borderId="29" applyBorder="0" applyProtection="0">
      <alignment horizontal="right" vertical="center"/>
    </xf>
    <xf numFmtId="0" fontId="172" fillId="64" borderId="0" applyBorder="0" applyProtection="0">
      <alignment horizontal="centerContinuous" vertical="center"/>
    </xf>
    <xf numFmtId="0" fontId="172" fillId="65" borderId="29" applyBorder="0" applyProtection="0">
      <alignment horizontal="centerContinuous" vertical="center"/>
    </xf>
    <xf numFmtId="0" fontId="173" fillId="0" borderId="0" applyFill="0" applyBorder="0" applyProtection="0">
      <alignment horizontal="left"/>
    </xf>
    <xf numFmtId="0" fontId="101" fillId="0" borderId="44" applyFill="0" applyBorder="0" applyProtection="0">
      <alignment horizontal="left" vertical="top"/>
    </xf>
    <xf numFmtId="0" fontId="174" fillId="66" borderId="0"/>
    <xf numFmtId="0" fontId="35" fillId="0" borderId="0"/>
    <xf numFmtId="0" fontId="51" fillId="0" borderId="0"/>
    <xf numFmtId="237" fontId="6" fillId="0" borderId="0" applyFont="0" applyFill="0" applyBorder="0" applyAlignment="0" applyProtection="0"/>
    <xf numFmtId="0" fontId="175" fillId="0" borderId="0" applyFill="0" applyBorder="0" applyProtection="0">
      <alignment horizontal="left" vertical="top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40" fontId="176" fillId="0" borderId="0"/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179" fontId="177" fillId="0" borderId="0" applyNumberFormat="0" applyFill="0" applyBorder="0" applyAlignment="0" applyProtection="0">
      <alignment vertical="center"/>
    </xf>
    <xf numFmtId="179" fontId="177" fillId="0" borderId="0" applyNumberFormat="0" applyFill="0" applyBorder="0" applyAlignment="0" applyProtection="0">
      <alignment vertical="center"/>
    </xf>
    <xf numFmtId="179" fontId="177" fillId="0" borderId="0" applyNumberFormat="0" applyFill="0" applyBorder="0" applyAlignment="0" applyProtection="0">
      <alignment vertical="center"/>
    </xf>
    <xf numFmtId="179" fontId="177" fillId="0" borderId="0" applyNumberFormat="0" applyFill="0" applyBorder="0" applyAlignment="0" applyProtection="0">
      <alignment vertical="center"/>
    </xf>
    <xf numFmtId="0" fontId="180" fillId="0" borderId="45" applyNumberFormat="0" applyFill="0" applyAlignment="0" applyProtection="0">
      <alignment vertical="center"/>
    </xf>
    <xf numFmtId="0" fontId="181" fillId="0" borderId="13" applyNumberFormat="0" applyFill="0" applyAlignment="0" applyProtection="0">
      <alignment vertical="center"/>
    </xf>
    <xf numFmtId="0" fontId="181" fillId="0" borderId="13" applyNumberFormat="0" applyFill="0" applyAlignment="0" applyProtection="0">
      <alignment vertical="center"/>
    </xf>
    <xf numFmtId="0" fontId="182" fillId="0" borderId="13" applyNumberFormat="0" applyFill="0" applyAlignment="0" applyProtection="0">
      <alignment vertical="center"/>
    </xf>
    <xf numFmtId="0" fontId="183" fillId="0" borderId="13" applyNumberFormat="0" applyFill="0" applyAlignment="0" applyProtection="0">
      <alignment vertical="center"/>
    </xf>
    <xf numFmtId="0" fontId="180" fillId="0" borderId="45" applyNumberFormat="0" applyFill="0" applyAlignment="0" applyProtection="0">
      <alignment vertical="center"/>
    </xf>
    <xf numFmtId="0" fontId="182" fillId="0" borderId="13" applyNumberFormat="0" applyFill="0" applyAlignment="0" applyProtection="0">
      <alignment vertical="center"/>
    </xf>
    <xf numFmtId="179" fontId="180" fillId="0" borderId="45" applyNumberFormat="0" applyFill="0" applyAlignment="0" applyProtection="0">
      <alignment vertical="center"/>
    </xf>
    <xf numFmtId="179" fontId="180" fillId="0" borderId="45" applyNumberFormat="0" applyFill="0" applyAlignment="0" applyProtection="0">
      <alignment vertical="center"/>
    </xf>
    <xf numFmtId="179" fontId="180" fillId="0" borderId="45" applyNumberFormat="0" applyFill="0" applyAlignment="0" applyProtection="0">
      <alignment vertical="center"/>
    </xf>
    <xf numFmtId="179" fontId="180" fillId="0" borderId="45" applyNumberFormat="0" applyFill="0" applyAlignment="0" applyProtection="0">
      <alignment vertical="center"/>
    </xf>
    <xf numFmtId="0" fontId="184" fillId="0" borderId="0">
      <alignment horizontal="fill"/>
    </xf>
    <xf numFmtId="9" fontId="185" fillId="0" borderId="0" applyNumberFormat="0" applyFill="0" applyBorder="0" applyAlignment="0">
      <protection locked="0"/>
    </xf>
    <xf numFmtId="192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179" fontId="186" fillId="0" borderId="0" applyNumberFormat="0" applyFill="0" applyBorder="0" applyAlignment="0" applyProtection="0">
      <alignment vertical="center"/>
    </xf>
    <xf numFmtId="179" fontId="186" fillId="0" borderId="0" applyNumberFormat="0" applyFill="0" applyBorder="0" applyAlignment="0" applyProtection="0">
      <alignment vertical="center"/>
    </xf>
    <xf numFmtId="179" fontId="186" fillId="0" borderId="0" applyNumberFormat="0" applyFill="0" applyBorder="0" applyAlignment="0" applyProtection="0">
      <alignment vertical="center"/>
    </xf>
    <xf numFmtId="179" fontId="186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Protection="0">
      <alignment horizontal="center" vertical="center" wrapText="1"/>
    </xf>
    <xf numFmtId="238" fontId="6" fillId="0" borderId="0" applyFont="0" applyFill="0" applyBorder="0" applyAlignment="0" applyProtection="0"/>
    <xf numFmtId="0" fontId="190" fillId="0" borderId="0"/>
    <xf numFmtId="179" fontId="40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179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179" fontId="40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179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179" fontId="40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179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179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179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179" fontId="40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179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214" fontId="191" fillId="56" borderId="0">
      <alignment vertical="center"/>
    </xf>
    <xf numFmtId="179" fontId="186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179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179" fontId="75" fillId="53" borderId="24" applyNumberFormat="0" applyAlignment="0" applyProtection="0">
      <alignment vertical="center"/>
    </xf>
    <xf numFmtId="0" fontId="194" fillId="53" borderId="24" applyNumberFormat="0" applyAlignment="0" applyProtection="0">
      <alignment vertical="center"/>
    </xf>
    <xf numFmtId="0" fontId="195" fillId="53" borderId="24" applyNumberFormat="0" applyAlignment="0" applyProtection="0">
      <alignment vertical="center"/>
    </xf>
    <xf numFmtId="179" fontId="75" fillId="53" borderId="24" applyNumberFormat="0" applyAlignment="0" applyProtection="0">
      <alignment vertical="center"/>
    </xf>
    <xf numFmtId="0" fontId="75" fillId="53" borderId="24" applyNumberFormat="0" applyAlignment="0" applyProtection="0">
      <alignment vertical="center"/>
    </xf>
    <xf numFmtId="0" fontId="75" fillId="53" borderId="24" applyNumberFormat="0" applyAlignment="0" applyProtection="0">
      <alignment vertical="center"/>
    </xf>
    <xf numFmtId="0" fontId="195" fillId="53" borderId="24" applyNumberFormat="0" applyAlignment="0" applyProtection="0">
      <alignment vertical="center"/>
    </xf>
    <xf numFmtId="0" fontId="194" fillId="53" borderId="24" applyNumberFormat="0" applyAlignment="0" applyProtection="0">
      <alignment vertical="center"/>
    </xf>
    <xf numFmtId="0" fontId="194" fillId="53" borderId="24" applyNumberFormat="0" applyAlignment="0" applyProtection="0">
      <alignment vertical="center"/>
    </xf>
    <xf numFmtId="2" fontId="196" fillId="0" borderId="0" applyFont="0" applyFill="0" applyBorder="0" applyAlignment="0" applyProtection="0"/>
    <xf numFmtId="0" fontId="197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239" fontId="23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0" fontId="199" fillId="0" borderId="0"/>
    <xf numFmtId="241" fontId="17" fillId="0" borderId="26">
      <alignment horizontal="right" vertical="center" shrinkToFit="1"/>
    </xf>
    <xf numFmtId="242" fontId="19" fillId="0" borderId="46"/>
    <xf numFmtId="179" fontId="57" fillId="36" borderId="0" applyNumberFormat="0" applyBorder="0" applyAlignment="0" applyProtection="0">
      <alignment vertical="center"/>
    </xf>
    <xf numFmtId="0" fontId="200" fillId="36" borderId="0" applyNumberFormat="0" applyBorder="0" applyAlignment="0" applyProtection="0">
      <alignment vertical="center"/>
    </xf>
    <xf numFmtId="0" fontId="201" fillId="36" borderId="0" applyNumberFormat="0" applyBorder="0" applyAlignment="0" applyProtection="0">
      <alignment vertical="center"/>
    </xf>
    <xf numFmtId="179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201" fillId="36" borderId="0" applyNumberFormat="0" applyBorder="0" applyAlignment="0" applyProtection="0">
      <alignment vertical="center"/>
    </xf>
    <xf numFmtId="0" fontId="200" fillId="36" borderId="0" applyNumberFormat="0" applyBorder="0" applyAlignment="0" applyProtection="0">
      <alignment vertical="center"/>
    </xf>
    <xf numFmtId="0" fontId="200" fillId="36" borderId="0" applyNumberFormat="0" applyBorder="0" applyAlignment="0" applyProtection="0">
      <alignment vertical="center"/>
    </xf>
    <xf numFmtId="0" fontId="196" fillId="0" borderId="0" applyFont="0" applyFill="0" applyBorder="0" applyAlignment="0" applyProtection="0"/>
    <xf numFmtId="1" fontId="28" fillId="0" borderId="26" applyFill="0" applyBorder="0">
      <alignment horizontal="center"/>
    </xf>
    <xf numFmtId="0" fontId="196" fillId="0" borderId="0" applyFont="0" applyFill="0" applyBorder="0" applyAlignment="0" applyProtection="0"/>
    <xf numFmtId="179" fontId="202" fillId="0" borderId="0" applyNumberFormat="0" applyFill="0" applyBorder="0" applyAlignment="0" applyProtection="0">
      <alignment vertical="top"/>
      <protection locked="0"/>
    </xf>
    <xf numFmtId="179" fontId="202" fillId="0" borderId="0" applyNumberFormat="0" applyFill="0" applyBorder="0" applyAlignment="0" applyProtection="0">
      <alignment vertical="top"/>
      <protection locked="0"/>
    </xf>
    <xf numFmtId="0" fontId="203" fillId="0" borderId="0" applyNumberFormat="0" applyFill="0" applyBorder="0" applyAlignment="0" applyProtection="0">
      <alignment vertical="top"/>
      <protection locked="0"/>
    </xf>
    <xf numFmtId="0" fontId="204" fillId="0" borderId="0" applyNumberFormat="0" applyFill="0" applyBorder="0" applyAlignment="0" applyProtection="0">
      <alignment vertical="top"/>
      <protection locked="0"/>
    </xf>
    <xf numFmtId="49" fontId="205" fillId="0" borderId="21">
      <alignment horizontal="left" vertical="center" indent="1"/>
    </xf>
    <xf numFmtId="180" fontId="22" fillId="0" borderId="0">
      <protection locked="0"/>
    </xf>
    <xf numFmtId="40" fontId="206" fillId="0" borderId="0" applyFont="0" applyFill="0" applyBorder="0" applyAlignment="0" applyProtection="0"/>
    <xf numFmtId="180" fontId="22" fillId="0" borderId="0">
      <protection locked="0"/>
    </xf>
    <xf numFmtId="180" fontId="22" fillId="0" borderId="0">
      <protection locked="0"/>
    </xf>
    <xf numFmtId="40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179" fontId="6" fillId="61" borderId="38" applyNumberFormat="0" applyFont="0" applyAlignment="0" applyProtection="0">
      <alignment vertical="center"/>
    </xf>
    <xf numFmtId="179" fontId="6" fillId="61" borderId="38" applyNumberFormat="0" applyFont="0" applyAlignment="0" applyProtection="0">
      <alignment vertical="center"/>
    </xf>
    <xf numFmtId="0" fontId="6" fillId="61" borderId="38" applyNumberFormat="0" applyFont="0" applyAlignment="0" applyProtection="0">
      <alignment vertical="center"/>
    </xf>
    <xf numFmtId="0" fontId="6" fillId="61" borderId="38" applyNumberFormat="0" applyFont="0" applyAlignment="0" applyProtection="0">
      <alignment vertical="center"/>
    </xf>
    <xf numFmtId="0" fontId="6" fillId="61" borderId="38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243" fontId="23" fillId="0" borderId="0">
      <alignment vertical="center"/>
    </xf>
    <xf numFmtId="0" fontId="207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/>
    <xf numFmtId="244" fontId="23" fillId="0" borderId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09" fillId="0" borderId="0" applyFont="0" applyFill="0" applyBorder="0" applyAlignment="0" applyProtection="0">
      <alignment vertical="center"/>
    </xf>
    <xf numFmtId="9" fontId="21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2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21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46" fillId="0" borderId="0" applyFont="0" applyFill="0" applyBorder="0" applyAlignment="0" applyProtection="0">
      <alignment vertical="center"/>
    </xf>
    <xf numFmtId="9" fontId="14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245" fontId="15" fillId="0" borderId="0" applyFill="0" applyBorder="0" applyProtection="0">
      <alignment vertical="center"/>
    </xf>
    <xf numFmtId="179" fontId="140" fillId="60" borderId="0" applyNumberFormat="0" applyBorder="0" applyAlignment="0" applyProtection="0">
      <alignment vertical="center"/>
    </xf>
    <xf numFmtId="0" fontId="213" fillId="60" borderId="0" applyNumberFormat="0" applyBorder="0" applyAlignment="0" applyProtection="0">
      <alignment vertical="center"/>
    </xf>
    <xf numFmtId="0" fontId="214" fillId="60" borderId="0" applyNumberFormat="0" applyBorder="0" applyAlignment="0" applyProtection="0">
      <alignment vertical="center"/>
    </xf>
    <xf numFmtId="179" fontId="140" fillId="60" borderId="0" applyNumberFormat="0" applyBorder="0" applyAlignment="0" applyProtection="0">
      <alignment vertical="center"/>
    </xf>
    <xf numFmtId="0" fontId="140" fillId="60" borderId="0" applyNumberFormat="0" applyBorder="0" applyAlignment="0" applyProtection="0">
      <alignment vertical="center"/>
    </xf>
    <xf numFmtId="0" fontId="140" fillId="60" borderId="0" applyNumberFormat="0" applyBorder="0" applyAlignment="0" applyProtection="0">
      <alignment vertical="center"/>
    </xf>
    <xf numFmtId="0" fontId="214" fillId="60" borderId="0" applyNumberFormat="0" applyBorder="0" applyAlignment="0" applyProtection="0">
      <alignment vertical="center"/>
    </xf>
    <xf numFmtId="0" fontId="213" fillId="60" borderId="0" applyNumberFormat="0" applyBorder="0" applyAlignment="0" applyProtection="0">
      <alignment vertical="center"/>
    </xf>
    <xf numFmtId="0" fontId="213" fillId="60" borderId="0" applyNumberFormat="0" applyBorder="0" applyAlignment="0" applyProtection="0">
      <alignment vertical="center"/>
    </xf>
    <xf numFmtId="179" fontId="6" fillId="0" borderId="0"/>
    <xf numFmtId="180" fontId="22" fillId="0" borderId="0">
      <protection locked="0"/>
    </xf>
    <xf numFmtId="0" fontId="23" fillId="0" borderId="0" applyBorder="0"/>
    <xf numFmtId="0" fontId="6" fillId="0" borderId="0"/>
    <xf numFmtId="0" fontId="6" fillId="0" borderId="0"/>
    <xf numFmtId="246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247" fontId="19" fillId="0" borderId="46">
      <alignment horizontal="left"/>
    </xf>
    <xf numFmtId="37" fontId="18" fillId="0" borderId="47" applyAlignment="0"/>
    <xf numFmtId="179" fontId="9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179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179" fontId="80" fillId="55" borderId="25" applyNumberFormat="0" applyAlignment="0" applyProtection="0">
      <alignment vertical="center"/>
    </xf>
    <xf numFmtId="0" fontId="217" fillId="55" borderId="25" applyNumberFormat="0" applyAlignment="0" applyProtection="0">
      <alignment vertical="center"/>
    </xf>
    <xf numFmtId="0" fontId="218" fillId="55" borderId="25" applyNumberFormat="0" applyAlignment="0" applyProtection="0">
      <alignment vertical="center"/>
    </xf>
    <xf numFmtId="179" fontId="80" fillId="55" borderId="25" applyNumberFormat="0" applyAlignment="0" applyProtection="0">
      <alignment vertical="center"/>
    </xf>
    <xf numFmtId="0" fontId="80" fillId="55" borderId="25" applyNumberFormat="0" applyAlignment="0" applyProtection="0">
      <alignment vertical="center"/>
    </xf>
    <xf numFmtId="0" fontId="80" fillId="55" borderId="25" applyNumberFormat="0" applyAlignment="0" applyProtection="0">
      <alignment vertical="center"/>
    </xf>
    <xf numFmtId="0" fontId="218" fillId="55" borderId="25" applyNumberFormat="0" applyAlignment="0" applyProtection="0">
      <alignment vertical="center"/>
    </xf>
    <xf numFmtId="0" fontId="217" fillId="55" borderId="25" applyNumberFormat="0" applyAlignment="0" applyProtection="0">
      <alignment vertical="center"/>
    </xf>
    <xf numFmtId="0" fontId="217" fillId="55" borderId="25" applyNumberFormat="0" applyAlignment="0" applyProtection="0">
      <alignment vertical="center"/>
    </xf>
    <xf numFmtId="214" fontId="219" fillId="56" borderId="26">
      <alignment horizontal="right" vertical="center"/>
      <protection locked="0"/>
    </xf>
    <xf numFmtId="0" fontId="220" fillId="0" borderId="0">
      <alignment vertical="center"/>
    </xf>
    <xf numFmtId="248" fontId="6" fillId="0" borderId="46" applyFill="0" applyBorder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205" fontId="1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205" fontId="211" fillId="0" borderId="0" applyFont="0" applyFill="0" applyBorder="0" applyAlignment="0" applyProtection="0">
      <alignment vertical="center"/>
    </xf>
    <xf numFmtId="41" fontId="221" fillId="0" borderId="0" applyFont="0" applyFill="0" applyBorder="0" applyAlignment="0" applyProtection="0">
      <alignment vertical="center"/>
    </xf>
    <xf numFmtId="41" fontId="22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22" fillId="0" borderId="0" applyFont="0" applyFill="0" applyBorder="0" applyAlignment="0" applyProtection="0">
      <alignment vertical="center"/>
    </xf>
    <xf numFmtId="41" fontId="222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13" fillId="0" borderId="0" applyFont="0" applyFill="0" applyBorder="0" applyAlignment="0" applyProtection="0">
      <alignment vertical="center"/>
    </xf>
    <xf numFmtId="249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205" fontId="13" fillId="0" borderId="0" applyFont="0" applyFill="0" applyBorder="0" applyAlignment="0" applyProtection="0">
      <alignment vertical="center"/>
    </xf>
    <xf numFmtId="205" fontId="11" fillId="0" borderId="0" applyFont="0" applyFill="0" applyBorder="0" applyAlignment="0" applyProtection="0">
      <alignment vertical="center"/>
    </xf>
    <xf numFmtId="205" fontId="1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205" fontId="5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21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5" fontId="5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212" fillId="0" borderId="0" applyFont="0" applyFill="0" applyBorder="0" applyAlignment="0" applyProtection="0">
      <alignment vertical="center"/>
    </xf>
    <xf numFmtId="205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05" fontId="5" fillId="0" borderId="0" applyFont="0" applyFill="0" applyBorder="0" applyAlignment="0" applyProtection="0">
      <alignment vertical="center"/>
    </xf>
    <xf numFmtId="205" fontId="14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65" fillId="0" borderId="0" applyFont="0" applyFill="0" applyBorder="0" applyAlignment="0" applyProtection="0">
      <alignment vertical="center"/>
    </xf>
    <xf numFmtId="205" fontId="1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3" fillId="42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205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Border="0" applyProtection="0">
      <alignment horizontal="right" vertical="center"/>
    </xf>
    <xf numFmtId="41" fontId="1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1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41" fontId="22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205" fontId="17" fillId="0" borderId="0" applyFont="0" applyFill="0" applyBorder="0" applyAlignment="0" applyProtection="0"/>
    <xf numFmtId="20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205" fontId="2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205" fontId="21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7" fillId="0" borderId="0" applyNumberFormat="0" applyFont="0" applyFill="0" applyBorder="0" applyAlignment="0" applyProtection="0"/>
    <xf numFmtId="249" fontId="6" fillId="0" borderId="0" applyFont="0" applyFill="0" applyBorder="0" applyAlignment="0" applyProtection="0">
      <alignment vertical="center"/>
    </xf>
    <xf numFmtId="41" fontId="17" fillId="0" borderId="0" applyNumberFormat="0" applyFont="0" applyFill="0" applyBorder="0" applyAlignment="0" applyProtection="0"/>
    <xf numFmtId="205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5" fontId="1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249" fontId="212" fillId="0" borderId="0" applyFont="0" applyFill="0" applyBorder="0" applyAlignment="0" applyProtection="0">
      <alignment vertical="center"/>
    </xf>
    <xf numFmtId="249" fontId="13" fillId="0" borderId="0" applyFont="0" applyFill="0" applyBorder="0" applyAlignment="0" applyProtection="0"/>
    <xf numFmtId="249" fontId="1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50" fontId="23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50" fontId="23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50" fontId="23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50" fontId="23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179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50" fontId="23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50" fontId="23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50" fontId="23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0" fontId="17" fillId="0" borderId="0"/>
    <xf numFmtId="0" fontId="17" fillId="0" borderId="0"/>
    <xf numFmtId="179" fontId="17" fillId="0" borderId="0"/>
    <xf numFmtId="227" fontId="23" fillId="0" borderId="41"/>
    <xf numFmtId="227" fontId="23" fillId="0" borderId="41"/>
    <xf numFmtId="227" fontId="23" fillId="0" borderId="41"/>
    <xf numFmtId="227" fontId="23" fillId="0" borderId="41"/>
    <xf numFmtId="227" fontId="23" fillId="0" borderId="41"/>
    <xf numFmtId="227" fontId="23" fillId="0" borderId="41"/>
    <xf numFmtId="251" fontId="224" fillId="0" borderId="0">
      <alignment horizontal="center"/>
    </xf>
    <xf numFmtId="0" fontId="225" fillId="0" borderId="48"/>
    <xf numFmtId="252" fontId="23" fillId="0" borderId="0"/>
    <xf numFmtId="0" fontId="23" fillId="0" borderId="0"/>
    <xf numFmtId="179" fontId="132" fillId="0" borderId="36" applyNumberFormat="0" applyFill="0" applyAlignment="0" applyProtection="0">
      <alignment vertical="center"/>
    </xf>
    <xf numFmtId="0" fontId="226" fillId="0" borderId="36" applyNumberFormat="0" applyFill="0" applyAlignment="0" applyProtection="0">
      <alignment vertical="center"/>
    </xf>
    <xf numFmtId="0" fontId="227" fillId="0" borderId="36" applyNumberFormat="0" applyFill="0" applyAlignment="0" applyProtection="0">
      <alignment vertical="center"/>
    </xf>
    <xf numFmtId="179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227" fillId="0" borderId="36" applyNumberFormat="0" applyFill="0" applyAlignment="0" applyProtection="0">
      <alignment vertical="center"/>
    </xf>
    <xf numFmtId="0" fontId="226" fillId="0" borderId="36" applyNumberFormat="0" applyFill="0" applyAlignment="0" applyProtection="0">
      <alignment vertical="center"/>
    </xf>
    <xf numFmtId="0" fontId="226" fillId="0" borderId="36" applyNumberFormat="0" applyFill="0" applyAlignment="0" applyProtection="0">
      <alignment vertical="center"/>
    </xf>
    <xf numFmtId="253" fontId="23" fillId="0" borderId="0"/>
    <xf numFmtId="0" fontId="228" fillId="0" borderId="0" applyNumberFormat="0" applyFill="0" applyBorder="0" applyAlignment="0" applyProtection="0">
      <alignment vertical="top"/>
      <protection locked="0"/>
    </xf>
    <xf numFmtId="0" fontId="228" fillId="0" borderId="0" applyNumberFormat="0" applyFill="0" applyBorder="0" applyAlignment="0" applyProtection="0">
      <alignment vertical="top"/>
      <protection locked="0"/>
    </xf>
    <xf numFmtId="179" fontId="180" fillId="0" borderId="45" applyNumberFormat="0" applyFill="0" applyAlignment="0" applyProtection="0">
      <alignment vertical="center"/>
    </xf>
    <xf numFmtId="0" fontId="229" fillId="0" borderId="45" applyNumberFormat="0" applyFill="0" applyAlignment="0" applyProtection="0">
      <alignment vertical="center"/>
    </xf>
    <xf numFmtId="0" fontId="230" fillId="0" borderId="45" applyNumberFormat="0" applyFill="0" applyAlignment="0" applyProtection="0">
      <alignment vertical="center"/>
    </xf>
    <xf numFmtId="179" fontId="180" fillId="0" borderId="45" applyNumberFormat="0" applyFill="0" applyAlignment="0" applyProtection="0">
      <alignment vertical="center"/>
    </xf>
    <xf numFmtId="0" fontId="180" fillId="0" borderId="45" applyNumberFormat="0" applyFill="0" applyAlignment="0" applyProtection="0">
      <alignment vertical="center"/>
    </xf>
    <xf numFmtId="0" fontId="180" fillId="0" borderId="45" applyNumberFormat="0" applyFill="0" applyAlignment="0" applyProtection="0">
      <alignment vertical="center"/>
    </xf>
    <xf numFmtId="0" fontId="230" fillId="0" borderId="45" applyNumberFormat="0" applyFill="0" applyAlignment="0" applyProtection="0">
      <alignment vertical="center"/>
    </xf>
    <xf numFmtId="0" fontId="229" fillId="0" borderId="45" applyNumberFormat="0" applyFill="0" applyAlignment="0" applyProtection="0">
      <alignment vertical="center"/>
    </xf>
    <xf numFmtId="0" fontId="229" fillId="0" borderId="45" applyNumberFormat="0" applyFill="0" applyAlignment="0" applyProtection="0">
      <alignment vertical="center"/>
    </xf>
    <xf numFmtId="247" fontId="231" fillId="0" borderId="0" applyFont="0" applyFill="0" applyBorder="0" applyAlignment="0" applyProtection="0"/>
    <xf numFmtId="254" fontId="23" fillId="0" borderId="0" applyFont="0" applyFill="0" applyBorder="0" applyAlignment="0" applyProtection="0"/>
    <xf numFmtId="254" fontId="23" fillId="0" borderId="0" applyFont="0" applyFill="0" applyBorder="0" applyAlignment="0" applyProtection="0"/>
    <xf numFmtId="254" fontId="23" fillId="0" borderId="0" applyFont="0" applyFill="0" applyBorder="0" applyAlignment="0" applyProtection="0"/>
    <xf numFmtId="254" fontId="23" fillId="0" borderId="0" applyFont="0" applyFill="0" applyBorder="0" applyAlignment="0" applyProtection="0"/>
    <xf numFmtId="255" fontId="6" fillId="0" borderId="0" applyFont="0" applyFill="0" applyBorder="0" applyAlignment="0" applyProtection="0"/>
    <xf numFmtId="247" fontId="231" fillId="0" borderId="0" applyFont="0" applyFill="0" applyBorder="0" applyAlignment="0" applyProtection="0"/>
    <xf numFmtId="254" fontId="23" fillId="0" borderId="0" applyFont="0" applyFill="0" applyBorder="0" applyAlignment="0" applyProtection="0"/>
    <xf numFmtId="178" fontId="232" fillId="0" borderId="0" applyFont="0" applyFill="0" applyBorder="0" applyAlignment="0" applyProtection="0"/>
    <xf numFmtId="247" fontId="231" fillId="0" borderId="0" applyFont="0" applyFill="0" applyBorder="0" applyAlignment="0" applyProtection="0"/>
    <xf numFmtId="247" fontId="231" fillId="0" borderId="0" applyFont="0" applyFill="0" applyBorder="0" applyAlignment="0" applyProtection="0"/>
    <xf numFmtId="256" fontId="16" fillId="0" borderId="0" applyFill="0" applyBorder="0" applyProtection="0">
      <alignment horizontal="right"/>
    </xf>
    <xf numFmtId="0" fontId="18" fillId="0" borderId="49">
      <alignment vertical="justify" wrapText="1"/>
    </xf>
    <xf numFmtId="247" fontId="19" fillId="0" borderId="46">
      <alignment horizontal="left"/>
    </xf>
    <xf numFmtId="0" fontId="16" fillId="0" borderId="0"/>
    <xf numFmtId="179" fontId="127" fillId="40" borderId="24" applyNumberFormat="0" applyAlignment="0" applyProtection="0">
      <alignment vertical="center"/>
    </xf>
    <xf numFmtId="0" fontId="233" fillId="40" borderId="24" applyNumberFormat="0" applyAlignment="0" applyProtection="0">
      <alignment vertical="center"/>
    </xf>
    <xf numFmtId="0" fontId="234" fillId="40" borderId="24" applyNumberFormat="0" applyAlignment="0" applyProtection="0">
      <alignment vertical="center"/>
    </xf>
    <xf numFmtId="179" fontId="127" fillId="40" borderId="24" applyNumberFormat="0" applyAlignment="0" applyProtection="0">
      <alignment vertical="center"/>
    </xf>
    <xf numFmtId="0" fontId="127" fillId="40" borderId="24" applyNumberFormat="0" applyAlignment="0" applyProtection="0">
      <alignment vertical="center"/>
    </xf>
    <xf numFmtId="0" fontId="127" fillId="40" borderId="24" applyNumberFormat="0" applyAlignment="0" applyProtection="0">
      <alignment vertical="center"/>
    </xf>
    <xf numFmtId="0" fontId="234" fillId="40" borderId="24" applyNumberFormat="0" applyAlignment="0" applyProtection="0">
      <alignment vertical="center"/>
    </xf>
    <xf numFmtId="0" fontId="233" fillId="40" borderId="24" applyNumberFormat="0" applyAlignment="0" applyProtection="0">
      <alignment vertical="center"/>
    </xf>
    <xf numFmtId="0" fontId="233" fillId="40" borderId="24" applyNumberFormat="0" applyAlignment="0" applyProtection="0">
      <alignment vertical="center"/>
    </xf>
    <xf numFmtId="4" fontId="235" fillId="0" borderId="0" applyFont="0" applyFill="0" applyBorder="0" applyAlignment="0" applyProtection="0"/>
    <xf numFmtId="3" fontId="235" fillId="0" borderId="0" applyFont="0" applyFill="0" applyBorder="0" applyAlignment="0" applyProtection="0"/>
    <xf numFmtId="257" fontId="23" fillId="0" borderId="0">
      <alignment horizontal="center" vertical="center"/>
    </xf>
    <xf numFmtId="258" fontId="23" fillId="0" borderId="0"/>
    <xf numFmtId="259" fontId="23" fillId="0" borderId="0"/>
    <xf numFmtId="179" fontId="112" fillId="0" borderId="32" applyNumberFormat="0" applyFill="0" applyAlignment="0" applyProtection="0">
      <alignment vertical="center"/>
    </xf>
    <xf numFmtId="0" fontId="236" fillId="0" borderId="32" applyNumberFormat="0" applyFill="0" applyAlignment="0" applyProtection="0">
      <alignment vertical="center"/>
    </xf>
    <xf numFmtId="0" fontId="237" fillId="0" borderId="32" applyNumberFormat="0" applyFill="0" applyAlignment="0" applyProtection="0">
      <alignment vertical="center"/>
    </xf>
    <xf numFmtId="179" fontId="112" fillId="0" borderId="32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237" fillId="0" borderId="32" applyNumberFormat="0" applyFill="0" applyAlignment="0" applyProtection="0">
      <alignment vertical="center"/>
    </xf>
    <xf numFmtId="0" fontId="236" fillId="0" borderId="32" applyNumberFormat="0" applyFill="0" applyAlignment="0" applyProtection="0">
      <alignment vertical="center"/>
    </xf>
    <xf numFmtId="0" fontId="236" fillId="0" borderId="32" applyNumberFormat="0" applyFill="0" applyAlignment="0" applyProtection="0">
      <alignment vertical="center"/>
    </xf>
    <xf numFmtId="179" fontId="116" fillId="0" borderId="33" applyNumberFormat="0" applyFill="0" applyAlignment="0" applyProtection="0">
      <alignment vertical="center"/>
    </xf>
    <xf numFmtId="0" fontId="238" fillId="0" borderId="33" applyNumberFormat="0" applyFill="0" applyAlignment="0" applyProtection="0">
      <alignment vertical="center"/>
    </xf>
    <xf numFmtId="0" fontId="239" fillId="0" borderId="33" applyNumberFormat="0" applyFill="0" applyAlignment="0" applyProtection="0">
      <alignment vertical="center"/>
    </xf>
    <xf numFmtId="179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239" fillId="0" borderId="33" applyNumberFormat="0" applyFill="0" applyAlignment="0" applyProtection="0">
      <alignment vertical="center"/>
    </xf>
    <xf numFmtId="0" fontId="238" fillId="0" borderId="33" applyNumberFormat="0" applyFill="0" applyAlignment="0" applyProtection="0">
      <alignment vertical="center"/>
    </xf>
    <xf numFmtId="0" fontId="238" fillId="0" borderId="33" applyNumberFormat="0" applyFill="0" applyAlignment="0" applyProtection="0">
      <alignment vertical="center"/>
    </xf>
    <xf numFmtId="179" fontId="120" fillId="0" borderId="34" applyNumberFormat="0" applyFill="0" applyAlignment="0" applyProtection="0">
      <alignment vertical="center"/>
    </xf>
    <xf numFmtId="0" fontId="240" fillId="0" borderId="34" applyNumberFormat="0" applyFill="0" applyAlignment="0" applyProtection="0">
      <alignment vertical="center"/>
    </xf>
    <xf numFmtId="0" fontId="241" fillId="0" borderId="34" applyNumberFormat="0" applyFill="0" applyAlignment="0" applyProtection="0">
      <alignment vertical="center"/>
    </xf>
    <xf numFmtId="179" fontId="120" fillId="0" borderId="34" applyNumberFormat="0" applyFill="0" applyAlignment="0" applyProtection="0">
      <alignment vertical="center"/>
    </xf>
    <xf numFmtId="0" fontId="120" fillId="0" borderId="34" applyNumberFormat="0" applyFill="0" applyAlignment="0" applyProtection="0">
      <alignment vertical="center"/>
    </xf>
    <xf numFmtId="0" fontId="120" fillId="0" borderId="34" applyNumberFormat="0" applyFill="0" applyAlignment="0" applyProtection="0">
      <alignment vertical="center"/>
    </xf>
    <xf numFmtId="0" fontId="241" fillId="0" borderId="34" applyNumberFormat="0" applyFill="0" applyAlignment="0" applyProtection="0">
      <alignment vertical="center"/>
    </xf>
    <xf numFmtId="0" fontId="240" fillId="0" borderId="34" applyNumberFormat="0" applyFill="0" applyAlignment="0" applyProtection="0">
      <alignment vertical="center"/>
    </xf>
    <xf numFmtId="0" fontId="240" fillId="0" borderId="34" applyNumberFormat="0" applyFill="0" applyAlignment="0" applyProtection="0">
      <alignment vertical="center"/>
    </xf>
    <xf numFmtId="179" fontId="12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179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243" fontId="23" fillId="0" borderId="0">
      <alignment vertical="center"/>
    </xf>
    <xf numFmtId="243" fontId="23" fillId="0" borderId="0">
      <alignment vertical="center"/>
    </xf>
    <xf numFmtId="260" fontId="23" fillId="0" borderId="26">
      <alignment horizontal="left" vertical="center"/>
    </xf>
    <xf numFmtId="261" fontId="17" fillId="0" borderId="0" applyFill="0" applyBorder="0" applyProtection="0">
      <alignment vertical="center"/>
    </xf>
    <xf numFmtId="179" fontId="102" fillId="37" borderId="0" applyNumberFormat="0" applyBorder="0" applyAlignment="0" applyProtection="0">
      <alignment vertical="center"/>
    </xf>
    <xf numFmtId="0" fontId="243" fillId="37" borderId="0" applyNumberFormat="0" applyBorder="0" applyAlignment="0" applyProtection="0">
      <alignment vertical="center"/>
    </xf>
    <xf numFmtId="0" fontId="244" fillId="37" borderId="0" applyNumberFormat="0" applyBorder="0" applyAlignment="0" applyProtection="0">
      <alignment vertical="center"/>
    </xf>
    <xf numFmtId="179" fontId="102" fillId="37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244" fillId="37" borderId="0" applyNumberFormat="0" applyBorder="0" applyAlignment="0" applyProtection="0">
      <alignment vertical="center"/>
    </xf>
    <xf numFmtId="0" fontId="243" fillId="37" borderId="0" applyNumberFormat="0" applyBorder="0" applyAlignment="0" applyProtection="0">
      <alignment vertical="center"/>
    </xf>
    <xf numFmtId="0" fontId="243" fillId="37" borderId="0" applyNumberFormat="0" applyBorder="0" applyAlignment="0" applyProtection="0">
      <alignment vertical="center"/>
    </xf>
    <xf numFmtId="262" fontId="224" fillId="0" borderId="0">
      <alignment horizontal="right" vertical="center"/>
    </xf>
    <xf numFmtId="179" fontId="23" fillId="0" borderId="0"/>
    <xf numFmtId="179" fontId="23" fillId="0" borderId="0"/>
    <xf numFmtId="0" fontId="23" fillId="0" borderId="0"/>
    <xf numFmtId="0" fontId="26" fillId="0" borderId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9" fontId="153" fillId="53" borderId="40" applyNumberFormat="0" applyAlignment="0" applyProtection="0">
      <alignment vertical="center"/>
    </xf>
    <xf numFmtId="0" fontId="245" fillId="53" borderId="40" applyNumberFormat="0" applyAlignment="0" applyProtection="0">
      <alignment vertical="center"/>
    </xf>
    <xf numFmtId="0" fontId="246" fillId="53" borderId="40" applyNumberFormat="0" applyAlignment="0" applyProtection="0">
      <alignment vertical="center"/>
    </xf>
    <xf numFmtId="179" fontId="153" fillId="53" borderId="40" applyNumberFormat="0" applyAlignment="0" applyProtection="0">
      <alignment vertical="center"/>
    </xf>
    <xf numFmtId="0" fontId="153" fillId="53" borderId="40" applyNumberFormat="0" applyAlignment="0" applyProtection="0">
      <alignment vertical="center"/>
    </xf>
    <xf numFmtId="0" fontId="153" fillId="53" borderId="40" applyNumberFormat="0" applyAlignment="0" applyProtection="0">
      <alignment vertical="center"/>
    </xf>
    <xf numFmtId="0" fontId="246" fillId="53" borderId="40" applyNumberFormat="0" applyAlignment="0" applyProtection="0">
      <alignment vertical="center"/>
    </xf>
    <xf numFmtId="0" fontId="245" fillId="53" borderId="40" applyNumberFormat="0" applyAlignment="0" applyProtection="0">
      <alignment vertical="center"/>
    </xf>
    <xf numFmtId="0" fontId="245" fillId="53" borderId="40" applyNumberFormat="0" applyAlignment="0" applyProtection="0">
      <alignment vertical="center"/>
    </xf>
    <xf numFmtId="263" fontId="23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3" fillId="0" borderId="46">
      <alignment vertical="center" shrinkToFit="1"/>
    </xf>
    <xf numFmtId="0" fontId="23" fillId="0" borderId="0" applyFont="0" applyFill="0" applyBorder="0" applyAlignment="0" applyProtection="0"/>
    <xf numFmtId="250" fontId="23" fillId="0" borderId="0" applyFont="0" applyFill="0" applyBorder="0" applyAlignment="0" applyProtection="0"/>
    <xf numFmtId="264" fontId="247" fillId="0" borderId="0" applyFont="0" applyFill="0" applyBorder="0" applyAlignment="0" applyProtection="0"/>
    <xf numFmtId="265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266" fontId="6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/>
    <xf numFmtId="267" fontId="248" fillId="0" borderId="0" applyFont="0" applyFill="0" applyBorder="0" applyAlignment="0" applyProtection="0">
      <alignment vertical="center"/>
    </xf>
    <xf numFmtId="192" fontId="23" fillId="0" borderId="0" applyFont="0" applyFill="0" applyBorder="0" applyAlignment="0" applyProtection="0"/>
    <xf numFmtId="0" fontId="249" fillId="67" borderId="50"/>
    <xf numFmtId="9" fontId="235" fillId="0" borderId="0" applyFont="0" applyFill="0" applyBorder="0" applyAlignment="0" applyProtection="0"/>
    <xf numFmtId="268" fontId="23" fillId="0" borderId="41"/>
    <xf numFmtId="268" fontId="23" fillId="0" borderId="41"/>
    <xf numFmtId="268" fontId="23" fillId="0" borderId="41"/>
    <xf numFmtId="268" fontId="23" fillId="0" borderId="41"/>
    <xf numFmtId="268" fontId="23" fillId="0" borderId="41"/>
    <xf numFmtId="268" fontId="23" fillId="0" borderId="41"/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/>
    <xf numFmtId="0" fontId="11" fillId="0" borderId="0">
      <alignment vertical="center"/>
    </xf>
    <xf numFmtId="179" fontId="17" fillId="0" borderId="0"/>
    <xf numFmtId="0" fontId="17" fillId="0" borderId="0"/>
    <xf numFmtId="0" fontId="6" fillId="0" borderId="0"/>
    <xf numFmtId="0" fontId="6" fillId="0" borderId="0"/>
    <xf numFmtId="179" fontId="5" fillId="0" borderId="0">
      <alignment vertical="center"/>
    </xf>
    <xf numFmtId="0" fontId="6" fillId="0" borderId="0">
      <alignment vertical="center"/>
    </xf>
    <xf numFmtId="0" fontId="17" fillId="0" borderId="0"/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7" fillId="0" borderId="0"/>
    <xf numFmtId="0" fontId="5" fillId="0" borderId="0">
      <alignment vertical="center"/>
    </xf>
    <xf numFmtId="0" fontId="5" fillId="0" borderId="0">
      <alignment vertical="center"/>
    </xf>
    <xf numFmtId="0" fontId="146" fillId="0" borderId="0">
      <alignment vertical="center"/>
    </xf>
    <xf numFmtId="179" fontId="5" fillId="0" borderId="0">
      <alignment vertical="center"/>
    </xf>
    <xf numFmtId="0" fontId="17" fillId="0" borderId="0"/>
    <xf numFmtId="179" fontId="5" fillId="0" borderId="0">
      <alignment vertical="center"/>
    </xf>
    <xf numFmtId="0" fontId="250" fillId="0" borderId="0"/>
    <xf numFmtId="0" fontId="11" fillId="0" borderId="0"/>
    <xf numFmtId="0" fontId="223" fillId="0" borderId="0"/>
    <xf numFmtId="179" fontId="88" fillId="0" borderId="0">
      <alignment vertical="center"/>
    </xf>
    <xf numFmtId="179" fontId="88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6" fillId="0" borderId="0"/>
    <xf numFmtId="0" fontId="17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>
      <alignment vertical="center"/>
    </xf>
    <xf numFmtId="0" fontId="17" fillId="0" borderId="0"/>
    <xf numFmtId="0" fontId="6" fillId="0" borderId="0"/>
    <xf numFmtId="0" fontId="6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7" fillId="0" borderId="0"/>
    <xf numFmtId="0" fontId="13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1" fillId="0" borderId="0"/>
    <xf numFmtId="0" fontId="146" fillId="0" borderId="0">
      <alignment vertical="center"/>
    </xf>
    <xf numFmtId="0" fontId="146" fillId="0" borderId="0">
      <alignment vertical="center"/>
    </xf>
    <xf numFmtId="0" fontId="17" fillId="0" borderId="0"/>
    <xf numFmtId="179" fontId="17" fillId="0" borderId="0"/>
    <xf numFmtId="0" fontId="11" fillId="0" borderId="0">
      <alignment vertical="center"/>
    </xf>
    <xf numFmtId="0" fontId="146" fillId="0" borderId="0">
      <alignment vertical="center"/>
    </xf>
    <xf numFmtId="0" fontId="6" fillId="0" borderId="0"/>
    <xf numFmtId="0" fontId="146" fillId="0" borderId="0">
      <alignment vertical="center"/>
    </xf>
    <xf numFmtId="0" fontId="6" fillId="0" borderId="0">
      <alignment vertical="center"/>
    </xf>
    <xf numFmtId="0" fontId="6" fillId="0" borderId="0"/>
    <xf numFmtId="179" fontId="6" fillId="0" borderId="0"/>
    <xf numFmtId="0" fontId="6" fillId="0" borderId="0"/>
    <xf numFmtId="0" fontId="6" fillId="0" borderId="0"/>
    <xf numFmtId="0" fontId="6" fillId="0" borderId="0"/>
    <xf numFmtId="0" fontId="146" fillId="0" borderId="0">
      <alignment vertical="center"/>
    </xf>
    <xf numFmtId="0" fontId="14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88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6" fillId="0" borderId="0"/>
    <xf numFmtId="0" fontId="6" fillId="0" borderId="0"/>
    <xf numFmtId="0" fontId="17" fillId="0" borderId="0"/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7" fillId="0" borderId="0"/>
    <xf numFmtId="0" fontId="146" fillId="0" borderId="0">
      <alignment vertical="center"/>
    </xf>
    <xf numFmtId="0" fontId="6" fillId="0" borderId="0"/>
    <xf numFmtId="0" fontId="12" fillId="0" borderId="0">
      <alignment vertical="center"/>
    </xf>
    <xf numFmtId="0" fontId="17" fillId="0" borderId="0"/>
    <xf numFmtId="0" fontId="6" fillId="0" borderId="0"/>
    <xf numFmtId="0" fontId="6" fillId="0" borderId="0"/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50" fillId="0" borderId="0"/>
    <xf numFmtId="0" fontId="146" fillId="0" borderId="0">
      <alignment vertical="center"/>
    </xf>
    <xf numFmtId="0" fontId="252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5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25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223" fontId="2" fillId="0" borderId="0">
      <alignment vertical="center"/>
    </xf>
    <xf numFmtId="223" fontId="2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/>
    <xf numFmtId="0" fontId="17" fillId="0" borderId="0"/>
    <xf numFmtId="0" fontId="17" fillId="0" borderId="0"/>
    <xf numFmtId="0" fontId="223" fillId="0" borderId="0"/>
    <xf numFmtId="179" fontId="6" fillId="0" borderId="0"/>
    <xf numFmtId="0" fontId="11" fillId="0" borderId="0"/>
    <xf numFmtId="0" fontId="223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46" fillId="0" borderId="0">
      <alignment vertical="center"/>
    </xf>
    <xf numFmtId="179" fontId="11" fillId="0" borderId="0">
      <alignment vertical="center"/>
    </xf>
    <xf numFmtId="0" fontId="223" fillId="0" borderId="0"/>
    <xf numFmtId="0" fontId="17" fillId="0" borderId="0">
      <alignment vertical="center"/>
    </xf>
    <xf numFmtId="0" fontId="221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09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6" fillId="0" borderId="0">
      <alignment vertical="center"/>
    </xf>
    <xf numFmtId="179" fontId="17" fillId="0" borderId="0"/>
    <xf numFmtId="179" fontId="6" fillId="0" borderId="0">
      <alignment vertical="center"/>
    </xf>
    <xf numFmtId="179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9" fontId="1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6" fillId="0" borderId="0">
      <alignment vertical="center"/>
    </xf>
    <xf numFmtId="0" fontId="11" fillId="0" borderId="0">
      <alignment vertical="center"/>
    </xf>
    <xf numFmtId="0" fontId="47" fillId="0" borderId="0">
      <alignment vertical="center"/>
    </xf>
    <xf numFmtId="0" fontId="146" fillId="0" borderId="0">
      <alignment vertical="center"/>
    </xf>
    <xf numFmtId="0" fontId="6" fillId="0" borderId="0"/>
    <xf numFmtId="0" fontId="146" fillId="0" borderId="0">
      <alignment vertical="center"/>
    </xf>
    <xf numFmtId="0" fontId="146" fillId="0" borderId="0">
      <alignment vertical="center"/>
    </xf>
    <xf numFmtId="179" fontId="146" fillId="0" borderId="0">
      <alignment vertical="center"/>
    </xf>
    <xf numFmtId="0" fontId="17" fillId="0" borderId="0"/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7" fillId="0" borderId="0"/>
    <xf numFmtId="179" fontId="253" fillId="0" borderId="0">
      <alignment vertical="center"/>
    </xf>
    <xf numFmtId="0" fontId="11" fillId="0" borderId="0">
      <alignment vertical="center"/>
    </xf>
    <xf numFmtId="0" fontId="254" fillId="0" borderId="0"/>
    <xf numFmtId="0" fontId="17" fillId="0" borderId="0" applyNumberFormat="0" applyFont="0" applyFill="0" applyBorder="0" applyAlignment="0" applyProtection="0"/>
    <xf numFmtId="0" fontId="146" fillId="0" borderId="0">
      <alignment vertical="center"/>
    </xf>
    <xf numFmtId="179" fontId="17" fillId="0" borderId="0"/>
    <xf numFmtId="0" fontId="5" fillId="0" borderId="0">
      <alignment vertical="center"/>
    </xf>
    <xf numFmtId="0" fontId="88" fillId="0" borderId="0">
      <alignment vertical="center"/>
    </xf>
    <xf numFmtId="0" fontId="2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5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179" fontId="256" fillId="0" borderId="0">
      <alignment vertical="center"/>
    </xf>
    <xf numFmtId="0" fontId="6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17" fillId="0" borderId="0"/>
    <xf numFmtId="0" fontId="146" fillId="0" borderId="0">
      <alignment vertical="center"/>
    </xf>
    <xf numFmtId="0" fontId="6" fillId="0" borderId="0">
      <alignment vertical="center"/>
    </xf>
    <xf numFmtId="179" fontId="211" fillId="0" borderId="0">
      <alignment vertical="center"/>
    </xf>
    <xf numFmtId="0" fontId="11" fillId="0" borderId="0">
      <alignment vertical="center"/>
    </xf>
    <xf numFmtId="0" fontId="25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22" fillId="0" borderId="0">
      <alignment vertical="center"/>
    </xf>
    <xf numFmtId="0" fontId="146" fillId="0" borderId="0">
      <alignment vertical="center"/>
    </xf>
    <xf numFmtId="179" fontId="6" fillId="0" borderId="0">
      <alignment vertical="center"/>
    </xf>
    <xf numFmtId="0" fontId="11" fillId="0" borderId="0">
      <alignment vertical="center"/>
    </xf>
    <xf numFmtId="0" fontId="222" fillId="0" borderId="0">
      <alignment vertical="center"/>
    </xf>
    <xf numFmtId="0" fontId="11" fillId="0" borderId="0">
      <alignment vertical="center"/>
    </xf>
    <xf numFmtId="179" fontId="13" fillId="0" borderId="0">
      <alignment vertical="center"/>
    </xf>
    <xf numFmtId="179" fontId="13" fillId="0" borderId="0">
      <alignment vertical="center"/>
    </xf>
    <xf numFmtId="0" fontId="221" fillId="0" borderId="0"/>
    <xf numFmtId="0" fontId="11" fillId="0" borderId="0"/>
    <xf numFmtId="0" fontId="11" fillId="0" borderId="0">
      <alignment vertical="center"/>
    </xf>
    <xf numFmtId="0" fontId="14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9" fontId="13" fillId="0" borderId="0">
      <alignment vertical="center"/>
    </xf>
    <xf numFmtId="0" fontId="248" fillId="0" borderId="0">
      <alignment vertical="center"/>
    </xf>
    <xf numFmtId="14" fontId="23" fillId="68" borderId="0" applyFont="0" applyFill="0" applyBorder="0" applyAlignment="0"/>
    <xf numFmtId="0" fontId="258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top"/>
      <protection locked="0"/>
    </xf>
    <xf numFmtId="223" fontId="260" fillId="0" borderId="0" applyNumberFormat="0" applyFill="0" applyBorder="0" applyAlignment="0" applyProtection="0">
      <alignment vertical="top"/>
      <protection locked="0"/>
    </xf>
    <xf numFmtId="223" fontId="261" fillId="0" borderId="0" applyNumberFormat="0" applyFill="0" applyBorder="0" applyAlignment="0" applyProtection="0">
      <alignment vertical="top"/>
      <protection locked="0"/>
    </xf>
    <xf numFmtId="223" fontId="262" fillId="0" borderId="0" applyNumberFormat="0" applyFill="0" applyBorder="0" applyAlignment="0" applyProtection="0">
      <alignment vertical="top"/>
      <protection locked="0"/>
    </xf>
    <xf numFmtId="0" fontId="196" fillId="0" borderId="51" applyNumberFormat="0" applyFont="0" applyFill="0" applyAlignment="0" applyProtection="0"/>
    <xf numFmtId="43" fontId="6" fillId="0" borderId="0" applyFont="0" applyFill="0" applyBorder="0" applyAlignment="0" applyProtection="0"/>
    <xf numFmtId="38" fontId="24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38" fontId="248" fillId="0" borderId="0" applyFont="0" applyFill="0" applyBorder="0" applyAlignment="0" applyProtection="0">
      <alignment vertical="center"/>
    </xf>
    <xf numFmtId="6" fontId="23" fillId="0" borderId="0"/>
    <xf numFmtId="266" fontId="16" fillId="0" borderId="0" applyFont="0" applyFill="0" applyBorder="0" applyAlignment="0" applyProtection="0"/>
    <xf numFmtId="269" fontId="16" fillId="0" borderId="0" applyFont="0" applyFill="0" applyBorder="0" applyAlignment="0" applyProtection="0"/>
    <xf numFmtId="192" fontId="23" fillId="0" borderId="0" applyFont="0" applyFill="0" applyBorder="0" applyAlignment="0" applyProtection="0"/>
    <xf numFmtId="270" fontId="235" fillId="0" borderId="0" applyFont="0" applyFill="0" applyBorder="0" applyAlignment="0" applyProtection="0"/>
    <xf numFmtId="192" fontId="23" fillId="0" borderId="0" applyFont="0" applyFill="0" applyBorder="0" applyAlignment="0" applyProtection="0"/>
    <xf numFmtId="270" fontId="235" fillId="0" borderId="0" applyFont="0" applyFill="0" applyBorder="0" applyAlignment="0" applyProtection="0"/>
    <xf numFmtId="214" fontId="191" fillId="0" borderId="0">
      <alignment horizontal="right" vertical="center"/>
    </xf>
    <xf numFmtId="0" fontId="35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35" fillId="0" borderId="0"/>
    <xf numFmtId="0" fontId="50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41" fontId="87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37" fontId="19" fillId="0" borderId="46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205" fontId="13" fillId="0" borderId="0" applyFont="0" applyFill="0" applyBorder="0" applyAlignment="0" applyProtection="0"/>
    <xf numFmtId="0" fontId="1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6" fillId="0" borderId="0"/>
    <xf numFmtId="0" fontId="11" fillId="0" borderId="0">
      <alignment vertical="center"/>
    </xf>
    <xf numFmtId="0" fontId="35" fillId="0" borderId="0"/>
    <xf numFmtId="271" fontId="6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72" fontId="263" fillId="0" borderId="0" applyFont="0" applyFill="0" applyBorder="0" applyAlignment="0" applyProtection="0"/>
    <xf numFmtId="273" fontId="17" fillId="0" borderId="0" applyFont="0" applyFill="0" applyBorder="0" applyAlignment="0" applyProtection="0"/>
    <xf numFmtId="41" fontId="6" fillId="0" borderId="0"/>
    <xf numFmtId="0" fontId="23" fillId="0" borderId="0">
      <protection locked="0"/>
    </xf>
    <xf numFmtId="271" fontId="18" fillId="0" borderId="0"/>
    <xf numFmtId="271" fontId="18" fillId="0" borderId="0"/>
    <xf numFmtId="271" fontId="17" fillId="0" borderId="0"/>
    <xf numFmtId="271" fontId="17" fillId="0" borderId="0"/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271" fontId="17" fillId="0" borderId="0"/>
    <xf numFmtId="271" fontId="17" fillId="0" borderId="0"/>
    <xf numFmtId="0" fontId="23" fillId="0" borderId="0"/>
    <xf numFmtId="271" fontId="20" fillId="0" borderId="0" applyNumberFormat="0" applyFill="0" applyBorder="0" applyAlignment="0" applyProtection="0"/>
    <xf numFmtId="271" fontId="20" fillId="0" borderId="0" applyNumberFormat="0" applyFill="0" applyBorder="0" applyAlignment="0" applyProtection="0"/>
    <xf numFmtId="41" fontId="6" fillId="0" borderId="0"/>
    <xf numFmtId="3" fontId="224" fillId="0" borderId="26"/>
    <xf numFmtId="27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71" fontId="6" fillId="0" borderId="0" applyNumberFormat="0" applyFont="0" applyFill="0" applyBorder="0" applyAlignment="0" applyProtection="0"/>
    <xf numFmtId="271" fontId="6" fillId="0" borderId="0" applyNumberFormat="0" applyFont="0" applyFill="0" applyBorder="0" applyAlignment="0" applyProtection="0"/>
    <xf numFmtId="2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274" fontId="21" fillId="0" borderId="0" applyFont="0" applyFill="0" applyBorder="0" applyAlignment="0" applyProtection="0"/>
    <xf numFmtId="24" fontId="21" fillId="0" borderId="0" applyFont="0" applyFill="0" applyBorder="0" applyAlignment="0" applyProtection="0"/>
    <xf numFmtId="0" fontId="23" fillId="0" borderId="0"/>
    <xf numFmtId="0" fontId="47" fillId="0" borderId="0">
      <alignment vertical="center"/>
    </xf>
    <xf numFmtId="0" fontId="264" fillId="0" borderId="0">
      <alignment vertical="center"/>
    </xf>
    <xf numFmtId="0" fontId="47" fillId="0" borderId="0">
      <alignment vertical="center"/>
    </xf>
    <xf numFmtId="275" fontId="15" fillId="0" borderId="0" applyFont="0" applyFill="0" applyBorder="0" applyAlignment="0"/>
    <xf numFmtId="0" fontId="23" fillId="0" borderId="0"/>
    <xf numFmtId="271" fontId="17" fillId="0" borderId="0"/>
    <xf numFmtId="271" fontId="17" fillId="0" borderId="0"/>
    <xf numFmtId="276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78" fontId="17" fillId="0" borderId="0" applyFont="0" applyFill="0" applyBorder="0" applyAlignment="0" applyProtection="0"/>
    <xf numFmtId="190" fontId="23" fillId="0" borderId="29">
      <protection locked="0"/>
    </xf>
    <xf numFmtId="0" fontId="225" fillId="0" borderId="0" applyFont="0" applyFill="0" applyBorder="0" applyAlignment="0" applyProtection="0"/>
    <xf numFmtId="0" fontId="196" fillId="0" borderId="0"/>
    <xf numFmtId="0" fontId="196" fillId="0" borderId="0"/>
    <xf numFmtId="0" fontId="23" fillId="0" borderId="0"/>
    <xf numFmtId="0" fontId="6" fillId="0" borderId="0"/>
    <xf numFmtId="0" fontId="266" fillId="0" borderId="0"/>
    <xf numFmtId="0" fontId="6" fillId="0" borderId="0"/>
    <xf numFmtId="0" fontId="6" fillId="0" borderId="0"/>
    <xf numFmtId="271" fontId="23" fillId="0" borderId="0"/>
    <xf numFmtId="271" fontId="23" fillId="0" borderId="0"/>
    <xf numFmtId="41" fontId="267" fillId="0" borderId="0" applyFont="0" applyFill="0" applyBorder="0" applyAlignment="0" applyProtection="0"/>
    <xf numFmtId="0" fontId="87" fillId="0" borderId="0"/>
    <xf numFmtId="271" fontId="24" fillId="0" borderId="0" applyNumberFormat="0" applyFill="0" applyBorder="0" applyAlignment="0" applyProtection="0"/>
    <xf numFmtId="271" fontId="24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268" fillId="0" borderId="0" applyNumberFormat="0" applyFill="0" applyBorder="0" applyAlignment="0" applyProtection="0">
      <alignment horizontal="center" vertical="top"/>
    </xf>
    <xf numFmtId="41" fontId="269" fillId="0" borderId="0" applyFont="0" applyFill="0" applyBorder="0" applyAlignment="0" applyProtection="0"/>
    <xf numFmtId="9" fontId="270" fillId="0" borderId="0" applyFont="0" applyFill="0" applyBorder="0" applyAlignment="0" applyProtection="0"/>
    <xf numFmtId="0" fontId="47" fillId="0" borderId="0"/>
    <xf numFmtId="0" fontId="271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23" fillId="0" borderId="0"/>
    <xf numFmtId="271" fontId="17" fillId="0" borderId="0"/>
    <xf numFmtId="271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21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0" fontId="19" fillId="0" borderId="0"/>
    <xf numFmtId="271" fontId="17" fillId="0" borderId="0"/>
    <xf numFmtId="271" fontId="17" fillId="0" borderId="0"/>
    <xf numFmtId="271" fontId="29" fillId="0" borderId="0" applyFont="0" applyFill="0" applyBorder="0" applyAlignment="0" applyProtection="0"/>
    <xf numFmtId="271" fontId="29" fillId="0" borderId="0" applyFont="0" applyFill="0" applyBorder="0" applyAlignment="0" applyProtection="0"/>
    <xf numFmtId="271" fontId="30" fillId="0" borderId="0"/>
    <xf numFmtId="271" fontId="30" fillId="0" borderId="0"/>
    <xf numFmtId="271" fontId="29" fillId="0" borderId="0"/>
    <xf numFmtId="271" fontId="29" fillId="0" borderId="0"/>
    <xf numFmtId="249" fontId="29" fillId="0" borderId="0" applyFont="0" applyFill="0" applyBorder="0" applyAlignment="0" applyProtection="0"/>
    <xf numFmtId="271" fontId="17" fillId="0" borderId="0"/>
    <xf numFmtId="271" fontId="17" fillId="0" borderId="0"/>
    <xf numFmtId="271" fontId="17" fillId="0" borderId="0"/>
    <xf numFmtId="271" fontId="17" fillId="0" borderId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 applyFont="0" applyFill="0" applyBorder="0" applyAlignment="0" applyProtection="0"/>
    <xf numFmtId="0" fontId="17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 applyFont="0" applyFill="0" applyBorder="0" applyAlignment="0" applyProtection="0"/>
    <xf numFmtId="0" fontId="17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71" fontId="17" fillId="0" borderId="0"/>
    <xf numFmtId="271" fontId="17" fillId="0" borderId="0"/>
    <xf numFmtId="0" fontId="28" fillId="0" borderId="0" applyFont="0" applyFill="0" applyBorder="0" applyAlignment="0" applyProtection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21" fillId="0" borderId="0"/>
    <xf numFmtId="0" fontId="21" fillId="0" borderId="0"/>
    <xf numFmtId="0" fontId="21" fillId="0" borderId="0"/>
    <xf numFmtId="183" fontId="6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0" fontId="19" fillId="0" borderId="0"/>
    <xf numFmtId="271" fontId="23" fillId="0" borderId="0"/>
    <xf numFmtId="271" fontId="23" fillId="0" borderId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271" fontId="31" fillId="0" borderId="0"/>
    <xf numFmtId="271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6" fillId="0" borderId="0" applyFont="0" applyFill="0" applyBorder="0" applyAlignment="0" applyProtection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23" fillId="0" borderId="0" applyFont="0" applyFill="0" applyBorder="0" applyAlignment="0" applyProtection="0"/>
    <xf numFmtId="0" fontId="17" fillId="0" borderId="0"/>
    <xf numFmtId="0" fontId="17" fillId="0" borderId="0"/>
    <xf numFmtId="271" fontId="17" fillId="0" borderId="0"/>
    <xf numFmtId="271" fontId="17" fillId="0" borderId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1" fillId="0" borderId="0"/>
    <xf numFmtId="183" fontId="6" fillId="0" borderId="0" applyFont="0" applyFill="0" applyBorder="0" applyAlignment="0" applyProtection="0"/>
    <xf numFmtId="0" fontId="17" fillId="0" borderId="0"/>
    <xf numFmtId="0" fontId="31" fillId="0" borderId="0"/>
    <xf numFmtId="0" fontId="19" fillId="0" borderId="0"/>
    <xf numFmtId="0" fontId="19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21" fillId="0" borderId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0" fontId="23" fillId="0" borderId="0" applyFont="0" applyFill="0" applyBorder="0" applyAlignment="0" applyProtection="0"/>
    <xf numFmtId="183" fontId="6" fillId="0" borderId="0" applyFon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6" fillId="0" borderId="0" applyFont="0" applyFill="0" applyBorder="0" applyAlignment="0" applyProtection="0"/>
    <xf numFmtId="271" fontId="6" fillId="0" borderId="0" applyFont="0" applyFill="0" applyBorder="0" applyAlignment="0" applyProtection="0"/>
    <xf numFmtId="271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0" fontId="17" fillId="0" borderId="0"/>
    <xf numFmtId="0" fontId="15" fillId="0" borderId="0"/>
    <xf numFmtId="279" fontId="23" fillId="0" borderId="0" applyFont="0" applyFill="0" applyBorder="0" applyAlignment="0" applyProtection="0"/>
    <xf numFmtId="0" fontId="21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280" fontId="272" fillId="0" borderId="0" applyFont="0" applyFill="0" applyBorder="0" applyAlignment="0" applyProtection="0"/>
    <xf numFmtId="0" fontId="19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66" fontId="26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71" fontId="23" fillId="0" borderId="0"/>
    <xf numFmtId="271" fontId="23" fillId="0" borderId="0"/>
    <xf numFmtId="0" fontId="6" fillId="0" borderId="0" applyFont="0" applyFill="0" applyBorder="0" applyAlignment="0" applyProtection="0"/>
    <xf numFmtId="281" fontId="17" fillId="0" borderId="0" applyFont="0" applyFill="0" applyBorder="0" applyAlignment="0" applyProtection="0"/>
    <xf numFmtId="188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0" fontId="23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188" fontId="265" fillId="0" borderId="0" applyFont="0" applyFill="0" applyBorder="0" applyAlignment="0" applyProtection="0"/>
    <xf numFmtId="0" fontId="17" fillId="0" borderId="0"/>
    <xf numFmtId="0" fontId="19" fillId="0" borderId="0"/>
    <xf numFmtId="0" fontId="28" fillId="0" borderId="0" applyFont="0" applyFill="0" applyBorder="0" applyAlignment="0" applyProtection="0"/>
    <xf numFmtId="0" fontId="17" fillId="0" borderId="0"/>
    <xf numFmtId="283" fontId="265" fillId="0" borderId="0" applyFont="0" applyFill="0" applyBorder="0" applyAlignment="0" applyProtection="0"/>
    <xf numFmtId="0" fontId="17" fillId="0" borderId="0"/>
    <xf numFmtId="0" fontId="19" fillId="0" borderId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282" fontId="265" fillId="0" borderId="0" applyFont="0" applyFill="0" applyBorder="0" applyAlignment="0" applyProtection="0"/>
    <xf numFmtId="0" fontId="55" fillId="0" borderId="0"/>
    <xf numFmtId="0" fontId="273" fillId="0" borderId="0"/>
    <xf numFmtId="188" fontId="265" fillId="0" borderId="0" applyFont="0" applyFill="0" applyBorder="0" applyAlignment="0" applyProtection="0"/>
    <xf numFmtId="0" fontId="15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8" fontId="265" fillId="0" borderId="0" applyFont="0" applyFill="0" applyBorder="0" applyAlignment="0" applyProtection="0"/>
    <xf numFmtId="0" fontId="6" fillId="0" borderId="0" applyFont="0" applyFill="0" applyBorder="0" applyAlignment="0" applyProtection="0"/>
    <xf numFmtId="284" fontId="265" fillId="0" borderId="0" applyFont="0" applyFill="0" applyBorder="0" applyAlignment="0" applyProtection="0"/>
    <xf numFmtId="284" fontId="265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282" fontId="26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8" fontId="265" fillId="0" borderId="0" applyFont="0" applyFill="0" applyBorder="0" applyAlignment="0" applyProtection="0"/>
    <xf numFmtId="266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43" fontId="263" fillId="0" borderId="0" applyFont="0" applyFill="0" applyBorder="0" applyAlignment="0" applyProtection="0"/>
    <xf numFmtId="249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9" fontId="17" fillId="0" borderId="0" applyFont="0" applyFill="0" applyBorder="0" applyAlignment="0" applyProtection="0"/>
    <xf numFmtId="43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90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41" fontId="263" fillId="0" borderId="0" applyFont="0" applyFill="0" applyBorder="0" applyAlignment="0" applyProtection="0"/>
    <xf numFmtId="188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81" fontId="17" fillId="0" borderId="0" applyFont="0" applyFill="0" applyBorder="0" applyAlignment="0" applyProtection="0"/>
    <xf numFmtId="188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188" fontId="265" fillId="0" borderId="0" applyFont="0" applyFill="0" applyBorder="0" applyAlignment="0" applyProtection="0"/>
    <xf numFmtId="283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188" fontId="265" fillId="0" borderId="0" applyFont="0" applyFill="0" applyBorder="0" applyAlignment="0" applyProtection="0"/>
    <xf numFmtId="284" fontId="265" fillId="0" borderId="0" applyFont="0" applyFill="0" applyBorder="0" applyAlignment="0" applyProtection="0"/>
    <xf numFmtId="284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76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188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84" fontId="265" fillId="0" borderId="0" applyFont="0" applyFill="0" applyBorder="0" applyAlignment="0" applyProtection="0"/>
    <xf numFmtId="283" fontId="265" fillId="0" borderId="0" applyFont="0" applyFill="0" applyBorder="0" applyAlignment="0" applyProtection="0"/>
    <xf numFmtId="249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9" fontId="17" fillId="0" borderId="0" applyFont="0" applyFill="0" applyBorder="0" applyAlignment="0" applyProtection="0"/>
    <xf numFmtId="43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90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43" fontId="263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05" fontId="265" fillId="0" borderId="0" applyFont="0" applyFill="0" applyBorder="0" applyAlignment="0" applyProtection="0"/>
    <xf numFmtId="4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4" fontId="17" fillId="0" borderId="0" applyFont="0" applyFill="0" applyBorder="0" applyAlignment="0" applyProtection="0"/>
    <xf numFmtId="41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5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81" fontId="17" fillId="0" borderId="0" applyFont="0" applyFill="0" applyBorder="0" applyAlignment="0" applyProtection="0"/>
    <xf numFmtId="188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66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188" fontId="265" fillId="0" borderId="0" applyFont="0" applyFill="0" applyBorder="0" applyAlignment="0" applyProtection="0"/>
    <xf numFmtId="283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188" fontId="265" fillId="0" borderId="0" applyFont="0" applyFill="0" applyBorder="0" applyAlignment="0" applyProtection="0"/>
    <xf numFmtId="284" fontId="265" fillId="0" borderId="0" applyFont="0" applyFill="0" applyBorder="0" applyAlignment="0" applyProtection="0"/>
    <xf numFmtId="284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276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188" fontId="265" fillId="0" borderId="0" applyFont="0" applyFill="0" applyBorder="0" applyAlignment="0" applyProtection="0"/>
    <xf numFmtId="282" fontId="265" fillId="0" borderId="0" applyFont="0" applyFill="0" applyBorder="0" applyAlignment="0" applyProtection="0"/>
    <xf numFmtId="41" fontId="263" fillId="0" borderId="0" applyFont="0" applyFill="0" applyBorder="0" applyAlignment="0" applyProtection="0"/>
    <xf numFmtId="284" fontId="265" fillId="0" borderId="0" applyFont="0" applyFill="0" applyBorder="0" applyAlignment="0" applyProtection="0"/>
    <xf numFmtId="283" fontId="265" fillId="0" borderId="0" applyFont="0" applyFill="0" applyBorder="0" applyAlignment="0" applyProtection="0"/>
    <xf numFmtId="43" fontId="263" fillId="0" borderId="0" applyFont="0" applyFill="0" applyBorder="0" applyAlignment="0" applyProtection="0"/>
    <xf numFmtId="205" fontId="265" fillId="0" borderId="0" applyFont="0" applyFill="0" applyBorder="0" applyAlignment="0" applyProtection="0"/>
    <xf numFmtId="4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4" fontId="17" fillId="0" borderId="0" applyFont="0" applyFill="0" applyBorder="0" applyAlignment="0" applyProtection="0"/>
    <xf numFmtId="41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5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49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9" fontId="17" fillId="0" borderId="0" applyFont="0" applyFill="0" applyBorder="0" applyAlignment="0" applyProtection="0"/>
    <xf numFmtId="43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90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41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6" fillId="0" borderId="0" applyFont="0" applyFill="0" applyBorder="0" applyAlignment="0" applyProtection="0"/>
    <xf numFmtId="276" fontId="265" fillId="0" borderId="0" applyFont="0" applyFill="0" applyBorder="0" applyAlignment="0" applyProtection="0"/>
    <xf numFmtId="271" fontId="31" fillId="0" borderId="0"/>
    <xf numFmtId="271" fontId="31" fillId="0" borderId="0"/>
    <xf numFmtId="183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16" fillId="0" borderId="0"/>
    <xf numFmtId="0" fontId="19" fillId="0" borderId="0"/>
    <xf numFmtId="0" fontId="21" fillId="0" borderId="0"/>
    <xf numFmtId="0" fontId="21" fillId="0" borderId="0"/>
    <xf numFmtId="282" fontId="265" fillId="0" borderId="0" applyFont="0" applyFill="0" applyBorder="0" applyAlignment="0" applyProtection="0"/>
    <xf numFmtId="0" fontId="19" fillId="0" borderId="0"/>
    <xf numFmtId="0" fontId="19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271" fontId="17" fillId="0" borderId="0"/>
    <xf numFmtId="0" fontId="17" fillId="0" borderId="0"/>
    <xf numFmtId="183" fontId="23" fillId="0" borderId="0" applyFont="0" applyFill="0" applyBorder="0" applyAlignment="0" applyProtection="0"/>
    <xf numFmtId="190" fontId="6" fillId="0" borderId="0" applyFont="0" applyFill="0" applyBorder="0" applyAlignment="0" applyProtection="0"/>
    <xf numFmtId="271" fontId="17" fillId="34" borderId="0"/>
    <xf numFmtId="271" fontId="17" fillId="34" borderId="0"/>
    <xf numFmtId="188" fontId="265" fillId="0" borderId="0" applyFon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82" fontId="265" fillId="0" borderId="0" applyFont="0" applyFill="0" applyBorder="0" applyAlignment="0" applyProtection="0"/>
    <xf numFmtId="0" fontId="17" fillId="0" borderId="0"/>
    <xf numFmtId="0" fontId="17" fillId="0" borderId="0"/>
    <xf numFmtId="41" fontId="263" fillId="0" borderId="0" applyFont="0" applyFill="0" applyBorder="0" applyAlignment="0" applyProtection="0"/>
    <xf numFmtId="205" fontId="265" fillId="0" borderId="0" applyFont="0" applyFill="0" applyBorder="0" applyAlignment="0" applyProtection="0"/>
    <xf numFmtId="4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4" fontId="17" fillId="0" borderId="0" applyFont="0" applyFill="0" applyBorder="0" applyAlignment="0" applyProtection="0"/>
    <xf numFmtId="41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77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5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3" fontId="265" fillId="0" borderId="0" applyFont="0" applyFill="0" applyBorder="0" applyAlignment="0" applyProtection="0"/>
    <xf numFmtId="292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91" fontId="265" fillId="0" borderId="0" applyFont="0" applyFill="0" applyBorder="0" applyAlignment="0" applyProtection="0"/>
    <xf numFmtId="249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9" fontId="17" fillId="0" borderId="0" applyFont="0" applyFill="0" applyBorder="0" applyAlignment="0" applyProtection="0"/>
    <xf numFmtId="43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6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90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8" fontId="265" fillId="0" borderId="0" applyFont="0" applyFill="0" applyBorder="0" applyAlignment="0" applyProtection="0"/>
    <xf numFmtId="287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85" fontId="265" fillId="0" borderId="0" applyFont="0" applyFill="0" applyBorder="0" applyAlignment="0" applyProtection="0"/>
    <xf numFmtId="266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266" fontId="263" fillId="0" borderId="0" applyFont="0" applyFill="0" applyBorder="0" applyAlignment="0" applyProtection="0"/>
    <xf numFmtId="272" fontId="263" fillId="0" borderId="0" applyFont="0" applyFill="0" applyBorder="0" applyAlignment="0" applyProtection="0"/>
    <xf numFmtId="43" fontId="263" fillId="0" borderId="0" applyFont="0" applyFill="0" applyBorder="0" applyAlignment="0" applyProtection="0"/>
    <xf numFmtId="284" fontId="265" fillId="0" borderId="0" applyFont="0" applyFill="0" applyBorder="0" applyAlignment="0" applyProtection="0"/>
    <xf numFmtId="0" fontId="6" fillId="0" borderId="0" applyFont="0" applyFill="0" applyBorder="0" applyAlignment="0" applyProtection="0"/>
    <xf numFmtId="283" fontId="265" fillId="0" borderId="0" applyFont="0" applyFill="0" applyBorder="0" applyAlignment="0" applyProtection="0"/>
    <xf numFmtId="0" fontId="17" fillId="0" borderId="0"/>
    <xf numFmtId="0" fontId="6" fillId="0" borderId="0" applyFont="0" applyFill="0" applyBorder="0" applyAlignment="0" applyProtection="0"/>
    <xf numFmtId="0" fontId="17" fillId="0" borderId="0"/>
    <xf numFmtId="0" fontId="273" fillId="0" borderId="0"/>
    <xf numFmtId="0" fontId="55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21" fillId="0" borderId="0"/>
    <xf numFmtId="0" fontId="6" fillId="0" borderId="0" applyFont="0" applyFill="0" applyBorder="0" applyAlignment="0" applyProtection="0"/>
    <xf numFmtId="271" fontId="17" fillId="0" borderId="0"/>
    <xf numFmtId="271" fontId="17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1" fillId="0" borderId="0"/>
    <xf numFmtId="0" fontId="21" fillId="0" borderId="0"/>
    <xf numFmtId="0" fontId="17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71" fontId="17" fillId="0" borderId="0"/>
    <xf numFmtId="271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271" fontId="23" fillId="0" borderId="0"/>
    <xf numFmtId="271" fontId="23" fillId="0" borderId="0"/>
    <xf numFmtId="183" fontId="6" fillId="0" borderId="0" applyFont="0" applyFill="0" applyBorder="0" applyAlignment="0" applyProtection="0"/>
    <xf numFmtId="0" fontId="23" fillId="0" borderId="0"/>
    <xf numFmtId="0" fontId="17" fillId="0" borderId="0"/>
    <xf numFmtId="183" fontId="6" fillId="0" borderId="0" applyFont="0" applyFill="0" applyBorder="0" applyAlignment="0" applyProtection="0"/>
    <xf numFmtId="271" fontId="17" fillId="0" borderId="0"/>
    <xf numFmtId="271" fontId="17" fillId="0" borderId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/>
    <xf numFmtId="271" fontId="17" fillId="0" borderId="0"/>
    <xf numFmtId="183" fontId="6" fillId="0" borderId="0" applyFont="0" applyFill="0" applyBorder="0" applyAlignment="0" applyProtection="0"/>
    <xf numFmtId="0" fontId="17" fillId="0" borderId="0"/>
    <xf numFmtId="0" fontId="24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/>
    <xf numFmtId="0" fontId="21" fillId="0" borderId="0"/>
    <xf numFmtId="0" fontId="17" fillId="0" borderId="0"/>
    <xf numFmtId="183" fontId="6" fillId="0" borderId="0" applyFont="0" applyFill="0" applyBorder="0" applyAlignment="0" applyProtection="0"/>
    <xf numFmtId="0" fontId="21" fillId="0" borderId="0"/>
    <xf numFmtId="0" fontId="17" fillId="0" borderId="0"/>
    <xf numFmtId="0" fontId="21" fillId="0" borderId="0"/>
    <xf numFmtId="183" fontId="6" fillId="0" borderId="0" applyFont="0" applyFill="0" applyBorder="0" applyAlignment="0" applyProtection="0"/>
    <xf numFmtId="0" fontId="17" fillId="0" borderId="0"/>
    <xf numFmtId="183" fontId="23" fillId="0" borderId="0" applyFont="0" applyFill="0" applyBorder="0" applyAlignment="0" applyProtection="0"/>
    <xf numFmtId="0" fontId="17" fillId="0" borderId="0"/>
    <xf numFmtId="0" fontId="31" fillId="0" borderId="0"/>
    <xf numFmtId="0" fontId="17" fillId="0" borderId="0"/>
    <xf numFmtId="0" fontId="19" fillId="0" borderId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1" fillId="0" borderId="0"/>
    <xf numFmtId="0" fontId="23" fillId="0" borderId="0"/>
    <xf numFmtId="0" fontId="17" fillId="0" borderId="0"/>
    <xf numFmtId="0" fontId="19" fillId="0" borderId="0"/>
    <xf numFmtId="0" fontId="28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28" fillId="0" borderId="0" applyFont="0" applyFill="0" applyBorder="0" applyAlignment="0" applyProtection="0"/>
    <xf numFmtId="0" fontId="17" fillId="0" borderId="0"/>
    <xf numFmtId="0" fontId="2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21" fillId="0" borderId="0"/>
    <xf numFmtId="271" fontId="31" fillId="0" borderId="0"/>
    <xf numFmtId="271" fontId="3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17" fillId="0" borderId="0"/>
    <xf numFmtId="0" fontId="23" fillId="0" borderId="0"/>
    <xf numFmtId="0" fontId="17" fillId="0" borderId="0"/>
    <xf numFmtId="0" fontId="21" fillId="0" borderId="0"/>
    <xf numFmtId="25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25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23" fillId="0" borderId="0" applyFont="0" applyFill="0" applyBorder="0" applyAlignment="0" applyProtection="0"/>
    <xf numFmtId="19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 applyFont="0" applyFill="0" applyBorder="0" applyAlignment="0" applyProtection="0"/>
    <xf numFmtId="271" fontId="17" fillId="0" borderId="0"/>
    <xf numFmtId="2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6" fillId="0" borderId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5" fillId="0" borderId="0"/>
    <xf numFmtId="183" fontId="6" fillId="0" borderId="0" applyFont="0" applyFill="0" applyBorder="0" applyAlignment="0" applyProtection="0"/>
    <xf numFmtId="0" fontId="21" fillId="0" borderId="0"/>
    <xf numFmtId="271" fontId="17" fillId="0" borderId="0"/>
    <xf numFmtId="271" fontId="17" fillId="0" borderId="0"/>
    <xf numFmtId="0" fontId="6" fillId="0" borderId="0" applyFont="0" applyFill="0" applyBorder="0" applyAlignment="0" applyProtection="0"/>
    <xf numFmtId="0" fontId="23" fillId="0" borderId="0"/>
    <xf numFmtId="0" fontId="17" fillId="0" borderId="0"/>
    <xf numFmtId="271" fontId="19" fillId="0" borderId="0"/>
    <xf numFmtId="271" fontId="19" fillId="0" borderId="0"/>
    <xf numFmtId="0" fontId="17" fillId="0" borderId="0"/>
    <xf numFmtId="0" fontId="17" fillId="0" borderId="0"/>
    <xf numFmtId="0" fontId="28" fillId="0" borderId="0"/>
    <xf numFmtId="271" fontId="17" fillId="0" borderId="0"/>
    <xf numFmtId="271" fontId="17" fillId="0" borderId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7" fillId="0" borderId="0" applyFont="0" applyFill="0" applyBorder="0" applyAlignment="0" applyProtection="0"/>
    <xf numFmtId="0" fontId="21" fillId="0" borderId="0"/>
    <xf numFmtId="0" fontId="19" fillId="0" borderId="0"/>
    <xf numFmtId="0" fontId="17" fillId="0" borderId="0"/>
    <xf numFmtId="0" fontId="21" fillId="0" borderId="0"/>
    <xf numFmtId="0" fontId="22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71" fontId="17" fillId="0" borderId="0"/>
    <xf numFmtId="271" fontId="17" fillId="0" borderId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0" fontId="3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1" fillId="0" borderId="0"/>
    <xf numFmtId="0" fontId="17" fillId="0" borderId="0"/>
    <xf numFmtId="0" fontId="17" fillId="0" borderId="0"/>
    <xf numFmtId="0" fontId="274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21" fillId="0" borderId="0"/>
    <xf numFmtId="0" fontId="21" fillId="0" borderId="0"/>
    <xf numFmtId="271" fontId="17" fillId="0" borderId="0"/>
    <xf numFmtId="271" fontId="17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271" fontId="31" fillId="0" borderId="0"/>
    <xf numFmtId="271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0" fontId="19" fillId="0" borderId="0"/>
    <xf numFmtId="183" fontId="23" fillId="0" borderId="0" applyFont="0" applyFill="0" applyBorder="0" applyAlignment="0" applyProtection="0"/>
    <xf numFmtId="0" fontId="17" fillId="0" borderId="0"/>
    <xf numFmtId="0" fontId="274" fillId="0" borderId="0"/>
    <xf numFmtId="0" fontId="35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183" fontId="6" fillId="0" borderId="0" applyFont="0" applyFill="0" applyBorder="0" applyAlignment="0" applyProtection="0"/>
    <xf numFmtId="0" fontId="17" fillId="0" borderId="0"/>
    <xf numFmtId="0" fontId="21" fillId="0" borderId="0"/>
    <xf numFmtId="183" fontId="6" fillId="0" borderId="0" applyFont="0" applyFill="0" applyBorder="0" applyAlignment="0" applyProtection="0"/>
    <xf numFmtId="0" fontId="17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3" fillId="0" borderId="0"/>
    <xf numFmtId="0" fontId="15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1" fillId="0" borderId="0"/>
    <xf numFmtId="0" fontId="6" fillId="0" borderId="0"/>
    <xf numFmtId="183" fontId="23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1" fillId="0" borderId="0"/>
    <xf numFmtId="0" fontId="21" fillId="0" borderId="0"/>
    <xf numFmtId="0" fontId="17" fillId="0" borderId="0"/>
    <xf numFmtId="0" fontId="21" fillId="0" borderId="0"/>
    <xf numFmtId="0" fontId="19" fillId="0" borderId="0"/>
    <xf numFmtId="0" fontId="21" fillId="0" borderId="0"/>
    <xf numFmtId="0" fontId="6" fillId="0" borderId="0" applyFont="0" applyFill="0" applyBorder="0" applyAlignment="0" applyProtection="0"/>
    <xf numFmtId="0" fontId="17" fillId="0" borderId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28" fillId="0" borderId="0" applyFont="0" applyFill="0" applyBorder="0" applyAlignment="0" applyProtection="0"/>
    <xf numFmtId="271" fontId="31" fillId="0" borderId="0"/>
    <xf numFmtId="271" fontId="31" fillId="0" borderId="0"/>
    <xf numFmtId="0" fontId="17" fillId="0" borderId="0"/>
    <xf numFmtId="0" fontId="17" fillId="0" borderId="0"/>
    <xf numFmtId="0" fontId="19" fillId="0" borderId="0"/>
    <xf numFmtId="0" fontId="21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183" fontId="2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21" fillId="0" borderId="0"/>
    <xf numFmtId="0" fontId="21" fillId="0" borderId="0"/>
    <xf numFmtId="0" fontId="6" fillId="0" borderId="0" applyFont="0" applyFill="0" applyBorder="0" applyAlignment="0" applyProtection="0"/>
    <xf numFmtId="271" fontId="19" fillId="0" borderId="0"/>
    <xf numFmtId="271" fontId="19" fillId="0" borderId="0"/>
    <xf numFmtId="271" fontId="19" fillId="0" borderId="0"/>
    <xf numFmtId="271" fontId="19" fillId="0" borderId="0"/>
    <xf numFmtId="296" fontId="2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271" fontId="17" fillId="0" borderId="0"/>
    <xf numFmtId="2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17" fillId="0" borderId="0"/>
    <xf numFmtId="0" fontId="21" fillId="0" borderId="0"/>
    <xf numFmtId="183" fontId="23" fillId="0" borderId="0" applyFont="0" applyFill="0" applyBorder="0" applyAlignment="0" applyProtection="0"/>
    <xf numFmtId="0" fontId="21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9" fillId="0" borderId="0"/>
    <xf numFmtId="0" fontId="275" fillId="0" borderId="0"/>
    <xf numFmtId="297" fontId="276" fillId="0" borderId="0" applyFont="0" applyFill="0" applyBorder="0" applyAlignment="0" applyProtection="0"/>
    <xf numFmtId="298" fontId="276" fillId="0" borderId="0" applyFont="0" applyFill="0" applyBorder="0" applyAlignment="0" applyProtection="0"/>
    <xf numFmtId="299" fontId="276" fillId="0" borderId="0" applyFont="0" applyFill="0" applyBorder="0" applyAlignment="0" applyProtection="0"/>
    <xf numFmtId="300" fontId="276" fillId="0" borderId="0" applyFont="0" applyFill="0" applyBorder="0" applyAlignment="0" applyProtection="0"/>
    <xf numFmtId="301" fontId="276" fillId="0" borderId="0" applyFont="0" applyFill="0" applyBorder="0" applyAlignment="0" applyProtection="0"/>
    <xf numFmtId="302" fontId="27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78" fillId="0" borderId="0">
      <alignment horizontal="centerContinuous"/>
    </xf>
    <xf numFmtId="303" fontId="51" fillId="0" borderId="0"/>
    <xf numFmtId="0" fontId="47" fillId="0" borderId="0"/>
    <xf numFmtId="0" fontId="47" fillId="0" borderId="0">
      <alignment vertical="center"/>
    </xf>
    <xf numFmtId="0" fontId="47" fillId="0" borderId="0">
      <alignment vertical="center"/>
    </xf>
    <xf numFmtId="0" fontId="279" fillId="0" borderId="0">
      <protection locked="0"/>
    </xf>
    <xf numFmtId="0" fontId="279" fillId="0" borderId="0">
      <protection locked="0"/>
    </xf>
    <xf numFmtId="0" fontId="280" fillId="0" borderId="0" applyNumberFormat="0" applyFill="0" applyBorder="0" applyAlignment="0" applyProtection="0"/>
    <xf numFmtId="304" fontId="51" fillId="0" borderId="0"/>
    <xf numFmtId="0" fontId="281" fillId="0" borderId="0"/>
    <xf numFmtId="0" fontId="16" fillId="0" borderId="0"/>
    <xf numFmtId="3" fontId="224" fillId="0" borderId="26"/>
    <xf numFmtId="3" fontId="224" fillId="0" borderId="26"/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1" fontId="18" fillId="0" borderId="21">
      <alignment horizontal="center" vertical="center"/>
    </xf>
    <xf numFmtId="0" fontId="17" fillId="0" borderId="0"/>
    <xf numFmtId="3" fontId="282" fillId="0" borderId="4">
      <alignment horizontal="right" vertical="center"/>
    </xf>
    <xf numFmtId="0" fontId="283" fillId="0" borderId="0"/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3" fontId="282" fillId="0" borderId="4">
      <alignment horizontal="right" vertical="center"/>
    </xf>
    <xf numFmtId="0" fontId="284" fillId="0" borderId="0"/>
    <xf numFmtId="4" fontId="285" fillId="0" borderId="55">
      <alignment vertical="center"/>
    </xf>
    <xf numFmtId="4" fontId="285" fillId="0" borderId="55">
      <alignment vertical="center"/>
    </xf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0" fontId="6" fillId="0" borderId="0">
      <protection locked="0"/>
    </xf>
    <xf numFmtId="9" fontId="51" fillId="0" borderId="0" applyFont="0" applyFill="0" applyBorder="0" applyAlignment="0" applyProtection="0"/>
    <xf numFmtId="0" fontId="23" fillId="0" borderId="0"/>
    <xf numFmtId="0" fontId="286" fillId="0" borderId="0" applyFont="0" applyFill="0" applyBorder="0" applyAlignment="0" applyProtection="0"/>
    <xf numFmtId="2" fontId="282" fillId="0" borderId="4">
      <alignment horizontal="right" vertical="center"/>
    </xf>
    <xf numFmtId="0" fontId="23" fillId="0" borderId="19">
      <alignment horizont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2" fontId="282" fillId="0" borderId="4">
      <alignment horizontal="right" vertical="center"/>
    </xf>
    <xf numFmtId="0" fontId="212" fillId="35" borderId="0" applyNumberFormat="0" applyBorder="0" applyAlignment="0" applyProtection="0">
      <alignment vertical="center"/>
    </xf>
    <xf numFmtId="0" fontId="212" fillId="36" borderId="0" applyNumberFormat="0" applyBorder="0" applyAlignment="0" applyProtection="0">
      <alignment vertical="center"/>
    </xf>
    <xf numFmtId="0" fontId="212" fillId="37" borderId="0" applyNumberFormat="0" applyBorder="0" applyAlignment="0" applyProtection="0">
      <alignment vertical="center"/>
    </xf>
    <xf numFmtId="0" fontId="212" fillId="38" borderId="0" applyNumberFormat="0" applyBorder="0" applyAlignment="0" applyProtection="0">
      <alignment vertical="center"/>
    </xf>
    <xf numFmtId="0" fontId="212" fillId="39" borderId="0" applyNumberFormat="0" applyBorder="0" applyAlignment="0" applyProtection="0">
      <alignment vertical="center"/>
    </xf>
    <xf numFmtId="0" fontId="212" fillId="4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305" fontId="287" fillId="0" borderId="0" applyProtection="0">
      <protection locked="0"/>
    </xf>
    <xf numFmtId="0" fontId="23" fillId="0" borderId="0"/>
    <xf numFmtId="306" fontId="272" fillId="0" borderId="0" applyFont="0" applyFill="0" applyBorder="0" applyAlignment="0" applyProtection="0"/>
    <xf numFmtId="0" fontId="212" fillId="41" borderId="0" applyNumberFormat="0" applyBorder="0" applyAlignment="0" applyProtection="0">
      <alignment vertical="center"/>
    </xf>
    <xf numFmtId="0" fontId="212" fillId="42" borderId="0" applyNumberFormat="0" applyBorder="0" applyAlignment="0" applyProtection="0">
      <alignment vertical="center"/>
    </xf>
    <xf numFmtId="0" fontId="212" fillId="43" borderId="0" applyNumberFormat="0" applyBorder="0" applyAlignment="0" applyProtection="0">
      <alignment vertical="center"/>
    </xf>
    <xf numFmtId="0" fontId="212" fillId="38" borderId="0" applyNumberFormat="0" applyBorder="0" applyAlignment="0" applyProtection="0">
      <alignment vertical="center"/>
    </xf>
    <xf numFmtId="0" fontId="212" fillId="41" borderId="0" applyNumberFormat="0" applyBorder="0" applyAlignment="0" applyProtection="0">
      <alignment vertical="center"/>
    </xf>
    <xf numFmtId="0" fontId="212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9" fontId="23" fillId="0" borderId="0">
      <protection locked="0"/>
    </xf>
    <xf numFmtId="0" fontId="288" fillId="45" borderId="0" applyNumberFormat="0" applyBorder="0" applyAlignment="0" applyProtection="0">
      <alignment vertical="center"/>
    </xf>
    <xf numFmtId="0" fontId="288" fillId="42" borderId="0" applyNumberFormat="0" applyBorder="0" applyAlignment="0" applyProtection="0">
      <alignment vertical="center"/>
    </xf>
    <xf numFmtId="0" fontId="288" fillId="43" borderId="0" applyNumberFormat="0" applyBorder="0" applyAlignment="0" applyProtection="0">
      <alignment vertical="center"/>
    </xf>
    <xf numFmtId="0" fontId="288" fillId="46" borderId="0" applyNumberFormat="0" applyBorder="0" applyAlignment="0" applyProtection="0">
      <alignment vertical="center"/>
    </xf>
    <xf numFmtId="0" fontId="288" fillId="47" borderId="0" applyNumberFormat="0" applyBorder="0" applyAlignment="0" applyProtection="0">
      <alignment vertical="center"/>
    </xf>
    <xf numFmtId="0" fontId="288" fillId="48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3" fillId="0" borderId="0" applyFont="0" applyFill="0" applyBorder="0" applyAlignment="0" applyProtection="0"/>
    <xf numFmtId="0" fontId="54" fillId="0" borderId="0"/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271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47" fillId="0" borderId="22">
      <alignment vertical="center"/>
    </xf>
    <xf numFmtId="0" fontId="6" fillId="0" borderId="0" applyFont="0" applyFill="0" applyBorder="0" applyAlignment="0" applyProtection="0"/>
    <xf numFmtId="306" fontId="272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178" fontId="291" fillId="0" borderId="0" applyBorder="0" applyProtection="0">
      <alignment horizontal="centerContinuous"/>
    </xf>
    <xf numFmtId="0" fontId="6" fillId="0" borderId="0">
      <protection locked="0"/>
    </xf>
    <xf numFmtId="0" fontId="6" fillId="0" borderId="0">
      <protection locked="0"/>
    </xf>
    <xf numFmtId="178" fontId="291" fillId="0" borderId="0" applyBorder="0" applyProtection="0">
      <alignment horizontal="centerContinuous"/>
    </xf>
    <xf numFmtId="178" fontId="291" fillId="0" borderId="0" applyBorder="0" applyProtection="0">
      <alignment horizontal="centerContinuous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8" fontId="291" fillId="0" borderId="0" applyBorder="0" applyProtection="0">
      <alignment horizontal="centerContinuous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8" fontId="291" fillId="0" borderId="0" applyBorder="0" applyProtection="0">
      <alignment horizontal="centerContinuous"/>
    </xf>
    <xf numFmtId="178" fontId="291" fillId="0" borderId="0" applyBorder="0" applyProtection="0">
      <alignment horizontal="centerContinuous"/>
    </xf>
    <xf numFmtId="178" fontId="291" fillId="0" borderId="0" applyBorder="0" applyProtection="0">
      <alignment horizontal="centerContinuous"/>
    </xf>
    <xf numFmtId="178" fontId="291" fillId="0" borderId="0" applyBorder="0" applyProtection="0">
      <alignment horizontal="centerContinuous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8" fontId="291" fillId="0" borderId="0" applyBorder="0" applyProtection="0">
      <alignment horizontal="centerContinuous"/>
    </xf>
    <xf numFmtId="0" fontId="292" fillId="0" borderId="0" applyFont="0" applyFill="0" applyBorder="0" applyAlignment="0" applyProtection="0"/>
    <xf numFmtId="0" fontId="292" fillId="0" borderId="0" applyFont="0" applyFill="0" applyBorder="0" applyAlignment="0" applyProtection="0"/>
    <xf numFmtId="195" fontId="293" fillId="0" borderId="0" applyFont="0" applyFill="0" applyBorder="0" applyAlignment="0" applyProtection="0"/>
    <xf numFmtId="196" fontId="293" fillId="0" borderId="0" applyFont="0" applyFill="0" applyBorder="0" applyAlignment="0" applyProtection="0"/>
    <xf numFmtId="41" fontId="294" fillId="0" borderId="0" applyFont="0" applyFill="0" applyBorder="0" applyAlignment="0" applyProtection="0"/>
    <xf numFmtId="43" fontId="294" fillId="0" borderId="0" applyFont="0" applyFill="0" applyBorder="0" applyAlignment="0" applyProtection="0"/>
    <xf numFmtId="307" fontId="6" fillId="0" borderId="0" applyFont="0" applyFill="0" applyBorder="0" applyAlignment="0" applyProtection="0"/>
    <xf numFmtId="41" fontId="295" fillId="0" borderId="0" applyFont="0" applyFill="0" applyBorder="0" applyAlignment="0" applyProtection="0"/>
    <xf numFmtId="0" fontId="31" fillId="0" borderId="0" applyFont="0" applyFill="0" applyBorder="0" applyAlignment="0" applyProtection="0"/>
    <xf numFmtId="308" fontId="6" fillId="0" borderId="0" applyFont="0" applyFill="0" applyBorder="0" applyAlignment="0" applyProtection="0"/>
    <xf numFmtId="43" fontId="295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296" fillId="0" borderId="0" applyBorder="0" applyAlignment="0" applyProtection="0"/>
    <xf numFmtId="3" fontId="18" fillId="0" borderId="0"/>
    <xf numFmtId="0" fontId="6" fillId="0" borderId="0">
      <protection locked="0"/>
    </xf>
    <xf numFmtId="0" fontId="288" fillId="49" borderId="0" applyNumberFormat="0" applyBorder="0" applyAlignment="0" applyProtection="0">
      <alignment vertical="center"/>
    </xf>
    <xf numFmtId="0" fontId="288" fillId="50" borderId="0" applyNumberFormat="0" applyBorder="0" applyAlignment="0" applyProtection="0">
      <alignment vertical="center"/>
    </xf>
    <xf numFmtId="0" fontId="288" fillId="51" borderId="0" applyNumberFormat="0" applyBorder="0" applyAlignment="0" applyProtection="0">
      <alignment vertical="center"/>
    </xf>
    <xf numFmtId="0" fontId="288" fillId="46" borderId="0" applyNumberFormat="0" applyBorder="0" applyAlignment="0" applyProtection="0">
      <alignment vertical="center"/>
    </xf>
    <xf numFmtId="0" fontId="288" fillId="47" borderId="0" applyNumberFormat="0" applyBorder="0" applyAlignment="0" applyProtection="0">
      <alignment vertical="center"/>
    </xf>
    <xf numFmtId="0" fontId="288" fillId="52" borderId="0" applyNumberFormat="0" applyBorder="0" applyAlignment="0" applyProtection="0">
      <alignment vertical="center"/>
    </xf>
    <xf numFmtId="0" fontId="63" fillId="0" borderId="0" applyNumberFormat="0" applyAlignment="0"/>
    <xf numFmtId="0" fontId="6" fillId="0" borderId="0">
      <protection locked="0"/>
    </xf>
    <xf numFmtId="0" fontId="6" fillId="0" borderId="0">
      <protection locked="0"/>
    </xf>
    <xf numFmtId="0" fontId="297" fillId="0" borderId="0" applyFont="0" applyFill="0" applyBorder="0" applyAlignment="0" applyProtection="0"/>
    <xf numFmtId="183" fontId="50" fillId="0" borderId="0" applyFont="0" applyFill="0" applyBorder="0" applyAlignment="0" applyProtection="0"/>
    <xf numFmtId="187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298" fillId="0" borderId="0" applyFont="0" applyFill="0" applyBorder="0" applyAlignment="0" applyProtection="0"/>
    <xf numFmtId="0" fontId="7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299" fillId="0" borderId="0" applyFont="0" applyFill="0" applyBorder="0" applyAlignment="0" applyProtection="0"/>
    <xf numFmtId="0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299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299" fillId="0" borderId="0" applyFont="0" applyFill="0" applyBorder="0" applyAlignment="0" applyProtection="0"/>
    <xf numFmtId="0" fontId="51" fillId="0" borderId="0" applyFont="0" applyFill="0" applyBorder="0" applyAlignment="0" applyProtection="0"/>
    <xf numFmtId="309" fontId="26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299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51" fillId="0" borderId="0" applyFont="0" applyFill="0" applyBorder="0" applyAlignment="0" applyProtection="0"/>
    <xf numFmtId="187" fontId="299" fillId="0" borderId="0" applyFont="0" applyFill="0" applyBorder="0" applyAlignment="0" applyProtection="0"/>
    <xf numFmtId="188" fontId="52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299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51" fillId="0" borderId="0" applyFont="0" applyFill="0" applyBorder="0" applyAlignment="0" applyProtection="0"/>
    <xf numFmtId="183" fontId="299" fillId="0" borderId="0" applyFont="0" applyFill="0" applyBorder="0" applyAlignment="0" applyProtection="0"/>
    <xf numFmtId="37" fontId="51" fillId="0" borderId="0" applyFont="0" applyFill="0" applyBorder="0" applyAlignment="0" applyProtection="0"/>
    <xf numFmtId="188" fontId="17" fillId="0" borderId="0" applyFont="0" applyFill="0" applyBorder="0" applyAlignment="0" applyProtection="0"/>
    <xf numFmtId="0" fontId="6" fillId="0" borderId="0">
      <protection locked="0"/>
    </xf>
    <xf numFmtId="310" fontId="265" fillId="0" borderId="0" applyFont="0" applyFill="0" applyBorder="0" applyAlignment="0" applyProtection="0"/>
    <xf numFmtId="0" fontId="51" fillId="0" borderId="0" applyFont="0" applyFill="0" applyBorder="0" applyAlignment="0" applyProtection="0"/>
    <xf numFmtId="190" fontId="50" fillId="0" borderId="0" applyFont="0" applyFill="0" applyBorder="0" applyAlignment="0" applyProtection="0"/>
    <xf numFmtId="192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190" fontId="29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98" fillId="0" borderId="0" applyFont="0" applyFill="0" applyBorder="0" applyAlignment="0" applyProtection="0"/>
    <xf numFmtId="0" fontId="71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299" fillId="0" borderId="0" applyFont="0" applyFill="0" applyBorder="0" applyAlignment="0" applyProtection="0"/>
    <xf numFmtId="186" fontId="21" fillId="0" borderId="0" applyFont="0" applyFill="0" applyBorder="0" applyAlignment="0" applyProtection="0"/>
    <xf numFmtId="271" fontId="300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299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299" fillId="0" borderId="0" applyFont="0" applyFill="0" applyBorder="0" applyAlignment="0" applyProtection="0"/>
    <xf numFmtId="0" fontId="51" fillId="0" borderId="0" applyFont="0" applyFill="0" applyBorder="0" applyAlignment="0" applyProtection="0"/>
    <xf numFmtId="311" fontId="263" fillId="0" borderId="0" applyFont="0" applyFill="0" applyBorder="0" applyAlignment="0" applyProtection="0"/>
    <xf numFmtId="191" fontId="51" fillId="0" borderId="0" applyFont="0" applyFill="0" applyBorder="0" applyAlignment="0" applyProtection="0"/>
    <xf numFmtId="191" fontId="299" fillId="0" borderId="0" applyFont="0" applyFill="0" applyBorder="0" applyAlignment="0" applyProtection="0"/>
    <xf numFmtId="187" fontId="21" fillId="0" borderId="0" applyFont="0" applyFill="0" applyBorder="0" applyAlignment="0" applyProtection="0"/>
    <xf numFmtId="192" fontId="51" fillId="0" borderId="0" applyFont="0" applyFill="0" applyBorder="0" applyAlignment="0" applyProtection="0"/>
    <xf numFmtId="192" fontId="299" fillId="0" borderId="0" applyFont="0" applyFill="0" applyBorder="0" applyAlignment="0" applyProtection="0"/>
    <xf numFmtId="193" fontId="52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299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299" fillId="0" borderId="0" applyFont="0" applyFill="0" applyBorder="0" applyAlignment="0" applyProtection="0"/>
    <xf numFmtId="37" fontId="51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6" fillId="0" borderId="0">
      <protection locked="0"/>
    </xf>
    <xf numFmtId="312" fontId="6" fillId="0" borderId="0" applyFont="0" applyFill="0" applyBorder="0" applyAlignment="0" applyProtection="0"/>
    <xf numFmtId="296" fontId="6" fillId="0" borderId="0" applyFont="0" applyFill="0" applyBorder="0" applyAlignment="0" applyProtection="0"/>
    <xf numFmtId="183" fontId="293" fillId="0" borderId="0" applyFont="0" applyFill="0" applyBorder="0" applyAlignment="0" applyProtection="0"/>
    <xf numFmtId="190" fontId="293" fillId="0" borderId="0" applyFont="0" applyFill="0" applyBorder="0" applyAlignment="0" applyProtection="0"/>
    <xf numFmtId="313" fontId="301" fillId="0" borderId="0" applyFont="0" applyFill="0" applyBorder="0" applyAlignment="0" applyProtection="0"/>
    <xf numFmtId="314" fontId="301" fillId="0" borderId="0" applyFont="0" applyFill="0" applyBorder="0" applyAlignment="0" applyProtection="0"/>
    <xf numFmtId="0" fontId="279" fillId="0" borderId="0">
      <protection locked="0"/>
    </xf>
    <xf numFmtId="271" fontId="21" fillId="0" borderId="0"/>
    <xf numFmtId="195" fontId="302" fillId="0" borderId="0" applyFont="0" applyFill="0" applyBorder="0" applyAlignment="0" applyProtection="0"/>
    <xf numFmtId="196" fontId="302" fillId="0" borderId="0" applyFont="0" applyFill="0" applyBorder="0" applyAlignment="0" applyProtection="0"/>
    <xf numFmtId="0" fontId="303" fillId="0" borderId="0">
      <alignment horizontal="center" wrapText="1"/>
      <protection locked="0"/>
    </xf>
    <xf numFmtId="271" fontId="17" fillId="0" borderId="0" applyNumberFormat="0" applyFill="0" applyBorder="0" applyAlignment="0" applyProtection="0"/>
    <xf numFmtId="271" fontId="17" fillId="0" borderId="0" applyNumberFormat="0" applyFill="0" applyBorder="0" applyAlignment="0" applyProtection="0"/>
    <xf numFmtId="271" fontId="54" fillId="0" borderId="0" applyNumberFormat="0" applyFill="0" applyBorder="0" applyAlignment="0" applyProtection="0"/>
    <xf numFmtId="271" fontId="54" fillId="0" borderId="0" applyNumberFormat="0" applyFill="0" applyBorder="0" applyAlignment="0" applyProtection="0"/>
    <xf numFmtId="0" fontId="6" fillId="0" borderId="0">
      <protection locked="0"/>
    </xf>
    <xf numFmtId="41" fontId="48" fillId="0" borderId="0" applyFont="0" applyFill="0" applyBorder="0" applyAlignment="0" applyProtection="0"/>
    <xf numFmtId="0" fontId="297" fillId="0" borderId="0" applyFont="0" applyFill="0" applyBorder="0" applyAlignment="0" applyProtection="0"/>
    <xf numFmtId="195" fontId="50" fillId="0" borderId="0" applyFont="0" applyFill="0" applyBorder="0" applyAlignment="0" applyProtection="0"/>
    <xf numFmtId="41" fontId="297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299" fillId="0" borderId="0" applyFont="0" applyFill="0" applyBorder="0" applyAlignment="0" applyProtection="0"/>
    <xf numFmtId="0" fontId="298" fillId="0" borderId="0" applyFont="0" applyFill="0" applyBorder="0" applyAlignment="0" applyProtection="0"/>
    <xf numFmtId="195" fontId="51" fillId="0" borderId="0" applyFont="0" applyFill="0" applyBorder="0" applyAlignment="0" applyProtection="0"/>
    <xf numFmtId="195" fontId="299" fillId="0" borderId="0" applyFont="0" applyFill="0" applyBorder="0" applyAlignment="0" applyProtection="0"/>
    <xf numFmtId="0" fontId="51" fillId="0" borderId="0" applyFont="0" applyFill="0" applyBorder="0" applyAlignment="0" applyProtection="0"/>
    <xf numFmtId="195" fontId="51" fillId="0" borderId="0" applyFont="0" applyFill="0" applyBorder="0" applyAlignment="0" applyProtection="0"/>
    <xf numFmtId="195" fontId="299" fillId="0" borderId="0" applyFont="0" applyFill="0" applyBorder="0" applyAlignment="0" applyProtection="0"/>
    <xf numFmtId="195" fontId="51" fillId="0" borderId="0" applyFont="0" applyFill="0" applyBorder="0" applyAlignment="0" applyProtection="0"/>
    <xf numFmtId="195" fontId="51" fillId="0" borderId="0" applyFont="0" applyFill="0" applyBorder="0" applyAlignment="0" applyProtection="0"/>
    <xf numFmtId="195" fontId="299" fillId="0" borderId="0" applyFont="0" applyFill="0" applyBorder="0" applyAlignment="0" applyProtection="0"/>
    <xf numFmtId="0" fontId="51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299" fillId="0" borderId="0" applyFont="0" applyFill="0" applyBorder="0" applyAlignment="0" applyProtection="0"/>
    <xf numFmtId="41" fontId="52" fillId="0" borderId="0" applyFont="0" applyFill="0" applyBorder="0" applyAlignment="0" applyProtection="0"/>
    <xf numFmtId="205" fontId="52" fillId="0" borderId="0" applyFont="0" applyFill="0" applyBorder="0" applyAlignment="0" applyProtection="0"/>
    <xf numFmtId="205" fontId="52" fillId="0" borderId="0" applyFont="0" applyFill="0" applyBorder="0" applyAlignment="0" applyProtection="0"/>
    <xf numFmtId="195" fontId="51" fillId="0" borderId="0" applyFont="0" applyFill="0" applyBorder="0" applyAlignment="0" applyProtection="0"/>
    <xf numFmtId="195" fontId="299" fillId="0" borderId="0" applyFont="0" applyFill="0" applyBorder="0" applyAlignment="0" applyProtection="0"/>
    <xf numFmtId="195" fontId="51" fillId="0" borderId="0" applyFont="0" applyFill="0" applyBorder="0" applyAlignment="0" applyProtection="0"/>
    <xf numFmtId="195" fontId="51" fillId="0" borderId="0" applyFont="0" applyFill="0" applyBorder="0" applyAlignment="0" applyProtection="0"/>
    <xf numFmtId="195" fontId="299" fillId="0" borderId="0" applyFont="0" applyFill="0" applyBorder="0" applyAlignment="0" applyProtection="0"/>
    <xf numFmtId="37" fontId="51" fillId="0" borderId="0" applyFont="0" applyFill="0" applyBorder="0" applyAlignment="0" applyProtection="0"/>
    <xf numFmtId="205" fontId="304" fillId="0" borderId="0" applyFont="0" applyFill="0" applyBorder="0" applyAlignment="0" applyProtection="0"/>
    <xf numFmtId="196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6" fontId="50" fillId="0" borderId="0" applyFont="0" applyFill="0" applyBorder="0" applyAlignment="0" applyProtection="0"/>
    <xf numFmtId="198" fontId="3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196" fontId="29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99" fillId="0" borderId="0" applyFont="0" applyFill="0" applyBorder="0" applyAlignment="0" applyProtection="0"/>
    <xf numFmtId="0" fontId="29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71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299" fillId="0" borderId="0" applyFont="0" applyFill="0" applyBorder="0" applyAlignment="0" applyProtection="0"/>
    <xf numFmtId="40" fontId="21" fillId="0" borderId="0" applyFont="0" applyFill="0" applyBorder="0" applyAlignment="0" applyProtection="0"/>
    <xf numFmtId="271" fontId="300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299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299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1" fillId="0" borderId="0" applyFont="0" applyFill="0" applyBorder="0" applyAlignment="0" applyProtection="0"/>
    <xf numFmtId="196" fontId="50" fillId="0" borderId="0" applyFont="0" applyFill="0" applyBorder="0" applyAlignment="0" applyProtection="0"/>
    <xf numFmtId="198" fontId="51" fillId="0" borderId="0" applyFont="0" applyFill="0" applyBorder="0" applyAlignment="0" applyProtection="0"/>
    <xf numFmtId="198" fontId="299" fillId="0" borderId="0" applyFont="0" applyFill="0" applyBorder="0" applyAlignment="0" applyProtection="0"/>
    <xf numFmtId="43" fontId="52" fillId="0" borderId="0" applyFont="0" applyFill="0" applyBorder="0" applyAlignment="0" applyProtection="0"/>
    <xf numFmtId="249" fontId="52" fillId="0" borderId="0" applyFont="0" applyFill="0" applyBorder="0" applyAlignment="0" applyProtection="0"/>
    <xf numFmtId="249" fontId="52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299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299" fillId="0" borderId="0" applyFont="0" applyFill="0" applyBorder="0" applyAlignment="0" applyProtection="0"/>
    <xf numFmtId="37" fontId="51" fillId="0" borderId="0" applyFont="0" applyFill="0" applyBorder="0" applyAlignment="0" applyProtection="0"/>
    <xf numFmtId="249" fontId="304" fillId="0" borderId="0" applyFont="0" applyFill="0" applyBorder="0" applyAlignment="0" applyProtection="0"/>
    <xf numFmtId="0" fontId="279" fillId="0" borderId="0">
      <protection locked="0"/>
    </xf>
    <xf numFmtId="306" fontId="272" fillId="0" borderId="0" applyFont="0" applyFill="0" applyBorder="0" applyAlignment="0" applyProtection="0"/>
    <xf numFmtId="271" fontId="47" fillId="0" borderId="0" applyFont="0" applyFill="0" applyBorder="0" applyAlignment="0" applyProtection="0"/>
    <xf numFmtId="271" fontId="47" fillId="0" borderId="0" applyFont="0" applyFill="0" applyBorder="0" applyAlignment="0" applyProtection="0"/>
    <xf numFmtId="0" fontId="305" fillId="36" borderId="0" applyNumberFormat="0" applyBorder="0" applyAlignment="0" applyProtection="0">
      <alignment vertical="center"/>
    </xf>
    <xf numFmtId="316" fontId="219" fillId="0" borderId="0" applyFont="0" applyFill="0" applyBorder="0" applyAlignment="0" applyProtection="0">
      <alignment horizontal="right"/>
    </xf>
    <xf numFmtId="0" fontId="306" fillId="0" borderId="0"/>
    <xf numFmtId="0" fontId="85" fillId="0" borderId="0" applyNumberFormat="0" applyFill="0" applyBorder="0" applyAlignment="0" applyProtection="0"/>
    <xf numFmtId="317" fontId="6" fillId="0" borderId="0"/>
    <xf numFmtId="317" fontId="6" fillId="0" borderId="0"/>
    <xf numFmtId="200" fontId="62" fillId="0" borderId="0" applyAlignment="0" applyProtection="0"/>
    <xf numFmtId="223" fontId="62" fillId="0" borderId="0" applyAlignment="0" applyProtection="0"/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49" fontId="64" fillId="0" borderId="23" applyNumberFormat="0" applyAlignment="0" applyProtection="0">
      <alignment horizontal="left" wrapText="1"/>
    </xf>
    <xf numFmtId="0" fontId="6" fillId="0" borderId="0">
      <protection locked="0"/>
    </xf>
    <xf numFmtId="0" fontId="51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1" fillId="0" borderId="0"/>
    <xf numFmtId="0" fontId="307" fillId="0" borderId="0"/>
    <xf numFmtId="0" fontId="308" fillId="0" borderId="0"/>
    <xf numFmtId="0" fontId="51" fillId="0" borderId="0"/>
    <xf numFmtId="0" fontId="50" fillId="0" borderId="0"/>
    <xf numFmtId="0" fontId="69" fillId="0" borderId="0"/>
    <xf numFmtId="0" fontId="74" fillId="0" borderId="0"/>
    <xf numFmtId="0" fontId="70" fillId="0" borderId="0"/>
    <xf numFmtId="271" fontId="55" fillId="0" borderId="0"/>
    <xf numFmtId="271" fontId="69" fillId="0" borderId="0"/>
    <xf numFmtId="271" fontId="55" fillId="0" borderId="0"/>
    <xf numFmtId="271" fontId="69" fillId="0" borderId="0"/>
    <xf numFmtId="271" fontId="69" fillId="0" borderId="0"/>
    <xf numFmtId="271" fontId="55" fillId="0" borderId="0"/>
    <xf numFmtId="271" fontId="69" fillId="0" borderId="0"/>
    <xf numFmtId="271" fontId="55" fillId="0" borderId="0"/>
    <xf numFmtId="271" fontId="69" fillId="0" borderId="0"/>
    <xf numFmtId="271" fontId="55" fillId="0" borderId="0"/>
    <xf numFmtId="271" fontId="69" fillId="0" borderId="0"/>
    <xf numFmtId="271" fontId="55" fillId="0" borderId="0"/>
    <xf numFmtId="271" fontId="69" fillId="0" borderId="0"/>
    <xf numFmtId="271" fontId="55" fillId="0" borderId="0"/>
    <xf numFmtId="271" fontId="69" fillId="0" borderId="0"/>
    <xf numFmtId="271" fontId="55" fillId="0" borderId="0"/>
    <xf numFmtId="271" fontId="69" fillId="0" borderId="0"/>
    <xf numFmtId="271" fontId="55" fillId="0" borderId="0"/>
    <xf numFmtId="271" fontId="69" fillId="0" borderId="0"/>
    <xf numFmtId="271" fontId="71" fillId="0" borderId="0"/>
    <xf numFmtId="0" fontId="309" fillId="0" borderId="0"/>
    <xf numFmtId="0" fontId="71" fillId="0" borderId="0"/>
    <xf numFmtId="0" fontId="56" fillId="0" borderId="0"/>
    <xf numFmtId="0" fontId="310" fillId="0" borderId="0"/>
    <xf numFmtId="0" fontId="53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0" fontId="299" fillId="0" borderId="0"/>
    <xf numFmtId="0" fontId="35" fillId="0" borderId="0"/>
    <xf numFmtId="0" fontId="35" fillId="0" borderId="0"/>
    <xf numFmtId="49" fontId="299" fillId="0" borderId="0" applyBorder="0"/>
    <xf numFmtId="0" fontId="298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0" fontId="51" fillId="0" borderId="0"/>
    <xf numFmtId="0" fontId="299" fillId="0" borderId="0"/>
    <xf numFmtId="0" fontId="30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00" fillId="0" borderId="0"/>
    <xf numFmtId="271" fontId="311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00" fillId="0" borderId="0"/>
    <xf numFmtId="271" fontId="311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0" fontId="300" fillId="0" borderId="0"/>
    <xf numFmtId="0" fontId="31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35" fillId="0" borderId="0"/>
    <xf numFmtId="0" fontId="299" fillId="0" borderId="0"/>
    <xf numFmtId="0" fontId="72" fillId="0" borderId="0"/>
    <xf numFmtId="0" fontId="73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50" fillId="0" borderId="0"/>
    <xf numFmtId="271" fontId="51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0" fontId="35" fillId="0" borderId="0"/>
    <xf numFmtId="0" fontId="51" fillId="0" borderId="0"/>
    <xf numFmtId="271" fontId="50" fillId="0" borderId="0"/>
    <xf numFmtId="271" fontId="51" fillId="0" borderId="0"/>
    <xf numFmtId="271" fontId="50" fillId="0" borderId="0"/>
    <xf numFmtId="0" fontId="35" fillId="0" borderId="0"/>
    <xf numFmtId="0" fontId="51" fillId="0" borderId="0"/>
    <xf numFmtId="271" fontId="50" fillId="0" borderId="0"/>
    <xf numFmtId="271" fontId="51" fillId="0" borderId="0"/>
    <xf numFmtId="271" fontId="50" fillId="0" borderId="0"/>
    <xf numFmtId="0" fontId="35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00" fillId="0" borderId="0"/>
    <xf numFmtId="271" fontId="311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00" fillId="0" borderId="0"/>
    <xf numFmtId="271" fontId="311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271" fontId="35" fillId="0" borderId="0"/>
    <xf numFmtId="271" fontId="50" fillId="0" borderId="0"/>
    <xf numFmtId="0" fontId="300" fillId="0" borderId="0"/>
    <xf numFmtId="0" fontId="31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48" fillId="0" borderId="0"/>
    <xf numFmtId="271" fontId="53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71" fillId="0" borderId="0"/>
    <xf numFmtId="271" fontId="56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271" fontId="52" fillId="0" borderId="0"/>
    <xf numFmtId="0" fontId="17" fillId="0" borderId="0"/>
    <xf numFmtId="0" fontId="17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2" fillId="0" borderId="0"/>
    <xf numFmtId="271" fontId="73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312" fillId="0" borderId="0"/>
    <xf numFmtId="271" fontId="313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0" fontId="312" fillId="0" borderId="0"/>
    <xf numFmtId="0" fontId="313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312" fillId="0" borderId="0"/>
    <xf numFmtId="271" fontId="313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312" fillId="0" borderId="0"/>
    <xf numFmtId="271" fontId="313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271" fontId="74" fillId="0" borderId="0"/>
    <xf numFmtId="271" fontId="68" fillId="0" borderId="0"/>
    <xf numFmtId="0" fontId="312" fillId="0" borderId="0"/>
    <xf numFmtId="0" fontId="313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74" fillId="0" borderId="0"/>
    <xf numFmtId="0" fontId="68" fillId="0" borderId="0"/>
    <xf numFmtId="0" fontId="314" fillId="0" borderId="0"/>
    <xf numFmtId="0" fontId="54" fillId="0" borderId="0"/>
    <xf numFmtId="0" fontId="301" fillId="0" borderId="0"/>
    <xf numFmtId="318" fontId="87" fillId="0" borderId="0" applyFill="0" applyBorder="0" applyAlignment="0"/>
    <xf numFmtId="271" fontId="6" fillId="0" borderId="0" applyFill="0" applyBorder="0" applyAlignment="0"/>
    <xf numFmtId="271" fontId="6" fillId="0" borderId="0" applyFill="0" applyBorder="0" applyAlignment="0"/>
    <xf numFmtId="214" fontId="23" fillId="0" borderId="0" applyFill="0" applyBorder="0" applyAlignment="0"/>
    <xf numFmtId="246" fontId="9" fillId="0" borderId="0" applyFill="0" applyBorder="0" applyAlignment="0"/>
    <xf numFmtId="319" fontId="219" fillId="0" borderId="0" applyFill="0" applyBorder="0" applyAlignment="0"/>
    <xf numFmtId="320" fontId="219" fillId="0" borderId="0" applyFill="0" applyBorder="0" applyAlignment="0"/>
    <xf numFmtId="321" fontId="219" fillId="0" borderId="0" applyFill="0" applyBorder="0" applyAlignment="0"/>
    <xf numFmtId="322" fontId="219" fillId="0" borderId="0" applyFill="0" applyBorder="0" applyAlignment="0"/>
    <xf numFmtId="214" fontId="23" fillId="0" borderId="0" applyFill="0" applyBorder="0" applyAlignment="0"/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271" fontId="194" fillId="53" borderId="24" applyNumberFormat="0" applyAlignment="0" applyProtection="0">
      <alignment vertical="center"/>
    </xf>
    <xf numFmtId="0" fontId="315" fillId="53" borderId="24" applyNumberFormat="0" applyAlignment="0" applyProtection="0">
      <alignment vertical="center"/>
    </xf>
    <xf numFmtId="271" fontId="79" fillId="0" borderId="0"/>
    <xf numFmtId="323" fontId="265" fillId="0" borderId="0" applyFont="0" applyFill="0" applyBorder="0" applyAlignment="0" applyProtection="0"/>
    <xf numFmtId="0" fontId="316" fillId="0" borderId="0" applyNumberFormat="0" applyFill="0" applyBorder="0" applyAlignment="0">
      <alignment horizontal="center" vertical="top"/>
    </xf>
    <xf numFmtId="0" fontId="317" fillId="55" borderId="25" applyNumberFormat="0" applyAlignment="0" applyProtection="0">
      <alignment vertical="center"/>
    </xf>
    <xf numFmtId="0" fontId="6" fillId="0" borderId="0">
      <protection locked="0"/>
    </xf>
    <xf numFmtId="0" fontId="318" fillId="0" borderId="52">
      <alignment horizontal="center"/>
    </xf>
    <xf numFmtId="0" fontId="319" fillId="69" borderId="0">
      <alignment horizontal="left"/>
    </xf>
    <xf numFmtId="0" fontId="320" fillId="69" borderId="0">
      <alignment horizontal="right"/>
    </xf>
    <xf numFmtId="0" fontId="321" fillId="70" borderId="0">
      <alignment horizontal="center"/>
    </xf>
    <xf numFmtId="0" fontId="320" fillId="69" borderId="0">
      <alignment horizontal="right"/>
    </xf>
    <xf numFmtId="0" fontId="322" fillId="70" borderId="0">
      <alignment horizontal="left"/>
    </xf>
    <xf numFmtId="0" fontId="6" fillId="0" borderId="56"/>
    <xf numFmtId="41" fontId="1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3" fontId="21" fillId="0" borderId="0" applyFont="0" applyFill="0" applyBorder="0" applyAlignment="0" applyProtection="0"/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41" fontId="2" fillId="0" borderId="0" applyFont="0" applyFill="0" applyBorder="0" applyAlignment="0" applyProtection="0"/>
    <xf numFmtId="321" fontId="219" fillId="0" borderId="0" applyFont="0" applyFill="0" applyBorder="0" applyAlignment="0" applyProtection="0"/>
    <xf numFmtId="324" fontId="323" fillId="0" borderId="0" applyFont="0" applyFill="0" applyBorder="0" applyAlignment="0" applyProtection="0"/>
    <xf numFmtId="249" fontId="223" fillId="0" borderId="0" applyFont="0" applyFill="0" applyBorder="0" applyAlignment="0" applyProtection="0"/>
    <xf numFmtId="249" fontId="17" fillId="0" borderId="0" applyFont="0" applyFill="0" applyBorder="0" applyAlignment="0" applyProtection="0"/>
    <xf numFmtId="249" fontId="17" fillId="0" borderId="0" applyFont="0" applyFill="0" applyBorder="0" applyAlignment="0" applyProtection="0"/>
    <xf numFmtId="208" fontId="6" fillId="0" borderId="0"/>
    <xf numFmtId="325" fontId="23" fillId="0" borderId="0"/>
    <xf numFmtId="271" fontId="91" fillId="0" borderId="0" applyNumberFormat="0" applyAlignment="0">
      <alignment horizontal="left"/>
    </xf>
    <xf numFmtId="271" fontId="91" fillId="0" borderId="0" applyNumberFormat="0" applyAlignment="0">
      <alignment horizontal="left"/>
    </xf>
    <xf numFmtId="0" fontId="324" fillId="0" borderId="0" applyNumberFormat="0" applyAlignment="0"/>
    <xf numFmtId="326" fontId="17" fillId="0" borderId="0" applyFont="0" applyFill="0" applyBorder="0" applyAlignment="0" applyProtection="0"/>
    <xf numFmtId="0" fontId="23" fillId="0" borderId="0" applyFont="0" applyFill="0" applyBorder="0" applyAlignment="0" applyProtection="0"/>
    <xf numFmtId="271" fontId="28" fillId="0" borderId="0" applyFont="0" applyFill="0" applyBorder="0" applyAlignment="0" applyProtection="0"/>
    <xf numFmtId="271" fontId="28" fillId="0" borderId="0" applyFont="0" applyFill="0" applyBorder="0" applyAlignment="0" applyProtection="0"/>
    <xf numFmtId="271" fontId="28" fillId="0" borderId="0" applyFont="0" applyFill="0" applyBorder="0" applyAlignment="0" applyProtection="0"/>
    <xf numFmtId="266" fontId="168" fillId="0" borderId="57" applyBorder="0"/>
    <xf numFmtId="327" fontId="17" fillId="0" borderId="0" applyFont="0" applyFill="0" applyBorder="0" applyAlignment="0" applyProtection="0"/>
    <xf numFmtId="0" fontId="17" fillId="0" borderId="0"/>
    <xf numFmtId="214" fontId="23" fillId="0" borderId="0" applyFont="0" applyFill="0" applyBorder="0" applyAlignment="0" applyProtection="0"/>
    <xf numFmtId="328" fontId="276" fillId="0" borderId="0" applyFont="0" applyFill="0" applyBorder="0" applyAlignment="0" applyProtection="0"/>
    <xf numFmtId="329" fontId="17" fillId="0" borderId="0" applyFont="0" applyFill="0" applyBorder="0" applyAlignment="0" applyProtection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214" fontId="23" fillId="0" borderId="26" applyFill="0" applyBorder="0" applyAlignment="0"/>
    <xf numFmtId="330" fontId="287" fillId="0" borderId="0">
      <protection locked="0"/>
    </xf>
    <xf numFmtId="0" fontId="6" fillId="0" borderId="0"/>
    <xf numFmtId="331" fontId="23" fillId="0" borderId="0"/>
    <xf numFmtId="49" fontId="80" fillId="71" borderId="0">
      <alignment vertical="center"/>
    </xf>
    <xf numFmtId="0" fontId="6" fillId="0" borderId="0" applyFont="0" applyFill="0" applyBorder="0" applyAlignment="0" applyProtection="0"/>
    <xf numFmtId="0" fontId="325" fillId="0" borderId="0"/>
    <xf numFmtId="0" fontId="110" fillId="0" borderId="53" applyNumberFormat="0" applyBorder="0">
      <alignment horizontal="centerContinuous"/>
    </xf>
    <xf numFmtId="0" fontId="110" fillId="0" borderId="53" applyNumberFormat="0" applyBorder="0">
      <alignment horizontal="centerContinuous"/>
    </xf>
    <xf numFmtId="37" fontId="326" fillId="0" borderId="0">
      <protection locked="0"/>
    </xf>
    <xf numFmtId="14" fontId="87" fillId="0" borderId="0" applyFill="0" applyBorder="0" applyAlignment="0"/>
    <xf numFmtId="14" fontId="17" fillId="0" borderId="0" applyFont="0" applyFill="0" applyBorder="0" applyAlignment="0" applyProtection="0"/>
    <xf numFmtId="14" fontId="327" fillId="0" borderId="0" applyFont="0" applyFill="0" applyBorder="0" applyAlignment="0"/>
    <xf numFmtId="332" fontId="63" fillId="72" borderId="0" applyFill="0">
      <alignment horizontal="right"/>
    </xf>
    <xf numFmtId="178" fontId="17" fillId="0" borderId="58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333" fontId="23" fillId="0" borderId="0"/>
    <xf numFmtId="334" fontId="23" fillId="0" borderId="0"/>
    <xf numFmtId="335" fontId="277" fillId="0" borderId="0" applyFont="0" applyFill="0" applyBorder="0" applyAlignment="0" applyProtection="0"/>
    <xf numFmtId="336" fontId="328" fillId="72" borderId="0" applyFill="0">
      <alignment horizontal="right"/>
    </xf>
    <xf numFmtId="0" fontId="23" fillId="0" borderId="0"/>
    <xf numFmtId="321" fontId="219" fillId="0" borderId="0" applyFill="0" applyBorder="0" applyAlignment="0"/>
    <xf numFmtId="214" fontId="23" fillId="0" borderId="0" applyFill="0" applyBorder="0" applyAlignment="0"/>
    <xf numFmtId="321" fontId="219" fillId="0" borderId="0" applyFill="0" applyBorder="0" applyAlignment="0"/>
    <xf numFmtId="322" fontId="219" fillId="0" borderId="0" applyFill="0" applyBorder="0" applyAlignment="0"/>
    <xf numFmtId="214" fontId="23" fillId="0" borderId="0" applyFill="0" applyBorder="0" applyAlignment="0"/>
    <xf numFmtId="271" fontId="94" fillId="0" borderId="0" applyNumberFormat="0" applyAlignment="0">
      <alignment horizontal="left"/>
    </xf>
    <xf numFmtId="271" fontId="94" fillId="0" borderId="0" applyNumberFormat="0" applyAlignment="0">
      <alignment horizontal="left"/>
    </xf>
    <xf numFmtId="306" fontId="272" fillId="0" borderId="0" applyFont="0" applyFill="0" applyBorder="0" applyAlignment="0" applyProtection="0"/>
    <xf numFmtId="0" fontId="329" fillId="0" borderId="0" applyNumberFormat="0" applyFill="0" applyBorder="0" applyAlignment="0" applyProtection="0">
      <alignment horizontal="center"/>
    </xf>
    <xf numFmtId="223" fontId="6" fillId="0" borderId="0" applyFont="0" applyFill="0" applyBorder="0" applyAlignment="0" applyProtection="0">
      <alignment vertical="center"/>
    </xf>
    <xf numFmtId="223" fontId="6" fillId="0" borderId="0" applyFont="0" applyFill="0" applyBorder="0" applyAlignment="0" applyProtection="0">
      <alignment vertical="center"/>
    </xf>
    <xf numFmtId="223" fontId="6" fillId="0" borderId="0" applyFont="0" applyFill="0" applyBorder="0" applyAlignment="0" applyProtection="0">
      <alignment vertical="center"/>
    </xf>
    <xf numFmtId="0" fontId="330" fillId="0" borderId="0" applyNumberFormat="0" applyFill="0" applyBorder="0" applyAlignment="0" applyProtection="0">
      <alignment vertical="center"/>
    </xf>
    <xf numFmtId="271" fontId="84" fillId="0" borderId="0">
      <protection locked="0"/>
    </xf>
    <xf numFmtId="271" fontId="84" fillId="0" borderId="0">
      <protection locked="0"/>
    </xf>
    <xf numFmtId="271" fontId="84" fillId="0" borderId="0">
      <protection locked="0"/>
    </xf>
    <xf numFmtId="271" fontId="84" fillId="0" borderId="0">
      <protection locked="0"/>
    </xf>
    <xf numFmtId="271" fontId="99" fillId="0" borderId="0">
      <protection locked="0"/>
    </xf>
    <xf numFmtId="271" fontId="99" fillId="0" borderId="0">
      <protection locked="0"/>
    </xf>
    <xf numFmtId="271" fontId="84" fillId="0" borderId="0">
      <protection locked="0"/>
    </xf>
    <xf numFmtId="271" fontId="84" fillId="0" borderId="0">
      <protection locked="0"/>
    </xf>
    <xf numFmtId="271" fontId="84" fillId="0" borderId="0">
      <protection locked="0"/>
    </xf>
    <xf numFmtId="271" fontId="84" fillId="0" borderId="0">
      <protection locked="0"/>
    </xf>
    <xf numFmtId="271" fontId="84" fillId="0" borderId="0">
      <protection locked="0"/>
    </xf>
    <xf numFmtId="271" fontId="84" fillId="0" borderId="0">
      <protection locked="0"/>
    </xf>
    <xf numFmtId="271" fontId="99" fillId="0" borderId="0">
      <protection locked="0"/>
    </xf>
    <xf numFmtId="271" fontId="99" fillId="0" borderId="0">
      <protection locked="0"/>
    </xf>
    <xf numFmtId="271" fontId="100" fillId="0" borderId="0" applyNumberFormat="0" applyFill="0" applyBorder="0" applyAlignment="0" applyProtection="0">
      <alignment vertical="top"/>
      <protection locked="0"/>
    </xf>
    <xf numFmtId="271" fontId="100" fillId="0" borderId="0" applyNumberFormat="0" applyFill="0" applyBorder="0" applyAlignment="0" applyProtection="0">
      <alignment vertical="top"/>
      <protection locked="0"/>
    </xf>
    <xf numFmtId="271" fontId="101" fillId="0" borderId="0" applyFill="0" applyBorder="0" applyProtection="0">
      <alignment horizontal="left"/>
    </xf>
    <xf numFmtId="271" fontId="101" fillId="0" borderId="0" applyFill="0" applyBorder="0" applyProtection="0">
      <alignment horizontal="left"/>
    </xf>
    <xf numFmtId="271" fontId="80" fillId="33" borderId="0">
      <alignment horizontal="right" vertical="center"/>
    </xf>
    <xf numFmtId="271" fontId="80" fillId="73" borderId="0">
      <alignment horizontal="right" vertical="center"/>
    </xf>
    <xf numFmtId="271" fontId="80" fillId="73" borderId="0">
      <alignment horizontal="right" vertical="center"/>
    </xf>
    <xf numFmtId="271" fontId="80" fillId="73" borderId="0">
      <alignment horizontal="right" vertical="center"/>
    </xf>
    <xf numFmtId="271" fontId="80" fillId="33" borderId="0">
      <alignment horizontal="right" vertical="center"/>
    </xf>
    <xf numFmtId="271" fontId="80" fillId="33" borderId="0">
      <alignment horizontal="right" vertical="center"/>
    </xf>
    <xf numFmtId="3" fontId="331" fillId="0" borderId="0"/>
    <xf numFmtId="3" fontId="332" fillId="0" borderId="0">
      <alignment vertical="center"/>
    </xf>
    <xf numFmtId="3" fontId="17" fillId="0" borderId="0" applyBorder="0"/>
    <xf numFmtId="3" fontId="54" fillId="0" borderId="48"/>
    <xf numFmtId="3" fontId="331" fillId="0" borderId="48"/>
    <xf numFmtId="2" fontId="52" fillId="0" borderId="0">
      <alignment horizontal="left"/>
    </xf>
    <xf numFmtId="0" fontId="333" fillId="37" borderId="0" applyNumberFormat="0" applyBorder="0" applyAlignment="0" applyProtection="0">
      <alignment vertical="center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271" fontId="106" fillId="0" borderId="28">
      <alignment horizontal="left" vertical="center"/>
      <protection locked="0"/>
    </xf>
    <xf numFmtId="0" fontId="106" fillId="0" borderId="28">
      <alignment horizontal="left" vertical="center"/>
      <protection locked="0"/>
    </xf>
    <xf numFmtId="3" fontId="18" fillId="0" borderId="54">
      <alignment horizontal="right" vertical="center"/>
    </xf>
    <xf numFmtId="4" fontId="18" fillId="0" borderId="54">
      <alignment horizontal="right" vertical="center"/>
    </xf>
    <xf numFmtId="337" fontId="6" fillId="0" borderId="0" applyFont="0"/>
    <xf numFmtId="271" fontId="107" fillId="0" borderId="0" applyNumberFormat="0" applyBorder="0"/>
    <xf numFmtId="271" fontId="107" fillId="0" borderId="0" applyNumberFormat="0" applyBorder="0"/>
    <xf numFmtId="271" fontId="108" fillId="0" borderId="29" applyNumberFormat="0" applyBorder="0"/>
    <xf numFmtId="271" fontId="108" fillId="0" borderId="29" applyNumberFormat="0" applyBorder="0"/>
    <xf numFmtId="271" fontId="108" fillId="0" borderId="29" applyNumberFormat="0" applyBorder="0"/>
    <xf numFmtId="271" fontId="108" fillId="0" borderId="29" applyNumberFormat="0" applyBorder="0"/>
    <xf numFmtId="271" fontId="108" fillId="0" borderId="29" applyNumberFormat="0" applyBorder="0"/>
    <xf numFmtId="271" fontId="109" fillId="0" borderId="0"/>
    <xf numFmtId="271" fontId="109" fillId="0" borderId="0"/>
    <xf numFmtId="0" fontId="110" fillId="74" borderId="59"/>
    <xf numFmtId="271" fontId="110" fillId="0" borderId="0">
      <alignment horizontal="left"/>
    </xf>
    <xf numFmtId="271" fontId="107" fillId="0" borderId="30" applyNumberFormat="0" applyAlignment="0" applyProtection="0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271" fontId="107" fillId="0" borderId="31">
      <alignment horizontal="left" vertical="center"/>
    </xf>
    <xf numFmtId="0" fontId="107" fillId="0" borderId="31">
      <alignment horizontal="left" vertical="center"/>
    </xf>
    <xf numFmtId="0" fontId="236" fillId="0" borderId="32" applyNumberFormat="0" applyFill="0" applyAlignment="0" applyProtection="0">
      <alignment vertical="center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0" fontId="238" fillId="0" borderId="33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0" fontId="12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0" fontId="240" fillId="0" borderId="34" applyNumberFormat="0" applyFill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14" fontId="111" fillId="57" borderId="22">
      <alignment horizontal="center" vertical="center" wrapText="1"/>
    </xf>
    <xf numFmtId="0" fontId="334" fillId="0" borderId="0"/>
    <xf numFmtId="0" fontId="291" fillId="0" borderId="0">
      <alignment horizontal="left"/>
    </xf>
    <xf numFmtId="271" fontId="125" fillId="0" borderId="35" applyNumberFormat="0" applyFill="0" applyBorder="0" applyAlignment="0" applyProtection="0">
      <alignment horizontal="left"/>
    </xf>
    <xf numFmtId="271" fontId="125" fillId="0" borderId="35" applyNumberFormat="0" applyFill="0" applyBorder="0" applyAlignment="0" applyProtection="0">
      <alignment horizontal="left"/>
    </xf>
    <xf numFmtId="0" fontId="335" fillId="0" borderId="0">
      <alignment horizontal="center"/>
    </xf>
    <xf numFmtId="0" fontId="336" fillId="0" borderId="0" applyNumberFormat="0" applyFill="0" applyBorder="0" applyAlignment="0" applyProtection="0"/>
    <xf numFmtId="0" fontId="329" fillId="0" borderId="0" applyNumberFormat="0" applyFill="0" applyBorder="0" applyAlignment="0" applyProtection="0">
      <alignment horizontal="center"/>
    </xf>
    <xf numFmtId="271" fontId="25" fillId="0" borderId="0" applyNumberFormat="0" applyFill="0" applyBorder="0" applyAlignment="0" applyProtection="0">
      <alignment vertical="top"/>
      <protection locked="0"/>
    </xf>
    <xf numFmtId="0" fontId="33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291" fontId="265" fillId="0" borderId="0" applyFont="0" applyFill="0" applyBorder="0" applyAlignment="0" applyProtection="0"/>
    <xf numFmtId="190" fontId="23" fillId="0" borderId="0" applyFont="0" applyFill="0" applyBorder="0" applyAlignment="0" applyProtection="0"/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10" fontId="63" fillId="56" borderId="26" applyNumberFormat="0" applyBorder="0" applyAlignment="0" applyProtection="0"/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271" fontId="233" fillId="40" borderId="24" applyNumberFormat="0" applyAlignment="0" applyProtection="0">
      <alignment vertical="center"/>
    </xf>
    <xf numFmtId="338" fontId="6" fillId="75" borderId="0"/>
    <xf numFmtId="0" fontId="338" fillId="40" borderId="24" applyNumberFormat="0" applyAlignment="0" applyProtection="0">
      <alignment vertical="center"/>
    </xf>
    <xf numFmtId="271" fontId="131" fillId="0" borderId="0" applyNumberFormat="0" applyFill="0" applyBorder="0" applyAlignment="0">
      <protection locked="0"/>
    </xf>
    <xf numFmtId="271" fontId="131" fillId="0" borderId="0" applyNumberFormat="0" applyFill="0" applyBorder="0" applyAlignment="0">
      <protection locked="0"/>
    </xf>
    <xf numFmtId="1" fontId="339" fillId="0" borderId="0" applyProtection="0">
      <protection locked="0"/>
    </xf>
    <xf numFmtId="271" fontId="15" fillId="0" borderId="0" applyNumberFormat="0" applyFont="0" applyFill="0" applyBorder="0" applyProtection="0">
      <alignment horizontal="left" vertical="center"/>
    </xf>
    <xf numFmtId="271" fontId="15" fillId="0" borderId="0" applyNumberFormat="0" applyFont="0" applyFill="0" applyBorder="0" applyProtection="0">
      <alignment horizontal="left" vertical="center"/>
    </xf>
    <xf numFmtId="183" fontId="23" fillId="0" borderId="0" applyFont="0" applyFill="0" applyBorder="0" applyAlignment="0" applyProtection="0"/>
    <xf numFmtId="0" fontId="319" fillId="69" borderId="0">
      <alignment horizontal="left"/>
    </xf>
    <xf numFmtId="0" fontId="340" fillId="70" borderId="0">
      <alignment horizontal="left"/>
    </xf>
    <xf numFmtId="321" fontId="219" fillId="0" borderId="0" applyFill="0" applyBorder="0" applyAlignment="0"/>
    <xf numFmtId="214" fontId="23" fillId="0" borderId="0" applyFill="0" applyBorder="0" applyAlignment="0"/>
    <xf numFmtId="321" fontId="219" fillId="0" borderId="0" applyFill="0" applyBorder="0" applyAlignment="0"/>
    <xf numFmtId="322" fontId="219" fillId="0" borderId="0" applyFill="0" applyBorder="0" applyAlignment="0"/>
    <xf numFmtId="214" fontId="23" fillId="0" borderId="0" applyFill="0" applyBorder="0" applyAlignment="0"/>
    <xf numFmtId="0" fontId="341" fillId="0" borderId="36" applyNumberFormat="0" applyFill="0" applyAlignment="0" applyProtection="0">
      <alignment vertical="center"/>
    </xf>
    <xf numFmtId="338" fontId="6" fillId="69" borderId="0"/>
    <xf numFmtId="271" fontId="80" fillId="76" borderId="0">
      <alignment horizontal="right" vertical="center"/>
    </xf>
    <xf numFmtId="271" fontId="80" fillId="77" borderId="0">
      <alignment horizontal="right" vertical="center"/>
    </xf>
    <xf numFmtId="271" fontId="80" fillId="77" borderId="0">
      <alignment horizontal="right" vertical="center"/>
    </xf>
    <xf numFmtId="271" fontId="80" fillId="77" borderId="0">
      <alignment horizontal="right" vertical="center"/>
    </xf>
    <xf numFmtId="271" fontId="80" fillId="76" borderId="0">
      <alignment horizontal="right" vertical="center"/>
    </xf>
    <xf numFmtId="271" fontId="80" fillId="76" borderId="0">
      <alignment horizontal="right" vertical="center"/>
    </xf>
    <xf numFmtId="3" fontId="342" fillId="0" borderId="0">
      <alignment horizontal="centerContinuous" vertical="center"/>
    </xf>
    <xf numFmtId="3" fontId="332" fillId="0" borderId="0">
      <alignment vertical="center"/>
    </xf>
    <xf numFmtId="3" fontId="343" fillId="0" borderId="29">
      <alignment horizontal="centerContinuous" vertical="center"/>
    </xf>
    <xf numFmtId="3" fontId="291" fillId="0" borderId="48"/>
    <xf numFmtId="3" fontId="344" fillId="0" borderId="48"/>
    <xf numFmtId="277" fontId="17" fillId="0" borderId="0" applyFont="0" applyFill="0" applyBorder="0" applyAlignment="0" applyProtection="0"/>
    <xf numFmtId="286" fontId="17" fillId="0" borderId="0" applyFont="0" applyFill="0" applyBorder="0" applyAlignment="0" applyProtection="0"/>
    <xf numFmtId="38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271" fontId="137" fillId="56" borderId="60">
      <alignment horizontal="left" vertical="top" indent="2"/>
    </xf>
    <xf numFmtId="271" fontId="137" fillId="56" borderId="60">
      <alignment horizontal="left" vertical="top" indent="2"/>
    </xf>
    <xf numFmtId="271" fontId="137" fillId="56" borderId="60">
      <alignment horizontal="left" vertical="top" indent="2"/>
    </xf>
    <xf numFmtId="271" fontId="137" fillId="56" borderId="60">
      <alignment horizontal="left" vertical="top" indent="2"/>
    </xf>
    <xf numFmtId="271" fontId="137" fillId="56" borderId="60">
      <alignment horizontal="left" vertical="top" indent="2"/>
    </xf>
    <xf numFmtId="0" fontId="17" fillId="0" borderId="0" applyFont="0" applyFill="0" applyBorder="0" applyAlignment="0" applyProtection="0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271" fontId="138" fillId="0" borderId="22"/>
    <xf numFmtId="339" fontId="6" fillId="0" borderId="0" applyFont="0" applyFill="0" applyBorder="0" applyAlignment="0" applyProtection="0"/>
    <xf numFmtId="187" fontId="17" fillId="0" borderId="0" applyFont="0" applyFill="0" applyBorder="0" applyAlignment="0" applyProtection="0"/>
    <xf numFmtId="0" fontId="6" fillId="0" borderId="0" applyFont="0" applyFill="0" applyBorder="0" applyAlignment="0" applyProtection="0"/>
    <xf numFmtId="340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341" fontId="345" fillId="0" borderId="0" applyFont="0" applyFill="0" applyBorder="0" applyAlignment="0" applyProtection="0"/>
    <xf numFmtId="182" fontId="6" fillId="0" borderId="0" applyFont="0" applyFill="0" applyBorder="0" applyAlignment="0" applyProtection="0"/>
    <xf numFmtId="342" fontId="346" fillId="0" borderId="0" applyFont="0" applyFill="0" applyBorder="0" applyAlignment="0" applyProtection="0"/>
    <xf numFmtId="343" fontId="6" fillId="0" borderId="0" applyFont="0" applyFill="0" applyBorder="0" applyAlignment="0" applyProtection="0"/>
    <xf numFmtId="342" fontId="346" fillId="0" borderId="0" applyFont="0" applyFill="0" applyBorder="0" applyAlignment="0" applyProtection="0"/>
    <xf numFmtId="343" fontId="6" fillId="0" borderId="0" applyFont="0" applyFill="0" applyBorder="0" applyAlignment="0" applyProtection="0"/>
    <xf numFmtId="340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340" fontId="6" fillId="0" borderId="0" applyFont="0" applyFill="0" applyBorder="0" applyAlignment="0" applyProtection="0"/>
    <xf numFmtId="344" fontId="6" fillId="0" borderId="0" applyFont="0" applyFill="0" applyBorder="0" applyAlignment="0" applyProtection="0"/>
    <xf numFmtId="49" fontId="347" fillId="71" borderId="0" applyFill="0">
      <alignment horizontal="centerContinuous" vertical="center"/>
    </xf>
    <xf numFmtId="271" fontId="139" fillId="59" borderId="29"/>
    <xf numFmtId="271" fontId="139" fillId="59" borderId="29"/>
    <xf numFmtId="271" fontId="139" fillId="59" borderId="29"/>
    <xf numFmtId="271" fontId="139" fillId="59" borderId="29"/>
    <xf numFmtId="271" fontId="139" fillId="59" borderId="29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5" fillId="0" borderId="0"/>
    <xf numFmtId="271" fontId="147" fillId="0" borderId="0" applyFont="0" applyFill="0" applyBorder="0" applyAlignment="0" applyProtection="0">
      <alignment horizontal="centerContinuous"/>
    </xf>
    <xf numFmtId="271" fontId="147" fillId="0" borderId="0" applyFont="0" applyFill="0" applyBorder="0" applyAlignment="0" applyProtection="0">
      <alignment horizontal="centerContinuous"/>
    </xf>
    <xf numFmtId="271" fontId="15" fillId="0" borderId="0" applyFont="0" applyFill="0" applyBorder="0" applyAlignment="0" applyProtection="0">
      <alignment horizontal="centerContinuous"/>
    </xf>
    <xf numFmtId="271" fontId="15" fillId="0" borderId="0" applyFont="0" applyFill="0" applyBorder="0" applyAlignment="0" applyProtection="0">
      <alignment horizontal="centerContinuous"/>
    </xf>
    <xf numFmtId="271" fontId="15" fillId="0" borderId="0" applyFont="0" applyFill="0" applyBorder="0" applyAlignment="0" applyProtection="0">
      <alignment horizontal="centerContinuous"/>
    </xf>
    <xf numFmtId="271" fontId="15" fillId="0" borderId="0" applyFont="0" applyFill="0" applyBorder="0" applyAlignment="0" applyProtection="0">
      <alignment horizontal="centerContinuous"/>
    </xf>
    <xf numFmtId="271" fontId="15" fillId="0" borderId="0" applyFont="0" applyFill="0" applyBorder="0" applyAlignment="0" applyProtection="0">
      <alignment horizontal="centerContinuous"/>
    </xf>
    <xf numFmtId="271" fontId="6" fillId="0" borderId="0" applyFont="0" applyFill="0" applyBorder="0" applyAlignment="0" applyProtection="0">
      <alignment horizontal="centerContinuous"/>
    </xf>
    <xf numFmtId="271" fontId="6" fillId="0" borderId="0" applyFont="0" applyFill="0" applyBorder="0" applyAlignment="0" applyProtection="0">
      <alignment horizontal="centerContinuous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150" fillId="0" borderId="39">
      <alignment vertical="top" wrapText="1"/>
    </xf>
    <xf numFmtId="271" fontId="150" fillId="0" borderId="39">
      <alignment vertical="top" wrapText="1"/>
    </xf>
    <xf numFmtId="271" fontId="348" fillId="72" borderId="0">
      <alignment horizontal="left" vertical="top" wrapText="1"/>
    </xf>
    <xf numFmtId="271" fontId="17" fillId="0" borderId="0"/>
    <xf numFmtId="271" fontId="17" fillId="0" borderId="0"/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245" fillId="53" borderId="40" applyNumberFormat="0" applyAlignment="0" applyProtection="0">
      <alignment vertical="center"/>
    </xf>
    <xf numFmtId="271" fontId="349" fillId="59" borderId="0">
      <alignment horizontal="right"/>
    </xf>
    <xf numFmtId="271" fontId="349" fillId="59" borderId="0">
      <alignment horizontal="right"/>
    </xf>
    <xf numFmtId="271" fontId="349" fillId="59" borderId="0">
      <alignment horizontal="right"/>
    </xf>
    <xf numFmtId="271" fontId="157" fillId="62" borderId="0">
      <alignment horizontal="center"/>
    </xf>
    <xf numFmtId="271" fontId="157" fillId="62" borderId="0">
      <alignment horizontal="center"/>
    </xf>
    <xf numFmtId="271" fontId="158" fillId="78" borderId="41"/>
    <xf numFmtId="271" fontId="158" fillId="78" borderId="41"/>
    <xf numFmtId="271" fontId="158" fillId="78" borderId="41"/>
    <xf numFmtId="271" fontId="158" fillId="63" borderId="41"/>
    <xf numFmtId="271" fontId="158" fillId="63" borderId="41"/>
    <xf numFmtId="271" fontId="350" fillId="0" borderId="0" applyBorder="0">
      <alignment horizontal="centerContinuous"/>
    </xf>
    <xf numFmtId="271" fontId="350" fillId="0" borderId="0" applyBorder="0">
      <alignment horizontal="centerContinuous"/>
    </xf>
    <xf numFmtId="271" fontId="350" fillId="0" borderId="0" applyBorder="0">
      <alignment horizontal="centerContinuous"/>
    </xf>
    <xf numFmtId="271" fontId="159" fillId="0" borderId="0" applyBorder="0">
      <alignment horizontal="centerContinuous"/>
    </xf>
    <xf numFmtId="271" fontId="159" fillId="0" borderId="0" applyBorder="0">
      <alignment horizontal="centerContinuous"/>
    </xf>
    <xf numFmtId="271" fontId="351" fillId="0" borderId="0" applyBorder="0">
      <alignment horizontal="centerContinuous"/>
    </xf>
    <xf numFmtId="271" fontId="351" fillId="0" borderId="0" applyBorder="0">
      <alignment horizontal="centerContinuous"/>
    </xf>
    <xf numFmtId="271" fontId="351" fillId="0" borderId="0" applyBorder="0">
      <alignment horizontal="centerContinuous"/>
    </xf>
    <xf numFmtId="271" fontId="160" fillId="0" borderId="0" applyBorder="0">
      <alignment horizontal="centerContinuous"/>
    </xf>
    <xf numFmtId="271" fontId="160" fillId="0" borderId="0" applyBorder="0">
      <alignment horizontal="centerContinuous"/>
    </xf>
    <xf numFmtId="271" fontId="163" fillId="56" borderId="0"/>
    <xf numFmtId="271" fontId="163" fillId="56" borderId="0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271" fontId="164" fillId="56" borderId="22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0" fontId="17" fillId="0" borderId="0"/>
    <xf numFmtId="271" fontId="21" fillId="0" borderId="0" applyNumberFormat="0" applyFont="0" applyFill="0" applyBorder="0" applyAlignment="0" applyProtection="0">
      <alignment horizontal="left"/>
    </xf>
    <xf numFmtId="271" fontId="21" fillId="0" borderId="0" applyNumberFormat="0" applyFont="0" applyFill="0" applyBorder="0" applyAlignment="0" applyProtection="0">
      <alignment horizontal="left"/>
    </xf>
    <xf numFmtId="271" fontId="23" fillId="0" borderId="0"/>
    <xf numFmtId="271" fontId="23" fillId="0" borderId="0"/>
    <xf numFmtId="271" fontId="17" fillId="0" borderId="0"/>
    <xf numFmtId="271" fontId="17" fillId="0" borderId="0"/>
    <xf numFmtId="336" fontId="352" fillId="72" borderId="0" applyFill="0">
      <alignment horizontal="right"/>
    </xf>
    <xf numFmtId="271" fontId="80" fillId="71" borderId="0">
      <alignment horizontal="right" vertical="center"/>
    </xf>
    <xf numFmtId="271" fontId="80" fillId="71" borderId="0">
      <alignment horizontal="right" vertical="center"/>
    </xf>
    <xf numFmtId="271" fontId="80" fillId="71" borderId="0">
      <alignment horizontal="right" vertical="center"/>
    </xf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11" fillId="0" borderId="43"/>
    <xf numFmtId="271" fontId="138" fillId="0" borderId="0"/>
    <xf numFmtId="271" fontId="171" fillId="0" borderId="0" applyBorder="0" applyProtection="0">
      <alignment vertical="center"/>
    </xf>
    <xf numFmtId="271" fontId="171" fillId="0" borderId="0" applyBorder="0" applyProtection="0">
      <alignment vertical="center"/>
    </xf>
    <xf numFmtId="222" fontId="171" fillId="0" borderId="29" applyBorder="0" applyProtection="0">
      <alignment horizontal="right" vertical="center"/>
    </xf>
    <xf numFmtId="271" fontId="172" fillId="64" borderId="0" applyBorder="0" applyProtection="0">
      <alignment horizontal="centerContinuous" vertical="center"/>
    </xf>
    <xf numFmtId="271" fontId="172" fillId="64" borderId="0" applyBorder="0" applyProtection="0">
      <alignment horizontal="centerContinuous" vertical="center"/>
    </xf>
    <xf numFmtId="271" fontId="172" fillId="65" borderId="29" applyBorder="0" applyProtection="0">
      <alignment horizontal="centerContinuous" vertical="center"/>
    </xf>
    <xf numFmtId="271" fontId="172" fillId="65" borderId="29" applyBorder="0" applyProtection="0">
      <alignment horizontal="centerContinuous" vertical="center"/>
    </xf>
    <xf numFmtId="271" fontId="172" fillId="65" borderId="29" applyBorder="0" applyProtection="0">
      <alignment horizontal="centerContinuous" vertical="center"/>
    </xf>
    <xf numFmtId="271" fontId="172" fillId="65" borderId="29" applyBorder="0" applyProtection="0">
      <alignment horizontal="centerContinuous" vertical="center"/>
    </xf>
    <xf numFmtId="271" fontId="172" fillId="65" borderId="29" applyBorder="0" applyProtection="0">
      <alignment horizontal="centerContinuous" vertical="center"/>
    </xf>
    <xf numFmtId="271" fontId="173" fillId="0" borderId="0" applyFill="0" applyBorder="0" applyProtection="0">
      <alignment horizontal="left"/>
    </xf>
    <xf numFmtId="271" fontId="173" fillId="0" borderId="0" applyFill="0" applyBorder="0" applyProtection="0">
      <alignment horizontal="left"/>
    </xf>
    <xf numFmtId="271" fontId="101" fillId="0" borderId="44" applyFill="0" applyBorder="0" applyProtection="0">
      <alignment horizontal="left" vertical="top"/>
    </xf>
    <xf numFmtId="271" fontId="101" fillId="0" borderId="44" applyFill="0" applyBorder="0" applyProtection="0">
      <alignment horizontal="left" vertical="top"/>
    </xf>
    <xf numFmtId="271" fontId="101" fillId="0" borderId="44" applyFill="0" applyBorder="0" applyProtection="0">
      <alignment horizontal="left" vertical="top"/>
    </xf>
    <xf numFmtId="271" fontId="101" fillId="0" borderId="44" applyFill="0" applyBorder="0" applyProtection="0">
      <alignment horizontal="left" vertical="top"/>
    </xf>
    <xf numFmtId="271" fontId="101" fillId="0" borderId="44" applyFill="0" applyBorder="0" applyProtection="0">
      <alignment horizontal="left" vertical="top"/>
    </xf>
    <xf numFmtId="271" fontId="318" fillId="72" borderId="0" applyFill="0"/>
    <xf numFmtId="271" fontId="318" fillId="72" borderId="0" applyFill="0"/>
    <xf numFmtId="271" fontId="318" fillId="72" borderId="0" applyFill="0"/>
    <xf numFmtId="271" fontId="63" fillId="72" borderId="0" applyFill="0">
      <alignment horizontal="left"/>
    </xf>
    <xf numFmtId="271" fontId="63" fillId="72" borderId="0" applyFill="0">
      <alignment horizontal="left"/>
    </xf>
    <xf numFmtId="271" fontId="63" fillId="72" borderId="0" applyFill="0">
      <alignment horizontal="left"/>
    </xf>
    <xf numFmtId="271" fontId="63" fillId="72" borderId="0" applyFill="0">
      <alignment horizontal="left" indent="1"/>
    </xf>
    <xf numFmtId="271" fontId="63" fillId="72" borderId="0" applyFill="0">
      <alignment horizontal="left" indent="1"/>
    </xf>
    <xf numFmtId="271" fontId="63" fillId="72" borderId="0" applyFill="0">
      <alignment horizontal="left" indent="1"/>
    </xf>
    <xf numFmtId="271" fontId="63" fillId="72" borderId="0" applyFill="0">
      <alignment horizontal="left" vertical="center" indent="2"/>
    </xf>
    <xf numFmtId="271" fontId="63" fillId="72" borderId="0" applyFill="0">
      <alignment horizontal="left" vertical="center" indent="2"/>
    </xf>
    <xf numFmtId="271" fontId="63" fillId="72" borderId="0" applyFill="0">
      <alignment horizontal="left" vertical="center" indent="2"/>
    </xf>
    <xf numFmtId="271" fontId="51" fillId="0" borderId="0"/>
    <xf numFmtId="271" fontId="51" fillId="0" borderId="0"/>
    <xf numFmtId="271" fontId="35" fillId="0" borderId="0"/>
    <xf numFmtId="271" fontId="35" fillId="0" borderId="0"/>
    <xf numFmtId="271" fontId="175" fillId="0" borderId="0" applyFill="0" applyBorder="0" applyProtection="0">
      <alignment horizontal="left" vertical="top"/>
    </xf>
    <xf numFmtId="271" fontId="175" fillId="0" borderId="0" applyFill="0" applyBorder="0" applyProtection="0">
      <alignment horizontal="left" vertical="top"/>
    </xf>
    <xf numFmtId="271" fontId="15" fillId="0" borderId="0" applyNumberFormat="0" applyFill="0" applyBorder="0" applyAlignment="0" applyProtection="0"/>
    <xf numFmtId="271" fontId="15" fillId="0" borderId="0" applyNumberFormat="0" applyFill="0" applyBorder="0" applyAlignment="0" applyProtection="0"/>
    <xf numFmtId="271" fontId="16" fillId="0" borderId="0" applyNumberFormat="0" applyFill="0" applyBorder="0" applyAlignment="0" applyProtection="0"/>
    <xf numFmtId="271" fontId="16" fillId="0" borderId="0" applyNumberFormat="0" applyFill="0" applyBorder="0" applyAlignment="0" applyProtection="0"/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229" fillId="0" borderId="45" applyNumberFormat="0" applyFill="0" applyAlignment="0" applyProtection="0">
      <alignment vertical="center"/>
    </xf>
    <xf numFmtId="271" fontId="52" fillId="0" borderId="0" applyNumberFormat="0" applyFont="0" applyFill="0" applyBorder="0" applyProtection="0">
      <alignment horizontal="center" vertical="center" wrapText="1"/>
    </xf>
    <xf numFmtId="271" fontId="52" fillId="0" borderId="0" applyNumberFormat="0" applyFont="0" applyFill="0" applyBorder="0" applyProtection="0">
      <alignment horizontal="center" vertical="center" wrapText="1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353" fillId="53" borderId="24" applyNumberFormat="0" applyAlignment="0" applyProtection="0">
      <alignment vertical="center"/>
    </xf>
    <xf numFmtId="271" fontId="197" fillId="0" borderId="0" applyNumberFormat="0" applyFill="0" applyBorder="0" applyAlignment="0" applyProtection="0"/>
    <xf numFmtId="271" fontId="197" fillId="0" borderId="0" applyNumberFormat="0" applyFill="0" applyBorder="0" applyAlignment="0" applyProtection="0"/>
    <xf numFmtId="271" fontId="198" fillId="0" borderId="0" applyNumberFormat="0" applyFill="0" applyBorder="0" applyAlignment="0" applyProtection="0"/>
    <xf numFmtId="271" fontId="198" fillId="0" borderId="0" applyNumberFormat="0" applyFill="0" applyBorder="0" applyAlignment="0" applyProtection="0"/>
    <xf numFmtId="203" fontId="354" fillId="0" borderId="0"/>
    <xf numFmtId="203" fontId="354" fillId="0" borderId="0"/>
    <xf numFmtId="203" fontId="354" fillId="0" borderId="0"/>
    <xf numFmtId="203" fontId="354" fillId="0" borderId="0"/>
    <xf numFmtId="203" fontId="354" fillId="0" borderId="0"/>
    <xf numFmtId="203" fontId="354" fillId="0" borderId="0"/>
    <xf numFmtId="203" fontId="354" fillId="0" borderId="0"/>
    <xf numFmtId="203" fontId="354" fillId="0" borderId="0"/>
    <xf numFmtId="203" fontId="354" fillId="0" borderId="0"/>
    <xf numFmtId="203" fontId="354" fillId="0" borderId="0"/>
    <xf numFmtId="203" fontId="354" fillId="0" borderId="0"/>
    <xf numFmtId="271" fontId="199" fillId="0" borderId="0"/>
    <xf numFmtId="271" fontId="199" fillId="0" borderId="0"/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241" fontId="17" fillId="0" borderId="26">
      <alignment horizontal="right" vertical="center" shrinkToFit="1"/>
    </xf>
    <xf numFmtId="37" fontId="19" fillId="0" borderId="46"/>
    <xf numFmtId="271" fontId="196" fillId="0" borderId="0" applyFont="0" applyFill="0" applyBorder="0" applyAlignment="0" applyProtection="0"/>
    <xf numFmtId="271" fontId="196" fillId="0" borderId="0" applyFont="0" applyFill="0" applyBorder="0" applyAlignment="0" applyProtection="0"/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1" fontId="28" fillId="0" borderId="26" applyFill="0" applyBorder="0">
      <alignment horizontal="center"/>
    </xf>
    <xf numFmtId="271" fontId="196" fillId="0" borderId="0" applyFont="0" applyFill="0" applyBorder="0" applyAlignment="0" applyProtection="0"/>
    <xf numFmtId="271" fontId="196" fillId="0" borderId="0" applyFont="0" applyFill="0" applyBorder="0" applyAlignment="0" applyProtection="0"/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271" fontId="6" fillId="61" borderId="38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271" fontId="208" fillId="0" borderId="0"/>
    <xf numFmtId="271" fontId="208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271" fontId="23" fillId="0" borderId="0" applyBorder="0"/>
    <xf numFmtId="271" fontId="23" fillId="0" borderId="0" applyBorder="0"/>
    <xf numFmtId="247" fontId="19" fillId="0" borderId="46">
      <alignment horizontal="left"/>
    </xf>
    <xf numFmtId="247" fontId="19" fillId="0" borderId="46">
      <alignment horizontal="left"/>
    </xf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37" fontId="18" fillId="0" borderId="47" applyAlignment="0"/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14" fontId="219" fillId="56" borderId="26">
      <alignment horizontal="right" vertical="center"/>
      <protection locked="0"/>
    </xf>
    <xf numFmtId="205" fontId="25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205" fontId="1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205" fontId="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5" fontId="13" fillId="0" borderId="0" applyFont="0" applyFill="0" applyBorder="0" applyAlignment="0" applyProtection="0"/>
    <xf numFmtId="205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05" fontId="11" fillId="0" borderId="0" applyFont="0" applyFill="0" applyBorder="0" applyAlignment="0" applyProtection="0"/>
    <xf numFmtId="205" fontId="11" fillId="0" borderId="0" applyFont="0" applyFill="0" applyBorder="0" applyAlignment="0" applyProtection="0"/>
    <xf numFmtId="205" fontId="13" fillId="0" borderId="0" applyFont="0" applyFill="0" applyBorder="0" applyAlignment="0" applyProtection="0"/>
    <xf numFmtId="205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49" fontId="5" fillId="0" borderId="0" applyFont="0" applyFill="0" applyBorder="0" applyAlignment="0" applyProtection="0">
      <alignment vertical="center"/>
    </xf>
    <xf numFmtId="249" fontId="11" fillId="0" borderId="0" applyFont="0" applyFill="0" applyBorder="0" applyAlignment="0" applyProtection="0"/>
    <xf numFmtId="249" fontId="6" fillId="0" borderId="0" applyFont="0" applyFill="0" applyBorder="0" applyAlignment="0" applyProtection="0"/>
    <xf numFmtId="271" fontId="17" fillId="0" borderId="0"/>
    <xf numFmtId="0" fontId="17" fillId="0" borderId="0"/>
    <xf numFmtId="271" fontId="225" fillId="0" borderId="48"/>
    <xf numFmtId="271" fontId="225" fillId="0" borderId="48"/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355" fillId="0" borderId="45" applyNumberFormat="0" applyFill="0" applyAlignment="0" applyProtection="0">
      <alignment vertical="center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71" fontId="18" fillId="0" borderId="49">
      <alignment vertical="justify" wrapText="1"/>
    </xf>
    <xf numFmtId="247" fontId="19" fillId="0" borderId="46">
      <alignment horizontal="left"/>
    </xf>
    <xf numFmtId="247" fontId="19" fillId="0" borderId="46">
      <alignment horizontal="left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356" fillId="40" borderId="24" applyNumberFormat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271" fontId="240" fillId="0" borderId="34" applyNumberFormat="0" applyFill="0" applyAlignment="0" applyProtection="0">
      <alignment vertical="center"/>
    </xf>
    <xf numFmtId="0" fontId="120" fillId="0" borderId="34" applyNumberFormat="0" applyFill="0" applyAlignment="0" applyProtection="0">
      <alignment vertical="center"/>
    </xf>
    <xf numFmtId="0" fontId="241" fillId="0" borderId="34" applyNumberFormat="0" applyFill="0" applyAlignment="0" applyProtection="0">
      <alignment vertical="center"/>
    </xf>
    <xf numFmtId="0" fontId="240" fillId="0" borderId="34" applyNumberFormat="0" applyFill="0" applyAlignment="0" applyProtection="0">
      <alignment vertical="center"/>
    </xf>
    <xf numFmtId="0" fontId="240" fillId="0" borderId="34" applyNumberFormat="0" applyFill="0" applyAlignment="0" applyProtection="0">
      <alignment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60" fontId="23" fillId="0" borderId="26">
      <alignment horizontal="left"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357" fillId="53" borderId="40" applyNumberFormat="0" applyAlignment="0" applyProtection="0">
      <alignment vertical="center"/>
    </xf>
    <xf numFmtId="271" fontId="23" fillId="0" borderId="46">
      <alignment vertical="center" shrinkToFit="1"/>
    </xf>
    <xf numFmtId="271" fontId="23" fillId="0" borderId="46">
      <alignment vertical="center" shrinkToFit="1"/>
    </xf>
    <xf numFmtId="271" fontId="23" fillId="0" borderId="46">
      <alignment vertical="center" shrinkToFit="1"/>
    </xf>
    <xf numFmtId="271" fontId="23" fillId="0" borderId="46">
      <alignment vertical="center" shrinkToFit="1"/>
    </xf>
    <xf numFmtId="345" fontId="6" fillId="0" borderId="0" applyFont="0" applyFill="0" applyBorder="0" applyAlignment="0" applyProtection="0">
      <alignment vertical="center"/>
    </xf>
    <xf numFmtId="271" fontId="249" fillId="67" borderId="50"/>
    <xf numFmtId="271" fontId="249" fillId="67" borderId="50"/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62" fillId="0" borderId="0"/>
    <xf numFmtId="271" fontId="62" fillId="0" borderId="0"/>
    <xf numFmtId="271" fontId="11" fillId="0" borderId="0"/>
    <xf numFmtId="271" fontId="11" fillId="0" borderId="0"/>
    <xf numFmtId="0" fontId="2" fillId="0" borderId="0">
      <alignment vertical="center"/>
    </xf>
    <xf numFmtId="271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271" fontId="6" fillId="0" borderId="0">
      <alignment vertical="center"/>
    </xf>
    <xf numFmtId="271" fontId="6" fillId="0" borderId="0">
      <alignment vertical="center"/>
    </xf>
    <xf numFmtId="271" fontId="13" fillId="0" borderId="0">
      <alignment vertical="center"/>
    </xf>
    <xf numFmtId="271" fontId="13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7" fillId="0" borderId="0"/>
    <xf numFmtId="271" fontId="212" fillId="0" borderId="0">
      <alignment vertical="center"/>
    </xf>
    <xf numFmtId="271" fontId="212" fillId="0" borderId="0">
      <alignment vertical="center"/>
    </xf>
    <xf numFmtId="271" fontId="13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6" fillId="0" borderId="0">
      <alignment vertical="center"/>
    </xf>
    <xf numFmtId="0" fontId="6" fillId="0" borderId="0"/>
    <xf numFmtId="271" fontId="6" fillId="0" borderId="0"/>
    <xf numFmtId="271" fontId="6" fillId="0" borderId="0"/>
    <xf numFmtId="271" fontId="6" fillId="0" borderId="0"/>
    <xf numFmtId="0" fontId="6" fillId="0" borderId="0"/>
    <xf numFmtId="271" fontId="6" fillId="0" borderId="0">
      <alignment vertical="center"/>
    </xf>
    <xf numFmtId="0" fontId="17" fillId="0" borderId="0"/>
    <xf numFmtId="271" fontId="6" fillId="0" borderId="0"/>
    <xf numFmtId="271" fontId="6" fillId="0" borderId="0"/>
    <xf numFmtId="271" fontId="6" fillId="0" borderId="0"/>
    <xf numFmtId="271" fontId="6" fillId="0" borderId="0">
      <alignment vertical="center"/>
    </xf>
    <xf numFmtId="271" fontId="6" fillId="0" borderId="0">
      <alignment vertical="center"/>
    </xf>
    <xf numFmtId="271" fontId="6" fillId="0" borderId="0"/>
    <xf numFmtId="271" fontId="6" fillId="0" borderId="0"/>
    <xf numFmtId="271" fontId="6" fillId="0" borderId="0">
      <alignment vertical="center"/>
    </xf>
    <xf numFmtId="271" fontId="6" fillId="0" borderId="0">
      <alignment vertical="center"/>
    </xf>
    <xf numFmtId="271" fontId="6" fillId="0" borderId="0">
      <alignment vertical="center"/>
    </xf>
    <xf numFmtId="271" fontId="6" fillId="0" borderId="0">
      <alignment vertical="center"/>
    </xf>
    <xf numFmtId="271" fontId="87" fillId="0" borderId="0"/>
    <xf numFmtId="271" fontId="87" fillId="0" borderId="0"/>
    <xf numFmtId="271" fontId="86" fillId="0" borderId="0"/>
    <xf numFmtId="271" fontId="86" fillId="0" borderId="0"/>
    <xf numFmtId="271" fontId="11" fillId="0" borderId="0">
      <alignment vertical="center"/>
    </xf>
    <xf numFmtId="271" fontId="11" fillId="0" borderId="0">
      <alignment vertical="center"/>
    </xf>
    <xf numFmtId="271" fontId="6" fillId="0" borderId="0"/>
    <xf numFmtId="271" fontId="6" fillId="0" borderId="0"/>
    <xf numFmtId="271" fontId="11" fillId="0" borderId="0">
      <alignment vertical="center"/>
    </xf>
    <xf numFmtId="271" fontId="6" fillId="0" borderId="0">
      <alignment vertical="center"/>
    </xf>
    <xf numFmtId="271" fontId="6" fillId="0" borderId="0">
      <alignment vertical="center"/>
    </xf>
    <xf numFmtId="271" fontId="13" fillId="0" borderId="0">
      <alignment vertical="center"/>
    </xf>
    <xf numFmtId="271" fontId="13" fillId="0" borderId="0">
      <alignment vertical="center"/>
    </xf>
    <xf numFmtId="271" fontId="13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3" fillId="0" borderId="0">
      <alignment vertical="center"/>
    </xf>
    <xf numFmtId="271" fontId="13" fillId="0" borderId="0">
      <alignment vertical="center"/>
    </xf>
    <xf numFmtId="271" fontId="13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6" fillId="0" borderId="0"/>
    <xf numFmtId="271" fontId="212" fillId="0" borderId="0">
      <alignment vertical="center"/>
    </xf>
    <xf numFmtId="271" fontId="212" fillId="0" borderId="0">
      <alignment vertical="center"/>
    </xf>
    <xf numFmtId="271" fontId="5" fillId="0" borderId="0">
      <alignment vertical="center"/>
    </xf>
    <xf numFmtId="271" fontId="13" fillId="0" borderId="0"/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271" fontId="6" fillId="0" borderId="0">
      <alignment vertical="center"/>
    </xf>
    <xf numFmtId="271" fontId="6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0" fontId="11" fillId="0" borderId="0">
      <alignment vertical="center"/>
    </xf>
    <xf numFmtId="271" fontId="13" fillId="0" borderId="0"/>
    <xf numFmtId="271" fontId="13" fillId="0" borderId="0"/>
    <xf numFmtId="271" fontId="11" fillId="0" borderId="0"/>
    <xf numFmtId="271" fontId="13" fillId="0" borderId="0"/>
    <xf numFmtId="271" fontId="13" fillId="0" borderId="0"/>
    <xf numFmtId="271" fontId="11" fillId="0" borderId="0"/>
    <xf numFmtId="271" fontId="6" fillId="0" borderId="0">
      <alignment vertical="center"/>
    </xf>
    <xf numFmtId="271" fontId="6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0" fontId="14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0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6" fillId="0" borderId="0"/>
    <xf numFmtId="271" fontId="6" fillId="0" borderId="0"/>
    <xf numFmtId="0" fontId="6" fillId="0" borderId="0"/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212" fillId="0" borderId="0">
      <alignment vertical="center"/>
    </xf>
    <xf numFmtId="271" fontId="2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71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11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71" fontId="86" fillId="0" borderId="0"/>
    <xf numFmtId="271" fontId="11" fillId="0" borderId="0">
      <alignment vertical="center"/>
    </xf>
    <xf numFmtId="0" fontId="210" fillId="0" borderId="0">
      <alignment vertical="center"/>
    </xf>
    <xf numFmtId="271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2" fillId="0" borderId="0">
      <alignment vertical="center"/>
    </xf>
    <xf numFmtId="271" fontId="358" fillId="0" borderId="0" applyNumberFormat="0" applyFill="0" applyBorder="0" applyAlignment="0" applyProtection="0">
      <alignment vertical="top"/>
      <protection locked="0"/>
    </xf>
    <xf numFmtId="271" fontId="358" fillId="0" borderId="0" applyNumberFormat="0" applyFill="0" applyBorder="0" applyAlignment="0" applyProtection="0">
      <alignment vertical="top"/>
      <protection locked="0"/>
    </xf>
    <xf numFmtId="271" fontId="259" fillId="0" borderId="0" applyNumberFormat="0" applyFill="0" applyBorder="0" applyAlignment="0" applyProtection="0">
      <alignment vertical="top"/>
      <protection locked="0"/>
    </xf>
    <xf numFmtId="271" fontId="259" fillId="0" borderId="0" applyNumberFormat="0" applyFill="0" applyBorder="0" applyAlignment="0" applyProtection="0">
      <alignment vertical="top"/>
      <protection locked="0"/>
    </xf>
    <xf numFmtId="271" fontId="259" fillId="0" borderId="0" applyNumberFormat="0" applyFill="0" applyBorder="0" applyAlignment="0" applyProtection="0">
      <alignment vertical="top"/>
      <protection locked="0"/>
    </xf>
    <xf numFmtId="271" fontId="359" fillId="0" borderId="0" applyNumberFormat="0" applyFill="0" applyBorder="0" applyAlignment="0" applyProtection="0">
      <alignment vertical="top"/>
      <protection locked="0"/>
    </xf>
    <xf numFmtId="271" fontId="359" fillId="0" borderId="0" applyNumberFormat="0" applyFill="0" applyBorder="0" applyAlignment="0" applyProtection="0">
      <alignment vertical="top"/>
      <protection locked="0"/>
    </xf>
    <xf numFmtId="271" fontId="360" fillId="0" borderId="0" applyNumberFormat="0" applyFill="0" applyBorder="0" applyAlignment="0" applyProtection="0">
      <alignment vertical="center"/>
    </xf>
    <xf numFmtId="271" fontId="360" fillId="0" borderId="0" applyNumberFormat="0" applyFill="0" applyBorder="0" applyAlignment="0" applyProtection="0">
      <alignment vertical="center"/>
    </xf>
    <xf numFmtId="271" fontId="196" fillId="0" borderId="51" applyNumberFormat="0" applyFont="0" applyFill="0" applyAlignment="0" applyProtection="0"/>
    <xf numFmtId="271" fontId="196" fillId="0" borderId="51" applyNumberFormat="0" applyFont="0" applyFill="0" applyAlignment="0" applyProtection="0"/>
    <xf numFmtId="271" fontId="235" fillId="0" borderId="0" applyFont="0" applyFill="0" applyBorder="0" applyAlignment="0" applyProtection="0"/>
    <xf numFmtId="271" fontId="235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2" fillId="0" borderId="0"/>
    <xf numFmtId="0" fontId="6" fillId="0" borderId="0"/>
    <xf numFmtId="0" fontId="17" fillId="0" borderId="0">
      <alignment vertical="center"/>
    </xf>
    <xf numFmtId="0" fontId="384" fillId="0" borderId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23" fontId="2" fillId="0" borderId="0">
      <alignment vertical="center"/>
    </xf>
    <xf numFmtId="0" fontId="2" fillId="0" borderId="0">
      <alignment vertical="center"/>
    </xf>
    <xf numFmtId="0" fontId="17" fillId="0" borderId="0"/>
    <xf numFmtId="38" fontId="21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1" fontId="6" fillId="0" borderId="0"/>
    <xf numFmtId="20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20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 applyFont="0" applyFill="0" applyBorder="0" applyAlignment="0" applyProtection="0"/>
    <xf numFmtId="0" fontId="17" fillId="0" borderId="0"/>
    <xf numFmtId="41" fontId="6" fillId="0" borderId="0"/>
    <xf numFmtId="205" fontId="6" fillId="0" borderId="0"/>
    <xf numFmtId="205" fontId="6" fillId="0" borderId="0"/>
    <xf numFmtId="188" fontId="6" fillId="0" borderId="0" applyNumberFormat="0" applyFont="0" applyFill="0" applyBorder="0" applyAlignment="0" applyProtection="0"/>
    <xf numFmtId="188" fontId="6" fillId="0" borderId="0" applyNumberFormat="0" applyFont="0" applyFill="0" applyBorder="0" applyAlignment="0" applyProtection="0"/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9" fontId="6" fillId="0" borderId="80" applyFill="0" applyBorder="0" applyAlignment="0">
      <alignment horizontal="center" vertical="center"/>
    </xf>
    <xf numFmtId="0" fontId="38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241" fontId="17" fillId="0" borderId="26">
      <alignment horizontal="right" vertical="center"/>
    </xf>
    <xf numFmtId="241" fontId="17" fillId="0" borderId="26">
      <alignment horizontal="right" vertical="center"/>
    </xf>
    <xf numFmtId="241" fontId="17" fillId="0" borderId="26">
      <alignment horizontal="right" vertical="center"/>
    </xf>
    <xf numFmtId="241" fontId="17" fillId="0" borderId="26">
      <alignment horizontal="right" vertical="center"/>
    </xf>
    <xf numFmtId="241" fontId="17" fillId="0" borderId="26">
      <alignment horizontal="right" vertical="center"/>
    </xf>
    <xf numFmtId="180" fontId="84" fillId="0" borderId="29">
      <protection locked="0"/>
    </xf>
    <xf numFmtId="180" fontId="84" fillId="0" borderId="29">
      <protection locked="0"/>
    </xf>
    <xf numFmtId="180" fontId="84" fillId="0" borderId="29">
      <protection locked="0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3" fillId="0" borderId="0"/>
    <xf numFmtId="0" fontId="23" fillId="0" borderId="0"/>
    <xf numFmtId="0" fontId="2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7" fillId="0" borderId="0" applyFont="0" applyFill="0" applyBorder="0" applyAlignment="0" applyProtection="0"/>
    <xf numFmtId="0" fontId="387" fillId="0" borderId="0"/>
    <xf numFmtId="0" fontId="388" fillId="0" borderId="0" applyFont="0" applyFill="0" applyBorder="0" applyAlignment="0" applyProtection="0"/>
    <xf numFmtId="0" fontId="389" fillId="0" borderId="0" applyFont="0" applyFill="0" applyBorder="0" applyAlignment="0" applyProtection="0"/>
    <xf numFmtId="9" fontId="390" fillId="0" borderId="0" applyBorder="0" applyAlignment="0" applyProtection="0"/>
    <xf numFmtId="0" fontId="23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3" fillId="0" borderId="0"/>
    <xf numFmtId="0" fontId="27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0" fontId="28" fillId="0" borderId="0" applyFont="0" applyFill="0" applyBorder="0" applyAlignment="0" applyProtection="0"/>
    <xf numFmtId="188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205" fontId="17" fillId="0" borderId="0" applyFont="0" applyFill="0" applyBorder="0" applyAlignment="0" applyProtection="0"/>
    <xf numFmtId="20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49" fontId="17" fillId="0" borderId="0" applyFont="0" applyFill="0" applyBorder="0" applyAlignment="0" applyProtection="0"/>
    <xf numFmtId="249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347" fontId="17" fillId="0" borderId="0"/>
    <xf numFmtId="347" fontId="17" fillId="0" borderId="0"/>
    <xf numFmtId="347" fontId="17" fillId="0" borderId="0"/>
    <xf numFmtId="347" fontId="17" fillId="0" borderId="0"/>
    <xf numFmtId="0" fontId="17" fillId="0" borderId="0"/>
    <xf numFmtId="0" fontId="17" fillId="0" borderId="0"/>
    <xf numFmtId="249" fontId="29" fillId="0" borderId="0" applyFont="0" applyFill="0" applyBorder="0" applyAlignment="0" applyProtection="0"/>
    <xf numFmtId="249" fontId="2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3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19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7" fillId="0" borderId="0" applyFont="0" applyFill="0" applyBorder="0" applyAlignment="0" applyProtection="0"/>
    <xf numFmtId="44" fontId="247" fillId="0" borderId="0" applyFont="0" applyFill="0" applyBorder="0" applyAlignment="0" applyProtection="0"/>
    <xf numFmtId="44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7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3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17" fillId="0" borderId="0"/>
    <xf numFmtId="3" fontId="21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3" fillId="0" borderId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17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44" fontId="247" fillId="0" borderId="0" applyFont="0" applyFill="0" applyBorder="0" applyAlignment="0" applyProtection="0"/>
    <xf numFmtId="44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24" fillId="0" borderId="0" applyFont="0" applyFill="0" applyBorder="0" applyAlignment="0" applyProtection="0"/>
    <xf numFmtId="0" fontId="224" fillId="0" borderId="0" applyFont="0" applyFill="0" applyBorder="0" applyAlignment="0" applyProtection="0"/>
    <xf numFmtId="0" fontId="17" fillId="0" borderId="0"/>
    <xf numFmtId="0" fontId="386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386" fillId="0" borderId="0"/>
    <xf numFmtId="0" fontId="386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6" fillId="0" borderId="0" applyFont="0" applyFill="0" applyBorder="0" applyAlignment="0" applyProtection="0"/>
    <xf numFmtId="24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" fontId="2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7" fillId="0" borderId="0"/>
    <xf numFmtId="0" fontId="17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0" fontId="19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 applyFont="0" applyFill="0" applyBorder="0" applyAlignment="0" applyProtection="0"/>
    <xf numFmtId="349" fontId="211" fillId="0" borderId="0"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17" fillId="0" borderId="0"/>
    <xf numFmtId="0" fontId="17" fillId="0" borderId="0"/>
    <xf numFmtId="0" fontId="54" fillId="0" borderId="0"/>
    <xf numFmtId="0" fontId="17" fillId="0" borderId="0"/>
    <xf numFmtId="0" fontId="23" fillId="0" borderId="0"/>
    <xf numFmtId="0" fontId="15" fillId="0" borderId="0"/>
    <xf numFmtId="0" fontId="17" fillId="0" borderId="0"/>
    <xf numFmtId="0" fontId="17" fillId="0" borderId="0"/>
    <xf numFmtId="0" fontId="391" fillId="0" borderId="0"/>
    <xf numFmtId="0" fontId="17" fillId="0" borderId="0"/>
    <xf numFmtId="0" fontId="23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205" fontId="6" fillId="0" borderId="0"/>
    <xf numFmtId="41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0" fontId="38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28" fillId="0" borderId="81">
      <alignment horizontal="center" vertical="center"/>
    </xf>
    <xf numFmtId="0" fontId="54" fillId="0" borderId="0"/>
    <xf numFmtId="0" fontId="17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23" fillId="0" borderId="0"/>
    <xf numFmtId="0" fontId="54" fillId="0" borderId="0"/>
    <xf numFmtId="183" fontId="6" fillId="0" borderId="0" applyFont="0" applyFill="0" applyBorder="0" applyAlignment="0" applyProtection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0" fontId="15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265" fontId="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4" fontId="247" fillId="0" borderId="0" applyFont="0" applyFill="0" applyBorder="0" applyAlignment="0" applyProtection="0"/>
    <xf numFmtId="44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0" fontId="17" fillId="0" borderId="0"/>
    <xf numFmtId="0" fontId="23" fillId="0" borderId="0"/>
    <xf numFmtId="0" fontId="17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0" fontId="17" fillId="0" borderId="0"/>
    <xf numFmtId="0" fontId="79" fillId="0" borderId="0"/>
    <xf numFmtId="0" fontId="17" fillId="0" borderId="0"/>
    <xf numFmtId="0" fontId="17" fillId="0" borderId="0"/>
    <xf numFmtId="0" fontId="15" fillId="0" borderId="0"/>
    <xf numFmtId="0" fontId="247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3" fontId="21" fillId="0" borderId="0"/>
    <xf numFmtId="44" fontId="247" fillId="0" borderId="0" applyFont="0" applyFill="0" applyBorder="0" applyAlignment="0" applyProtection="0"/>
    <xf numFmtId="44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348" fontId="247" fillId="0" borderId="0" applyFont="0" applyFill="0" applyBorder="0" applyAlignment="0" applyProtection="0"/>
    <xf numFmtId="0" fontId="17" fillId="0" borderId="0"/>
    <xf numFmtId="0" fontId="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54" fillId="0" borderId="0"/>
    <xf numFmtId="0" fontId="28" fillId="0" borderId="0" applyFont="0" applyFill="0" applyBorder="0" applyAlignment="0" applyProtection="0"/>
    <xf numFmtId="0" fontId="17" fillId="0" borderId="0"/>
    <xf numFmtId="0" fontId="16" fillId="0" borderId="0"/>
    <xf numFmtId="0" fontId="54" fillId="0" borderId="0"/>
    <xf numFmtId="0" fontId="391" fillId="0" borderId="0"/>
    <xf numFmtId="0" fontId="17" fillId="0" borderId="0"/>
    <xf numFmtId="0" fontId="17" fillId="0" borderId="0"/>
    <xf numFmtId="0" fontId="17" fillId="0" borderId="0"/>
    <xf numFmtId="3" fontId="21" fillId="0" borderId="0"/>
    <xf numFmtId="0" fontId="1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41" fontId="6" fillId="0" borderId="0"/>
    <xf numFmtId="41" fontId="6" fillId="0" borderId="0"/>
    <xf numFmtId="205" fontId="6" fillId="0" borderId="0"/>
    <xf numFmtId="205" fontId="6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8" fillId="0" borderId="0" applyFont="0" applyFill="0" applyBorder="0" applyAlignment="0" applyProtection="0"/>
    <xf numFmtId="0" fontId="17" fillId="0" borderId="0"/>
    <xf numFmtId="0" fontId="16" fillId="0" borderId="0"/>
    <xf numFmtId="349" fontId="211" fillId="0" borderId="0">
      <protection locked="0"/>
    </xf>
    <xf numFmtId="0" fontId="17" fillId="0" borderId="0"/>
    <xf numFmtId="183" fontId="6" fillId="0" borderId="0" applyFont="0" applyFill="0" applyBorder="0" applyAlignment="0" applyProtection="0"/>
    <xf numFmtId="0" fontId="17" fillId="0" borderId="0"/>
    <xf numFmtId="0" fontId="21" fillId="0" borderId="0"/>
    <xf numFmtId="350" fontId="16" fillId="0" borderId="0" applyFont="0" applyFill="0" applyBorder="0" applyAlignment="0" applyProtection="0"/>
    <xf numFmtId="0" fontId="16" fillId="0" borderId="0"/>
    <xf numFmtId="0" fontId="16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351" fontId="16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22" fillId="0" borderId="0">
      <protection locked="0"/>
    </xf>
    <xf numFmtId="0" fontId="17" fillId="0" borderId="0" applyNumberFormat="0" applyFill="0" applyBorder="0" applyAlignment="0" applyProtection="0"/>
    <xf numFmtId="0" fontId="17" fillId="0" borderId="0"/>
    <xf numFmtId="0" fontId="392" fillId="0" borderId="0"/>
    <xf numFmtId="0" fontId="393" fillId="0" borderId="1">
      <alignment horizontal="center"/>
    </xf>
    <xf numFmtId="1" fontId="18" fillId="0" borderId="21">
      <alignment horizontal="center" vertical="center"/>
    </xf>
    <xf numFmtId="1" fontId="21" fillId="0" borderId="0"/>
    <xf numFmtId="1" fontId="21" fillId="0" borderId="0"/>
    <xf numFmtId="352" fontId="52" fillId="0" borderId="0" applyFont="0" applyFill="0" applyBorder="0" applyAlignment="0" applyProtection="0"/>
    <xf numFmtId="352" fontId="52" fillId="0" borderId="0" applyFont="0" applyFill="0" applyBorder="0" applyAlignment="0" applyProtection="0"/>
    <xf numFmtId="49" fontId="394" fillId="0" borderId="44" applyBorder="0">
      <alignment vertical="center"/>
    </xf>
    <xf numFmtId="49" fontId="394" fillId="0" borderId="44" applyBorder="0">
      <alignment vertical="center"/>
    </xf>
    <xf numFmtId="0" fontId="395" fillId="0" borderId="0" applyFont="0"/>
    <xf numFmtId="0" fontId="23" fillId="0" borderId="0"/>
    <xf numFmtId="0" fontId="22" fillId="0" borderId="0">
      <protection locked="0"/>
    </xf>
    <xf numFmtId="0" fontId="13" fillId="7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0" borderId="0" applyFont="0" applyFill="0" applyBorder="0" applyAlignment="0" applyProtection="0"/>
    <xf numFmtId="194" fontId="23" fillId="0" borderId="0" applyFont="0" applyFill="0" applyBorder="0" applyAlignment="0" applyProtection="0"/>
    <xf numFmtId="266" fontId="17" fillId="0" borderId="0" applyFont="0" applyFill="0" applyBorder="0" applyAlignment="0" applyProtection="0"/>
    <xf numFmtId="349" fontId="92" fillId="0" borderId="0" applyFont="0" applyFill="0" applyBorder="0" applyAlignment="0" applyProtection="0"/>
    <xf numFmtId="353" fontId="17" fillId="0" borderId="0" applyFont="0" applyFill="0" applyBorder="0" applyAlignment="0" applyProtection="0"/>
    <xf numFmtId="201" fontId="92" fillId="0" borderId="0" applyFont="0" applyFill="0" applyBorder="0" applyAlignment="0" applyProtection="0"/>
    <xf numFmtId="354" fontId="17" fillId="0" borderId="0" applyFont="0" applyFill="0" applyBorder="0" applyAlignment="0" applyProtection="0"/>
    <xf numFmtId="0" fontId="13" fillId="5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9" fontId="299" fillId="0" borderId="0">
      <protection locked="0"/>
    </xf>
    <xf numFmtId="9" fontId="50" fillId="0" borderId="0">
      <protection locked="0"/>
    </xf>
    <xf numFmtId="0" fontId="396" fillId="47" borderId="0" applyNumberFormat="0" applyBorder="0" applyAlignment="0" applyProtection="0">
      <alignment vertical="center"/>
    </xf>
    <xf numFmtId="0" fontId="396" fillId="42" borderId="0" applyNumberFormat="0" applyBorder="0" applyAlignment="0" applyProtection="0">
      <alignment vertical="center"/>
    </xf>
    <xf numFmtId="0" fontId="396" fillId="60" borderId="0" applyNumberFormat="0" applyBorder="0" applyAlignment="0" applyProtection="0">
      <alignment vertical="center"/>
    </xf>
    <xf numFmtId="0" fontId="396" fillId="53" borderId="0" applyNumberFormat="0" applyBorder="0" applyAlignment="0" applyProtection="0">
      <alignment vertical="center"/>
    </xf>
    <xf numFmtId="0" fontId="396" fillId="47" borderId="0" applyNumberFormat="0" applyBorder="0" applyAlignment="0" applyProtection="0">
      <alignment vertical="center"/>
    </xf>
    <xf numFmtId="0" fontId="396" fillId="40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9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99" fillId="0" borderId="0" applyFont="0" applyFill="0" applyBorder="0" applyAlignment="0" applyProtection="0"/>
    <xf numFmtId="0" fontId="399" fillId="0" borderId="0" applyFont="0" applyFill="0" applyBorder="0" applyAlignment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14" fontId="17" fillId="0" borderId="0" applyBorder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14" fontId="88" fillId="0" borderId="0"/>
    <xf numFmtId="14" fontId="17" fillId="0" borderId="0" applyBorder="0"/>
    <xf numFmtId="14" fontId="17" fillId="0" borderId="0" applyBorder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355" fontId="34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5" fontId="34" fillId="0" borderId="0" applyFill="0" applyBorder="0" applyProtection="0"/>
    <xf numFmtId="14" fontId="88" fillId="0" borderId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14" fontId="17" fillId="0" borderId="0" applyBorder="0"/>
    <xf numFmtId="14" fontId="17" fillId="0" borderId="0" applyBorder="0"/>
    <xf numFmtId="14" fontId="17" fillId="0" borderId="0" applyBorder="0"/>
    <xf numFmtId="14" fontId="17" fillId="0" borderId="0" applyBorder="0"/>
    <xf numFmtId="14" fontId="17" fillId="0" borderId="0" applyBorder="0"/>
    <xf numFmtId="14" fontId="17" fillId="0" borderId="0" applyBorder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355" fontId="34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5" fontId="34" fillId="0" borderId="0" applyFill="0" applyBorder="0" applyProtection="0"/>
    <xf numFmtId="355" fontId="34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5" fontId="34" fillId="0" borderId="0" applyFill="0" applyBorder="0" applyProtection="0"/>
    <xf numFmtId="355" fontId="34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5" fontId="34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355" fontId="34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5" fontId="34" fillId="0" borderId="0" applyFill="0" applyBorder="0" applyProtection="0"/>
    <xf numFmtId="355" fontId="34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6" fontId="6" fillId="0" borderId="0" applyFill="0" applyBorder="0" applyProtection="0"/>
    <xf numFmtId="355" fontId="34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214" fontId="6" fillId="0" borderId="0" applyFill="0" applyBorder="0" applyProtection="0"/>
    <xf numFmtId="14" fontId="88" fillId="0" borderId="0"/>
    <xf numFmtId="38" fontId="400" fillId="0" borderId="0" applyFont="0" applyFill="0" applyBorder="0" applyAlignment="0" applyProtection="0"/>
    <xf numFmtId="40" fontId="400" fillId="0" borderId="0" applyFont="0" applyFill="0" applyBorder="0" applyAlignment="0" applyProtection="0"/>
    <xf numFmtId="0" fontId="401" fillId="0" borderId="0" applyFont="0" applyFill="0" applyBorder="0" applyAlignment="0" applyProtection="0"/>
    <xf numFmtId="198" fontId="401" fillId="0" borderId="0" applyFont="0" applyFill="0" applyBorder="0" applyAlignment="0" applyProtection="0"/>
    <xf numFmtId="0" fontId="6" fillId="83" borderId="82">
      <alignment horizontal="center" vertical="center"/>
    </xf>
    <xf numFmtId="232" fontId="6" fillId="84" borderId="0" applyNumberFormat="0" applyProtection="0">
      <alignment horizontal="center"/>
      <protection locked="0" hidden="1"/>
    </xf>
    <xf numFmtId="0" fontId="22" fillId="0" borderId="0">
      <protection locked="0"/>
    </xf>
    <xf numFmtId="0" fontId="399" fillId="0" borderId="0" applyFont="0" applyFill="0" applyBorder="0" applyAlignment="0" applyProtection="0"/>
    <xf numFmtId="0" fontId="402" fillId="0" borderId="0" applyFont="0" applyFill="0" applyBorder="0" applyAlignment="0" applyProtection="0"/>
    <xf numFmtId="183" fontId="48" fillId="0" borderId="0" applyFont="0" applyFill="0" applyBorder="0" applyAlignment="0" applyProtection="0"/>
    <xf numFmtId="0" fontId="299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03" fillId="0" borderId="0" applyFont="0" applyFill="0" applyBorder="0" applyAlignment="0" applyProtection="0"/>
    <xf numFmtId="357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83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25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183" fontId="35" fillId="0" borderId="0" applyFont="0" applyFill="0" applyBorder="0" applyAlignment="0" applyProtection="0"/>
    <xf numFmtId="25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25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25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357" fontId="35" fillId="0" borderId="0" applyFont="0" applyFill="0" applyBorder="0" applyAlignment="0" applyProtection="0"/>
    <xf numFmtId="357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357" fontId="35" fillId="0" borderId="0" applyFont="0" applyFill="0" applyBorder="0" applyAlignment="0" applyProtection="0"/>
    <xf numFmtId="357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404" fillId="0" borderId="0" applyFont="0" applyFill="0" applyBorder="0" applyAlignment="0" applyProtection="0"/>
    <xf numFmtId="188" fontId="311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188" fontId="50" fillId="0" borderId="0" applyFont="0" applyFill="0" applyBorder="0" applyAlignment="0" applyProtection="0"/>
    <xf numFmtId="188" fontId="35" fillId="0" borderId="0" applyFont="0" applyFill="0" applyBorder="0" applyAlignment="0" applyProtection="0"/>
    <xf numFmtId="0" fontId="405" fillId="0" borderId="0" applyFont="0" applyFill="0" applyBorder="0" applyAlignment="0" applyProtection="0"/>
    <xf numFmtId="358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42" fontId="403" fillId="0" borderId="0" applyFont="0" applyFill="0" applyBorder="0" applyAlignment="0" applyProtection="0"/>
    <xf numFmtId="42" fontId="406" fillId="0" borderId="0" applyFont="0" applyFill="0" applyBorder="0" applyAlignment="0" applyProtection="0"/>
    <xf numFmtId="42" fontId="403" fillId="0" borderId="0" applyFont="0" applyFill="0" applyBorder="0" applyAlignment="0" applyProtection="0"/>
    <xf numFmtId="42" fontId="406" fillId="0" borderId="0" applyFont="0" applyFill="0" applyBorder="0" applyAlignment="0" applyProtection="0"/>
    <xf numFmtId="265" fontId="403" fillId="0" borderId="0" applyFont="0" applyFill="0" applyBorder="0" applyAlignment="0" applyProtection="0"/>
    <xf numFmtId="265" fontId="406" fillId="0" borderId="0" applyFont="0" applyFill="0" applyBorder="0" applyAlignment="0" applyProtection="0"/>
    <xf numFmtId="265" fontId="403" fillId="0" borderId="0" applyFont="0" applyFill="0" applyBorder="0" applyAlignment="0" applyProtection="0"/>
    <xf numFmtId="265" fontId="406" fillId="0" borderId="0" applyFont="0" applyFill="0" applyBorder="0" applyAlignment="0" applyProtection="0"/>
    <xf numFmtId="210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59" fontId="17" fillId="0" borderId="0" applyFont="0" applyFill="0" applyBorder="0" applyAlignment="0" applyProtection="0"/>
    <xf numFmtId="359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250" fontId="35" fillId="0" borderId="0" applyFont="0" applyFill="0" applyBorder="0" applyAlignment="0" applyProtection="0"/>
    <xf numFmtId="250" fontId="299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1" fontId="35" fillId="0" borderId="0" applyFont="0" applyFill="0" applyBorder="0" applyAlignment="0" applyProtection="0"/>
    <xf numFmtId="361" fontId="299" fillId="0" borderId="0" applyFont="0" applyFill="0" applyBorder="0" applyAlignment="0" applyProtection="0"/>
    <xf numFmtId="361" fontId="35" fillId="0" borderId="0" applyFont="0" applyFill="0" applyBorder="0" applyAlignment="0" applyProtection="0"/>
    <xf numFmtId="361" fontId="299" fillId="0" borderId="0" applyFont="0" applyFill="0" applyBorder="0" applyAlignment="0" applyProtection="0"/>
    <xf numFmtId="250" fontId="35" fillId="0" borderId="0" applyFont="0" applyFill="0" applyBorder="0" applyAlignment="0" applyProtection="0"/>
    <xf numFmtId="250" fontId="299" fillId="0" borderId="0" applyFont="0" applyFill="0" applyBorder="0" applyAlignment="0" applyProtection="0"/>
    <xf numFmtId="361" fontId="35" fillId="0" borderId="0" applyFont="0" applyFill="0" applyBorder="0" applyAlignment="0" applyProtection="0"/>
    <xf numFmtId="361" fontId="299" fillId="0" borderId="0" applyFont="0" applyFill="0" applyBorder="0" applyAlignment="0" applyProtection="0"/>
    <xf numFmtId="361" fontId="35" fillId="0" borderId="0" applyFont="0" applyFill="0" applyBorder="0" applyAlignment="0" applyProtection="0"/>
    <xf numFmtId="361" fontId="299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360" fontId="17" fillId="0" borderId="0" applyFont="0" applyFill="0" applyBorder="0" applyAlignment="0" applyProtection="0"/>
    <xf numFmtId="0" fontId="399" fillId="0" borderId="0" applyFont="0" applyFill="0" applyBorder="0" applyAlignment="0" applyProtection="0"/>
    <xf numFmtId="0" fontId="402" fillId="0" borderId="0" applyFont="0" applyFill="0" applyBorder="0" applyAlignment="0" applyProtection="0"/>
    <xf numFmtId="0" fontId="407" fillId="0" borderId="0" applyFon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397" fillId="0" borderId="0" applyFont="0" applyFill="0" applyBorder="0" applyAlignment="0" applyProtection="0"/>
    <xf numFmtId="0" fontId="397" fillId="0" borderId="0" applyFont="0" applyFill="0" applyBorder="0" applyAlignment="0" applyProtection="0"/>
    <xf numFmtId="0" fontId="398" fillId="0" borderId="0" applyFont="0" applyFill="0" applyBorder="0" applyAlignment="0" applyProtection="0"/>
    <xf numFmtId="0" fontId="398" fillId="0" borderId="0" applyFont="0" applyFill="0" applyBorder="0" applyAlignment="0" applyProtection="0"/>
    <xf numFmtId="0" fontId="398" fillId="0" borderId="0" applyFont="0" applyFill="0" applyBorder="0" applyAlignment="0" applyProtection="0"/>
    <xf numFmtId="0" fontId="398" fillId="0" borderId="0" applyFont="0" applyFill="0" applyBorder="0" applyAlignment="0" applyProtection="0"/>
    <xf numFmtId="0" fontId="39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08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399" fillId="0" borderId="0" applyFont="0" applyFill="0" applyBorder="0" applyAlignment="0" applyProtection="0"/>
    <xf numFmtId="0" fontId="402" fillId="0" borderId="0" applyFont="0" applyFill="0" applyBorder="0" applyAlignment="0" applyProtection="0"/>
    <xf numFmtId="190" fontId="48" fillId="0" borderId="0" applyFont="0" applyFill="0" applyBorder="0" applyAlignment="0" applyProtection="0"/>
    <xf numFmtId="0" fontId="299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03" fillId="0" borderId="0" applyFont="0" applyFill="0" applyBorder="0" applyAlignment="0" applyProtection="0"/>
    <xf numFmtId="362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299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299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299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299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299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299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4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299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299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363" fontId="35" fillId="0" borderId="0" applyFont="0" applyFill="0" applyBorder="0" applyAlignment="0" applyProtection="0"/>
    <xf numFmtId="36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404" fillId="0" borderId="0" applyFont="0" applyFill="0" applyBorder="0" applyAlignment="0" applyProtection="0"/>
    <xf numFmtId="190" fontId="311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299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365" fontId="50" fillId="0" borderId="0" applyFont="0" applyFill="0" applyBorder="0" applyAlignment="0" applyProtection="0"/>
    <xf numFmtId="190" fontId="35" fillId="0" borderId="0" applyFont="0" applyFill="0" applyBorder="0" applyAlignment="0" applyProtection="0"/>
    <xf numFmtId="363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03" fillId="0" borderId="0" applyFont="0" applyFill="0" applyBorder="0" applyAlignment="0" applyProtection="0"/>
    <xf numFmtId="366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44" fontId="403" fillId="0" borderId="0" applyFont="0" applyFill="0" applyBorder="0" applyAlignment="0" applyProtection="0"/>
    <xf numFmtId="44" fontId="406" fillId="0" borderId="0" applyFont="0" applyFill="0" applyBorder="0" applyAlignment="0" applyProtection="0"/>
    <xf numFmtId="44" fontId="403" fillId="0" borderId="0" applyFont="0" applyFill="0" applyBorder="0" applyAlignment="0" applyProtection="0"/>
    <xf numFmtId="44" fontId="406" fillId="0" borderId="0" applyFont="0" applyFill="0" applyBorder="0" applyAlignment="0" applyProtection="0"/>
    <xf numFmtId="348" fontId="403" fillId="0" borderId="0" applyFont="0" applyFill="0" applyBorder="0" applyAlignment="0" applyProtection="0"/>
    <xf numFmtId="348" fontId="406" fillId="0" borderId="0" applyFont="0" applyFill="0" applyBorder="0" applyAlignment="0" applyProtection="0"/>
    <xf numFmtId="348" fontId="403" fillId="0" borderId="0" applyFont="0" applyFill="0" applyBorder="0" applyAlignment="0" applyProtection="0"/>
    <xf numFmtId="348" fontId="40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368" fontId="17" fillId="0" borderId="0" applyFont="0" applyFill="0" applyBorder="0" applyAlignment="0" applyProtection="0"/>
    <xf numFmtId="368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369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67" fontId="17" fillId="0" borderId="0" applyFont="0" applyFill="0" applyBorder="0" applyAlignment="0" applyProtection="0"/>
    <xf numFmtId="370" fontId="6" fillId="0" borderId="0" applyFont="0" applyFill="0" applyBorder="0" applyAlignment="0" applyProtection="0"/>
    <xf numFmtId="370" fontId="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0" fontId="6" fillId="0" borderId="0" applyFont="0" applyFill="0" applyBorder="0" applyAlignment="0" applyProtection="0"/>
    <xf numFmtId="370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99" fillId="0" borderId="0" applyFont="0" applyFill="0" applyBorder="0" applyAlignment="0" applyProtection="0"/>
    <xf numFmtId="370" fontId="6" fillId="0" borderId="0" applyFont="0" applyFill="0" applyBorder="0" applyAlignment="0" applyProtection="0"/>
    <xf numFmtId="370" fontId="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0" fontId="6" fillId="0" borderId="0" applyFont="0" applyFill="0" applyBorder="0" applyAlignment="0" applyProtection="0"/>
    <xf numFmtId="370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372" fontId="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371" fontId="17" fillId="0" borderId="0" applyFont="0" applyFill="0" applyBorder="0" applyAlignment="0" applyProtection="0"/>
    <xf numFmtId="0" fontId="399" fillId="0" borderId="0" applyFont="0" applyFill="0" applyBorder="0" applyAlignment="0" applyProtection="0"/>
    <xf numFmtId="0" fontId="402" fillId="0" borderId="0" applyFont="0" applyFill="0" applyBorder="0" applyAlignment="0" applyProtection="0"/>
    <xf numFmtId="0" fontId="409" fillId="0" borderId="0" applyFont="0" applyFill="0" applyBorder="0" applyAlignment="0" applyProtection="0"/>
    <xf numFmtId="0" fontId="400" fillId="0" borderId="0" applyFont="0" applyFill="0" applyBorder="0" applyAlignment="0" applyProtection="0"/>
    <xf numFmtId="0" fontId="400" fillId="0" borderId="0" applyFont="0" applyFill="0" applyBorder="0" applyAlignment="0" applyProtection="0"/>
    <xf numFmtId="183" fontId="401" fillId="0" borderId="0" applyFont="0" applyFill="0" applyBorder="0" applyAlignment="0" applyProtection="0"/>
    <xf numFmtId="190" fontId="401" fillId="0" borderId="0" applyFont="0" applyFill="0" applyBorder="0" applyAlignment="0" applyProtection="0"/>
    <xf numFmtId="0" fontId="17" fillId="0" borderId="0"/>
    <xf numFmtId="0" fontId="17" fillId="0" borderId="0"/>
    <xf numFmtId="0" fontId="35" fillId="0" borderId="0"/>
    <xf numFmtId="0" fontId="410" fillId="0" borderId="0"/>
    <xf numFmtId="0" fontId="22" fillId="0" borderId="0">
      <protection locked="0"/>
    </xf>
    <xf numFmtId="195" fontId="48" fillId="0" borderId="0" applyFont="0" applyFill="0" applyBorder="0" applyAlignment="0" applyProtection="0"/>
    <xf numFmtId="0" fontId="29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6" fillId="0" borderId="0" applyFont="0" applyFill="0" applyBorder="0" applyAlignment="0" applyProtection="0"/>
    <xf numFmtId="37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299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299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299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299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299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299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299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299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5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299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195" fontId="50" fillId="0" borderId="0" applyFont="0" applyFill="0" applyBorder="0" applyAlignment="0" applyProtection="0"/>
    <xf numFmtId="376" fontId="35" fillId="0" borderId="0" applyFont="0" applyFill="0" applyBorder="0" applyAlignment="0" applyProtection="0"/>
    <xf numFmtId="376" fontId="50" fillId="0" borderId="0" applyFont="0" applyFill="0" applyBorder="0" applyAlignment="0" applyProtection="0"/>
    <xf numFmtId="195" fontId="35" fillId="0" borderId="0" applyFont="0" applyFill="0" applyBorder="0" applyAlignment="0" applyProtection="0"/>
    <xf numFmtId="374" fontId="50" fillId="0" borderId="0" applyFont="0" applyFill="0" applyBorder="0" applyAlignment="0" applyProtection="0"/>
    <xf numFmtId="374" fontId="35" fillId="0" borderId="0" applyFont="0" applyFill="0" applyBorder="0" applyAlignment="0" applyProtection="0"/>
    <xf numFmtId="31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50" fillId="0" borderId="0" applyFont="0" applyFill="0" applyBorder="0" applyAlignment="0" applyProtection="0"/>
    <xf numFmtId="205" fontId="35" fillId="0" borderId="0" applyFont="0" applyFill="0" applyBorder="0" applyAlignment="0" applyProtection="0"/>
    <xf numFmtId="205" fontId="50" fillId="0" borderId="0" applyFont="0" applyFill="0" applyBorder="0" applyAlignment="0" applyProtection="0"/>
    <xf numFmtId="205" fontId="35" fillId="0" borderId="0" applyFont="0" applyFill="0" applyBorder="0" applyAlignment="0" applyProtection="0"/>
    <xf numFmtId="205" fontId="5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0" fillId="0" borderId="0" applyFont="0" applyFill="0" applyBorder="0" applyAlignment="0" applyProtection="0"/>
    <xf numFmtId="377" fontId="35" fillId="0" borderId="0" applyFont="0" applyFill="0" applyBorder="0" applyAlignment="0" applyProtection="0"/>
    <xf numFmtId="377" fontId="50" fillId="0" borderId="0" applyFont="0" applyFill="0" applyBorder="0" applyAlignment="0" applyProtection="0"/>
    <xf numFmtId="377" fontId="35" fillId="0" borderId="0" applyFont="0" applyFill="0" applyBorder="0" applyAlignment="0" applyProtection="0"/>
    <xf numFmtId="377" fontId="50" fillId="0" borderId="0" applyFont="0" applyFill="0" applyBorder="0" applyAlignment="0" applyProtection="0"/>
    <xf numFmtId="377" fontId="35" fillId="0" borderId="0" applyFont="0" applyFill="0" applyBorder="0" applyAlignment="0" applyProtection="0"/>
    <xf numFmtId="377" fontId="50" fillId="0" borderId="0" applyFont="0" applyFill="0" applyBorder="0" applyAlignment="0" applyProtection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3" fontId="224" fillId="0" borderId="26"/>
    <xf numFmtId="223" fontId="420" fillId="87" borderId="91" applyNumberFormat="0" applyAlignment="0" applyProtection="0"/>
    <xf numFmtId="223" fontId="421" fillId="0" borderId="0" applyNumberFormat="0" applyFill="0" applyBorder="0" applyAlignment="0" applyProtection="0"/>
    <xf numFmtId="223" fontId="422" fillId="0" borderId="92" applyNumberFormat="0" applyFill="0" applyAlignment="0" applyProtection="0"/>
    <xf numFmtId="223" fontId="423" fillId="70" borderId="93" applyNumberFormat="0" applyAlignment="0" applyProtection="0"/>
    <xf numFmtId="223" fontId="423" fillId="70" borderId="93" applyNumberFormat="0" applyAlignment="0" applyProtection="0"/>
    <xf numFmtId="223" fontId="423" fillId="70" borderId="93" applyNumberFormat="0" applyAlignment="0" applyProtection="0"/>
    <xf numFmtId="223" fontId="423" fillId="70" borderId="93" applyNumberFormat="0" applyAlignment="0" applyProtection="0"/>
    <xf numFmtId="223" fontId="423" fillId="70" borderId="93" applyNumberFormat="0" applyAlignment="0" applyProtection="0"/>
    <xf numFmtId="0" fontId="17" fillId="0" borderId="0"/>
    <xf numFmtId="0" fontId="23" fillId="0" borderId="0"/>
    <xf numFmtId="223" fontId="424" fillId="0" borderId="94" applyNumberFormat="0" applyFill="0" applyAlignment="0" applyProtection="0"/>
    <xf numFmtId="223" fontId="425" fillId="88" borderId="0" applyNumberFormat="0" applyBorder="0" applyAlignment="0" applyProtection="0"/>
    <xf numFmtId="223" fontId="425" fillId="89" borderId="0" applyNumberFormat="0" applyBorder="0" applyAlignment="0" applyProtection="0"/>
    <xf numFmtId="223" fontId="425" fillId="90" borderId="0" applyNumberFormat="0" applyBorder="0" applyAlignment="0" applyProtection="0"/>
    <xf numFmtId="223" fontId="425" fillId="60" borderId="0" applyNumberFormat="0" applyBorder="0" applyAlignment="0" applyProtection="0"/>
    <xf numFmtId="223" fontId="425" fillId="88" borderId="0" applyNumberFormat="0" applyBorder="0" applyAlignment="0" applyProtection="0"/>
    <xf numFmtId="223" fontId="425" fillId="89" borderId="0" applyNumberFormat="0" applyBorder="0" applyAlignment="0" applyProtection="0"/>
    <xf numFmtId="0" fontId="426" fillId="0" borderId="0"/>
    <xf numFmtId="223" fontId="427" fillId="0" borderId="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182" fontId="28" fillId="33" borderId="20"/>
    <xf numFmtId="0" fontId="23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428" fillId="0" borderId="0" applyFont="0" applyFill="0" applyBorder="0" applyAlignment="0" applyProtection="0"/>
    <xf numFmtId="223" fontId="17" fillId="0" borderId="0"/>
    <xf numFmtId="41" fontId="428" fillId="0" borderId="0" applyFont="0" applyFill="0" applyBorder="0" applyAlignment="0" applyProtection="0"/>
    <xf numFmtId="0" fontId="87" fillId="0" borderId="0">
      <alignment vertical="top"/>
    </xf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17" fillId="0" borderId="0"/>
    <xf numFmtId="0" fontId="87" fillId="0" borderId="0">
      <alignment vertical="top"/>
    </xf>
    <xf numFmtId="41" fontId="42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 applyFont="0" applyFill="0" applyBorder="0" applyAlignment="0" applyProtection="0"/>
    <xf numFmtId="41" fontId="6" fillId="0" borderId="0"/>
    <xf numFmtId="41" fontId="6" fillId="0" borderId="0"/>
    <xf numFmtId="41" fontId="6" fillId="0" borderId="0"/>
    <xf numFmtId="41" fontId="428" fillId="0" borderId="0" applyFont="0" applyFill="0" applyBorder="0" applyAlignment="0" applyProtection="0"/>
    <xf numFmtId="223" fontId="17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223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23" fontId="17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223" fontId="17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41" fontId="428" fillId="0" borderId="0" applyFont="0" applyFill="0" applyBorder="0" applyAlignment="0" applyProtection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41" fontId="428" fillId="0" borderId="0" applyFont="0" applyFill="0" applyBorder="0" applyAlignment="0" applyProtection="0"/>
    <xf numFmtId="0" fontId="17" fillId="34" borderId="0"/>
    <xf numFmtId="0" fontId="17" fillId="34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17" fillId="0" borderId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 applyFont="0" applyFill="0" applyBorder="0" applyAlignment="0" applyProtection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223" fontId="17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17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223" fontId="23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87" fillId="0" borderId="0">
      <alignment vertical="top"/>
    </xf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17" fillId="0" borderId="0"/>
    <xf numFmtId="41" fontId="428" fillId="0" borderId="0" applyFont="0" applyFill="0" applyBorder="0" applyAlignment="0" applyProtection="0"/>
    <xf numFmtId="0" fontId="17" fillId="0" borderId="0"/>
    <xf numFmtId="41" fontId="428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87" fillId="0" borderId="0">
      <alignment vertical="top"/>
    </xf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7" fillId="0" borderId="0"/>
    <xf numFmtId="0" fontId="17" fillId="0" borderId="0"/>
    <xf numFmtId="41" fontId="428" fillId="0" borderId="0" applyFont="0" applyFill="0" applyBorder="0" applyAlignment="0" applyProtection="0"/>
    <xf numFmtId="0" fontId="17" fillId="0" borderId="0"/>
    <xf numFmtId="0" fontId="17" fillId="0" borderId="0"/>
    <xf numFmtId="41" fontId="42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41" fontId="428" fillId="0" borderId="0" applyFont="0" applyFill="0" applyBorder="0" applyAlignment="0" applyProtection="0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0" fontId="75" fillId="53" borderId="104" applyNumberFormat="0" applyAlignment="0" applyProtection="0">
      <alignment vertical="center"/>
    </xf>
    <xf numFmtId="0" fontId="75" fillId="53" borderId="104" applyNumberFormat="0" applyAlignment="0" applyProtection="0">
      <alignment vertical="center"/>
    </xf>
    <xf numFmtId="179" fontId="75" fillId="53" borderId="104" applyNumberFormat="0" applyAlignment="0" applyProtection="0">
      <alignment vertical="center"/>
    </xf>
    <xf numFmtId="179" fontId="75" fillId="53" borderId="104" applyNumberFormat="0" applyAlignment="0" applyProtection="0">
      <alignment vertical="center"/>
    </xf>
    <xf numFmtId="179" fontId="75" fillId="53" borderId="104" applyNumberFormat="0" applyAlignment="0" applyProtection="0">
      <alignment vertical="center"/>
    </xf>
    <xf numFmtId="179" fontId="75" fillId="53" borderId="104" applyNumberFormat="0" applyAlignment="0" applyProtection="0">
      <alignment vertical="center"/>
    </xf>
    <xf numFmtId="214" fontId="23" fillId="0" borderId="105" applyFill="0" applyBorder="0" applyAlignment="0"/>
    <xf numFmtId="0" fontId="106" fillId="0" borderId="106">
      <alignment horizontal="left" vertical="center"/>
      <protection locked="0"/>
    </xf>
    <xf numFmtId="0" fontId="107" fillId="0" borderId="107">
      <alignment horizontal="left" vertical="center"/>
    </xf>
    <xf numFmtId="0" fontId="107" fillId="0" borderId="107">
      <alignment horizontal="left" vertical="center"/>
    </xf>
    <xf numFmtId="0" fontId="127" fillId="40" borderId="104" applyNumberFormat="0" applyAlignment="0" applyProtection="0">
      <alignment vertical="center"/>
    </xf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0" fontId="127" fillId="40" borderId="104" applyNumberFormat="0" applyAlignment="0" applyProtection="0">
      <alignment vertical="center"/>
    </xf>
    <xf numFmtId="0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0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0" fontId="137" fillId="56" borderId="60">
      <alignment horizontal="left" vertical="top" indent="2"/>
    </xf>
    <xf numFmtId="0" fontId="6" fillId="61" borderId="108" applyNumberFormat="0" applyFont="0" applyAlignment="0" applyProtection="0">
      <alignment vertical="center"/>
    </xf>
    <xf numFmtId="0" fontId="6" fillId="61" borderId="108" applyNumberFormat="0" applyFont="0" applyAlignment="0" applyProtection="0">
      <alignment vertical="center"/>
    </xf>
    <xf numFmtId="179" fontId="6" fillId="61" borderId="108" applyNumberFormat="0" applyFont="0" applyAlignment="0" applyProtection="0">
      <alignment vertical="center"/>
    </xf>
    <xf numFmtId="179" fontId="6" fillId="61" borderId="108" applyNumberFormat="0" applyFont="0" applyAlignment="0" applyProtection="0">
      <alignment vertical="center"/>
    </xf>
    <xf numFmtId="179" fontId="6" fillId="61" borderId="108" applyNumberFormat="0" applyFont="0" applyAlignment="0" applyProtection="0">
      <alignment vertical="center"/>
    </xf>
    <xf numFmtId="179" fontId="6" fillId="61" borderId="108" applyNumberFormat="0" applyFont="0" applyAlignment="0" applyProtection="0">
      <alignment vertical="center"/>
    </xf>
    <xf numFmtId="0" fontId="153" fillId="53" borderId="109" applyNumberFormat="0" applyAlignment="0" applyProtection="0">
      <alignment vertical="center"/>
    </xf>
    <xf numFmtId="0" fontId="153" fillId="53" borderId="109" applyNumberFormat="0" applyAlignment="0" applyProtection="0">
      <alignment vertical="center"/>
    </xf>
    <xf numFmtId="179" fontId="153" fillId="53" borderId="109" applyNumberFormat="0" applyAlignment="0" applyProtection="0">
      <alignment vertical="center"/>
    </xf>
    <xf numFmtId="179" fontId="153" fillId="53" borderId="109" applyNumberFormat="0" applyAlignment="0" applyProtection="0">
      <alignment vertical="center"/>
    </xf>
    <xf numFmtId="179" fontId="153" fillId="53" borderId="109" applyNumberFormat="0" applyAlignment="0" applyProtection="0">
      <alignment vertical="center"/>
    </xf>
    <xf numFmtId="179" fontId="153" fillId="53" borderId="109" applyNumberFormat="0" applyAlignment="0" applyProtection="0">
      <alignment vertical="center"/>
    </xf>
    <xf numFmtId="0" fontId="111" fillId="0" borderId="110"/>
    <xf numFmtId="0" fontId="101" fillId="0" borderId="111" applyFill="0" applyBorder="0" applyProtection="0">
      <alignment horizontal="left" vertical="top"/>
    </xf>
    <xf numFmtId="0" fontId="180" fillId="0" borderId="112" applyNumberFormat="0" applyFill="0" applyAlignment="0" applyProtection="0">
      <alignment vertical="center"/>
    </xf>
    <xf numFmtId="0" fontId="180" fillId="0" borderId="112" applyNumberFormat="0" applyFill="0" applyAlignment="0" applyProtection="0">
      <alignment vertical="center"/>
    </xf>
    <xf numFmtId="179" fontId="180" fillId="0" borderId="112" applyNumberFormat="0" applyFill="0" applyAlignment="0" applyProtection="0">
      <alignment vertical="center"/>
    </xf>
    <xf numFmtId="179" fontId="180" fillId="0" borderId="112" applyNumberFormat="0" applyFill="0" applyAlignment="0" applyProtection="0">
      <alignment vertical="center"/>
    </xf>
    <xf numFmtId="179" fontId="180" fillId="0" borderId="112" applyNumberFormat="0" applyFill="0" applyAlignment="0" applyProtection="0">
      <alignment vertical="center"/>
    </xf>
    <xf numFmtId="179" fontId="180" fillId="0" borderId="112" applyNumberFormat="0" applyFill="0" applyAlignment="0" applyProtection="0">
      <alignment vertical="center"/>
    </xf>
    <xf numFmtId="179" fontId="75" fillId="53" borderId="104" applyNumberFormat="0" applyAlignment="0" applyProtection="0">
      <alignment vertical="center"/>
    </xf>
    <xf numFmtId="0" fontId="194" fillId="53" borderId="104" applyNumberFormat="0" applyAlignment="0" applyProtection="0">
      <alignment vertical="center"/>
    </xf>
    <xf numFmtId="0" fontId="195" fillId="53" borderId="104" applyNumberFormat="0" applyAlignment="0" applyProtection="0">
      <alignment vertical="center"/>
    </xf>
    <xf numFmtId="179" fontId="75" fillId="53" borderId="104" applyNumberFormat="0" applyAlignment="0" applyProtection="0">
      <alignment vertical="center"/>
    </xf>
    <xf numFmtId="0" fontId="75" fillId="53" borderId="104" applyNumberFormat="0" applyAlignment="0" applyProtection="0">
      <alignment vertical="center"/>
    </xf>
    <xf numFmtId="0" fontId="75" fillId="53" borderId="104" applyNumberFormat="0" applyAlignment="0" applyProtection="0">
      <alignment vertical="center"/>
    </xf>
    <xf numFmtId="0" fontId="195" fillId="53" borderId="104" applyNumberFormat="0" applyAlignment="0" applyProtection="0">
      <alignment vertical="center"/>
    </xf>
    <xf numFmtId="0" fontId="194" fillId="53" borderId="104" applyNumberFormat="0" applyAlignment="0" applyProtection="0">
      <alignment vertical="center"/>
    </xf>
    <xf numFmtId="0" fontId="194" fillId="53" borderId="104" applyNumberFormat="0" applyAlignment="0" applyProtection="0">
      <alignment vertical="center"/>
    </xf>
    <xf numFmtId="241" fontId="17" fillId="0" borderId="105">
      <alignment horizontal="right" vertical="center" shrinkToFit="1"/>
    </xf>
    <xf numFmtId="242" fontId="19" fillId="0" borderId="102"/>
    <xf numFmtId="1" fontId="28" fillId="0" borderId="105" applyFill="0" applyBorder="0">
      <alignment horizontal="center"/>
    </xf>
    <xf numFmtId="179" fontId="6" fillId="61" borderId="108" applyNumberFormat="0" applyFont="0" applyAlignment="0" applyProtection="0">
      <alignment vertical="center"/>
    </xf>
    <xf numFmtId="179" fontId="6" fillId="61" borderId="108" applyNumberFormat="0" applyFont="0" applyAlignment="0" applyProtection="0">
      <alignment vertical="center"/>
    </xf>
    <xf numFmtId="0" fontId="6" fillId="61" borderId="108" applyNumberFormat="0" applyFont="0" applyAlignment="0" applyProtection="0">
      <alignment vertical="center"/>
    </xf>
    <xf numFmtId="0" fontId="6" fillId="61" borderId="108" applyNumberFormat="0" applyFont="0" applyAlignment="0" applyProtection="0">
      <alignment vertical="center"/>
    </xf>
    <xf numFmtId="0" fontId="6" fillId="61" borderId="108" applyNumberFormat="0" applyFont="0" applyAlignment="0" applyProtection="0">
      <alignment vertical="center"/>
    </xf>
    <xf numFmtId="247" fontId="19" fillId="0" borderId="102">
      <alignment horizontal="left"/>
    </xf>
    <xf numFmtId="37" fontId="18" fillId="0" borderId="113" applyAlignment="0"/>
    <xf numFmtId="214" fontId="219" fillId="56" borderId="105">
      <alignment horizontal="right" vertical="center"/>
      <protection locked="0"/>
    </xf>
    <xf numFmtId="179" fontId="180" fillId="0" borderId="112" applyNumberFormat="0" applyFill="0" applyAlignment="0" applyProtection="0">
      <alignment vertical="center"/>
    </xf>
    <xf numFmtId="0" fontId="229" fillId="0" borderId="112" applyNumberFormat="0" applyFill="0" applyAlignment="0" applyProtection="0">
      <alignment vertical="center"/>
    </xf>
    <xf numFmtId="0" fontId="230" fillId="0" borderId="112" applyNumberFormat="0" applyFill="0" applyAlignment="0" applyProtection="0">
      <alignment vertical="center"/>
    </xf>
    <xf numFmtId="179" fontId="180" fillId="0" borderId="112" applyNumberFormat="0" applyFill="0" applyAlignment="0" applyProtection="0">
      <alignment vertical="center"/>
    </xf>
    <xf numFmtId="0" fontId="180" fillId="0" borderId="112" applyNumberFormat="0" applyFill="0" applyAlignment="0" applyProtection="0">
      <alignment vertical="center"/>
    </xf>
    <xf numFmtId="0" fontId="180" fillId="0" borderId="112" applyNumberFormat="0" applyFill="0" applyAlignment="0" applyProtection="0">
      <alignment vertical="center"/>
    </xf>
    <xf numFmtId="0" fontId="230" fillId="0" borderId="112" applyNumberFormat="0" applyFill="0" applyAlignment="0" applyProtection="0">
      <alignment vertical="center"/>
    </xf>
    <xf numFmtId="0" fontId="229" fillId="0" borderId="112" applyNumberFormat="0" applyFill="0" applyAlignment="0" applyProtection="0">
      <alignment vertical="center"/>
    </xf>
    <xf numFmtId="0" fontId="229" fillId="0" borderId="112" applyNumberFormat="0" applyFill="0" applyAlignment="0" applyProtection="0">
      <alignment vertical="center"/>
    </xf>
    <xf numFmtId="0" fontId="18" fillId="0" borderId="114">
      <alignment vertical="justify" wrapText="1"/>
    </xf>
    <xf numFmtId="247" fontId="19" fillId="0" borderId="102">
      <alignment horizontal="left"/>
    </xf>
    <xf numFmtId="179" fontId="127" fillId="40" borderId="104" applyNumberFormat="0" applyAlignment="0" applyProtection="0">
      <alignment vertical="center"/>
    </xf>
    <xf numFmtId="0" fontId="233" fillId="40" borderId="104" applyNumberFormat="0" applyAlignment="0" applyProtection="0">
      <alignment vertical="center"/>
    </xf>
    <xf numFmtId="0" fontId="234" fillId="40" borderId="104" applyNumberFormat="0" applyAlignment="0" applyProtection="0">
      <alignment vertical="center"/>
    </xf>
    <xf numFmtId="179" fontId="127" fillId="40" borderId="104" applyNumberFormat="0" applyAlignment="0" applyProtection="0">
      <alignment vertical="center"/>
    </xf>
    <xf numFmtId="0" fontId="127" fillId="40" borderId="104" applyNumberFormat="0" applyAlignment="0" applyProtection="0">
      <alignment vertical="center"/>
    </xf>
    <xf numFmtId="0" fontId="127" fillId="40" borderId="104" applyNumberFormat="0" applyAlignment="0" applyProtection="0">
      <alignment vertical="center"/>
    </xf>
    <xf numFmtId="0" fontId="234" fillId="40" borderId="104" applyNumberFormat="0" applyAlignment="0" applyProtection="0">
      <alignment vertical="center"/>
    </xf>
    <xf numFmtId="0" fontId="233" fillId="40" borderId="104" applyNumberFormat="0" applyAlignment="0" applyProtection="0">
      <alignment vertical="center"/>
    </xf>
    <xf numFmtId="0" fontId="233" fillId="40" borderId="104" applyNumberFormat="0" applyAlignment="0" applyProtection="0">
      <alignment vertical="center"/>
    </xf>
    <xf numFmtId="260" fontId="23" fillId="0" borderId="105">
      <alignment horizontal="left" vertical="center"/>
    </xf>
    <xf numFmtId="179" fontId="153" fillId="53" borderId="109" applyNumberFormat="0" applyAlignment="0" applyProtection="0">
      <alignment vertical="center"/>
    </xf>
    <xf numFmtId="0" fontId="245" fillId="53" borderId="109" applyNumberFormat="0" applyAlignment="0" applyProtection="0">
      <alignment vertical="center"/>
    </xf>
    <xf numFmtId="0" fontId="246" fillId="53" borderId="109" applyNumberFormat="0" applyAlignment="0" applyProtection="0">
      <alignment vertical="center"/>
    </xf>
    <xf numFmtId="179" fontId="153" fillId="53" borderId="109" applyNumberFormat="0" applyAlignment="0" applyProtection="0">
      <alignment vertical="center"/>
    </xf>
    <xf numFmtId="0" fontId="153" fillId="53" borderId="109" applyNumberFormat="0" applyAlignment="0" applyProtection="0">
      <alignment vertical="center"/>
    </xf>
    <xf numFmtId="0" fontId="153" fillId="53" borderId="109" applyNumberFormat="0" applyAlignment="0" applyProtection="0">
      <alignment vertical="center"/>
    </xf>
    <xf numFmtId="0" fontId="246" fillId="53" borderId="109" applyNumberFormat="0" applyAlignment="0" applyProtection="0">
      <alignment vertical="center"/>
    </xf>
    <xf numFmtId="0" fontId="245" fillId="53" borderId="109" applyNumberFormat="0" applyAlignment="0" applyProtection="0">
      <alignment vertical="center"/>
    </xf>
    <xf numFmtId="0" fontId="245" fillId="53" borderId="109" applyNumberFormat="0" applyAlignment="0" applyProtection="0">
      <alignment vertical="center"/>
    </xf>
    <xf numFmtId="0" fontId="23" fillId="0" borderId="102">
      <alignment vertical="center" shrinkToFit="1"/>
    </xf>
    <xf numFmtId="37" fontId="19" fillId="0" borderId="102"/>
    <xf numFmtId="3" fontId="224" fillId="0" borderId="105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3" fontId="224" fillId="0" borderId="105"/>
    <xf numFmtId="3" fontId="224" fillId="0" borderId="105"/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71" fontId="194" fillId="53" borderId="104" applyNumberFormat="0" applyAlignment="0" applyProtection="0">
      <alignment vertical="center"/>
    </xf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14" fontId="23" fillId="0" borderId="105" applyFill="0" applyBorder="0" applyAlignment="0"/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271" fontId="106" fillId="0" borderId="106">
      <alignment horizontal="left" vertical="center"/>
      <protection locked="0"/>
    </xf>
    <xf numFmtId="0" fontId="110" fillId="74" borderId="115"/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271" fontId="107" fillId="0" borderId="107">
      <alignment horizontal="left" vertical="center"/>
    </xf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10" fontId="63" fillId="56" borderId="105" applyNumberFormat="0" applyBorder="0" applyAlignment="0" applyProtection="0"/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233" fillId="40" borderId="104" applyNumberForma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245" fillId="53" borderId="109" applyNumberFormat="0" applyAlignment="0" applyProtection="0">
      <alignment vertical="center"/>
    </xf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11" fillId="0" borderId="110"/>
    <xf numFmtId="271" fontId="101" fillId="0" borderId="111" applyFill="0" applyBorder="0" applyProtection="0">
      <alignment horizontal="left" vertical="top"/>
    </xf>
    <xf numFmtId="271" fontId="101" fillId="0" borderId="111" applyFill="0" applyBorder="0" applyProtection="0">
      <alignment horizontal="left" vertical="top"/>
    </xf>
    <xf numFmtId="271" fontId="101" fillId="0" borderId="111" applyFill="0" applyBorder="0" applyProtection="0">
      <alignment horizontal="left" vertical="top"/>
    </xf>
    <xf numFmtId="271" fontId="101" fillId="0" borderId="111" applyFill="0" applyBorder="0" applyProtection="0">
      <alignment horizontal="left" vertical="top"/>
    </xf>
    <xf numFmtId="271" fontId="101" fillId="0" borderId="111" applyFill="0" applyBorder="0" applyProtection="0">
      <alignment horizontal="left" vertical="top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229" fillId="0" borderId="112" applyNumberFormat="0" applyFill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71" fontId="353" fillId="53" borderId="104" applyNumberFormat="0" applyAlignment="0" applyProtection="0">
      <alignment vertical="center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241" fontId="17" fillId="0" borderId="105">
      <alignment horizontal="right" vertical="center" shrinkToFit="1"/>
    </xf>
    <xf numFmtId="37" fontId="19" fillId="0" borderId="102"/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1" fontId="28" fillId="0" borderId="105" applyFill="0" applyBorder="0">
      <alignment horizont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71" fontId="6" fillId="61" borderId="108" applyNumberFormat="0" applyFont="0" applyAlignment="0" applyProtection="0">
      <alignment vertical="center"/>
    </xf>
    <xf numFmtId="247" fontId="19" fillId="0" borderId="102">
      <alignment horizontal="left"/>
    </xf>
    <xf numFmtId="247" fontId="19" fillId="0" borderId="102">
      <alignment horizontal="left"/>
    </xf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37" fontId="18" fillId="0" borderId="113" applyAlignment="0"/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14" fontId="219" fillId="56" borderId="105">
      <alignment horizontal="right" vertical="center"/>
      <protection locked="0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355" fillId="0" borderId="112" applyNumberFormat="0" applyFill="0" applyAlignment="0" applyProtection="0">
      <alignment vertical="center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71" fontId="18" fillId="0" borderId="114">
      <alignment vertical="justify" wrapText="1"/>
    </xf>
    <xf numFmtId="247" fontId="19" fillId="0" borderId="102">
      <alignment horizontal="left"/>
    </xf>
    <xf numFmtId="247" fontId="19" fillId="0" borderId="102">
      <alignment horizontal="left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71" fontId="356" fillId="40" borderId="104" applyNumberFormat="0" applyAlignment="0" applyProtection="0">
      <alignment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60" fontId="23" fillId="0" borderId="105">
      <alignment horizontal="left"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357" fillId="53" borderId="109" applyNumberFormat="0" applyAlignment="0" applyProtection="0">
      <alignment vertical="center"/>
    </xf>
    <xf numFmtId="271" fontId="23" fillId="0" borderId="102">
      <alignment vertical="center" shrinkToFit="1"/>
    </xf>
    <xf numFmtId="271" fontId="23" fillId="0" borderId="102">
      <alignment vertical="center" shrinkToFit="1"/>
    </xf>
    <xf numFmtId="271" fontId="23" fillId="0" borderId="102">
      <alignment vertical="center" shrinkToFit="1"/>
    </xf>
    <xf numFmtId="271" fontId="23" fillId="0" borderId="102">
      <alignment vertical="center" shrinkToFit="1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9" fontId="6" fillId="0" borderId="116" applyFill="0" applyBorder="0" applyAlignment="0">
      <alignment horizontal="center" vertical="center"/>
    </xf>
    <xf numFmtId="241" fontId="17" fillId="0" borderId="105">
      <alignment horizontal="right" vertical="center"/>
    </xf>
    <xf numFmtId="241" fontId="17" fillId="0" borderId="105">
      <alignment horizontal="right" vertical="center"/>
    </xf>
    <xf numFmtId="241" fontId="17" fillId="0" borderId="105">
      <alignment horizontal="right" vertical="center"/>
    </xf>
    <xf numFmtId="241" fontId="17" fillId="0" borderId="105">
      <alignment horizontal="right" vertical="center"/>
    </xf>
    <xf numFmtId="241" fontId="17" fillId="0" borderId="105">
      <alignment horizontal="right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0" fontId="28" fillId="0" borderId="117">
      <alignment horizontal="center" vertical="center"/>
    </xf>
    <xf numFmtId="49" fontId="394" fillId="0" borderId="111" applyBorder="0">
      <alignment vertical="center"/>
    </xf>
    <xf numFmtId="49" fontId="394" fillId="0" borderId="111" applyBorder="0">
      <alignment vertical="center"/>
    </xf>
    <xf numFmtId="3" fontId="224" fillId="0" borderId="105"/>
    <xf numFmtId="223" fontId="423" fillId="70" borderId="118" applyNumberFormat="0" applyAlignment="0" applyProtection="0"/>
    <xf numFmtId="223" fontId="423" fillId="70" borderId="118" applyNumberFormat="0" applyAlignment="0" applyProtection="0"/>
    <xf numFmtId="223" fontId="423" fillId="70" borderId="118" applyNumberFormat="0" applyAlignment="0" applyProtection="0"/>
    <xf numFmtId="223" fontId="423" fillId="70" borderId="118" applyNumberFormat="0" applyAlignment="0" applyProtection="0"/>
    <xf numFmtId="223" fontId="423" fillId="70" borderId="118" applyNumberFormat="0" applyAlignment="0" applyProtection="0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182" fontId="28" fillId="33" borderId="103"/>
    <xf numFmtId="41" fontId="17" fillId="0" borderId="0">
      <alignment vertical="top"/>
    </xf>
    <xf numFmtId="41" fontId="2" fillId="0" borderId="0" applyFont="0" applyFill="0" applyBorder="0" applyAlignment="0" applyProtection="0">
      <alignment vertical="center"/>
    </xf>
    <xf numFmtId="0" fontId="251" fillId="0" borderId="0"/>
    <xf numFmtId="0" fontId="2" fillId="0" borderId="0">
      <alignment vertical="center"/>
    </xf>
    <xf numFmtId="0" fontId="43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51" fillId="0" borderId="0"/>
    <xf numFmtId="0" fontId="87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7" fillId="0" borderId="0">
      <alignment vertical="top"/>
    </xf>
    <xf numFmtId="0" fontId="43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3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12" fillId="0" borderId="0">
      <alignment vertical="center"/>
    </xf>
    <xf numFmtId="205" fontId="2" fillId="0" borderId="0" applyFont="0" applyFill="0" applyBorder="0" applyAlignment="0" applyProtection="0">
      <alignment vertical="center"/>
    </xf>
    <xf numFmtId="205" fontId="6" fillId="0" borderId="0" applyFont="0" applyFill="0" applyBorder="0" applyAlignment="0" applyProtection="0">
      <alignment vertical="center"/>
    </xf>
  </cellStyleXfs>
  <cellXfs count="560">
    <xf numFmtId="0" fontId="0" fillId="0" borderId="0" xfId="0">
      <alignment vertical="center"/>
    </xf>
    <xf numFmtId="0" fontId="361" fillId="0" borderId="0" xfId="0" applyFont="1">
      <alignment vertical="center"/>
    </xf>
    <xf numFmtId="0" fontId="362" fillId="0" borderId="0" xfId="4" applyFont="1" applyAlignment="1">
      <alignment horizontal="left" vertical="center"/>
    </xf>
    <xf numFmtId="41" fontId="363" fillId="0" borderId="0" xfId="1" applyFont="1" applyAlignment="1">
      <alignment vertical="center"/>
    </xf>
    <xf numFmtId="0" fontId="364" fillId="0" borderId="0" xfId="0" applyFont="1">
      <alignment vertical="center"/>
    </xf>
    <xf numFmtId="0" fontId="364" fillId="0" borderId="0" xfId="0" applyFont="1" applyAlignment="1"/>
    <xf numFmtId="0" fontId="365" fillId="79" borderId="0" xfId="0" applyFont="1" applyFill="1" applyAlignment="1">
      <alignment horizontal="left" vertical="center" indent="1"/>
    </xf>
    <xf numFmtId="0" fontId="363" fillId="0" borderId="0" xfId="0" applyFont="1" applyAlignment="1">
      <alignment horizontal="left" vertical="center" indent="1"/>
    </xf>
    <xf numFmtId="0" fontId="366" fillId="0" borderId="0" xfId="0" applyFont="1" applyAlignment="1">
      <alignment horizontal="center" vertical="center"/>
    </xf>
    <xf numFmtId="0" fontId="367" fillId="0" borderId="0" xfId="4" applyFont="1" applyAlignment="1">
      <alignment horizontal="left" vertical="center" indent="2"/>
    </xf>
    <xf numFmtId="0" fontId="363" fillId="0" borderId="0" xfId="0" applyFont="1" applyAlignment="1">
      <alignment horizontal="left" vertical="center" indent="2"/>
    </xf>
    <xf numFmtId="0" fontId="9" fillId="0" borderId="0" xfId="0" applyFont="1">
      <alignment vertical="center"/>
    </xf>
    <xf numFmtId="0" fontId="366" fillId="0" borderId="0" xfId="0" applyFont="1" applyAlignment="1"/>
    <xf numFmtId="0" fontId="368" fillId="0" borderId="0" xfId="0" applyFont="1" applyAlignment="1">
      <alignment horizontal="left" vertical="center" indent="2"/>
    </xf>
    <xf numFmtId="41" fontId="9" fillId="0" borderId="0" xfId="1" applyFont="1" applyBorder="1" applyAlignment="1">
      <alignment vertical="center"/>
    </xf>
    <xf numFmtId="41" fontId="9" fillId="0" borderId="0" xfId="0" applyNumberFormat="1" applyFont="1">
      <alignment vertical="center"/>
    </xf>
    <xf numFmtId="177" fontId="371" fillId="81" borderId="61" xfId="5" applyNumberFormat="1" applyFont="1" applyFill="1" applyBorder="1" applyAlignment="1">
      <alignment horizontal="centerContinuous" vertical="center"/>
    </xf>
    <xf numFmtId="177" fontId="371" fillId="81" borderId="62" xfId="5" applyNumberFormat="1" applyFont="1" applyFill="1" applyBorder="1" applyAlignment="1">
      <alignment horizontal="centerContinuous" vertical="center"/>
    </xf>
    <xf numFmtId="177" fontId="371" fillId="81" borderId="62" xfId="5" applyNumberFormat="1" applyFont="1" applyFill="1" applyBorder="1" applyAlignment="1">
      <alignment horizontal="centerContinuous" vertical="center" shrinkToFit="1"/>
    </xf>
    <xf numFmtId="177" fontId="371" fillId="81" borderId="63" xfId="5" applyNumberFormat="1" applyFont="1" applyFill="1" applyBorder="1" applyAlignment="1">
      <alignment horizontal="centerContinuous" vertical="center" shrinkToFit="1"/>
    </xf>
    <xf numFmtId="177" fontId="371" fillId="81" borderId="64" xfId="5" applyNumberFormat="1" applyFont="1" applyFill="1" applyBorder="1" applyAlignment="1">
      <alignment horizontal="center" vertical="center"/>
    </xf>
    <xf numFmtId="177" fontId="371" fillId="81" borderId="65" xfId="5" applyNumberFormat="1" applyFont="1" applyFill="1" applyBorder="1" applyAlignment="1">
      <alignment horizontal="center" vertical="center"/>
    </xf>
    <xf numFmtId="177" fontId="371" fillId="81" borderId="66" xfId="5" applyNumberFormat="1" applyFont="1" applyFill="1" applyBorder="1" applyAlignment="1">
      <alignment horizontal="center" vertical="center"/>
    </xf>
    <xf numFmtId="177" fontId="372" fillId="82" borderId="16" xfId="5" applyNumberFormat="1" applyFont="1" applyFill="1" applyBorder="1" applyAlignment="1">
      <alignment horizontal="center" vertical="center" wrapText="1"/>
    </xf>
    <xf numFmtId="177" fontId="373" fillId="82" borderId="17" xfId="17480" applyNumberFormat="1" applyFont="1" applyFill="1" applyBorder="1" applyAlignment="1">
      <alignment horizontal="center" vertical="center" wrapText="1"/>
    </xf>
    <xf numFmtId="177" fontId="372" fillId="82" borderId="17" xfId="5" applyNumberFormat="1" applyFont="1" applyFill="1" applyBorder="1" applyAlignment="1">
      <alignment horizontal="center" vertical="center" wrapText="1"/>
    </xf>
    <xf numFmtId="177" fontId="372" fillId="82" borderId="67" xfId="5" applyNumberFormat="1" applyFont="1" applyFill="1" applyBorder="1" applyAlignment="1">
      <alignment horizontal="center" vertical="center" wrapText="1"/>
    </xf>
    <xf numFmtId="177" fontId="372" fillId="82" borderId="67" xfId="5" applyNumberFormat="1" applyFont="1" applyFill="1" applyBorder="1" applyAlignment="1">
      <alignment horizontal="center" vertical="center" shrinkToFit="1"/>
    </xf>
    <xf numFmtId="177" fontId="372" fillId="82" borderId="68" xfId="5" applyNumberFormat="1" applyFont="1" applyFill="1" applyBorder="1" applyAlignment="1">
      <alignment horizontal="center" vertical="center" wrapText="1"/>
    </xf>
    <xf numFmtId="177" fontId="372" fillId="82" borderId="18" xfId="5" applyNumberFormat="1" applyFont="1" applyFill="1" applyBorder="1" applyAlignment="1">
      <alignment horizontal="center" vertical="center" shrinkToFit="1"/>
    </xf>
    <xf numFmtId="41" fontId="373" fillId="0" borderId="19" xfId="1" applyFont="1" applyFill="1" applyBorder="1" applyAlignment="1">
      <alignment horizontal="center" vertical="center"/>
    </xf>
    <xf numFmtId="41" fontId="373" fillId="0" borderId="3" xfId="1" applyFont="1" applyFill="1" applyBorder="1" applyAlignment="1">
      <alignment horizontal="center" vertical="center"/>
    </xf>
    <xf numFmtId="41" fontId="373" fillId="0" borderId="71" xfId="1" applyFont="1" applyFill="1" applyBorder="1" applyAlignment="1">
      <alignment horizontal="left" vertical="center" shrinkToFit="1"/>
    </xf>
    <xf numFmtId="0" fontId="364" fillId="0" borderId="0" xfId="0" applyFont="1" applyAlignment="1">
      <alignment horizontal="left" vertical="center"/>
    </xf>
    <xf numFmtId="177" fontId="376" fillId="0" borderId="0" xfId="7" applyNumberFormat="1" applyFont="1" applyFill="1" applyBorder="1" applyAlignment="1">
      <alignment horizontal="left" indent="1"/>
    </xf>
    <xf numFmtId="0" fontId="9" fillId="0" borderId="0" xfId="0" applyFont="1" applyAlignment="1">
      <alignment horizontal="left" vertical="center"/>
    </xf>
    <xf numFmtId="177" fontId="371" fillId="81" borderId="63" xfId="5" applyNumberFormat="1" applyFont="1" applyFill="1" applyBorder="1" applyAlignment="1">
      <alignment horizontal="centerContinuous" vertical="center"/>
    </xf>
    <xf numFmtId="177" fontId="372" fillId="82" borderId="18" xfId="5" applyNumberFormat="1" applyFont="1" applyFill="1" applyBorder="1" applyAlignment="1">
      <alignment horizontal="center" vertical="center" wrapText="1"/>
    </xf>
    <xf numFmtId="177" fontId="383" fillId="0" borderId="0" xfId="17481" applyNumberFormat="1" applyFont="1" applyAlignment="1">
      <alignment horizontal="center" vertical="center" wrapText="1"/>
    </xf>
    <xf numFmtId="177" fontId="383" fillId="0" borderId="0" xfId="7" applyNumberFormat="1" applyFont="1" applyFill="1" applyBorder="1" applyAlignment="1">
      <alignment horizontal="center" vertical="center"/>
    </xf>
    <xf numFmtId="177" fontId="383" fillId="0" borderId="0" xfId="17481" applyNumberFormat="1" applyFont="1" applyAlignment="1">
      <alignment vertical="center"/>
    </xf>
    <xf numFmtId="177" fontId="383" fillId="0" borderId="0" xfId="17481" applyNumberFormat="1" applyFont="1" applyAlignment="1">
      <alignment horizontal="center" vertical="center"/>
    </xf>
    <xf numFmtId="49" fontId="383" fillId="0" borderId="0" xfId="7" applyNumberFormat="1" applyFont="1" applyFill="1" applyBorder="1" applyAlignment="1">
      <alignment horizontal="center" vertical="center"/>
    </xf>
    <xf numFmtId="14" fontId="383" fillId="0" borderId="0" xfId="7" applyNumberFormat="1" applyFont="1" applyFill="1" applyBorder="1" applyAlignment="1">
      <alignment horizontal="center" vertical="center"/>
    </xf>
    <xf numFmtId="177" fontId="383" fillId="0" borderId="0" xfId="7" applyNumberFormat="1" applyFont="1" applyFill="1" applyBorder="1" applyAlignment="1">
      <alignment vertical="center"/>
    </xf>
    <xf numFmtId="0" fontId="372" fillId="0" borderId="0" xfId="0" applyFont="1">
      <alignment vertical="center"/>
    </xf>
    <xf numFmtId="177" fontId="371" fillId="81" borderId="61" xfId="11" applyNumberFormat="1" applyFont="1" applyFill="1" applyBorder="1" applyAlignment="1">
      <alignment horizontal="centerContinuous" vertical="center"/>
    </xf>
    <xf numFmtId="177" fontId="371" fillId="81" borderId="62" xfId="11" applyNumberFormat="1" applyFont="1" applyFill="1" applyBorder="1" applyAlignment="1">
      <alignment horizontal="centerContinuous" vertical="center"/>
    </xf>
    <xf numFmtId="177" fontId="371" fillId="81" borderId="63" xfId="11" applyNumberFormat="1" applyFont="1" applyFill="1" applyBorder="1" applyAlignment="1">
      <alignment horizontal="centerContinuous" vertical="center"/>
    </xf>
    <xf numFmtId="177" fontId="371" fillId="81" borderId="64" xfId="11" applyNumberFormat="1" applyFont="1" applyFill="1" applyBorder="1" applyAlignment="1">
      <alignment horizontal="center" vertical="center"/>
    </xf>
    <xf numFmtId="177" fontId="372" fillId="82" borderId="16" xfId="11" applyNumberFormat="1" applyFont="1" applyFill="1" applyBorder="1" applyAlignment="1">
      <alignment horizontal="center" vertical="center" wrapText="1"/>
    </xf>
    <xf numFmtId="177" fontId="372" fillId="82" borderId="17" xfId="11" applyNumberFormat="1" applyFont="1" applyFill="1" applyBorder="1" applyAlignment="1">
      <alignment horizontal="center" vertical="center" wrapText="1"/>
    </xf>
    <xf numFmtId="177" fontId="372" fillId="82" borderId="18" xfId="11" applyNumberFormat="1" applyFont="1" applyFill="1" applyBorder="1" applyAlignment="1">
      <alignment horizontal="center" vertical="center" wrapText="1"/>
    </xf>
    <xf numFmtId="9" fontId="372" fillId="0" borderId="73" xfId="17479" applyFont="1" applyFill="1" applyBorder="1" applyAlignment="1">
      <alignment horizontal="center" vertical="center"/>
    </xf>
    <xf numFmtId="177" fontId="372" fillId="0" borderId="73" xfId="7" applyNumberFormat="1" applyFont="1" applyFill="1" applyBorder="1" applyAlignment="1">
      <alignment horizontal="center" vertical="center"/>
    </xf>
    <xf numFmtId="41" fontId="372" fillId="0" borderId="73" xfId="1" applyFont="1" applyFill="1" applyBorder="1" applyAlignment="1">
      <alignment horizontal="center" vertical="center"/>
    </xf>
    <xf numFmtId="41" fontId="372" fillId="0" borderId="73" xfId="1" applyFont="1" applyFill="1" applyBorder="1" applyAlignment="1">
      <alignment vertical="center"/>
    </xf>
    <xf numFmtId="14" fontId="366" fillId="0" borderId="0" xfId="0" applyNumberFormat="1" applyFont="1" applyAlignment="1">
      <alignment horizontal="center" vertical="center"/>
    </xf>
    <xf numFmtId="0" fontId="377" fillId="0" borderId="0" xfId="0" applyFont="1">
      <alignment vertical="center"/>
    </xf>
    <xf numFmtId="0" fontId="378" fillId="0" borderId="0" xfId="0" applyFont="1" applyAlignment="1">
      <alignment horizontal="left" vertical="center" indent="2"/>
    </xf>
    <xf numFmtId="41" fontId="366" fillId="0" borderId="0" xfId="0" applyNumberFormat="1" applyFont="1" applyAlignment="1"/>
    <xf numFmtId="177" fontId="372" fillId="80" borderId="17" xfId="5" applyNumberFormat="1" applyFont="1" applyFill="1" applyBorder="1" applyAlignment="1">
      <alignment horizontal="center" vertical="center" wrapText="1"/>
    </xf>
    <xf numFmtId="0" fontId="374" fillId="0" borderId="0" xfId="0" applyFont="1" applyAlignment="1"/>
    <xf numFmtId="0" fontId="361" fillId="0" borderId="0" xfId="0" applyFont="1" applyAlignment="1">
      <alignment vertical="center" shrinkToFit="1"/>
    </xf>
    <xf numFmtId="0" fontId="364" fillId="0" borderId="0" xfId="0" applyFont="1" applyAlignment="1">
      <alignment vertical="center" shrinkToFit="1"/>
    </xf>
    <xf numFmtId="0" fontId="10" fillId="0" borderId="0" xfId="0" applyFont="1" applyAlignment="1"/>
    <xf numFmtId="0" fontId="8" fillId="0" borderId="0" xfId="0" applyFont="1" applyAlignment="1">
      <alignment horizontal="center" vertical="center" wrapText="1"/>
    </xf>
    <xf numFmtId="0" fontId="375" fillId="0" borderId="0" xfId="0" applyFont="1">
      <alignment vertical="center"/>
    </xf>
    <xf numFmtId="0" fontId="375" fillId="0" borderId="0" xfId="0" applyFont="1" applyAlignment="1">
      <alignment vertical="center" shrinkToFit="1"/>
    </xf>
    <xf numFmtId="177" fontId="372" fillId="80" borderId="17" xfId="11" applyNumberFormat="1" applyFont="1" applyFill="1" applyBorder="1" applyAlignment="1">
      <alignment horizontal="center" vertical="center" wrapText="1"/>
    </xf>
    <xf numFmtId="0" fontId="373" fillId="80" borderId="17" xfId="0" applyFont="1" applyFill="1" applyBorder="1" applyAlignment="1">
      <alignment horizontal="center" vertical="center" wrapText="1"/>
    </xf>
    <xf numFmtId="177" fontId="372" fillId="80" borderId="67" xfId="5" applyNumberFormat="1" applyFont="1" applyFill="1" applyBorder="1" applyAlignment="1">
      <alignment horizontal="center" vertical="center" wrapText="1"/>
    </xf>
    <xf numFmtId="41" fontId="8" fillId="0" borderId="0" xfId="1" applyFont="1" applyFill="1" applyBorder="1" applyAlignme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77" fontId="9" fillId="0" borderId="0" xfId="5" applyNumberFormat="1" applyFont="1">
      <alignment vertical="center"/>
    </xf>
    <xf numFmtId="177" fontId="9" fillId="0" borderId="0" xfId="5" applyNumberFormat="1" applyFont="1" applyAlignment="1">
      <alignment horizontal="center" vertical="center"/>
    </xf>
    <xf numFmtId="177" fontId="364" fillId="0" borderId="0" xfId="7" applyNumberFormat="1" applyFont="1" applyAlignment="1">
      <alignment horizontal="center" vertical="center"/>
    </xf>
    <xf numFmtId="177" fontId="378" fillId="0" borderId="0" xfId="7" applyNumberFormat="1" applyFont="1" applyFill="1" applyBorder="1" applyAlignment="1">
      <alignment horizontal="left" indent="1"/>
    </xf>
    <xf numFmtId="177" fontId="364" fillId="0" borderId="0" xfId="7" applyNumberFormat="1" applyFont="1" applyAlignment="1">
      <alignment vertical="center"/>
    </xf>
    <xf numFmtId="49" fontId="364" fillId="0" borderId="0" xfId="7" applyNumberFormat="1" applyFont="1" applyAlignment="1">
      <alignment vertical="center" shrinkToFit="1"/>
    </xf>
    <xf numFmtId="177" fontId="364" fillId="0" borderId="0" xfId="5" applyNumberFormat="1" applyFont="1">
      <alignment vertical="center"/>
    </xf>
    <xf numFmtId="0" fontId="364" fillId="0" borderId="0" xfId="7" applyNumberFormat="1" applyFont="1" applyAlignment="1">
      <alignment horizontal="center" vertical="center"/>
    </xf>
    <xf numFmtId="378" fontId="364" fillId="0" borderId="0" xfId="7" applyNumberFormat="1" applyFont="1" applyAlignment="1">
      <alignment horizontal="center" vertical="center"/>
    </xf>
    <xf numFmtId="177" fontId="364" fillId="0" borderId="0" xfId="7" applyNumberFormat="1" applyFont="1" applyFill="1" applyAlignment="1">
      <alignment horizontal="center" vertical="center"/>
    </xf>
    <xf numFmtId="0" fontId="364" fillId="0" borderId="0" xfId="7" applyNumberFormat="1" applyFont="1" applyFill="1" applyAlignment="1">
      <alignment horizontal="center" vertical="center"/>
    </xf>
    <xf numFmtId="177" fontId="364" fillId="0" borderId="0" xfId="7" applyNumberFormat="1" applyFont="1" applyFill="1" applyBorder="1" applyAlignment="1">
      <alignment vertical="center"/>
    </xf>
    <xf numFmtId="177" fontId="15" fillId="0" borderId="0" xfId="7" applyNumberFormat="1" applyFont="1" applyFill="1" applyBorder="1" applyAlignment="1">
      <alignment vertical="center"/>
    </xf>
    <xf numFmtId="177" fontId="364" fillId="0" borderId="0" xfId="7" applyNumberFormat="1" applyFont="1" applyFill="1" applyBorder="1" applyAlignment="1">
      <alignment horizontal="right" vertical="center"/>
    </xf>
    <xf numFmtId="177" fontId="364" fillId="0" borderId="0" xfId="7" applyNumberFormat="1" applyFont="1" applyFill="1" applyBorder="1" applyAlignment="1">
      <alignment horizontal="center" vertical="center"/>
    </xf>
    <xf numFmtId="177" fontId="15" fillId="0" borderId="0" xfId="7" applyNumberFormat="1" applyFont="1" applyFill="1" applyBorder="1" applyAlignment="1">
      <alignment horizontal="center" vertical="center"/>
    </xf>
    <xf numFmtId="177" fontId="411" fillId="0" borderId="0" xfId="7" applyNumberFormat="1" applyFont="1" applyFill="1" applyAlignment="1">
      <alignment vertical="center"/>
    </xf>
    <xf numFmtId="177" fontId="15" fillId="0" borderId="0" xfId="7" applyNumberFormat="1" applyFont="1" applyAlignment="1">
      <alignment horizontal="center" vertical="center"/>
    </xf>
    <xf numFmtId="177" fontId="15" fillId="0" borderId="0" xfId="5" applyNumberFormat="1" applyFont="1">
      <alignment vertical="center"/>
    </xf>
    <xf numFmtId="0" fontId="15" fillId="0" borderId="0" xfId="7" applyNumberFormat="1" applyFont="1" applyAlignment="1">
      <alignment horizontal="center" vertical="center"/>
    </xf>
    <xf numFmtId="378" fontId="15" fillId="0" borderId="0" xfId="7" applyNumberFormat="1" applyFont="1" applyAlignment="1">
      <alignment horizontal="center" vertical="center"/>
    </xf>
    <xf numFmtId="177" fontId="15" fillId="0" borderId="0" xfId="7" applyNumberFormat="1" applyFont="1" applyFill="1" applyAlignment="1">
      <alignment horizontal="center" vertical="center"/>
    </xf>
    <xf numFmtId="0" fontId="15" fillId="0" borderId="0" xfId="7" applyNumberFormat="1" applyFont="1" applyFill="1" applyAlignment="1">
      <alignment horizontal="center" vertical="center"/>
    </xf>
    <xf numFmtId="177" fontId="15" fillId="0" borderId="0" xfId="7" applyNumberFormat="1" applyFont="1" applyFill="1" applyBorder="1" applyAlignment="1">
      <alignment horizontal="right" vertical="center"/>
    </xf>
    <xf numFmtId="177" fontId="412" fillId="0" borderId="0" xfId="7" applyNumberFormat="1" applyFont="1" applyFill="1" applyAlignment="1">
      <alignment horizontal="left" vertical="center" indent="3"/>
    </xf>
    <xf numFmtId="177" fontId="16" fillId="0" borderId="0" xfId="5" applyNumberFormat="1" applyFont="1" applyAlignment="1">
      <alignment horizontal="right" vertical="center"/>
    </xf>
    <xf numFmtId="49" fontId="16" fillId="0" borderId="0" xfId="7" applyNumberFormat="1" applyFont="1" applyAlignment="1">
      <alignment vertical="center" shrinkToFit="1"/>
    </xf>
    <xf numFmtId="177" fontId="16" fillId="0" borderId="0" xfId="7" applyNumberFormat="1" applyFont="1" applyAlignment="1">
      <alignment vertical="center"/>
    </xf>
    <xf numFmtId="177" fontId="16" fillId="0" borderId="0" xfId="7" applyNumberFormat="1" applyFont="1" applyAlignment="1">
      <alignment horizontal="center" vertical="center"/>
    </xf>
    <xf numFmtId="378" fontId="16" fillId="0" borderId="0" xfId="7" applyNumberFormat="1" applyFont="1" applyAlignment="1">
      <alignment horizontal="center" vertical="center"/>
    </xf>
    <xf numFmtId="177" fontId="16" fillId="0" borderId="0" xfId="5" applyNumberFormat="1" applyFont="1" applyAlignment="1">
      <alignment horizontal="center" vertical="center"/>
    </xf>
    <xf numFmtId="177" fontId="16" fillId="0" borderId="0" xfId="5" applyNumberFormat="1" applyFont="1">
      <alignment vertical="center"/>
    </xf>
    <xf numFmtId="0" fontId="16" fillId="0" borderId="0" xfId="5" applyFont="1" applyAlignment="1">
      <alignment horizontal="center" vertical="center"/>
    </xf>
    <xf numFmtId="14" fontId="9" fillId="0" borderId="0" xfId="7" applyNumberFormat="1" applyFont="1" applyFill="1" applyAlignment="1">
      <alignment vertical="center"/>
    </xf>
    <xf numFmtId="177" fontId="9" fillId="0" borderId="0" xfId="7" applyNumberFormat="1" applyFont="1" applyFill="1" applyAlignment="1">
      <alignment horizontal="center" vertical="center"/>
    </xf>
    <xf numFmtId="177" fontId="9" fillId="0" borderId="0" xfId="7" applyNumberFormat="1" applyFont="1" applyFill="1" applyAlignment="1">
      <alignment vertical="center"/>
    </xf>
    <xf numFmtId="14" fontId="16" fillId="0" borderId="0" xfId="5" applyNumberFormat="1" applyFont="1" applyAlignment="1">
      <alignment horizontal="center" vertical="center"/>
    </xf>
    <xf numFmtId="0" fontId="16" fillId="0" borderId="0" xfId="5" applyFont="1">
      <alignment vertical="center"/>
    </xf>
    <xf numFmtId="177" fontId="8" fillId="0" borderId="0" xfId="5" applyNumberFormat="1" applyFont="1">
      <alignment vertical="center"/>
    </xf>
    <xf numFmtId="14" fontId="8" fillId="0" borderId="0" xfId="5" applyNumberFormat="1" applyFont="1" applyAlignment="1">
      <alignment horizontal="center" vertical="center"/>
    </xf>
    <xf numFmtId="177" fontId="382" fillId="81" borderId="61" xfId="23573" applyNumberFormat="1" applyFont="1" applyFill="1" applyBorder="1" applyAlignment="1">
      <alignment horizontal="centerContinuous" vertical="center"/>
    </xf>
    <xf numFmtId="177" fontId="382" fillId="81" borderId="62" xfId="23573" applyNumberFormat="1" applyFont="1" applyFill="1" applyBorder="1" applyAlignment="1">
      <alignment horizontal="centerContinuous" vertical="center"/>
    </xf>
    <xf numFmtId="49" fontId="382" fillId="81" borderId="62" xfId="23573" applyNumberFormat="1" applyFont="1" applyFill="1" applyBorder="1" applyAlignment="1">
      <alignment horizontal="centerContinuous" vertical="center" shrinkToFit="1"/>
    </xf>
    <xf numFmtId="0" fontId="382" fillId="81" borderId="62" xfId="23573" applyFont="1" applyFill="1" applyBorder="1" applyAlignment="1">
      <alignment horizontal="centerContinuous" vertical="center"/>
    </xf>
    <xf numFmtId="14" fontId="382" fillId="81" borderId="62" xfId="23573" applyNumberFormat="1" applyFont="1" applyFill="1" applyBorder="1" applyAlignment="1">
      <alignment horizontal="centerContinuous" vertical="center"/>
    </xf>
    <xf numFmtId="177" fontId="382" fillId="81" borderId="63" xfId="23573" applyNumberFormat="1" applyFont="1" applyFill="1" applyBorder="1" applyAlignment="1">
      <alignment horizontal="center" vertical="center"/>
    </xf>
    <xf numFmtId="177" fontId="382" fillId="81" borderId="64" xfId="5" applyNumberFormat="1" applyFont="1" applyFill="1" applyBorder="1" applyAlignment="1">
      <alignment horizontal="center" vertical="center"/>
    </xf>
    <xf numFmtId="177" fontId="382" fillId="81" borderId="65" xfId="5" applyNumberFormat="1" applyFont="1" applyFill="1" applyBorder="1" applyAlignment="1">
      <alignment horizontal="center" vertical="center"/>
    </xf>
    <xf numFmtId="177" fontId="8" fillId="0" borderId="0" xfId="23574" applyNumberFormat="1" applyFont="1" applyAlignment="1">
      <alignment horizontal="center" vertical="center" wrapText="1"/>
    </xf>
    <xf numFmtId="177" fontId="8" fillId="82" borderId="16" xfId="17480" applyNumberFormat="1" applyFont="1" applyFill="1" applyBorder="1" applyAlignment="1">
      <alignment horizontal="center" vertical="center" wrapText="1"/>
    </xf>
    <xf numFmtId="177" fontId="8" fillId="82" borderId="17" xfId="5" applyNumberFormat="1" applyFont="1" applyFill="1" applyBorder="1" applyAlignment="1">
      <alignment horizontal="center" vertical="center" wrapText="1"/>
    </xf>
    <xf numFmtId="177" fontId="8" fillId="82" borderId="68" xfId="23575" applyNumberFormat="1" applyFont="1" applyFill="1" applyBorder="1" applyAlignment="1">
      <alignment horizontal="center" vertical="center" wrapText="1"/>
    </xf>
    <xf numFmtId="177" fontId="8" fillId="82" borderId="17" xfId="23574" applyNumberFormat="1" applyFont="1" applyFill="1" applyBorder="1" applyAlignment="1">
      <alignment horizontal="center" vertical="center" wrapText="1"/>
    </xf>
    <xf numFmtId="49" fontId="8" fillId="82" borderId="17" xfId="23574" applyNumberFormat="1" applyFont="1" applyFill="1" applyBorder="1" applyAlignment="1">
      <alignment horizontal="center" vertical="center" shrinkToFit="1"/>
    </xf>
    <xf numFmtId="177" fontId="372" fillId="85" borderId="67" xfId="17481" applyNumberFormat="1" applyFont="1" applyFill="1" applyBorder="1" applyAlignment="1">
      <alignment horizontal="center" vertical="center" wrapText="1"/>
    </xf>
    <xf numFmtId="177" fontId="372" fillId="82" borderId="17" xfId="8" applyNumberFormat="1" applyFont="1" applyFill="1" applyBorder="1" applyAlignment="1">
      <alignment horizontal="center" vertical="center" wrapText="1"/>
    </xf>
    <xf numFmtId="177" fontId="372" fillId="82" borderId="17" xfId="23576" applyNumberFormat="1" applyFont="1" applyFill="1" applyBorder="1" applyAlignment="1">
      <alignment horizontal="center" vertical="center" wrapText="1"/>
    </xf>
    <xf numFmtId="0" fontId="372" fillId="85" borderId="67" xfId="17481" applyFont="1" applyFill="1" applyBorder="1" applyAlignment="1">
      <alignment horizontal="center" vertical="center" wrapText="1"/>
    </xf>
    <xf numFmtId="177" fontId="8" fillId="82" borderId="17" xfId="7" applyNumberFormat="1" applyFont="1" applyFill="1" applyBorder="1" applyAlignment="1">
      <alignment horizontal="center" vertical="center" wrapText="1"/>
    </xf>
    <xf numFmtId="14" fontId="8" fillId="82" borderId="17" xfId="7" applyNumberFormat="1" applyFont="1" applyFill="1" applyBorder="1" applyAlignment="1">
      <alignment horizontal="center" vertical="center" wrapText="1"/>
    </xf>
    <xf numFmtId="177" fontId="8" fillId="0" borderId="0" xfId="23574" applyNumberFormat="1" applyFont="1" applyAlignment="1">
      <alignment vertical="center" shrinkToFit="1"/>
    </xf>
    <xf numFmtId="41" fontId="8" fillId="0" borderId="73" xfId="7" applyFont="1" applyFill="1" applyBorder="1" applyAlignment="1">
      <alignment vertical="center" shrinkToFit="1"/>
    </xf>
    <xf numFmtId="41" fontId="8" fillId="0" borderId="73" xfId="7" applyFont="1" applyFill="1" applyBorder="1" applyAlignment="1">
      <alignment horizontal="right" vertical="center" shrinkToFit="1"/>
    </xf>
    <xf numFmtId="41" fontId="8" fillId="0" borderId="73" xfId="7" applyFont="1" applyFill="1" applyBorder="1" applyAlignment="1">
      <alignment horizontal="center" vertical="center" shrinkToFit="1"/>
    </xf>
    <xf numFmtId="41" fontId="8" fillId="0" borderId="74" xfId="7" applyFont="1" applyFill="1" applyBorder="1" applyAlignment="1">
      <alignment vertical="center" shrinkToFit="1"/>
    </xf>
    <xf numFmtId="41" fontId="10" fillId="0" borderId="73" xfId="7" applyFont="1" applyFill="1" applyBorder="1" applyAlignment="1">
      <alignment horizontal="center" vertical="center" shrinkToFit="1"/>
    </xf>
    <xf numFmtId="41" fontId="10" fillId="0" borderId="73" xfId="1" applyFont="1" applyFill="1" applyBorder="1" applyAlignment="1">
      <alignment horizontal="center" vertical="center" shrinkToFit="1"/>
    </xf>
    <xf numFmtId="177" fontId="414" fillId="0" borderId="0" xfId="23574" applyNumberFormat="1" applyFont="1" applyAlignment="1">
      <alignment horizontal="center"/>
    </xf>
    <xf numFmtId="177" fontId="414" fillId="0" borderId="0" xfId="23574" applyNumberFormat="1" applyFont="1"/>
    <xf numFmtId="49" fontId="414" fillId="0" borderId="0" xfId="23574" applyNumberFormat="1" applyFont="1" applyAlignment="1">
      <alignment shrinkToFit="1"/>
    </xf>
    <xf numFmtId="0" fontId="414" fillId="0" borderId="0" xfId="23574" applyFont="1" applyAlignment="1">
      <alignment horizontal="center"/>
    </xf>
    <xf numFmtId="14" fontId="414" fillId="0" borderId="0" xfId="23574" applyNumberFormat="1" applyFont="1"/>
    <xf numFmtId="0" fontId="414" fillId="0" borderId="0" xfId="23574" applyFont="1" applyAlignment="1">
      <alignment horizontal="center" vertical="center"/>
    </xf>
    <xf numFmtId="14" fontId="414" fillId="0" borderId="0" xfId="23574" applyNumberFormat="1" applyFont="1" applyAlignment="1">
      <alignment horizontal="center"/>
    </xf>
    <xf numFmtId="177" fontId="8" fillId="0" borderId="0" xfId="23574" applyNumberFormat="1" applyFont="1" applyAlignment="1">
      <alignment horizontal="center"/>
    </xf>
    <xf numFmtId="0" fontId="9" fillId="0" borderId="0" xfId="5" applyFont="1" applyAlignment="1">
      <alignment horizontal="center" vertical="center"/>
    </xf>
    <xf numFmtId="49" fontId="15" fillId="0" borderId="0" xfId="5" applyNumberFormat="1" applyFont="1" applyAlignment="1">
      <alignment vertical="center" shrinkToFit="1"/>
    </xf>
    <xf numFmtId="0" fontId="9" fillId="0" borderId="0" xfId="5" applyFont="1">
      <alignment vertical="center"/>
    </xf>
    <xf numFmtId="0" fontId="9" fillId="0" borderId="0" xfId="7" applyNumberFormat="1" applyFont="1" applyAlignment="1">
      <alignment vertical="center"/>
    </xf>
    <xf numFmtId="378" fontId="9" fillId="0" borderId="0" xfId="5" applyNumberFormat="1" applyFont="1" applyAlignment="1">
      <alignment horizontal="center" vertical="center"/>
    </xf>
    <xf numFmtId="41" fontId="15" fillId="0" borderId="0" xfId="1" applyFont="1" applyFill="1" applyBorder="1" applyAlignment="1">
      <alignment vertical="center"/>
    </xf>
    <xf numFmtId="41" fontId="15" fillId="0" borderId="0" xfId="1" applyFont="1" applyFill="1" applyBorder="1" applyAlignment="1">
      <alignment horizontal="center" vertical="center"/>
    </xf>
    <xf numFmtId="49" fontId="364" fillId="0" borderId="0" xfId="5" applyNumberFormat="1" applyFont="1" applyAlignment="1">
      <alignment vertical="center" shrinkToFit="1"/>
    </xf>
    <xf numFmtId="177" fontId="364" fillId="0" borderId="0" xfId="7" applyNumberFormat="1" applyFont="1" applyAlignment="1">
      <alignment horizontal="left" vertical="center"/>
    </xf>
    <xf numFmtId="0" fontId="364" fillId="0" borderId="0" xfId="7" applyNumberFormat="1" applyFont="1" applyAlignment="1">
      <alignment vertical="center"/>
    </xf>
    <xf numFmtId="41" fontId="364" fillId="0" borderId="0" xfId="1" applyFont="1" applyFill="1" applyBorder="1" applyAlignment="1">
      <alignment vertical="center"/>
    </xf>
    <xf numFmtId="41" fontId="364" fillId="0" borderId="0" xfId="1" applyFont="1" applyFill="1" applyBorder="1" applyAlignment="1">
      <alignment horizontal="center" vertical="center"/>
    </xf>
    <xf numFmtId="177" fontId="15" fillId="0" borderId="0" xfId="7" applyNumberFormat="1" applyFont="1" applyAlignment="1">
      <alignment horizontal="left" vertical="center"/>
    </xf>
    <xf numFmtId="0" fontId="15" fillId="0" borderId="0" xfId="7" applyNumberFormat="1" applyFont="1" applyAlignment="1">
      <alignment vertical="center"/>
    </xf>
    <xf numFmtId="0" fontId="16" fillId="0" borderId="0" xfId="5" applyFont="1" applyAlignment="1">
      <alignment horizontal="right" vertical="center"/>
    </xf>
    <xf numFmtId="177" fontId="16" fillId="0" borderId="0" xfId="7" applyNumberFormat="1" applyFont="1" applyAlignment="1">
      <alignment horizontal="left" vertical="center"/>
    </xf>
    <xf numFmtId="0" fontId="16" fillId="0" borderId="0" xfId="7" applyNumberFormat="1" applyFont="1" applyAlignment="1">
      <alignment vertical="center"/>
    </xf>
    <xf numFmtId="41" fontId="16" fillId="0" borderId="0" xfId="1" applyFont="1" applyFill="1" applyBorder="1" applyAlignment="1">
      <alignment horizontal="center" vertical="center"/>
    </xf>
    <xf numFmtId="177" fontId="415" fillId="81" borderId="84" xfId="17481" applyNumberFormat="1" applyFont="1" applyFill="1" applyBorder="1" applyAlignment="1">
      <alignment horizontal="centerContinuous" vertical="center"/>
    </xf>
    <xf numFmtId="177" fontId="415" fillId="81" borderId="85" xfId="17481" applyNumberFormat="1" applyFont="1" applyFill="1" applyBorder="1" applyAlignment="1">
      <alignment horizontal="centerContinuous" vertical="center"/>
    </xf>
    <xf numFmtId="177" fontId="416" fillId="81" borderId="85" xfId="17481" applyNumberFormat="1" applyFont="1" applyFill="1" applyBorder="1" applyAlignment="1">
      <alignment horizontal="centerContinuous" vertical="center"/>
    </xf>
    <xf numFmtId="0" fontId="415" fillId="81" borderId="85" xfId="17481" applyFont="1" applyFill="1" applyBorder="1" applyAlignment="1">
      <alignment horizontal="centerContinuous" vertical="center"/>
    </xf>
    <xf numFmtId="0" fontId="416" fillId="81" borderId="85" xfId="17481" applyFont="1" applyFill="1" applyBorder="1" applyAlignment="1">
      <alignment horizontal="centerContinuous" vertical="center"/>
    </xf>
    <xf numFmtId="49" fontId="415" fillId="81" borderId="85" xfId="17481" applyNumberFormat="1" applyFont="1" applyFill="1" applyBorder="1" applyAlignment="1">
      <alignment horizontal="centerContinuous" vertical="center" shrinkToFit="1"/>
    </xf>
    <xf numFmtId="378" fontId="415" fillId="81" borderId="85" xfId="17481" applyNumberFormat="1" applyFont="1" applyFill="1" applyBorder="1" applyAlignment="1">
      <alignment horizontal="centerContinuous" vertical="center"/>
    </xf>
    <xf numFmtId="177" fontId="415" fillId="81" borderId="85" xfId="23577" applyNumberFormat="1" applyFont="1" applyFill="1" applyBorder="1" applyAlignment="1">
      <alignment horizontal="centerContinuous" vertical="center"/>
    </xf>
    <xf numFmtId="41" fontId="415" fillId="81" borderId="85" xfId="1" applyFont="1" applyFill="1" applyBorder="1" applyAlignment="1">
      <alignment horizontal="centerContinuous" vertical="center"/>
    </xf>
    <xf numFmtId="41" fontId="415" fillId="81" borderId="86" xfId="1" applyFont="1" applyFill="1" applyBorder="1" applyAlignment="1">
      <alignment horizontal="centerContinuous" vertical="center"/>
    </xf>
    <xf numFmtId="177" fontId="415" fillId="81" borderId="87" xfId="17481" applyNumberFormat="1" applyFont="1" applyFill="1" applyBorder="1" applyAlignment="1">
      <alignment horizontal="centerContinuous" vertical="center"/>
    </xf>
    <xf numFmtId="177" fontId="8" fillId="82" borderId="16" xfId="17481" applyNumberFormat="1" applyFont="1" applyFill="1" applyBorder="1" applyAlignment="1">
      <alignment horizontal="center" vertical="center" wrapText="1"/>
    </xf>
    <xf numFmtId="177" fontId="8" fillId="80" borderId="17" xfId="23575" applyNumberFormat="1" applyFont="1" applyFill="1" applyBorder="1" applyAlignment="1">
      <alignment horizontal="center" vertical="center" wrapText="1"/>
    </xf>
    <xf numFmtId="0" fontId="8" fillId="82" borderId="68" xfId="23578" applyFont="1" applyFill="1" applyBorder="1" applyAlignment="1">
      <alignment horizontal="center" vertical="center" wrapText="1"/>
    </xf>
    <xf numFmtId="0" fontId="8" fillId="82" borderId="17" xfId="23578" applyFont="1" applyFill="1" applyBorder="1" applyAlignment="1">
      <alignment horizontal="center" vertical="center" wrapText="1"/>
    </xf>
    <xf numFmtId="177" fontId="8" fillId="82" borderId="17" xfId="23578" applyNumberFormat="1" applyFont="1" applyFill="1" applyBorder="1" applyAlignment="1">
      <alignment horizontal="center" vertical="center" wrapText="1"/>
    </xf>
    <xf numFmtId="177" fontId="8" fillId="82" borderId="17" xfId="17481" applyNumberFormat="1" applyFont="1" applyFill="1" applyBorder="1" applyAlignment="1">
      <alignment horizontal="center" vertical="center" wrapText="1"/>
    </xf>
    <xf numFmtId="49" fontId="8" fillId="82" borderId="17" xfId="17481" applyNumberFormat="1" applyFont="1" applyFill="1" applyBorder="1" applyAlignment="1">
      <alignment horizontal="center" vertical="center" shrinkToFit="1"/>
    </xf>
    <xf numFmtId="0" fontId="8" fillId="85" borderId="17" xfId="17481" applyFont="1" applyFill="1" applyBorder="1" applyAlignment="1">
      <alignment horizontal="center" vertical="center" wrapText="1"/>
    </xf>
    <xf numFmtId="0" fontId="8" fillId="82" borderId="17" xfId="17481" applyFont="1" applyFill="1" applyBorder="1" applyAlignment="1">
      <alignment horizontal="center" vertical="center" wrapText="1"/>
    </xf>
    <xf numFmtId="378" fontId="8" fillId="82" borderId="17" xfId="17481" applyNumberFormat="1" applyFont="1" applyFill="1" applyBorder="1" applyAlignment="1">
      <alignment horizontal="center" vertical="center" wrapText="1"/>
    </xf>
    <xf numFmtId="177" fontId="8" fillId="82" borderId="17" xfId="23577" applyNumberFormat="1" applyFont="1" applyFill="1" applyBorder="1" applyAlignment="1">
      <alignment horizontal="center" vertical="center" wrapText="1"/>
    </xf>
    <xf numFmtId="41" fontId="8" fillId="82" borderId="17" xfId="1" applyFont="1" applyFill="1" applyBorder="1" applyAlignment="1">
      <alignment horizontal="center" vertical="center" wrapText="1"/>
    </xf>
    <xf numFmtId="177" fontId="8" fillId="82" borderId="18" xfId="17481" applyNumberFormat="1" applyFont="1" applyFill="1" applyBorder="1" applyAlignment="1">
      <alignment horizontal="center" vertical="center" wrapText="1"/>
    </xf>
    <xf numFmtId="0" fontId="361" fillId="0" borderId="0" xfId="0" applyFont="1" applyAlignment="1">
      <alignment horizontal="center" vertical="center"/>
    </xf>
    <xf numFmtId="0" fontId="364" fillId="0" borderId="0" xfId="0" applyFont="1" applyAlignment="1">
      <alignment horizontal="center" vertical="center"/>
    </xf>
    <xf numFmtId="0" fontId="36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18" fillId="86" borderId="61" xfId="0" applyFont="1" applyFill="1" applyBorder="1" applyAlignment="1">
      <alignment horizontal="centerContinuous" vertical="center"/>
    </xf>
    <xf numFmtId="0" fontId="418" fillId="86" borderId="62" xfId="0" applyFont="1" applyFill="1" applyBorder="1" applyAlignment="1">
      <alignment horizontal="centerContinuous" vertical="center"/>
    </xf>
    <xf numFmtId="0" fontId="418" fillId="86" borderId="62" xfId="9" applyFont="1" applyFill="1" applyBorder="1" applyAlignment="1">
      <alignment horizontal="centerContinuous" vertical="center"/>
    </xf>
    <xf numFmtId="4" fontId="418" fillId="86" borderId="62" xfId="9" applyNumberFormat="1" applyFont="1" applyFill="1" applyBorder="1" applyAlignment="1">
      <alignment horizontal="centerContinuous" vertical="center"/>
    </xf>
    <xf numFmtId="4" fontId="418" fillId="86" borderId="79" xfId="9" applyNumberFormat="1" applyFont="1" applyFill="1" applyBorder="1" applyAlignment="1">
      <alignment horizontal="centerContinuous" vertical="center"/>
    </xf>
    <xf numFmtId="0" fontId="419" fillId="86" borderId="63" xfId="9" applyFont="1" applyFill="1" applyBorder="1" applyAlignment="1">
      <alignment horizontal="center" vertical="center" wrapText="1"/>
    </xf>
    <xf numFmtId="0" fontId="373" fillId="0" borderId="0" xfId="0" applyFont="1" applyAlignment="1"/>
    <xf numFmtId="0" fontId="418" fillId="86" borderId="64" xfId="0" applyFont="1" applyFill="1" applyBorder="1" applyAlignment="1">
      <alignment horizontal="center" vertical="center"/>
    </xf>
    <xf numFmtId="41" fontId="373" fillId="0" borderId="0" xfId="10" applyFont="1" applyFill="1"/>
    <xf numFmtId="0" fontId="373" fillId="82" borderId="16" xfId="0" applyFont="1" applyFill="1" applyBorder="1" applyAlignment="1">
      <alignment horizontal="center" vertical="center" wrapText="1"/>
    </xf>
    <xf numFmtId="0" fontId="373" fillId="82" borderId="68" xfId="0" applyFont="1" applyFill="1" applyBorder="1" applyAlignment="1">
      <alignment horizontal="center" vertical="center" wrapText="1"/>
    </xf>
    <xf numFmtId="0" fontId="373" fillId="82" borderId="17" xfId="0" applyFont="1" applyFill="1" applyBorder="1" applyAlignment="1">
      <alignment horizontal="center" vertical="center" wrapText="1"/>
    </xf>
    <xf numFmtId="0" fontId="373" fillId="82" borderId="17" xfId="9" applyFont="1" applyFill="1" applyBorder="1" applyAlignment="1">
      <alignment horizontal="center" vertical="center" wrapText="1"/>
    </xf>
    <xf numFmtId="4" fontId="373" fillId="82" borderId="17" xfId="9" applyNumberFormat="1" applyFont="1" applyFill="1" applyBorder="1" applyAlignment="1">
      <alignment horizontal="center" vertical="center" wrapText="1"/>
    </xf>
    <xf numFmtId="0" fontId="373" fillId="82" borderId="18" xfId="9" applyFont="1" applyFill="1" applyBorder="1" applyAlignment="1">
      <alignment horizontal="center" vertical="center" wrapText="1"/>
    </xf>
    <xf numFmtId="0" fontId="371" fillId="81" borderId="85" xfId="17481" applyFont="1" applyFill="1" applyBorder="1" applyAlignment="1">
      <alignment horizontal="centerContinuous" vertical="center"/>
    </xf>
    <xf numFmtId="41" fontId="0" fillId="0" borderId="0" xfId="1" applyFont="1" applyAlignment="1">
      <alignment horizontal="center" vertical="center"/>
    </xf>
    <xf numFmtId="14" fontId="8" fillId="80" borderId="17" xfId="7" applyNumberFormat="1" applyFont="1" applyFill="1" applyBorder="1" applyAlignment="1">
      <alignment horizontal="center" vertical="center" wrapText="1"/>
    </xf>
    <xf numFmtId="177" fontId="8" fillId="80" borderId="17" xfId="7" applyNumberFormat="1" applyFont="1" applyFill="1" applyBorder="1" applyAlignment="1">
      <alignment horizontal="center" vertical="center" wrapText="1"/>
    </xf>
    <xf numFmtId="41" fontId="16" fillId="0" borderId="0" xfId="1" applyFont="1" applyFill="1" applyAlignment="1">
      <alignment horizontal="center" vertical="center"/>
    </xf>
    <xf numFmtId="177" fontId="429" fillId="0" borderId="0" xfId="5" applyNumberFormat="1" applyFont="1">
      <alignment vertical="center"/>
    </xf>
    <xf numFmtId="176" fontId="15" fillId="0" borderId="0" xfId="1" applyNumberFormat="1" applyFont="1" applyFill="1" applyBorder="1" applyAlignment="1">
      <alignment vertical="center"/>
    </xf>
    <xf numFmtId="10" fontId="16" fillId="0" borderId="0" xfId="17479" applyNumberFormat="1" applyFont="1" applyFill="1" applyBorder="1" applyAlignment="1">
      <alignment horizontal="right" vertical="center"/>
    </xf>
    <xf numFmtId="201" fontId="16" fillId="0" borderId="0" xfId="17479" applyNumberFormat="1" applyFont="1" applyFill="1" applyAlignment="1">
      <alignment horizontal="center" vertical="center"/>
    </xf>
    <xf numFmtId="177" fontId="371" fillId="81" borderId="101" xfId="5" applyNumberFormat="1" applyFont="1" applyFill="1" applyBorder="1" applyAlignment="1">
      <alignment horizontal="centerContinuous" vertical="center"/>
    </xf>
    <xf numFmtId="41" fontId="431" fillId="0" borderId="0" xfId="1" applyFont="1" applyFill="1" applyAlignment="1"/>
    <xf numFmtId="41" fontId="366" fillId="0" borderId="0" xfId="0" applyNumberFormat="1" applyFont="1" applyAlignment="1">
      <alignment horizontal="center" vertical="center"/>
    </xf>
    <xf numFmtId="0" fontId="365" fillId="0" borderId="0" xfId="0" applyFont="1" applyAlignment="1">
      <alignment horizontal="left" vertical="center" indent="1"/>
    </xf>
    <xf numFmtId="177" fontId="433" fillId="0" borderId="0" xfId="5" applyNumberFormat="1" applyFont="1" applyAlignment="1">
      <alignment horizontal="right" vertical="center"/>
    </xf>
    <xf numFmtId="41" fontId="366" fillId="0" borderId="0" xfId="1" applyFont="1" applyFill="1" applyAlignment="1"/>
    <xf numFmtId="177" fontId="8" fillId="82" borderId="18" xfId="7" applyNumberFormat="1" applyFont="1" applyFill="1" applyBorder="1" applyAlignment="1">
      <alignment horizontal="center" vertical="center" shrinkToFit="1"/>
    </xf>
    <xf numFmtId="0" fontId="432" fillId="0" borderId="0" xfId="0" applyFont="1">
      <alignment vertical="center"/>
    </xf>
    <xf numFmtId="0" fontId="14" fillId="0" borderId="0" xfId="0" applyFont="1">
      <alignment vertical="center"/>
    </xf>
    <xf numFmtId="41" fontId="9" fillId="0" borderId="0" xfId="1" applyFont="1" applyFill="1" applyBorder="1" applyAlignment="1">
      <alignment vertical="center"/>
    </xf>
    <xf numFmtId="41" fontId="373" fillId="0" borderId="70" xfId="1" applyFont="1" applyFill="1" applyBorder="1" applyAlignment="1">
      <alignment horizontal="center" vertical="center"/>
    </xf>
    <xf numFmtId="177" fontId="436" fillId="0" borderId="0" xfId="7" applyNumberFormat="1" applyFont="1" applyFill="1" applyAlignment="1">
      <alignment horizontal="center" vertical="center"/>
    </xf>
    <xf numFmtId="176" fontId="16" fillId="0" borderId="0" xfId="7" applyNumberFormat="1" applyFont="1" applyAlignment="1">
      <alignment vertical="center"/>
    </xf>
    <xf numFmtId="176" fontId="366" fillId="0" borderId="0" xfId="7" applyNumberFormat="1" applyFont="1" applyAlignment="1">
      <alignment vertical="center"/>
    </xf>
    <xf numFmtId="41" fontId="9" fillId="0" borderId="0" xfId="1" applyFont="1">
      <alignment vertical="center"/>
    </xf>
    <xf numFmtId="177" fontId="15" fillId="0" borderId="0" xfId="17481" applyNumberFormat="1" applyFont="1" applyAlignment="1">
      <alignment horizontal="center" vertical="center" wrapText="1"/>
    </xf>
    <xf numFmtId="41" fontId="366" fillId="0" borderId="0" xfId="1" applyFont="1" applyFill="1" applyBorder="1" applyAlignment="1">
      <alignment horizontal="right" vertical="center"/>
    </xf>
    <xf numFmtId="177" fontId="438" fillId="0" borderId="0" xfId="5" applyNumberFormat="1" applyFont="1">
      <alignment vertical="center"/>
    </xf>
    <xf numFmtId="177" fontId="437" fillId="0" borderId="0" xfId="7" applyNumberFormat="1" applyFont="1" applyFill="1" applyAlignment="1">
      <alignment horizontal="center" vertical="center"/>
    </xf>
    <xf numFmtId="41" fontId="434" fillId="0" borderId="0" xfId="0" applyNumberFormat="1" applyFont="1" applyAlignment="1"/>
    <xf numFmtId="0" fontId="366" fillId="0" borderId="0" xfId="0" applyFont="1">
      <alignment vertical="center"/>
    </xf>
    <xf numFmtId="0" fontId="439" fillId="0" borderId="0" xfId="0" applyFont="1">
      <alignment vertical="center"/>
    </xf>
    <xf numFmtId="43" fontId="16" fillId="0" borderId="0" xfId="7" applyNumberFormat="1" applyFont="1" applyAlignment="1">
      <alignment vertical="center"/>
    </xf>
    <xf numFmtId="41" fontId="364" fillId="0" borderId="0" xfId="0" applyNumberFormat="1" applyFont="1" applyAlignment="1"/>
    <xf numFmtId="0" fontId="250" fillId="0" borderId="0" xfId="0" applyFont="1">
      <alignment vertical="center"/>
    </xf>
    <xf numFmtId="0" fontId="250" fillId="0" borderId="0" xfId="0" applyFont="1" applyAlignment="1">
      <alignment vertical="center" shrinkToFit="1"/>
    </xf>
    <xf numFmtId="0" fontId="8" fillId="0" borderId="0" xfId="4682" applyFont="1">
      <alignment vertical="center"/>
    </xf>
    <xf numFmtId="0" fontId="441" fillId="0" borderId="0" xfId="0" applyFont="1" applyAlignment="1">
      <alignment vertical="center" shrinkToFit="1"/>
    </xf>
    <xf numFmtId="41" fontId="442" fillId="0" borderId="0" xfId="1" applyFont="1" applyFill="1" applyBorder="1" applyAlignment="1">
      <alignment vertical="center"/>
    </xf>
    <xf numFmtId="41" fontId="441" fillId="0" borderId="0" xfId="0" applyNumberFormat="1" applyFont="1">
      <alignment vertical="center"/>
    </xf>
    <xf numFmtId="0" fontId="439" fillId="0" borderId="0" xfId="0" applyFont="1" applyAlignment="1"/>
    <xf numFmtId="0" fontId="443" fillId="0" borderId="0" xfId="0" applyFont="1" applyAlignment="1"/>
    <xf numFmtId="177" fontId="371" fillId="81" borderId="79" xfId="5" applyNumberFormat="1" applyFont="1" applyFill="1" applyBorder="1" applyAlignment="1">
      <alignment horizontal="centerContinuous" vertical="center"/>
    </xf>
    <xf numFmtId="177" fontId="371" fillId="81" borderId="79" xfId="5" applyNumberFormat="1" applyFont="1" applyFill="1" applyBorder="1" applyAlignment="1">
      <alignment horizontal="centerContinuous" vertical="center" shrinkToFit="1"/>
    </xf>
    <xf numFmtId="177" fontId="371" fillId="81" borderId="122" xfId="5" applyNumberFormat="1" applyFont="1" applyFill="1" applyBorder="1" applyAlignment="1">
      <alignment horizontal="center" vertical="center"/>
    </xf>
    <xf numFmtId="0" fontId="382" fillId="91" borderId="123" xfId="32709" applyFont="1" applyFill="1" applyBorder="1" applyAlignment="1">
      <alignment horizontal="center" vertical="center"/>
    </xf>
    <xf numFmtId="0" fontId="382" fillId="91" borderId="124" xfId="32709" applyFont="1" applyFill="1" applyBorder="1" applyAlignment="1">
      <alignment horizontal="center" vertical="center"/>
    </xf>
    <xf numFmtId="177" fontId="372" fillId="82" borderId="120" xfId="5" applyNumberFormat="1" applyFont="1" applyFill="1" applyBorder="1" applyAlignment="1">
      <alignment horizontal="center" vertical="center" wrapText="1"/>
    </xf>
    <xf numFmtId="177" fontId="372" fillId="82" borderId="125" xfId="5" applyNumberFormat="1" applyFont="1" applyFill="1" applyBorder="1" applyAlignment="1">
      <alignment horizontal="center" vertical="center" wrapText="1"/>
    </xf>
    <xf numFmtId="0" fontId="8" fillId="85" borderId="17" xfId="4682" applyFont="1" applyFill="1" applyBorder="1" applyAlignment="1">
      <alignment horizontal="center" vertical="center" wrapText="1"/>
    </xf>
    <xf numFmtId="177" fontId="372" fillId="80" borderId="67" xfId="5" applyNumberFormat="1" applyFont="1" applyFill="1" applyBorder="1" applyAlignment="1">
      <alignment horizontal="center" vertical="center" shrinkToFit="1"/>
    </xf>
    <xf numFmtId="177" fontId="372" fillId="93" borderId="17" xfId="5" applyNumberFormat="1" applyFont="1" applyFill="1" applyBorder="1" applyAlignment="1">
      <alignment horizontal="center" vertical="center" wrapText="1"/>
    </xf>
    <xf numFmtId="177" fontId="372" fillId="93" borderId="68" xfId="5" applyNumberFormat="1" applyFont="1" applyFill="1" applyBorder="1" applyAlignment="1">
      <alignment horizontal="center" vertical="center" wrapText="1"/>
    </xf>
    <xf numFmtId="177" fontId="372" fillId="92" borderId="68" xfId="5" applyNumberFormat="1" applyFont="1" applyFill="1" applyBorder="1" applyAlignment="1">
      <alignment horizontal="center" vertical="center" wrapText="1"/>
    </xf>
    <xf numFmtId="177" fontId="372" fillId="94" borderId="68" xfId="5" applyNumberFormat="1" applyFont="1" applyFill="1" applyBorder="1" applyAlignment="1">
      <alignment horizontal="center" vertical="center" wrapText="1"/>
    </xf>
    <xf numFmtId="177" fontId="372" fillId="94" borderId="30" xfId="5" applyNumberFormat="1" applyFont="1" applyFill="1" applyBorder="1" applyAlignment="1">
      <alignment horizontal="center" vertical="center" wrapText="1"/>
    </xf>
    <xf numFmtId="0" fontId="372" fillId="82" borderId="18" xfId="5" applyFont="1" applyFill="1" applyBorder="1" applyAlignment="1">
      <alignment horizontal="center" vertical="center" shrinkToFit="1"/>
    </xf>
    <xf numFmtId="0" fontId="373" fillId="0" borderId="0" xfId="6" applyFont="1" applyAlignment="1">
      <alignment horizontal="center" vertical="center"/>
    </xf>
    <xf numFmtId="41" fontId="373" fillId="0" borderId="126" xfId="17485" applyFont="1" applyFill="1" applyBorder="1" applyAlignment="1">
      <alignment vertical="center" shrinkToFit="1"/>
    </xf>
    <xf numFmtId="0" fontId="373" fillId="0" borderId="0" xfId="0" applyFont="1">
      <alignment vertical="center"/>
    </xf>
    <xf numFmtId="41" fontId="373" fillId="0" borderId="99" xfId="1" applyFont="1" applyFill="1" applyBorder="1" applyAlignment="1">
      <alignment horizontal="left" vertical="center" shrinkToFit="1"/>
    </xf>
    <xf numFmtId="0" fontId="375" fillId="0" borderId="72" xfId="0" applyFont="1" applyBorder="1" applyAlignment="1">
      <alignment horizontal="center" vertical="center"/>
    </xf>
    <xf numFmtId="0" fontId="375" fillId="0" borderId="100" xfId="0" applyFont="1" applyBorder="1" applyAlignment="1">
      <alignment horizontal="center" vertical="center"/>
    </xf>
    <xf numFmtId="0" fontId="373" fillId="0" borderId="97" xfId="6" applyFont="1" applyBorder="1" applyAlignment="1">
      <alignment horizontal="center" vertical="center"/>
    </xf>
    <xf numFmtId="41" fontId="373" fillId="0" borderId="97" xfId="17485" applyFont="1" applyFill="1" applyBorder="1" applyAlignment="1">
      <alignment horizontal="left" vertical="center"/>
    </xf>
    <xf numFmtId="346" fontId="373" fillId="0" borderId="75" xfId="6" applyNumberFormat="1" applyFont="1" applyBorder="1" applyAlignment="1">
      <alignment horizontal="center" vertical="center" shrinkToFit="1"/>
    </xf>
    <xf numFmtId="0" fontId="373" fillId="0" borderId="100" xfId="6" applyFont="1" applyBorder="1" applyAlignment="1">
      <alignment horizontal="center" vertical="center"/>
    </xf>
    <xf numFmtId="41" fontId="373" fillId="0" borderId="73" xfId="1" applyFont="1" applyFill="1" applyBorder="1" applyAlignment="1">
      <alignment horizontal="center" vertical="center"/>
    </xf>
    <xf numFmtId="41" fontId="373" fillId="0" borderId="73" xfId="1" applyFont="1" applyFill="1" applyBorder="1" applyAlignment="1">
      <alignment horizontal="center" vertical="center" shrinkToFit="1"/>
    </xf>
    <xf numFmtId="41" fontId="373" fillId="0" borderId="97" xfId="1" applyFont="1" applyFill="1" applyBorder="1" applyAlignment="1">
      <alignment horizontal="center" vertical="center"/>
    </xf>
    <xf numFmtId="41" fontId="373" fillId="0" borderId="75" xfId="1" applyFont="1" applyFill="1" applyBorder="1" applyAlignment="1">
      <alignment horizontal="center" vertical="center" shrinkToFit="1"/>
    </xf>
    <xf numFmtId="41" fontId="373" fillId="0" borderId="78" xfId="1" applyFont="1" applyFill="1" applyBorder="1" applyAlignment="1">
      <alignment horizontal="center" vertical="center"/>
    </xf>
    <xf numFmtId="41" fontId="373" fillId="0" borderId="121" xfId="1" applyFont="1" applyFill="1" applyBorder="1" applyAlignment="1">
      <alignment horizontal="left" vertical="center"/>
    </xf>
    <xf numFmtId="346" fontId="15" fillId="0" borderId="0" xfId="7" applyNumberFormat="1" applyFont="1" applyAlignment="1">
      <alignment vertical="center" shrinkToFit="1"/>
    </xf>
    <xf numFmtId="379" fontId="366" fillId="0" borderId="0" xfId="0" applyNumberFormat="1" applyFont="1" applyAlignment="1"/>
    <xf numFmtId="43" fontId="366" fillId="0" borderId="0" xfId="0" applyNumberFormat="1" applyFont="1" applyAlignment="1"/>
    <xf numFmtId="0" fontId="433" fillId="0" borderId="0" xfId="5" applyFont="1" applyAlignment="1">
      <alignment horizontal="right" vertical="center"/>
    </xf>
    <xf numFmtId="0" fontId="440" fillId="0" borderId="0" xfId="0" applyFont="1">
      <alignment vertical="center"/>
    </xf>
    <xf numFmtId="0" fontId="373" fillId="0" borderId="3" xfId="6" applyFont="1" applyBorder="1" applyAlignment="1">
      <alignment horizontal="center" vertical="center"/>
    </xf>
    <xf numFmtId="0" fontId="8" fillId="0" borderId="0" xfId="0" applyFont="1" applyAlignment="1"/>
    <xf numFmtId="0" fontId="250" fillId="0" borderId="0" xfId="0" applyFont="1" applyAlignment="1">
      <alignment horizontal="center" vertical="center"/>
    </xf>
    <xf numFmtId="0" fontId="8" fillId="0" borderId="0" xfId="4682" applyFont="1" applyAlignment="1">
      <alignment horizontal="center" vertical="center"/>
    </xf>
    <xf numFmtId="41" fontId="373" fillId="0" borderId="3" xfId="17485" applyFont="1" applyFill="1" applyBorder="1" applyAlignment="1">
      <alignment horizontal="center" vertical="center" shrinkToFit="1"/>
    </xf>
    <xf numFmtId="41" fontId="373" fillId="0" borderId="97" xfId="17485" applyFont="1" applyFill="1" applyBorder="1" applyAlignment="1">
      <alignment horizontal="center" vertical="center"/>
    </xf>
    <xf numFmtId="0" fontId="375" fillId="0" borderId="0" xfId="0" applyFont="1" applyAlignment="1">
      <alignment horizontal="center" vertical="center"/>
    </xf>
    <xf numFmtId="177" fontId="15" fillId="0" borderId="0" xfId="17481" applyNumberFormat="1" applyFont="1" applyAlignment="1">
      <alignment vertical="center"/>
    </xf>
    <xf numFmtId="177" fontId="15" fillId="0" borderId="0" xfId="17481" applyNumberFormat="1" applyFont="1" applyAlignment="1">
      <alignment horizontal="center" vertical="center"/>
    </xf>
    <xf numFmtId="14" fontId="9" fillId="0" borderId="0" xfId="5" applyNumberFormat="1" applyFont="1">
      <alignment vertical="center"/>
    </xf>
    <xf numFmtId="14" fontId="364" fillId="0" borderId="0" xfId="7" applyNumberFormat="1" applyFont="1" applyFill="1" applyBorder="1" applyAlignment="1">
      <alignment horizontal="right" vertical="center"/>
    </xf>
    <xf numFmtId="14" fontId="15" fillId="0" borderId="0" xfId="7" applyNumberFormat="1" applyFont="1" applyFill="1" applyBorder="1" applyAlignment="1">
      <alignment horizontal="right" vertical="center"/>
    </xf>
    <xf numFmtId="14" fontId="16" fillId="0" borderId="0" xfId="5" applyNumberFormat="1" applyFont="1" applyAlignment="1">
      <alignment horizontal="right" vertical="center"/>
    </xf>
    <xf numFmtId="14" fontId="16" fillId="0" borderId="0" xfId="1" applyNumberFormat="1" applyFont="1" applyFill="1" applyAlignment="1">
      <alignment horizontal="center" vertical="center"/>
    </xf>
    <xf numFmtId="14" fontId="371" fillId="81" borderId="65" xfId="5" applyNumberFormat="1" applyFont="1" applyFill="1" applyBorder="1" applyAlignment="1">
      <alignment horizontal="center" vertical="center"/>
    </xf>
    <xf numFmtId="182" fontId="9" fillId="0" borderId="0" xfId="7" applyNumberFormat="1" applyFont="1" applyAlignment="1">
      <alignment horizontal="center" vertical="center"/>
    </xf>
    <xf numFmtId="182" fontId="364" fillId="0" borderId="0" xfId="7" applyNumberFormat="1" applyFont="1" applyAlignment="1">
      <alignment horizontal="center" vertical="center"/>
    </xf>
    <xf numFmtId="182" fontId="415" fillId="81" borderId="85" xfId="17481" applyNumberFormat="1" applyFont="1" applyFill="1" applyBorder="1" applyAlignment="1">
      <alignment horizontal="centerContinuous" vertical="center"/>
    </xf>
    <xf numFmtId="182" fontId="371" fillId="81" borderId="65" xfId="5" applyNumberFormat="1" applyFont="1" applyFill="1" applyBorder="1" applyAlignment="1">
      <alignment horizontal="center" vertical="center"/>
    </xf>
    <xf numFmtId="182" fontId="8" fillId="82" borderId="17" xfId="17481" applyNumberFormat="1" applyFont="1" applyFill="1" applyBorder="1" applyAlignment="1">
      <alignment horizontal="center" vertical="center" wrapText="1"/>
    </xf>
    <xf numFmtId="182" fontId="383" fillId="0" borderId="0" xfId="17481" applyNumberFormat="1" applyFont="1" applyAlignment="1">
      <alignment horizontal="center" vertical="center"/>
    </xf>
    <xf numFmtId="41" fontId="364" fillId="0" borderId="0" xfId="1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41" fontId="16" fillId="0" borderId="0" xfId="1" applyFont="1" applyAlignment="1">
      <alignment horizontal="right" vertical="center"/>
    </xf>
    <xf numFmtId="41" fontId="16" fillId="0" borderId="0" xfId="1" applyFont="1">
      <alignment vertical="center"/>
    </xf>
    <xf numFmtId="41" fontId="382" fillId="81" borderId="62" xfId="1" applyFont="1" applyFill="1" applyBorder="1" applyAlignment="1">
      <alignment horizontal="centerContinuous" vertical="center"/>
    </xf>
    <xf numFmtId="41" fontId="371" fillId="81" borderId="65" xfId="1" applyFont="1" applyFill="1" applyBorder="1" applyAlignment="1">
      <alignment horizontal="center" vertical="center"/>
    </xf>
    <xf numFmtId="41" fontId="414" fillId="0" borderId="0" xfId="1" applyFont="1" applyAlignment="1"/>
    <xf numFmtId="0" fontId="373" fillId="0" borderId="69" xfId="6" applyFont="1" applyBorder="1" applyAlignment="1">
      <alignment horizontal="center" vertical="center"/>
    </xf>
    <xf numFmtId="0" fontId="361" fillId="0" borderId="0" xfId="0" quotePrefix="1" applyFont="1">
      <alignment vertical="center"/>
    </xf>
    <xf numFmtId="0" fontId="14" fillId="0" borderId="0" xfId="0" applyFont="1" applyAlignment="1"/>
    <xf numFmtId="177" fontId="371" fillId="81" borderId="63" xfId="5" applyNumberFormat="1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shrinkToFit="1"/>
    </xf>
    <xf numFmtId="41" fontId="8" fillId="0" borderId="73" xfId="1" applyFont="1" applyFill="1" applyBorder="1" applyAlignment="1">
      <alignment horizontal="center" vertical="center" shrinkToFit="1"/>
    </xf>
    <xf numFmtId="0" fontId="373" fillId="0" borderId="73" xfId="6" applyFont="1" applyBorder="1" applyAlignment="1">
      <alignment horizontal="center" vertical="center"/>
    </xf>
    <xf numFmtId="0" fontId="372" fillId="0" borderId="73" xfId="17481" applyFont="1" applyBorder="1" applyAlignment="1">
      <alignment horizontal="center" vertical="center"/>
    </xf>
    <xf numFmtId="0" fontId="8" fillId="0" borderId="74" xfId="6" applyFont="1" applyBorder="1" applyAlignment="1">
      <alignment horizontal="center" vertical="center" shrinkToFit="1"/>
    </xf>
    <xf numFmtId="177" fontId="372" fillId="0" borderId="75" xfId="7" applyNumberFormat="1" applyFont="1" applyFill="1" applyBorder="1" applyAlignment="1">
      <alignment horizontal="center" vertical="center"/>
    </xf>
    <xf numFmtId="346" fontId="372" fillId="0" borderId="73" xfId="7" applyNumberFormat="1" applyFont="1" applyFill="1" applyBorder="1" applyAlignment="1">
      <alignment horizontal="center" vertical="center" shrinkToFit="1"/>
    </xf>
    <xf numFmtId="176" fontId="432" fillId="0" borderId="119" xfId="1" applyNumberFormat="1" applyFont="1" applyFill="1" applyBorder="1" applyAlignment="1">
      <alignment vertical="center" shrinkToFit="1"/>
    </xf>
    <xf numFmtId="0" fontId="372" fillId="0" borderId="2" xfId="17481" applyFont="1" applyBorder="1" applyAlignment="1">
      <alignment horizontal="center" vertical="center"/>
    </xf>
    <xf numFmtId="0" fontId="372" fillId="0" borderId="3" xfId="17481" applyFont="1" applyBorder="1" applyAlignment="1">
      <alignment horizontal="center" vertical="center"/>
    </xf>
    <xf numFmtId="0" fontId="372" fillId="0" borderId="72" xfId="17481" applyFont="1" applyBorder="1" applyAlignment="1">
      <alignment horizontal="center" vertical="center"/>
    </xf>
    <xf numFmtId="177" fontId="372" fillId="0" borderId="73" xfId="17481" applyNumberFormat="1" applyFont="1" applyBorder="1" applyAlignment="1">
      <alignment horizontal="center" vertical="center" shrinkToFit="1"/>
    </xf>
    <xf numFmtId="346" fontId="10" fillId="0" borderId="74" xfId="0" applyNumberFormat="1" applyFont="1" applyBorder="1" applyAlignment="1">
      <alignment horizontal="center" vertical="center"/>
    </xf>
    <xf numFmtId="0" fontId="373" fillId="0" borderId="2" xfId="6" applyFont="1" applyBorder="1" applyAlignment="1">
      <alignment horizontal="center" vertical="center"/>
    </xf>
    <xf numFmtId="0" fontId="373" fillId="0" borderId="72" xfId="6" applyFont="1" applyBorder="1" applyAlignment="1">
      <alignment horizontal="center" vertical="center"/>
    </xf>
    <xf numFmtId="346" fontId="373" fillId="0" borderId="76" xfId="6" applyNumberFormat="1" applyFont="1" applyBorder="1" applyAlignment="1">
      <alignment horizontal="center" vertical="center"/>
    </xf>
    <xf numFmtId="0" fontId="373" fillId="0" borderId="75" xfId="0" applyFont="1" applyBorder="1" applyAlignment="1">
      <alignment horizontal="center" vertical="center" shrinkToFit="1"/>
    </xf>
    <xf numFmtId="346" fontId="375" fillId="0" borderId="73" xfId="0" applyNumberFormat="1" applyFont="1" applyBorder="1" applyAlignment="1">
      <alignment horizontal="center" vertical="center"/>
    </xf>
    <xf numFmtId="10" fontId="373" fillId="0" borderId="73" xfId="1" applyNumberFormat="1" applyFont="1" applyFill="1" applyBorder="1" applyAlignment="1">
      <alignment horizontal="center" vertical="center" shrinkToFit="1"/>
    </xf>
    <xf numFmtId="14" fontId="373" fillId="0" borderId="73" xfId="0" applyNumberFormat="1" applyFont="1" applyBorder="1" applyAlignment="1">
      <alignment horizontal="center" vertical="center"/>
    </xf>
    <xf numFmtId="0" fontId="373" fillId="0" borderId="73" xfId="0" applyFont="1" applyBorder="1" applyAlignment="1">
      <alignment horizontal="center" vertical="center"/>
    </xf>
    <xf numFmtId="41" fontId="373" fillId="0" borderId="74" xfId="1" applyFont="1" applyFill="1" applyBorder="1" applyAlignment="1">
      <alignment horizontal="center" vertical="center"/>
    </xf>
    <xf numFmtId="0" fontId="373" fillId="0" borderId="75" xfId="0" applyFont="1" applyBorder="1" applyAlignment="1">
      <alignment horizontal="center" vertical="center"/>
    </xf>
    <xf numFmtId="41" fontId="373" fillId="0" borderId="73" xfId="1" applyFont="1" applyFill="1" applyBorder="1" applyAlignment="1">
      <alignment horizontal="right" vertical="center"/>
    </xf>
    <xf numFmtId="0" fontId="10" fillId="0" borderId="100" xfId="0" applyFont="1" applyBorder="1" applyAlignment="1">
      <alignment horizontal="center" vertical="center" shrinkToFit="1"/>
    </xf>
    <xf numFmtId="0" fontId="10" fillId="0" borderId="73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 shrinkToFit="1"/>
    </xf>
    <xf numFmtId="0" fontId="10" fillId="0" borderId="74" xfId="0" applyFont="1" applyBorder="1" applyAlignment="1">
      <alignment horizontal="center" vertical="center" shrinkToFit="1"/>
    </xf>
    <xf numFmtId="0" fontId="8" fillId="0" borderId="75" xfId="9" applyFont="1" applyBorder="1" applyAlignment="1">
      <alignment horizontal="center" vertical="center" shrinkToFit="1"/>
    </xf>
    <xf numFmtId="0" fontId="8" fillId="0" borderId="73" xfId="9" applyFont="1" applyBorder="1" applyAlignment="1">
      <alignment horizontal="center" vertical="center" shrinkToFit="1"/>
    </xf>
    <xf numFmtId="14" fontId="8" fillId="0" borderId="73" xfId="9" applyNumberFormat="1" applyFont="1" applyBorder="1" applyAlignment="1">
      <alignment horizontal="center" vertical="center" shrinkToFit="1"/>
    </xf>
    <xf numFmtId="41" fontId="10" fillId="0" borderId="73" xfId="1" applyFont="1" applyFill="1" applyBorder="1" applyAlignment="1">
      <alignment vertical="center" shrinkToFit="1"/>
    </xf>
    <xf numFmtId="0" fontId="8" fillId="0" borderId="73" xfId="1" applyNumberFormat="1" applyFont="1" applyFill="1" applyBorder="1" applyAlignment="1">
      <alignment horizontal="center" vertical="center" shrinkToFit="1"/>
    </xf>
    <xf numFmtId="0" fontId="8" fillId="0" borderId="74" xfId="1" applyNumberFormat="1" applyFont="1" applyFill="1" applyBorder="1" applyAlignment="1">
      <alignment horizontal="center" vertical="center" shrinkToFit="1"/>
    </xf>
    <xf numFmtId="0" fontId="8" fillId="0" borderId="121" xfId="10" applyNumberFormat="1" applyFont="1" applyFill="1" applyBorder="1" applyAlignment="1">
      <alignment horizontal="left" vertical="center" shrinkToFit="1"/>
    </xf>
    <xf numFmtId="177" fontId="413" fillId="0" borderId="0" xfId="7" applyNumberFormat="1" applyFont="1" applyFill="1" applyBorder="1" applyAlignment="1">
      <alignment horizontal="center" vertical="center" wrapText="1"/>
    </xf>
    <xf numFmtId="41" fontId="373" fillId="0" borderId="75" xfId="1" applyFont="1" applyFill="1" applyBorder="1" applyAlignment="1">
      <alignment horizontal="center" vertical="center"/>
    </xf>
    <xf numFmtId="0" fontId="373" fillId="0" borderId="77" xfId="0" applyFont="1" applyBorder="1" applyAlignment="1">
      <alignment vertical="center" shrinkToFit="1"/>
    </xf>
    <xf numFmtId="0" fontId="375" fillId="0" borderId="2" xfId="0" applyFont="1" applyBorder="1" applyAlignment="1">
      <alignment horizontal="center" vertical="center"/>
    </xf>
    <xf numFmtId="0" fontId="373" fillId="0" borderId="3" xfId="6" applyFont="1" applyBorder="1" applyAlignment="1">
      <alignment horizontal="center" vertical="center" shrinkToFit="1"/>
    </xf>
    <xf numFmtId="0" fontId="373" fillId="0" borderId="73" xfId="6" applyFont="1" applyBorder="1" applyAlignment="1">
      <alignment horizontal="center" vertical="center" shrinkToFit="1"/>
    </xf>
    <xf numFmtId="346" fontId="373" fillId="0" borderId="73" xfId="6" applyNumberFormat="1" applyFont="1" applyBorder="1" applyAlignment="1">
      <alignment horizontal="center" vertical="center" shrinkToFit="1"/>
    </xf>
    <xf numFmtId="0" fontId="373" fillId="0" borderId="74" xfId="6" applyFont="1" applyBorder="1" applyAlignment="1">
      <alignment horizontal="center" vertical="center"/>
    </xf>
    <xf numFmtId="41" fontId="373" fillId="0" borderId="77" xfId="1" applyFont="1" applyFill="1" applyBorder="1" applyAlignment="1">
      <alignment horizontal="left" vertical="center" shrinkToFit="1"/>
    </xf>
    <xf numFmtId="0" fontId="375" fillId="0" borderId="8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shrinkToFit="1"/>
    </xf>
    <xf numFmtId="0" fontId="379" fillId="0" borderId="0" xfId="0" applyFont="1">
      <alignment vertical="center"/>
    </xf>
    <xf numFmtId="0" fontId="380" fillId="0" borderId="0" xfId="0" applyFont="1">
      <alignment vertical="center"/>
    </xf>
    <xf numFmtId="0" fontId="372" fillId="0" borderId="0" xfId="0" applyFont="1" applyAlignment="1">
      <alignment horizontal="center" vertical="center"/>
    </xf>
    <xf numFmtId="0" fontId="372" fillId="0" borderId="0" xfId="0" applyFont="1" applyAlignment="1"/>
    <xf numFmtId="41" fontId="372" fillId="0" borderId="0" xfId="1" applyFont="1" applyFill="1" applyAlignment="1">
      <alignment horizontal="center" vertical="center"/>
    </xf>
    <xf numFmtId="41" fontId="0" fillId="0" borderId="0" xfId="1" applyFont="1" applyFill="1" applyAlignment="1">
      <alignment horizontal="center" vertical="center"/>
    </xf>
    <xf numFmtId="41" fontId="4" fillId="0" borderId="0" xfId="0" applyNumberFormat="1" applyFont="1">
      <alignment vertical="center"/>
    </xf>
    <xf numFmtId="182" fontId="15" fillId="0" borderId="0" xfId="7" applyNumberFormat="1" applyFont="1" applyFill="1" applyAlignment="1">
      <alignment horizontal="center" vertical="center"/>
    </xf>
    <xf numFmtId="378" fontId="15" fillId="0" borderId="0" xfId="7" applyNumberFormat="1" applyFont="1" applyFill="1" applyAlignment="1">
      <alignment horizontal="center" vertical="center"/>
    </xf>
    <xf numFmtId="182" fontId="16" fillId="0" borderId="0" xfId="7" applyNumberFormat="1" applyFont="1" applyFill="1" applyAlignment="1">
      <alignment horizontal="center" vertical="center"/>
    </xf>
    <xf numFmtId="378" fontId="16" fillId="0" borderId="0" xfId="7" applyNumberFormat="1" applyFont="1" applyFill="1" applyAlignment="1">
      <alignment horizontal="center" vertical="center"/>
    </xf>
    <xf numFmtId="41" fontId="437" fillId="0" borderId="0" xfId="1" applyFont="1" applyFill="1" applyBorder="1" applyAlignment="1">
      <alignment vertical="center"/>
    </xf>
    <xf numFmtId="176" fontId="9" fillId="0" borderId="0" xfId="7" applyNumberFormat="1" applyFont="1" applyFill="1" applyAlignment="1">
      <alignment vertical="center"/>
    </xf>
    <xf numFmtId="41" fontId="9" fillId="0" borderId="0" xfId="1" applyFont="1" applyFill="1" applyAlignment="1">
      <alignment vertical="center"/>
    </xf>
    <xf numFmtId="177" fontId="413" fillId="0" borderId="0" xfId="7" applyNumberFormat="1" applyFont="1" applyFill="1" applyAlignment="1">
      <alignment vertical="center" wrapText="1"/>
    </xf>
    <xf numFmtId="177" fontId="8" fillId="0" borderId="0" xfId="5" applyNumberFormat="1" applyFont="1" applyAlignment="1">
      <alignment horizontal="center" vertical="center"/>
    </xf>
    <xf numFmtId="14" fontId="8" fillId="0" borderId="0" xfId="5" applyNumberFormat="1" applyFont="1">
      <alignment vertical="center"/>
    </xf>
    <xf numFmtId="41" fontId="8" fillId="0" borderId="0" xfId="1" applyFont="1" applyFill="1" applyAlignment="1">
      <alignment horizontal="center" vertical="center"/>
    </xf>
    <xf numFmtId="49" fontId="8" fillId="0" borderId="0" xfId="5" applyNumberFormat="1" applyFont="1" applyAlignment="1">
      <alignment vertical="center" shrinkToFit="1"/>
    </xf>
    <xf numFmtId="0" fontId="8" fillId="0" borderId="0" xfId="5" applyFont="1" applyAlignment="1">
      <alignment horizontal="center" vertical="center"/>
    </xf>
    <xf numFmtId="177" fontId="372" fillId="0" borderId="0" xfId="17481" applyNumberFormat="1" applyFont="1" applyAlignment="1">
      <alignment horizontal="center" vertical="center" wrapText="1"/>
    </xf>
    <xf numFmtId="0" fontId="8" fillId="0" borderId="0" xfId="4" applyFont="1" applyAlignment="1">
      <alignment horizontal="center" vertical="center" wrapText="1"/>
    </xf>
    <xf numFmtId="41" fontId="8" fillId="0" borderId="0" xfId="1" applyFont="1" applyFill="1" applyAlignment="1">
      <alignment horizontal="center" vertical="center" wrapText="1"/>
    </xf>
    <xf numFmtId="41" fontId="440" fillId="0" borderId="0" xfId="1" applyFont="1" applyFill="1" applyAlignment="1"/>
    <xf numFmtId="41" fontId="16" fillId="0" borderId="0" xfId="1" applyFont="1" applyFill="1" applyAlignment="1"/>
    <xf numFmtId="0" fontId="366" fillId="0" borderId="0" xfId="0" applyFont="1" applyAlignment="1">
      <alignment horizontal="center"/>
    </xf>
    <xf numFmtId="41" fontId="439" fillId="0" borderId="0" xfId="0" applyNumberFormat="1" applyFont="1" applyAlignment="1"/>
    <xf numFmtId="0" fontId="369" fillId="0" borderId="0" xfId="0" applyFont="1">
      <alignment vertical="center"/>
    </xf>
    <xf numFmtId="0" fontId="370" fillId="0" borderId="0" xfId="0" applyFont="1">
      <alignment vertical="center"/>
    </xf>
    <xf numFmtId="0" fontId="8" fillId="0" borderId="0" xfId="0" applyFont="1" applyAlignment="1">
      <alignment horizontal="center" vertical="center" shrinkToFit="1"/>
    </xf>
    <xf numFmtId="0" fontId="8" fillId="0" borderId="0" xfId="0" applyFont="1">
      <alignment vertical="center"/>
    </xf>
    <xf numFmtId="41" fontId="8" fillId="0" borderId="0" xfId="0" applyNumberFormat="1" applyFont="1" applyAlignment="1">
      <alignment horizontal="center" vertical="center" shrinkToFit="1"/>
    </xf>
    <xf numFmtId="177" fontId="8" fillId="0" borderId="75" xfId="5" applyNumberFormat="1" applyFont="1" applyBorder="1" applyAlignment="1">
      <alignment horizontal="center" vertical="center" shrinkToFit="1"/>
    </xf>
    <xf numFmtId="177" fontId="8" fillId="0" borderId="100" xfId="5" applyNumberFormat="1" applyFont="1" applyBorder="1" applyAlignment="1">
      <alignment horizontal="center" vertical="center" shrinkToFit="1"/>
    </xf>
    <xf numFmtId="0" fontId="8" fillId="0" borderId="73" xfId="5" applyFont="1" applyBorder="1" applyAlignment="1">
      <alignment horizontal="left" vertical="center" shrinkToFit="1"/>
    </xf>
    <xf numFmtId="0" fontId="10" fillId="0" borderId="73" xfId="0" applyFont="1" applyBorder="1" applyAlignment="1">
      <alignment horizontal="center" vertical="center" shrinkToFit="1"/>
    </xf>
    <xf numFmtId="176" fontId="8" fillId="0" borderId="73" xfId="1" applyNumberFormat="1" applyFont="1" applyFill="1" applyBorder="1" applyAlignment="1">
      <alignment vertical="center" shrinkToFit="1"/>
    </xf>
    <xf numFmtId="0" fontId="8" fillId="0" borderId="73" xfId="23574" applyFont="1" applyBorder="1" applyAlignment="1">
      <alignment horizontal="center" vertical="center" shrinkToFit="1"/>
    </xf>
    <xf numFmtId="14" fontId="8" fillId="0" borderId="73" xfId="23574" applyNumberFormat="1" applyFont="1" applyBorder="1" applyAlignment="1">
      <alignment horizontal="center" vertical="center" shrinkToFit="1"/>
    </xf>
    <xf numFmtId="178" fontId="8" fillId="0" borderId="73" xfId="23574" applyNumberFormat="1" applyFont="1" applyBorder="1" applyAlignment="1">
      <alignment horizontal="center" vertical="center" shrinkToFit="1"/>
    </xf>
    <xf numFmtId="177" fontId="8" fillId="0" borderId="73" xfId="23574" applyNumberFormat="1" applyFont="1" applyBorder="1" applyAlignment="1">
      <alignment horizontal="center" vertical="center" shrinkToFit="1"/>
    </xf>
    <xf numFmtId="41" fontId="8" fillId="0" borderId="73" xfId="23574" applyNumberFormat="1" applyFont="1" applyBorder="1" applyAlignment="1">
      <alignment vertical="center" shrinkToFit="1"/>
    </xf>
    <xf numFmtId="0" fontId="8" fillId="0" borderId="75" xfId="23574" applyFont="1" applyBorder="1" applyAlignment="1">
      <alignment horizontal="center" vertical="center" shrinkToFit="1"/>
    </xf>
    <xf numFmtId="41" fontId="8" fillId="0" borderId="73" xfId="23574" applyNumberFormat="1" applyFont="1" applyBorder="1" applyAlignment="1">
      <alignment horizontal="center" vertical="center" shrinkToFit="1"/>
    </xf>
    <xf numFmtId="41" fontId="8" fillId="0" borderId="74" xfId="23574" applyNumberFormat="1" applyFont="1" applyBorder="1" applyAlignment="1">
      <alignment horizontal="center" vertical="center" shrinkToFit="1"/>
    </xf>
    <xf numFmtId="177" fontId="10" fillId="0" borderId="75" xfId="23574" applyNumberFormat="1" applyFont="1" applyBorder="1" applyAlignment="1">
      <alignment horizontal="center" vertical="center" shrinkToFit="1"/>
    </xf>
    <xf numFmtId="14" fontId="10" fillId="0" borderId="73" xfId="0" applyNumberFormat="1" applyFont="1" applyBorder="1" applyAlignment="1">
      <alignment horizontal="center" vertical="center" shrinkToFit="1"/>
    </xf>
    <xf numFmtId="177" fontId="10" fillId="0" borderId="73" xfId="23574" applyNumberFormat="1" applyFont="1" applyBorder="1" applyAlignment="1">
      <alignment horizontal="center" vertical="center" shrinkToFit="1"/>
    </xf>
    <xf numFmtId="41" fontId="10" fillId="0" borderId="74" xfId="1" applyFont="1" applyFill="1" applyBorder="1" applyAlignment="1">
      <alignment vertical="center" shrinkToFit="1"/>
    </xf>
    <xf numFmtId="177" fontId="372" fillId="0" borderId="75" xfId="9" applyNumberFormat="1" applyFont="1" applyBorder="1" applyAlignment="1">
      <alignment horizontal="center" vertical="center" shrinkToFit="1"/>
    </xf>
    <xf numFmtId="41" fontId="8" fillId="0" borderId="74" xfId="1" applyFont="1" applyFill="1" applyBorder="1" applyAlignment="1">
      <alignment vertical="center" shrinkToFit="1"/>
    </xf>
    <xf numFmtId="177" fontId="8" fillId="0" borderId="100" xfId="23574" applyNumberFormat="1" applyFont="1" applyBorder="1" applyAlignment="1">
      <alignment vertical="center" shrinkToFit="1"/>
    </xf>
    <xf numFmtId="177" fontId="8" fillId="0" borderId="73" xfId="23574" applyNumberFormat="1" applyFont="1" applyBorder="1" applyAlignment="1">
      <alignment vertical="center" shrinkToFit="1"/>
    </xf>
    <xf numFmtId="177" fontId="8" fillId="0" borderId="74" xfId="23574" applyNumberFormat="1" applyFont="1" applyBorder="1" applyAlignment="1">
      <alignment vertical="center" shrinkToFit="1"/>
    </xf>
    <xf numFmtId="177" fontId="8" fillId="0" borderId="77" xfId="23574" applyNumberFormat="1" applyFont="1" applyBorder="1" applyAlignment="1">
      <alignment vertical="center" shrinkToFit="1"/>
    </xf>
    <xf numFmtId="0" fontId="10" fillId="0" borderId="127" xfId="0" applyFont="1" applyBorder="1" applyAlignment="1">
      <alignment horizontal="center" vertical="center" shrinkToFit="1"/>
    </xf>
    <xf numFmtId="0" fontId="8" fillId="0" borderId="75" xfId="5" applyFont="1" applyBorder="1" applyAlignment="1">
      <alignment horizontal="center" vertical="center" shrinkToFit="1"/>
    </xf>
    <xf numFmtId="0" fontId="372" fillId="0" borderId="73" xfId="17481" applyFont="1" applyBorder="1" applyAlignment="1">
      <alignment horizontal="center" vertical="center" shrinkToFit="1"/>
    </xf>
    <xf numFmtId="0" fontId="8" fillId="0" borderId="90" xfId="5" applyFont="1" applyBorder="1" applyAlignment="1">
      <alignment horizontal="left" vertical="center" shrinkToFit="1"/>
    </xf>
    <xf numFmtId="0" fontId="8" fillId="0" borderId="74" xfId="5" applyFont="1" applyBorder="1" applyAlignment="1">
      <alignment horizontal="left" vertical="center" shrinkToFit="1"/>
    </xf>
    <xf numFmtId="0" fontId="372" fillId="0" borderId="76" xfId="17481" applyFont="1" applyBorder="1" applyAlignment="1">
      <alignment horizontal="center" vertical="center" shrinkToFit="1"/>
    </xf>
    <xf numFmtId="176" fontId="372" fillId="0" borderId="75" xfId="1" applyNumberFormat="1" applyFont="1" applyFill="1" applyBorder="1" applyAlignment="1">
      <alignment horizontal="right" vertical="center" shrinkToFit="1"/>
    </xf>
    <xf numFmtId="176" fontId="372" fillId="0" borderId="73" xfId="1" applyNumberFormat="1" applyFont="1" applyFill="1" applyBorder="1" applyAlignment="1">
      <alignment horizontal="right" vertical="center" shrinkToFit="1"/>
    </xf>
    <xf numFmtId="0" fontId="372" fillId="0" borderId="128" xfId="17481" applyFont="1" applyBorder="1" applyAlignment="1">
      <alignment horizontal="center" vertical="center" shrinkToFit="1"/>
    </xf>
    <xf numFmtId="346" fontId="8" fillId="0" borderId="75" xfId="23574" applyNumberFormat="1" applyFont="1" applyBorder="1" applyAlignment="1">
      <alignment horizontal="center" vertical="center" shrinkToFit="1"/>
    </xf>
    <xf numFmtId="177" fontId="372" fillId="0" borderId="73" xfId="7" applyNumberFormat="1" applyFont="1" applyFill="1" applyBorder="1" applyAlignment="1">
      <alignment horizontal="center" vertical="center" shrinkToFit="1"/>
    </xf>
    <xf numFmtId="0" fontId="372" fillId="0" borderId="73" xfId="7" applyNumberFormat="1" applyFont="1" applyFill="1" applyBorder="1" applyAlignment="1">
      <alignment horizontal="center" vertical="center" shrinkToFit="1"/>
    </xf>
    <xf numFmtId="41" fontId="372" fillId="0" borderId="73" xfId="7" applyFont="1" applyFill="1" applyBorder="1" applyAlignment="1">
      <alignment vertical="center" shrinkToFit="1"/>
    </xf>
    <xf numFmtId="41" fontId="372" fillId="0" borderId="74" xfId="7" applyFont="1" applyFill="1" applyBorder="1" applyAlignment="1">
      <alignment vertical="center" shrinkToFit="1"/>
    </xf>
    <xf numFmtId="0" fontId="8" fillId="0" borderId="77" xfId="23574" applyFont="1" applyBorder="1" applyAlignment="1">
      <alignment vertical="center" shrinkToFit="1"/>
    </xf>
    <xf numFmtId="49" fontId="209" fillId="0" borderId="73" xfId="0" applyNumberFormat="1" applyFont="1" applyBorder="1" applyAlignment="1">
      <alignment horizontal="center" vertical="center"/>
    </xf>
    <xf numFmtId="14" fontId="209" fillId="0" borderId="73" xfId="0" applyNumberFormat="1" applyFont="1" applyBorder="1" applyAlignment="1">
      <alignment horizontal="center" vertical="center"/>
    </xf>
    <xf numFmtId="0" fontId="8" fillId="80" borderId="14" xfId="0" applyFont="1" applyFill="1" applyBorder="1">
      <alignment vertical="center"/>
    </xf>
    <xf numFmtId="14" fontId="9" fillId="0" borderId="15" xfId="0" applyNumberFormat="1" applyFont="1" applyBorder="1" applyAlignment="1">
      <alignment horizontal="center" vertical="center" shrinkToFit="1"/>
    </xf>
    <xf numFmtId="0" fontId="8" fillId="80" borderId="129" xfId="0" applyFont="1" applyFill="1" applyBorder="1">
      <alignment vertical="center"/>
    </xf>
    <xf numFmtId="176" fontId="432" fillId="0" borderId="130" xfId="1" applyNumberFormat="1" applyFont="1" applyFill="1" applyBorder="1" applyAlignment="1">
      <alignment vertical="center" shrinkToFit="1"/>
    </xf>
    <xf numFmtId="0" fontId="8" fillId="80" borderId="120" xfId="0" applyFont="1" applyFill="1" applyBorder="1">
      <alignment vertical="center"/>
    </xf>
    <xf numFmtId="0" fontId="373" fillId="0" borderId="88" xfId="6" applyFont="1" applyBorder="1" applyAlignment="1">
      <alignment horizontal="center" vertical="center"/>
    </xf>
    <xf numFmtId="0" fontId="373" fillId="0" borderId="96" xfId="6" applyFont="1" applyBorder="1" applyAlignment="1">
      <alignment horizontal="center" vertical="center" shrinkToFit="1"/>
    </xf>
    <xf numFmtId="0" fontId="373" fillId="0" borderId="3" xfId="17481" applyFont="1" applyBorder="1" applyAlignment="1">
      <alignment horizontal="center" vertical="center"/>
    </xf>
    <xf numFmtId="0" fontId="375" fillId="0" borderId="89" xfId="0" applyFont="1" applyBorder="1" applyAlignment="1">
      <alignment horizontal="center" vertical="center" shrinkToFit="1"/>
    </xf>
    <xf numFmtId="0" fontId="373" fillId="0" borderId="19" xfId="6" applyFont="1" applyBorder="1" applyAlignment="1">
      <alignment horizontal="center" vertical="center" shrinkToFit="1"/>
    </xf>
    <xf numFmtId="177" fontId="373" fillId="0" borderId="89" xfId="5" applyNumberFormat="1" applyFont="1" applyBorder="1" applyAlignment="1">
      <alignment horizontal="center" vertical="center" shrinkToFit="1"/>
    </xf>
    <xf numFmtId="0" fontId="373" fillId="0" borderId="3" xfId="5" applyFont="1" applyBorder="1" applyAlignment="1">
      <alignment horizontal="left" vertical="center" shrinkToFit="1"/>
    </xf>
    <xf numFmtId="0" fontId="375" fillId="0" borderId="3" xfId="0" applyFont="1" applyBorder="1" applyAlignment="1">
      <alignment horizontal="center" vertical="center" shrinkToFit="1"/>
    </xf>
    <xf numFmtId="43" fontId="373" fillId="0" borderId="3" xfId="0" applyNumberFormat="1" applyFont="1" applyBorder="1">
      <alignment vertical="center"/>
    </xf>
    <xf numFmtId="0" fontId="373" fillId="0" borderId="3" xfId="23574" applyFont="1" applyBorder="1" applyAlignment="1">
      <alignment horizontal="center" vertical="center" shrinkToFit="1"/>
    </xf>
    <xf numFmtId="14" fontId="373" fillId="0" borderId="3" xfId="23574" applyNumberFormat="1" applyFont="1" applyBorder="1" applyAlignment="1">
      <alignment horizontal="center" vertical="center" shrinkToFit="1"/>
    </xf>
    <xf numFmtId="41" fontId="373" fillId="0" borderId="3" xfId="7" applyFont="1" applyFill="1" applyBorder="1" applyAlignment="1">
      <alignment vertical="center" shrinkToFit="1"/>
    </xf>
    <xf numFmtId="178" fontId="373" fillId="0" borderId="3" xfId="23574" applyNumberFormat="1" applyFont="1" applyBorder="1" applyAlignment="1">
      <alignment horizontal="center" vertical="center" shrinkToFit="1"/>
    </xf>
    <xf numFmtId="177" fontId="373" fillId="0" borderId="3" xfId="23574" applyNumberFormat="1" applyFont="1" applyBorder="1" applyAlignment="1">
      <alignment horizontal="center" vertical="center" shrinkToFit="1"/>
    </xf>
    <xf numFmtId="41" fontId="373" fillId="0" borderId="3" xfId="7" applyFont="1" applyFill="1" applyBorder="1" applyAlignment="1">
      <alignment horizontal="right" vertical="center" shrinkToFit="1"/>
    </xf>
    <xf numFmtId="41" fontId="373" fillId="0" borderId="3" xfId="23574" applyNumberFormat="1" applyFont="1" applyBorder="1" applyAlignment="1">
      <alignment vertical="center" shrinkToFit="1"/>
    </xf>
    <xf numFmtId="41" fontId="373" fillId="0" borderId="3" xfId="7" applyFont="1" applyFill="1" applyBorder="1" applyAlignment="1">
      <alignment horizontal="center" vertical="center" shrinkToFit="1"/>
    </xf>
    <xf numFmtId="41" fontId="373" fillId="0" borderId="70" xfId="7" applyFont="1" applyFill="1" applyBorder="1" applyAlignment="1">
      <alignment vertical="center" shrinkToFit="1"/>
    </xf>
    <xf numFmtId="0" fontId="373" fillId="0" borderId="89" xfId="0" applyFont="1" applyBorder="1" applyAlignment="1">
      <alignment horizontal="center" vertical="center" shrinkToFit="1"/>
    </xf>
    <xf numFmtId="0" fontId="373" fillId="0" borderId="3" xfId="0" applyFont="1" applyBorder="1" applyAlignment="1">
      <alignment horizontal="center" vertical="center" shrinkToFit="1"/>
    </xf>
    <xf numFmtId="41" fontId="373" fillId="0" borderId="3" xfId="23574" applyNumberFormat="1" applyFont="1" applyBorder="1" applyAlignment="1">
      <alignment horizontal="center" vertical="center" shrinkToFit="1"/>
    </xf>
    <xf numFmtId="41" fontId="373" fillId="0" borderId="70" xfId="23574" applyNumberFormat="1" applyFont="1" applyBorder="1" applyAlignment="1">
      <alignment horizontal="center" vertical="center" shrinkToFit="1"/>
    </xf>
    <xf numFmtId="177" fontId="375" fillId="0" borderId="19" xfId="23574" applyNumberFormat="1" applyFont="1" applyBorder="1" applyAlignment="1">
      <alignment horizontal="center" vertical="center" shrinkToFit="1"/>
    </xf>
    <xf numFmtId="14" fontId="375" fillId="0" borderId="3" xfId="23574" applyNumberFormat="1" applyFont="1" applyBorder="1" applyAlignment="1">
      <alignment horizontal="center" vertical="center" shrinkToFit="1"/>
    </xf>
    <xf numFmtId="177" fontId="375" fillId="0" borderId="3" xfId="23574" applyNumberFormat="1" applyFont="1" applyBorder="1" applyAlignment="1">
      <alignment horizontal="center" vertical="center" shrinkToFit="1"/>
    </xf>
    <xf numFmtId="41" fontId="375" fillId="0" borderId="3" xfId="7" applyFont="1" applyFill="1" applyBorder="1" applyAlignment="1">
      <alignment horizontal="center" vertical="center" shrinkToFit="1"/>
    </xf>
    <xf numFmtId="41" fontId="375" fillId="0" borderId="3" xfId="1" applyFont="1" applyFill="1" applyBorder="1" applyAlignment="1">
      <alignment horizontal="center" vertical="center" shrinkToFit="1"/>
    </xf>
    <xf numFmtId="41" fontId="375" fillId="0" borderId="70" xfId="1" applyFont="1" applyFill="1" applyBorder="1" applyAlignment="1">
      <alignment vertical="center" shrinkToFit="1"/>
    </xf>
    <xf numFmtId="177" fontId="373" fillId="0" borderId="19" xfId="9" applyNumberFormat="1" applyFont="1" applyBorder="1" applyAlignment="1">
      <alignment horizontal="center" vertical="center" shrinkToFit="1"/>
    </xf>
    <xf numFmtId="41" fontId="373" fillId="0" borderId="3" xfId="3703" applyFont="1" applyFill="1" applyBorder="1" applyAlignment="1">
      <alignment horizontal="center" vertical="center"/>
    </xf>
    <xf numFmtId="177" fontId="373" fillId="0" borderId="89" xfId="23574" applyNumberFormat="1" applyFont="1" applyBorder="1" applyAlignment="1">
      <alignment horizontal="center" vertical="center" shrinkToFit="1"/>
    </xf>
    <xf numFmtId="41" fontId="373" fillId="0" borderId="70" xfId="1" applyFont="1" applyFill="1" applyBorder="1" applyAlignment="1">
      <alignment horizontal="center" vertical="center" shrinkToFit="1"/>
    </xf>
    <xf numFmtId="177" fontId="373" fillId="0" borderId="19" xfId="23574" applyNumberFormat="1" applyFont="1" applyBorder="1" applyAlignment="1">
      <alignment vertical="center" shrinkToFit="1"/>
    </xf>
    <xf numFmtId="177" fontId="373" fillId="0" borderId="3" xfId="23574" applyNumberFormat="1" applyFont="1" applyBorder="1" applyAlignment="1">
      <alignment vertical="center" shrinkToFit="1"/>
    </xf>
    <xf numFmtId="177" fontId="373" fillId="0" borderId="70" xfId="23574" applyNumberFormat="1" applyFont="1" applyBorder="1" applyAlignment="1">
      <alignment vertical="center" shrinkToFit="1"/>
    </xf>
    <xf numFmtId="177" fontId="373" fillId="0" borderId="71" xfId="23574" applyNumberFormat="1" applyFont="1" applyBorder="1" applyAlignment="1">
      <alignment vertical="center" shrinkToFit="1"/>
    </xf>
    <xf numFmtId="0" fontId="373" fillId="0" borderId="3" xfId="0" applyFont="1" applyBorder="1" applyAlignment="1">
      <alignment horizontal="center" vertical="center"/>
    </xf>
    <xf numFmtId="14" fontId="373" fillId="0" borderId="3" xfId="0" applyNumberFormat="1" applyFont="1" applyBorder="1" applyAlignment="1">
      <alignment horizontal="center" vertical="center"/>
    </xf>
    <xf numFmtId="41" fontId="373" fillId="0" borderId="3" xfId="3703" applyFont="1" applyFill="1" applyBorder="1" applyAlignment="1">
      <alignment vertical="center"/>
    </xf>
    <xf numFmtId="177" fontId="373" fillId="0" borderId="71" xfId="23574" applyNumberFormat="1" applyFont="1" applyBorder="1" applyAlignment="1">
      <alignment vertical="center" wrapText="1" shrinkToFit="1"/>
    </xf>
    <xf numFmtId="41" fontId="375" fillId="0" borderId="70" xfId="1" applyFont="1" applyFill="1" applyBorder="1" applyAlignment="1">
      <alignment horizontal="right" vertical="center" shrinkToFit="1"/>
    </xf>
    <xf numFmtId="41" fontId="373" fillId="0" borderId="70" xfId="3703" applyFont="1" applyFill="1" applyBorder="1" applyAlignment="1">
      <alignment vertical="center"/>
    </xf>
    <xf numFmtId="41" fontId="373" fillId="0" borderId="70" xfId="3703" applyFont="1" applyFill="1" applyBorder="1" applyAlignment="1">
      <alignment horizontal="center" vertical="center"/>
    </xf>
    <xf numFmtId="177" fontId="373" fillId="0" borderId="89" xfId="23574" applyNumberFormat="1" applyFont="1" applyBorder="1" applyAlignment="1">
      <alignment vertical="center" shrinkToFit="1"/>
    </xf>
    <xf numFmtId="14" fontId="373" fillId="0" borderId="3" xfId="23574" quotePrefix="1" applyNumberFormat="1" applyFont="1" applyBorder="1" applyAlignment="1">
      <alignment horizontal="center" vertical="center" shrinkToFit="1"/>
    </xf>
    <xf numFmtId="14" fontId="375" fillId="0" borderId="3" xfId="0" applyNumberFormat="1" applyFont="1" applyBorder="1" applyAlignment="1">
      <alignment horizontal="center" vertical="center" shrinkToFit="1"/>
    </xf>
    <xf numFmtId="177" fontId="373" fillId="0" borderId="70" xfId="23574" applyNumberFormat="1" applyFont="1" applyBorder="1" applyAlignment="1">
      <alignment horizontal="center" vertical="center" shrinkToFit="1"/>
    </xf>
    <xf numFmtId="41" fontId="375" fillId="0" borderId="70" xfId="1" applyFont="1" applyFill="1" applyBorder="1" applyAlignment="1">
      <alignment horizontal="center" vertical="center" shrinkToFit="1"/>
    </xf>
    <xf numFmtId="177" fontId="373" fillId="0" borderId="70" xfId="23574" applyNumberFormat="1" applyFont="1" applyBorder="1" applyAlignment="1">
      <alignment horizontal="right" vertical="center" shrinkToFit="1"/>
    </xf>
    <xf numFmtId="176" fontId="444" fillId="0" borderId="131" xfId="0" applyNumberFormat="1" applyFont="1" applyBorder="1" applyAlignment="1">
      <alignment horizontal="center"/>
    </xf>
    <xf numFmtId="43" fontId="444" fillId="0" borderId="3" xfId="0" applyNumberFormat="1" applyFont="1" applyBorder="1">
      <alignment vertical="center"/>
    </xf>
    <xf numFmtId="176" fontId="444" fillId="0" borderId="3" xfId="0" applyNumberFormat="1" applyFont="1" applyBorder="1" applyAlignment="1">
      <alignment horizontal="center"/>
    </xf>
    <xf numFmtId="0" fontId="373" fillId="0" borderId="3" xfId="0" applyFont="1" applyBorder="1">
      <alignment vertical="center"/>
    </xf>
    <xf numFmtId="41" fontId="373" fillId="0" borderId="3" xfId="1" applyFont="1" applyFill="1" applyBorder="1" applyAlignment="1">
      <alignment horizontal="center" vertical="center" shrinkToFit="1"/>
    </xf>
    <xf numFmtId="0" fontId="372" fillId="0" borderId="88" xfId="17481" applyFont="1" applyBorder="1" applyAlignment="1">
      <alignment horizontal="center" vertical="center"/>
    </xf>
    <xf numFmtId="0" fontId="373" fillId="0" borderId="88" xfId="6" applyFont="1" applyBorder="1" applyAlignment="1">
      <alignment horizontal="center" vertical="center" shrinkToFit="1"/>
    </xf>
    <xf numFmtId="346" fontId="8" fillId="0" borderId="1" xfId="6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 shrinkToFit="1"/>
    </xf>
    <xf numFmtId="346" fontId="10" fillId="0" borderId="3" xfId="0" applyNumberFormat="1" applyFont="1" applyBorder="1" applyAlignment="1">
      <alignment horizontal="center" vertical="center"/>
    </xf>
    <xf numFmtId="10" fontId="8" fillId="0" borderId="3" xfId="1" applyNumberFormat="1" applyFont="1" applyFill="1" applyBorder="1" applyAlignment="1">
      <alignment horizontal="center" vertical="center" shrinkToFit="1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1" fontId="8" fillId="0" borderId="70" xfId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1" fontId="8" fillId="0" borderId="3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horizontal="right" vertical="center"/>
    </xf>
    <xf numFmtId="0" fontId="8" fillId="0" borderId="71" xfId="0" applyFont="1" applyBorder="1" applyAlignment="1">
      <alignment vertical="center" shrinkToFit="1"/>
    </xf>
    <xf numFmtId="0" fontId="8" fillId="0" borderId="89" xfId="0" applyFont="1" applyBorder="1" applyAlignment="1">
      <alignment horizontal="center" vertical="center"/>
    </xf>
    <xf numFmtId="0" fontId="375" fillId="0" borderId="132" xfId="0" applyFont="1" applyBorder="1" applyAlignment="1">
      <alignment horizontal="center" vertical="center"/>
    </xf>
    <xf numFmtId="0" fontId="373" fillId="0" borderId="132" xfId="6" applyFont="1" applyBorder="1" applyAlignment="1">
      <alignment horizontal="center" vertical="center" shrinkToFit="1"/>
    </xf>
    <xf numFmtId="14" fontId="373" fillId="0" borderId="132" xfId="6" applyNumberFormat="1" applyFont="1" applyBorder="1" applyAlignment="1">
      <alignment horizontal="center" vertical="center" shrinkToFit="1"/>
    </xf>
    <xf numFmtId="0" fontId="375" fillId="0" borderId="95" xfId="0" applyFont="1" applyBorder="1" applyAlignment="1">
      <alignment horizontal="center" vertical="center"/>
    </xf>
    <xf numFmtId="0" fontId="373" fillId="0" borderId="95" xfId="6" applyFont="1" applyBorder="1" applyAlignment="1">
      <alignment horizontal="center" vertical="center" shrinkToFit="1"/>
    </xf>
    <xf numFmtId="14" fontId="373" fillId="0" borderId="95" xfId="6" applyNumberFormat="1" applyFont="1" applyBorder="1" applyAlignment="1">
      <alignment horizontal="center" vertical="center" shrinkToFit="1"/>
    </xf>
    <xf numFmtId="0" fontId="373" fillId="0" borderId="131" xfId="6" applyFont="1" applyBorder="1" applyAlignment="1">
      <alignment horizontal="center" vertical="center" shrinkToFit="1"/>
    </xf>
    <xf numFmtId="41" fontId="373" fillId="0" borderId="88" xfId="17485" applyFont="1" applyFill="1" applyBorder="1" applyAlignment="1">
      <alignment horizontal="center" vertical="center" shrinkToFit="1"/>
    </xf>
    <xf numFmtId="0" fontId="373" fillId="0" borderId="70" xfId="6" applyFont="1" applyBorder="1" applyAlignment="1">
      <alignment horizontal="center" vertical="center" shrinkToFit="1"/>
    </xf>
    <xf numFmtId="0" fontId="373" fillId="0" borderId="19" xfId="5" applyFont="1" applyBorder="1" applyAlignment="1">
      <alignment horizontal="center" vertical="center" shrinkToFit="1"/>
    </xf>
    <xf numFmtId="0" fontId="373" fillId="0" borderId="3" xfId="17481" applyFont="1" applyBorder="1" applyAlignment="1">
      <alignment horizontal="center" vertical="center" shrinkToFit="1"/>
    </xf>
    <xf numFmtId="0" fontId="373" fillId="0" borderId="70" xfId="5" applyFont="1" applyBorder="1" applyAlignment="1">
      <alignment horizontal="left" vertical="center" shrinkToFit="1"/>
    </xf>
    <xf numFmtId="0" fontId="373" fillId="0" borderId="1" xfId="17481" applyFont="1" applyBorder="1" applyAlignment="1">
      <alignment horizontal="center" vertical="center" shrinkToFit="1"/>
    </xf>
    <xf numFmtId="176" fontId="373" fillId="0" borderId="19" xfId="1" applyNumberFormat="1" applyFont="1" applyFill="1" applyBorder="1" applyAlignment="1">
      <alignment horizontal="right" vertical="center" shrinkToFit="1"/>
    </xf>
    <xf numFmtId="176" fontId="373" fillId="0" borderId="3" xfId="1" applyNumberFormat="1" applyFont="1" applyFill="1" applyBorder="1" applyAlignment="1">
      <alignment horizontal="right" vertical="center" shrinkToFit="1"/>
    </xf>
    <xf numFmtId="197" fontId="373" fillId="0" borderId="3" xfId="7" applyNumberFormat="1" applyFont="1" applyFill="1" applyBorder="1" applyAlignment="1">
      <alignment horizontal="center" vertical="center" shrinkToFit="1"/>
    </xf>
    <xf numFmtId="197" fontId="373" fillId="0" borderId="70" xfId="17481" applyNumberFormat="1" applyFont="1" applyBorder="1" applyAlignment="1">
      <alignment horizontal="center" vertical="center" shrinkToFit="1"/>
    </xf>
    <xf numFmtId="0" fontId="373" fillId="0" borderId="98" xfId="17481" applyFont="1" applyBorder="1" applyAlignment="1">
      <alignment horizontal="center" vertical="center" shrinkToFit="1"/>
    </xf>
    <xf numFmtId="346" fontId="373" fillId="0" borderId="19" xfId="23574" applyNumberFormat="1" applyFont="1" applyBorder="1" applyAlignment="1">
      <alignment horizontal="center" vertical="center" shrinkToFit="1"/>
    </xf>
    <xf numFmtId="177" fontId="373" fillId="0" borderId="3" xfId="7" applyNumberFormat="1" applyFont="1" applyFill="1" applyBorder="1" applyAlignment="1">
      <alignment horizontal="center" vertical="center" shrinkToFit="1"/>
    </xf>
    <xf numFmtId="0" fontId="373" fillId="0" borderId="3" xfId="7" applyNumberFormat="1" applyFont="1" applyFill="1" applyBorder="1" applyAlignment="1">
      <alignment horizontal="center" vertical="center" shrinkToFit="1"/>
    </xf>
    <xf numFmtId="0" fontId="373" fillId="0" borderId="71" xfId="23574" applyFont="1" applyBorder="1" applyAlignment="1">
      <alignment vertical="center" shrinkToFit="1"/>
    </xf>
    <xf numFmtId="0" fontId="373" fillId="0" borderId="3" xfId="5" applyFont="1" applyBorder="1" applyAlignment="1">
      <alignment horizontal="center" vertical="center" shrinkToFit="1"/>
    </xf>
    <xf numFmtId="0" fontId="373" fillId="0" borderId="1" xfId="6" applyFont="1" applyBorder="1" applyAlignment="1">
      <alignment horizontal="center" vertical="center" shrinkToFit="1"/>
    </xf>
    <xf numFmtId="0" fontId="375" fillId="0" borderId="95" xfId="0" applyFont="1" applyBorder="1" applyAlignment="1">
      <alignment horizontal="center" vertical="center" shrinkToFit="1"/>
    </xf>
    <xf numFmtId="0" fontId="373" fillId="0" borderId="19" xfId="9" applyFont="1" applyBorder="1" applyAlignment="1">
      <alignment horizontal="center" vertical="center" shrinkToFit="1"/>
    </xf>
    <xf numFmtId="0" fontId="373" fillId="0" borderId="3" xfId="9" applyFont="1" applyBorder="1" applyAlignment="1">
      <alignment horizontal="center" vertical="center" shrinkToFit="1"/>
    </xf>
    <xf numFmtId="14" fontId="373" fillId="0" borderId="3" xfId="9" applyNumberFormat="1" applyFont="1" applyBorder="1" applyAlignment="1">
      <alignment horizontal="center" vertical="center" shrinkToFit="1"/>
    </xf>
    <xf numFmtId="41" fontId="375" fillId="0" borderId="3" xfId="1" applyFont="1" applyFill="1" applyBorder="1" applyAlignment="1">
      <alignment vertical="center" shrinkToFit="1"/>
    </xf>
    <xf numFmtId="0" fontId="373" fillId="0" borderId="3" xfId="1" applyNumberFormat="1" applyFont="1" applyFill="1" applyBorder="1" applyAlignment="1">
      <alignment horizontal="center" vertical="center" shrinkToFit="1"/>
    </xf>
    <xf numFmtId="0" fontId="373" fillId="0" borderId="70" xfId="1" applyNumberFormat="1" applyFont="1" applyFill="1" applyBorder="1" applyAlignment="1">
      <alignment horizontal="center" vertical="center" shrinkToFit="1"/>
    </xf>
    <xf numFmtId="0" fontId="373" fillId="0" borderId="126" xfId="10" applyNumberFormat="1" applyFont="1" applyFill="1" applyBorder="1" applyAlignment="1">
      <alignment horizontal="left" vertical="center" shrinkToFit="1"/>
    </xf>
    <xf numFmtId="0" fontId="373" fillId="0" borderId="95" xfId="1" applyNumberFormat="1" applyFont="1" applyFill="1" applyBorder="1" applyAlignment="1">
      <alignment horizontal="center" vertical="center" shrinkToFit="1"/>
    </xf>
    <xf numFmtId="177" fontId="373" fillId="0" borderId="98" xfId="7" applyNumberFormat="1" applyFont="1" applyFill="1" applyBorder="1" applyAlignment="1">
      <alignment horizontal="center" vertical="center"/>
    </xf>
    <xf numFmtId="49" fontId="375" fillId="0" borderId="3" xfId="0" applyNumberFormat="1" applyFont="1" applyBorder="1" applyAlignment="1">
      <alignment horizontal="center" vertical="center"/>
    </xf>
    <xf numFmtId="14" fontId="375" fillId="0" borderId="3" xfId="0" applyNumberFormat="1" applyFont="1" applyBorder="1" applyAlignment="1">
      <alignment horizontal="center" vertical="center"/>
    </xf>
    <xf numFmtId="346" fontId="373" fillId="0" borderId="3" xfId="7" applyNumberFormat="1" applyFont="1" applyFill="1" applyBorder="1" applyAlignment="1">
      <alignment horizontal="center" vertical="center" shrinkToFit="1"/>
    </xf>
    <xf numFmtId="9" fontId="373" fillId="0" borderId="3" xfId="17479" applyFont="1" applyFill="1" applyBorder="1" applyAlignment="1">
      <alignment horizontal="center" vertical="center"/>
    </xf>
    <xf numFmtId="177" fontId="373" fillId="0" borderId="3" xfId="7" applyNumberFormat="1" applyFont="1" applyFill="1" applyBorder="1" applyAlignment="1">
      <alignment horizontal="center" vertical="center"/>
    </xf>
    <xf numFmtId="41" fontId="373" fillId="0" borderId="3" xfId="1" applyFont="1" applyFill="1" applyBorder="1" applyAlignment="1">
      <alignment vertical="center"/>
    </xf>
    <xf numFmtId="177" fontId="373" fillId="0" borderId="3" xfId="17481" applyNumberFormat="1" applyFont="1" applyBorder="1" applyAlignment="1">
      <alignment horizontal="center" vertical="center" shrinkToFit="1"/>
    </xf>
    <xf numFmtId="176" fontId="432" fillId="0" borderId="130" xfId="1" applyNumberFormat="1" applyFont="1" applyFill="1" applyBorder="1" applyAlignment="1">
      <alignment horizontal="center" vertical="center" shrinkToFit="1"/>
    </xf>
    <xf numFmtId="176" fontId="432" fillId="0" borderId="119" xfId="1" applyNumberFormat="1" applyFont="1" applyFill="1" applyBorder="1" applyAlignment="1">
      <alignment horizontal="center" vertical="center" shrinkToFit="1"/>
    </xf>
    <xf numFmtId="197" fontId="372" fillId="0" borderId="133" xfId="17481" applyNumberFormat="1" applyFont="1" applyBorder="1" applyAlignment="1">
      <alignment horizontal="center" vertical="center" shrinkToFit="1"/>
    </xf>
    <xf numFmtId="197" fontId="372" fillId="0" borderId="73" xfId="17481" applyNumberFormat="1" applyFont="1" applyBorder="1" applyAlignment="1">
      <alignment horizontal="center" vertical="center" shrinkToFit="1"/>
    </xf>
    <xf numFmtId="346" fontId="375" fillId="0" borderId="70" xfId="0" applyNumberFormat="1" applyFont="1" applyBorder="1" applyAlignment="1">
      <alignment horizontal="center" vertical="center"/>
    </xf>
    <xf numFmtId="177" fontId="373" fillId="0" borderId="126" xfId="17481" applyNumberFormat="1" applyFont="1" applyBorder="1" applyAlignment="1">
      <alignment vertical="center" wrapText="1"/>
    </xf>
    <xf numFmtId="177" fontId="372" fillId="0" borderId="121" xfId="17481" applyNumberFormat="1" applyFont="1" applyBorder="1" applyAlignment="1">
      <alignment vertical="center" wrapText="1"/>
    </xf>
  </cellXfs>
  <cellStyles count="32713">
    <cellStyle name="_x0001_" xfId="5026"/>
    <cellStyle name="_x0012_" xfId="5027"/>
    <cellStyle name="_x0014_" xfId="17502"/>
    <cellStyle name="-" xfId="5028"/>
    <cellStyle name=" " xfId="5029"/>
    <cellStyle name="          _x000d__x000a_386grabber=KSVGA.3GR" xfId="17503"/>
    <cellStyle name="          _x000d__x000a_386grabber=vga.3gr_x000d__x000a_" xfId="12"/>
    <cellStyle name="          _x000d__x000a_386grabber=vga.3gr_x000d__x000a_ 2" xfId="5030"/>
    <cellStyle name="          _x000d__x000a_386grabber=vga.3gr_x000d__x000a_ 3" xfId="5031"/>
    <cellStyle name="          _x000d__x000a_mouse.drv=lmouse.drv" xfId="17504"/>
    <cellStyle name="          _x000d__x000a_shell=progman.exe_x000d__x000a_m" xfId="13"/>
    <cellStyle name="          _x000d__x000a_shell=progman.exe_x000d__x000a_m 2" xfId="5032"/>
    <cellStyle name="          _x000d__x000a_shell=progman.exe_x000d__x000a_m 3" xfId="5033"/>
    <cellStyle name="- - _x0006_?_x0008__x0004_" xfId="17505"/>
    <cellStyle name=" [0]_요약표해외" xfId="17506"/>
    <cellStyle name=" _97연말" xfId="5034"/>
    <cellStyle name=" _97연말1" xfId="5035"/>
    <cellStyle name=" _Book1" xfId="5036"/>
    <cellStyle name=" 1" xfId="14"/>
    <cellStyle name=" 1 2" xfId="5037"/>
    <cellStyle name=" 1 3" xfId="5038"/>
    <cellStyle name=" 10" xfId="17507"/>
    <cellStyle name=" 100" xfId="17508"/>
    <cellStyle name=" 101" xfId="17509"/>
    <cellStyle name=" 102" xfId="17510"/>
    <cellStyle name=" 103" xfId="17511"/>
    <cellStyle name=" 104" xfId="17512"/>
    <cellStyle name=" 105" xfId="17513"/>
    <cellStyle name=" 106" xfId="17514"/>
    <cellStyle name=" 107" xfId="17515"/>
    <cellStyle name=" 108" xfId="17516"/>
    <cellStyle name=" 109" xfId="17517"/>
    <cellStyle name=" 11" xfId="17518"/>
    <cellStyle name=" 110" xfId="17519"/>
    <cellStyle name=" 111" xfId="17520"/>
    <cellStyle name=" 112" xfId="17521"/>
    <cellStyle name=" 113" xfId="17522"/>
    <cellStyle name=" 114" xfId="17523"/>
    <cellStyle name=" 115" xfId="17524"/>
    <cellStyle name=" 116" xfId="17525"/>
    <cellStyle name=" 117" xfId="17526"/>
    <cellStyle name=" 118" xfId="17527"/>
    <cellStyle name=" 119" xfId="17528"/>
    <cellStyle name=" 12" xfId="17529"/>
    <cellStyle name=" 120" xfId="17530"/>
    <cellStyle name=" 121" xfId="17531"/>
    <cellStyle name=" 122" xfId="17532"/>
    <cellStyle name=" 123" xfId="17533"/>
    <cellStyle name=" 124" xfId="17534"/>
    <cellStyle name=" 125" xfId="17535"/>
    <cellStyle name=" 126" xfId="17536"/>
    <cellStyle name=" 127" xfId="17537"/>
    <cellStyle name=" 128" xfId="17538"/>
    <cellStyle name=" 129" xfId="17539"/>
    <cellStyle name=" 13" xfId="17540"/>
    <cellStyle name=" 130" xfId="17541"/>
    <cellStyle name=" 131" xfId="17542"/>
    <cellStyle name=" 132" xfId="17543"/>
    <cellStyle name=" 133" xfId="17544"/>
    <cellStyle name=" 134" xfId="17545"/>
    <cellStyle name=" 135" xfId="17546"/>
    <cellStyle name=" 136" xfId="17547"/>
    <cellStyle name=" 137" xfId="17548"/>
    <cellStyle name=" 138" xfId="17549"/>
    <cellStyle name=" 139" xfId="17550"/>
    <cellStyle name=" 14" xfId="17551"/>
    <cellStyle name=" 140" xfId="17552"/>
    <cellStyle name=" 141" xfId="17553"/>
    <cellStyle name=" 142" xfId="17554"/>
    <cellStyle name=" 143" xfId="17555"/>
    <cellStyle name=" 144" xfId="17556"/>
    <cellStyle name=" 145" xfId="17557"/>
    <cellStyle name=" 146" xfId="17558"/>
    <cellStyle name=" 147" xfId="17559"/>
    <cellStyle name=" 148" xfId="17560"/>
    <cellStyle name=" 149" xfId="17561"/>
    <cellStyle name=" 15" xfId="17562"/>
    <cellStyle name=" 150" xfId="17563"/>
    <cellStyle name=" 151" xfId="17564"/>
    <cellStyle name=" 152" xfId="17565"/>
    <cellStyle name=" 153" xfId="17566"/>
    <cellStyle name=" 154" xfId="17567"/>
    <cellStyle name=" 155" xfId="17568"/>
    <cellStyle name=" 156" xfId="17569"/>
    <cellStyle name=" 157" xfId="17570"/>
    <cellStyle name=" 158" xfId="17571"/>
    <cellStyle name=" 159" xfId="17572"/>
    <cellStyle name=" 16" xfId="17573"/>
    <cellStyle name=" 160" xfId="17574"/>
    <cellStyle name=" 161" xfId="17575"/>
    <cellStyle name=" 162" xfId="17576"/>
    <cellStyle name=" 163" xfId="17577"/>
    <cellStyle name=" 164" xfId="17578"/>
    <cellStyle name=" 165" xfId="17579"/>
    <cellStyle name=" 166" xfId="17580"/>
    <cellStyle name=" 167" xfId="17581"/>
    <cellStyle name=" 168" xfId="17582"/>
    <cellStyle name=" 169" xfId="17583"/>
    <cellStyle name=" 17" xfId="17584"/>
    <cellStyle name=" 170" xfId="17585"/>
    <cellStyle name=" 171" xfId="17586"/>
    <cellStyle name=" 172" xfId="17587"/>
    <cellStyle name=" 173" xfId="17588"/>
    <cellStyle name=" 174" xfId="17589"/>
    <cellStyle name=" 175" xfId="17590"/>
    <cellStyle name=" 176" xfId="17591"/>
    <cellStyle name=" 177" xfId="17592"/>
    <cellStyle name=" 178" xfId="17593"/>
    <cellStyle name=" 179" xfId="17594"/>
    <cellStyle name=" 18" xfId="17595"/>
    <cellStyle name=" 180" xfId="17596"/>
    <cellStyle name=" 181" xfId="17597"/>
    <cellStyle name=" 182" xfId="17598"/>
    <cellStyle name=" 183" xfId="17599"/>
    <cellStyle name=" 184" xfId="17600"/>
    <cellStyle name=" 185" xfId="17601"/>
    <cellStyle name=" 186" xfId="17602"/>
    <cellStyle name=" 187" xfId="17603"/>
    <cellStyle name=" 188" xfId="17604"/>
    <cellStyle name=" 189" xfId="17605"/>
    <cellStyle name=" 19" xfId="17606"/>
    <cellStyle name=" 190" xfId="17607"/>
    <cellStyle name=" 191" xfId="17608"/>
    <cellStyle name=" 192" xfId="17609"/>
    <cellStyle name=" 193" xfId="17610"/>
    <cellStyle name=" 194" xfId="17611"/>
    <cellStyle name=" 195" xfId="17612"/>
    <cellStyle name=" 196" xfId="17613"/>
    <cellStyle name=" 197" xfId="17614"/>
    <cellStyle name=" 198" xfId="17615"/>
    <cellStyle name=" 199" xfId="17616"/>
    <cellStyle name=" 2" xfId="17617"/>
    <cellStyle name="- 2" xfId="17618"/>
    <cellStyle name="- 2 2" xfId="17619"/>
    <cellStyle name=" 20" xfId="17620"/>
    <cellStyle name=" 200" xfId="17621"/>
    <cellStyle name=" 201" xfId="17622"/>
    <cellStyle name=" 202" xfId="17623"/>
    <cellStyle name=" 203" xfId="17624"/>
    <cellStyle name=" 204" xfId="17625"/>
    <cellStyle name=" 205" xfId="17626"/>
    <cellStyle name=" 206" xfId="17627"/>
    <cellStyle name=" 207" xfId="17628"/>
    <cellStyle name=" 208" xfId="17629"/>
    <cellStyle name=" 209" xfId="17630"/>
    <cellStyle name=" 21" xfId="17631"/>
    <cellStyle name=" 210" xfId="17632"/>
    <cellStyle name=" 211" xfId="17633"/>
    <cellStyle name=" 212" xfId="17634"/>
    <cellStyle name=" 213" xfId="17635"/>
    <cellStyle name=" 214" xfId="17636"/>
    <cellStyle name=" 215" xfId="17637"/>
    <cellStyle name=" 216" xfId="17638"/>
    <cellStyle name=" 217" xfId="17639"/>
    <cellStyle name=" 218" xfId="17640"/>
    <cellStyle name=" 219" xfId="17641"/>
    <cellStyle name=" 22" xfId="17642"/>
    <cellStyle name=" 220" xfId="17643"/>
    <cellStyle name=" 221" xfId="17644"/>
    <cellStyle name=" 222" xfId="17645"/>
    <cellStyle name=" 223" xfId="17646"/>
    <cellStyle name=" 224" xfId="17647"/>
    <cellStyle name=" 225" xfId="17648"/>
    <cellStyle name=" 226" xfId="17649"/>
    <cellStyle name=" 227" xfId="17650"/>
    <cellStyle name=" 228" xfId="17651"/>
    <cellStyle name=" 229" xfId="17652"/>
    <cellStyle name=" 23" xfId="17653"/>
    <cellStyle name=" 230" xfId="17654"/>
    <cellStyle name=" 231" xfId="17655"/>
    <cellStyle name=" 232" xfId="17656"/>
    <cellStyle name=" 233" xfId="17657"/>
    <cellStyle name=" 234" xfId="17658"/>
    <cellStyle name=" 235" xfId="17659"/>
    <cellStyle name=" 236" xfId="17660"/>
    <cellStyle name=" 237" xfId="17661"/>
    <cellStyle name=" 238" xfId="17662"/>
    <cellStyle name=" 239" xfId="17663"/>
    <cellStyle name=" 24" xfId="17664"/>
    <cellStyle name=" 240" xfId="17665"/>
    <cellStyle name=" 241" xfId="17666"/>
    <cellStyle name=" 242" xfId="17667"/>
    <cellStyle name=" 243" xfId="17668"/>
    <cellStyle name=" 244" xfId="17669"/>
    <cellStyle name=" 245" xfId="17670"/>
    <cellStyle name=" 246" xfId="17671"/>
    <cellStyle name=" 247" xfId="17672"/>
    <cellStyle name=" 248" xfId="17673"/>
    <cellStyle name=" 249" xfId="17674"/>
    <cellStyle name=" 25" xfId="17675"/>
    <cellStyle name=" 250" xfId="17676"/>
    <cellStyle name=" 251" xfId="17677"/>
    <cellStyle name=" 252" xfId="17678"/>
    <cellStyle name=" 253" xfId="17679"/>
    <cellStyle name=" 254" xfId="17680"/>
    <cellStyle name=" 255" xfId="17681"/>
    <cellStyle name=" 26" xfId="17682"/>
    <cellStyle name=" 27" xfId="17683"/>
    <cellStyle name=" 28" xfId="17684"/>
    <cellStyle name=" 29" xfId="17685"/>
    <cellStyle name=" 3" xfId="17686"/>
    <cellStyle name="- 3" xfId="17687"/>
    <cellStyle name=" 30" xfId="17688"/>
    <cellStyle name=" 31" xfId="17689"/>
    <cellStyle name=" 32" xfId="17690"/>
    <cellStyle name=" 33" xfId="17691"/>
    <cellStyle name=" 34" xfId="17692"/>
    <cellStyle name=" 35" xfId="17693"/>
    <cellStyle name=" 36" xfId="17694"/>
    <cellStyle name=" 37" xfId="17695"/>
    <cellStyle name=" 38" xfId="17696"/>
    <cellStyle name=" 39" xfId="17697"/>
    <cellStyle name=" 4" xfId="17698"/>
    <cellStyle name=" 40" xfId="17699"/>
    <cellStyle name=" 41" xfId="17700"/>
    <cellStyle name=" 42" xfId="17701"/>
    <cellStyle name=" 43" xfId="17702"/>
    <cellStyle name=" 44" xfId="17703"/>
    <cellStyle name=" 45" xfId="17704"/>
    <cellStyle name=" 46" xfId="17705"/>
    <cellStyle name=" 47" xfId="17706"/>
    <cellStyle name=" 48" xfId="17707"/>
    <cellStyle name=" 49" xfId="17708"/>
    <cellStyle name=" 5" xfId="17709"/>
    <cellStyle name=" 50" xfId="17710"/>
    <cellStyle name=" 51" xfId="17711"/>
    <cellStyle name=" 52" xfId="17712"/>
    <cellStyle name=" 53" xfId="17713"/>
    <cellStyle name=" 54" xfId="17714"/>
    <cellStyle name=" 55" xfId="17715"/>
    <cellStyle name=" 56" xfId="17716"/>
    <cellStyle name=" 57" xfId="17717"/>
    <cellStyle name=" 58" xfId="17718"/>
    <cellStyle name=" 59" xfId="17719"/>
    <cellStyle name=" 6" xfId="17720"/>
    <cellStyle name=" 60" xfId="17721"/>
    <cellStyle name=" 61" xfId="17722"/>
    <cellStyle name=" 62" xfId="17723"/>
    <cellStyle name=" 63" xfId="17724"/>
    <cellStyle name=" 64" xfId="17725"/>
    <cellStyle name=" 65" xfId="17726"/>
    <cellStyle name=" 66" xfId="17727"/>
    <cellStyle name=" 67" xfId="17728"/>
    <cellStyle name=" 68" xfId="17729"/>
    <cellStyle name=" 69" xfId="17730"/>
    <cellStyle name=" 7" xfId="17731"/>
    <cellStyle name=" 70" xfId="17732"/>
    <cellStyle name=" 71" xfId="17733"/>
    <cellStyle name=" 72" xfId="17734"/>
    <cellStyle name=" 73" xfId="17735"/>
    <cellStyle name=" 74" xfId="17736"/>
    <cellStyle name=" 75" xfId="17737"/>
    <cellStyle name=" 76" xfId="17738"/>
    <cellStyle name=" 77" xfId="17739"/>
    <cellStyle name=" 78" xfId="17740"/>
    <cellStyle name=" 79" xfId="17741"/>
    <cellStyle name=" 8" xfId="17742"/>
    <cellStyle name=" 80" xfId="17743"/>
    <cellStyle name=" 81" xfId="17744"/>
    <cellStyle name=" 82" xfId="17745"/>
    <cellStyle name=" 83" xfId="17746"/>
    <cellStyle name=" 84" xfId="17747"/>
    <cellStyle name=" 85" xfId="17748"/>
    <cellStyle name=" 86" xfId="17749"/>
    <cellStyle name=" 87" xfId="17750"/>
    <cellStyle name=" 88" xfId="17751"/>
    <cellStyle name=" 89" xfId="17752"/>
    <cellStyle name=" 9" xfId="17753"/>
    <cellStyle name=" 90" xfId="17754"/>
    <cellStyle name=" 91" xfId="17755"/>
    <cellStyle name=" 92" xfId="17756"/>
    <cellStyle name=" 93" xfId="17757"/>
    <cellStyle name=" 94" xfId="17758"/>
    <cellStyle name=" 95" xfId="17759"/>
    <cellStyle name=" 96" xfId="17760"/>
    <cellStyle name=" 97" xfId="17761"/>
    <cellStyle name=" 98" xfId="17762"/>
    <cellStyle name=" 99" xfId="17763"/>
    <cellStyle name=" FY96" xfId="5039"/>
    <cellStyle name="_x000a_386grabber=M" xfId="15"/>
    <cellStyle name="_x000a_386grabber=M 2" xfId="5040"/>
    <cellStyle name="_x000a_386grabber=M 3" xfId="5041"/>
    <cellStyle name="_x000b_b" xfId="17764"/>
    <cellStyle name="_x000c_b" xfId="17765"/>
    <cellStyle name="-#,###" xfId="5042"/>
    <cellStyle name="-#,### 2" xfId="17766"/>
    <cellStyle name="-#,### 2 2" xfId="17767"/>
    <cellStyle name="-#,### 3" xfId="17768"/>
    <cellStyle name="#,##0" xfId="5043"/>
    <cellStyle name="#,##0 2" xfId="23579"/>
    <cellStyle name="#,##0 2 2" xfId="30773"/>
    <cellStyle name="#,##0 3" xfId="27741"/>
    <cellStyle name="$" xfId="16"/>
    <cellStyle name="$_(최종)투자예산" xfId="5044"/>
    <cellStyle name="$_06년 매출예산작성양식" xfId="5045"/>
    <cellStyle name="$_06년 예산(보고용)" xfId="5046"/>
    <cellStyle name="$_2004년 9월 만기도래현황표" xfId="5047"/>
    <cellStyle name="$_2005년 그룹회장님 최종보고 자료(04년 실적반영)" xfId="5048"/>
    <cellStyle name="$_2007년 경상투자 계획1차(1)" xfId="5049"/>
    <cellStyle name="$_db진흥" xfId="17"/>
    <cellStyle name="$_db진흥 2" xfId="17769"/>
    <cellStyle name="$_NC126CBC6" xfId="5050"/>
    <cellStyle name="$_NC14E7869" xfId="5051"/>
    <cellStyle name="$_NC15C5AFF" xfId="5052"/>
    <cellStyle name="$_NC1966FD" xfId="5053"/>
    <cellStyle name="$_NC28AC271" xfId="5054"/>
    <cellStyle name="$_NC35DC25" xfId="5055"/>
    <cellStyle name="$_NC4231C" xfId="5056"/>
    <cellStyle name="$_NC775117" xfId="5057"/>
    <cellStyle name="$_감가상각비(총괄)" xfId="5058"/>
    <cellStyle name="$_견적2" xfId="18"/>
    <cellStyle name="$_견적2 2" xfId="17770"/>
    <cellStyle name="$_계량부문 엑셀원본" xfId="5059"/>
    <cellStyle name="$_기아" xfId="19"/>
    <cellStyle name="$_기아 2" xfId="5060"/>
    <cellStyle name="$_기아 3" xfId="5061"/>
    <cellStyle name="$_레저회의 자료" xfId="5062"/>
    <cellStyle name="$_방침신고(1.5)" xfId="5063"/>
    <cellStyle name="$_비전 통보 자료(최종본-전체 1)" xfId="5064"/>
    <cellStyle name="$_비전경영5개년계획 - 2002년수정사업계획부문" xfId="5065"/>
    <cellStyle name="$_사업계획수립지침" xfId="5066"/>
    <cellStyle name="$_전략부문" xfId="5067"/>
    <cellStyle name="$_제주영업전략('04년)" xfId="5068"/>
    <cellStyle name="$_주요경영지표(0211월)" xfId="5069"/>
    <cellStyle name="$_중장기비전경영계획part2(최종본20020225)" xfId="5070"/>
    <cellStyle name="$_출력자료-4.세부편성1(20031125)" xfId="5071"/>
    <cellStyle name="$_충무영업전략('04년)" xfId="5072"/>
    <cellStyle name="$_팀별업무분장 품의" xfId="5073"/>
    <cellStyle name="%" xfId="17771"/>
    <cellStyle name="% 2" xfId="17772"/>
    <cellStyle name="% 2 2" xfId="30591"/>
    <cellStyle name="% 3" xfId="30590"/>
    <cellStyle name="%_0001. 10월 결산보고" xfId="17773"/>
    <cellStyle name="%_0001. 10월 결산보고 2" xfId="17774"/>
    <cellStyle name="%_0001. 10월 결산보고 2 2" xfId="30593"/>
    <cellStyle name="%_0001. 10월 결산보고 3" xfId="30592"/>
    <cellStyle name="%_0001. 10월 결산보고_수출채권정리" xfId="17775"/>
    <cellStyle name="%_0001. 10월 결산보고_수출채권정리 2" xfId="17776"/>
    <cellStyle name="%_0001. 10월 결산보고_수출채권정리 2 2" xfId="30595"/>
    <cellStyle name="%_0001. 10월 결산보고_수출채권정리 3" xfId="30594"/>
    <cellStyle name="%_0001. 10월 결산보고_수출채권정리_수출채권정리10" xfId="17777"/>
    <cellStyle name="%_0001. 10월 결산보고_수출채권정리_수출채권정리10 2" xfId="17778"/>
    <cellStyle name="%_0001. 10월 결산보고_수출채권정리_수출채권정리10 2 2" xfId="30597"/>
    <cellStyle name="%_0001. 10월 결산보고_수출채권정리_수출채권정리10 3" xfId="30596"/>
    <cellStyle name="%_0001. 10월 결산보고_수출채권정리_수출채권정리10_차입부채 WS_SJH_OK" xfId="17779"/>
    <cellStyle name="%_0001. 10월 결산보고_수출채권정리_수출채권정리10_차입부채 WS_SJH_OK 2" xfId="17780"/>
    <cellStyle name="%_0001. 10월 결산보고_수출채권정리_수출채권정리10_차입부채 WS_SJH_OK 2 2" xfId="30599"/>
    <cellStyle name="%_0001. 10월 결산보고_수출채권정리_수출채권정리10_차입부채 WS_SJH_OK 3" xfId="30598"/>
    <cellStyle name="%_0001. 10월 결산보고_수출채권정리_수출채권정리11" xfId="17781"/>
    <cellStyle name="%_0001. 10월 결산보고_수출채권정리_수출채권정리11 2" xfId="17782"/>
    <cellStyle name="%_0001. 10월 결산보고_수출채권정리_수출채권정리11 2 2" xfId="30601"/>
    <cellStyle name="%_0001. 10월 결산보고_수출채권정리_수출채권정리11 3" xfId="30600"/>
    <cellStyle name="%_0001. 10월 결산보고_수출채권정리_수출채권정리11_차입부채 WS_SJH_OK" xfId="17783"/>
    <cellStyle name="%_0001. 10월 결산보고_수출채권정리_수출채권정리11_차입부채 WS_SJH_OK 2" xfId="17784"/>
    <cellStyle name="%_0001. 10월 결산보고_수출채권정리_수출채권정리11_차입부채 WS_SJH_OK 2 2" xfId="30603"/>
    <cellStyle name="%_0001. 10월 결산보고_수출채권정리_수출채권정리11_차입부채 WS_SJH_OK 3" xfId="30602"/>
    <cellStyle name="%_0001. 10월 결산보고_수출채권정리_수출채권정리12" xfId="17785"/>
    <cellStyle name="%_0001. 10월 결산보고_수출채권정리_수출채권정리12 2" xfId="17786"/>
    <cellStyle name="%_0001. 10월 결산보고_수출채권정리_수출채권정리12 2 2" xfId="30605"/>
    <cellStyle name="%_0001. 10월 결산보고_수출채권정리_수출채권정리12 3" xfId="30604"/>
    <cellStyle name="%_0001. 10월 결산보고_수출채권정리_수출채권정리12_차입부채 WS_SJH_OK" xfId="17787"/>
    <cellStyle name="%_0001. 10월 결산보고_수출채권정리_수출채권정리12_차입부채 WS_SJH_OK 2" xfId="17788"/>
    <cellStyle name="%_0001. 10월 결산보고_수출채권정리_수출채권정리12_차입부채 WS_SJH_OK 2 2" xfId="30607"/>
    <cellStyle name="%_0001. 10월 결산보고_수출채권정리_수출채권정리12_차입부채 WS_SJH_OK 3" xfId="30606"/>
    <cellStyle name="%_0001. 10월 결산보고_수출채권정리_차입부채 WS_SJH_OK" xfId="17789"/>
    <cellStyle name="%_0001. 10월 결산보고_수출채권정리_차입부채 WS_SJH_OK 2" xfId="17790"/>
    <cellStyle name="%_0001. 10월 결산보고_수출채권정리_차입부채 WS_SJH_OK 2 2" xfId="30609"/>
    <cellStyle name="%_0001. 10월 결산보고_수출채권정리_차입부채 WS_SJH_OK 3" xfId="30608"/>
    <cellStyle name="%_0001. 10월 결산보고_차입부채 WS_SJH_OK" xfId="17791"/>
    <cellStyle name="%_0001. 10월 결산보고_차입부채 WS_SJH_OK 2" xfId="17792"/>
    <cellStyle name="%_0001. 10월 결산보고_차입부채 WS_SJH_OK 2 2" xfId="30611"/>
    <cellStyle name="%_0001. 10월 결산보고_차입부채 WS_SJH_OK 3" xfId="30610"/>
    <cellStyle name="%_0001. 11월 결산보고" xfId="17793"/>
    <cellStyle name="%_0001. 11월 결산보고 2" xfId="17794"/>
    <cellStyle name="%_0001. 11월 결산보고 2 2" xfId="30613"/>
    <cellStyle name="%_0001. 11월 결산보고 3" xfId="30612"/>
    <cellStyle name="%_0001. 11월 결산보고_수출채권정리" xfId="17795"/>
    <cellStyle name="%_0001. 11월 결산보고_수출채권정리 2" xfId="17796"/>
    <cellStyle name="%_0001. 11월 결산보고_수출채권정리 2 2" xfId="30615"/>
    <cellStyle name="%_0001. 11월 결산보고_수출채권정리 3" xfId="30614"/>
    <cellStyle name="%_0001. 11월 결산보고_수출채권정리_수출채권정리10" xfId="17797"/>
    <cellStyle name="%_0001. 11월 결산보고_수출채권정리_수출채권정리10 2" xfId="17798"/>
    <cellStyle name="%_0001. 11월 결산보고_수출채권정리_수출채권정리10 2 2" xfId="30617"/>
    <cellStyle name="%_0001. 11월 결산보고_수출채권정리_수출채권정리10 3" xfId="30616"/>
    <cellStyle name="%_0001. 11월 결산보고_수출채권정리_수출채권정리10_차입부채 WS_SJH_OK" xfId="17799"/>
    <cellStyle name="%_0001. 11월 결산보고_수출채권정리_수출채권정리10_차입부채 WS_SJH_OK 2" xfId="17800"/>
    <cellStyle name="%_0001. 11월 결산보고_수출채권정리_수출채권정리10_차입부채 WS_SJH_OK 2 2" xfId="30619"/>
    <cellStyle name="%_0001. 11월 결산보고_수출채권정리_수출채권정리10_차입부채 WS_SJH_OK 3" xfId="30618"/>
    <cellStyle name="%_0001. 11월 결산보고_수출채권정리_수출채권정리11" xfId="17801"/>
    <cellStyle name="%_0001. 11월 결산보고_수출채권정리_수출채권정리11 2" xfId="17802"/>
    <cellStyle name="%_0001. 11월 결산보고_수출채권정리_수출채권정리11 2 2" xfId="30621"/>
    <cellStyle name="%_0001. 11월 결산보고_수출채권정리_수출채권정리11 3" xfId="30620"/>
    <cellStyle name="%_0001. 11월 결산보고_수출채권정리_수출채권정리11_차입부채 WS_SJH_OK" xfId="17803"/>
    <cellStyle name="%_0001. 11월 결산보고_수출채권정리_수출채권정리11_차입부채 WS_SJH_OK 2" xfId="17804"/>
    <cellStyle name="%_0001. 11월 결산보고_수출채권정리_수출채권정리11_차입부채 WS_SJH_OK 2 2" xfId="30623"/>
    <cellStyle name="%_0001. 11월 결산보고_수출채권정리_수출채권정리11_차입부채 WS_SJH_OK 3" xfId="30622"/>
    <cellStyle name="%_0001. 11월 결산보고_수출채권정리_수출채권정리12" xfId="17805"/>
    <cellStyle name="%_0001. 11월 결산보고_수출채권정리_수출채권정리12 2" xfId="17806"/>
    <cellStyle name="%_0001. 11월 결산보고_수출채권정리_수출채권정리12 2 2" xfId="30625"/>
    <cellStyle name="%_0001. 11월 결산보고_수출채권정리_수출채권정리12 3" xfId="30624"/>
    <cellStyle name="%_0001. 11월 결산보고_수출채권정리_수출채권정리12_차입부채 WS_SJH_OK" xfId="17807"/>
    <cellStyle name="%_0001. 11월 결산보고_수출채권정리_수출채권정리12_차입부채 WS_SJH_OK 2" xfId="17808"/>
    <cellStyle name="%_0001. 11월 결산보고_수출채권정리_수출채권정리12_차입부채 WS_SJH_OK 2 2" xfId="30627"/>
    <cellStyle name="%_0001. 11월 결산보고_수출채권정리_수출채권정리12_차입부채 WS_SJH_OK 3" xfId="30626"/>
    <cellStyle name="%_0001. 11월 결산보고_수출채권정리_차입부채 WS_SJH_OK" xfId="17809"/>
    <cellStyle name="%_0001. 11월 결산보고_수출채권정리_차입부채 WS_SJH_OK 2" xfId="17810"/>
    <cellStyle name="%_0001. 11월 결산보고_수출채권정리_차입부채 WS_SJH_OK 2 2" xfId="30629"/>
    <cellStyle name="%_0001. 11월 결산보고_수출채권정리_차입부채 WS_SJH_OK 3" xfId="30628"/>
    <cellStyle name="%_0001. 11월 결산보고_차입부채 WS_SJH_OK" xfId="17811"/>
    <cellStyle name="%_0001. 11월 결산보고_차입부채 WS_SJH_OK 2" xfId="17812"/>
    <cellStyle name="%_0001. 11월 결산보고_차입부채 WS_SJH_OK 2 2" xfId="30631"/>
    <cellStyle name="%_0001. 11월 결산보고_차입부채 WS_SJH_OK 3" xfId="30630"/>
    <cellStyle name="%_1. 6월 결산보고" xfId="17813"/>
    <cellStyle name="%_1. 6월 결산보고 2" xfId="17814"/>
    <cellStyle name="%_1. 6월 결산보고 2 2" xfId="30633"/>
    <cellStyle name="%_1. 6월 결산보고 3" xfId="30632"/>
    <cellStyle name="%_1. 6월 결산보고_수출채권정리" xfId="17815"/>
    <cellStyle name="%_1. 6월 결산보고_수출채권정리 2" xfId="17816"/>
    <cellStyle name="%_1. 6월 결산보고_수출채권정리 2 2" xfId="30635"/>
    <cellStyle name="%_1. 6월 결산보고_수출채권정리 3" xfId="30634"/>
    <cellStyle name="%_1. 6월 결산보고_수출채권정리_수출채권정리10" xfId="17817"/>
    <cellStyle name="%_1. 6월 결산보고_수출채권정리_수출채권정리10 2" xfId="17818"/>
    <cellStyle name="%_1. 6월 결산보고_수출채권정리_수출채권정리10 2 2" xfId="30637"/>
    <cellStyle name="%_1. 6월 결산보고_수출채권정리_수출채권정리10 3" xfId="30636"/>
    <cellStyle name="%_1. 6월 결산보고_수출채권정리_수출채권정리10_차입부채 WS_SJH_OK" xfId="17819"/>
    <cellStyle name="%_1. 6월 결산보고_수출채권정리_수출채권정리10_차입부채 WS_SJH_OK 2" xfId="17820"/>
    <cellStyle name="%_1. 6월 결산보고_수출채권정리_수출채권정리10_차입부채 WS_SJH_OK 2 2" xfId="30639"/>
    <cellStyle name="%_1. 6월 결산보고_수출채권정리_수출채권정리10_차입부채 WS_SJH_OK 3" xfId="30638"/>
    <cellStyle name="%_1. 6월 결산보고_수출채권정리_수출채권정리11" xfId="17821"/>
    <cellStyle name="%_1. 6월 결산보고_수출채권정리_수출채권정리11 2" xfId="17822"/>
    <cellStyle name="%_1. 6월 결산보고_수출채권정리_수출채권정리11 2 2" xfId="30641"/>
    <cellStyle name="%_1. 6월 결산보고_수출채권정리_수출채권정리11 3" xfId="30640"/>
    <cellStyle name="%_1. 6월 결산보고_수출채권정리_수출채권정리11_차입부채 WS_SJH_OK" xfId="17823"/>
    <cellStyle name="%_1. 6월 결산보고_수출채권정리_수출채권정리11_차입부채 WS_SJH_OK 2" xfId="17824"/>
    <cellStyle name="%_1. 6월 결산보고_수출채권정리_수출채권정리11_차입부채 WS_SJH_OK 2 2" xfId="30643"/>
    <cellStyle name="%_1. 6월 결산보고_수출채권정리_수출채권정리11_차입부채 WS_SJH_OK 3" xfId="30642"/>
    <cellStyle name="%_1. 6월 결산보고_수출채권정리_수출채권정리12" xfId="17825"/>
    <cellStyle name="%_1. 6월 결산보고_수출채권정리_수출채권정리12 2" xfId="17826"/>
    <cellStyle name="%_1. 6월 결산보고_수출채권정리_수출채권정리12 2 2" xfId="30645"/>
    <cellStyle name="%_1. 6월 결산보고_수출채권정리_수출채권정리12 3" xfId="30644"/>
    <cellStyle name="%_1. 6월 결산보고_수출채권정리_수출채권정리12_차입부채 WS_SJH_OK" xfId="17827"/>
    <cellStyle name="%_1. 6월 결산보고_수출채권정리_수출채권정리12_차입부채 WS_SJH_OK 2" xfId="17828"/>
    <cellStyle name="%_1. 6월 결산보고_수출채권정리_수출채권정리12_차입부채 WS_SJH_OK 2 2" xfId="30647"/>
    <cellStyle name="%_1. 6월 결산보고_수출채권정리_수출채권정리12_차입부채 WS_SJH_OK 3" xfId="30646"/>
    <cellStyle name="%_1. 6월 결산보고_수출채권정리_차입부채 WS_SJH_OK" xfId="17829"/>
    <cellStyle name="%_1. 6월 결산보고_수출채권정리_차입부채 WS_SJH_OK 2" xfId="17830"/>
    <cellStyle name="%_1. 6월 결산보고_수출채권정리_차입부채 WS_SJH_OK 2 2" xfId="30649"/>
    <cellStyle name="%_1. 6월 결산보고_수출채권정리_차입부채 WS_SJH_OK 3" xfId="30648"/>
    <cellStyle name="%_1. 6월 결산보고_차입부채 WS_SJH_OK" xfId="17831"/>
    <cellStyle name="%_1. 6월 결산보고_차입부채 WS_SJH_OK 2" xfId="17832"/>
    <cellStyle name="%_1. 6월 결산보고_차입부채 WS_SJH_OK 2 2" xfId="30651"/>
    <cellStyle name="%_1. 6월 결산보고_차입부채 WS_SJH_OK 3" xfId="30650"/>
    <cellStyle name="%_1. 8월 결산보고" xfId="17833"/>
    <cellStyle name="%_1. 8월 결산보고 2" xfId="17834"/>
    <cellStyle name="%_1. 8월 결산보고 2 2" xfId="30653"/>
    <cellStyle name="%_1. 8월 결산보고 3" xfId="30652"/>
    <cellStyle name="%_1. 8월 결산보고_수출채권정리" xfId="17835"/>
    <cellStyle name="%_1. 8월 결산보고_수출채권정리 2" xfId="17836"/>
    <cellStyle name="%_1. 8월 결산보고_수출채권정리 2 2" xfId="30655"/>
    <cellStyle name="%_1. 8월 결산보고_수출채권정리 3" xfId="30654"/>
    <cellStyle name="%_1. 8월 결산보고_수출채권정리_수출채권정리10" xfId="17837"/>
    <cellStyle name="%_1. 8월 결산보고_수출채권정리_수출채권정리10 2" xfId="17838"/>
    <cellStyle name="%_1. 8월 결산보고_수출채권정리_수출채권정리10 2 2" xfId="30657"/>
    <cellStyle name="%_1. 8월 결산보고_수출채권정리_수출채권정리10 3" xfId="30656"/>
    <cellStyle name="%_1. 8월 결산보고_수출채권정리_수출채권정리10_차입부채 WS_SJH_OK" xfId="17839"/>
    <cellStyle name="%_1. 8월 결산보고_수출채권정리_수출채권정리10_차입부채 WS_SJH_OK 2" xfId="17840"/>
    <cellStyle name="%_1. 8월 결산보고_수출채권정리_수출채권정리10_차입부채 WS_SJH_OK 2 2" xfId="30659"/>
    <cellStyle name="%_1. 8월 결산보고_수출채권정리_수출채권정리10_차입부채 WS_SJH_OK 3" xfId="30658"/>
    <cellStyle name="%_1. 8월 결산보고_수출채권정리_수출채권정리11" xfId="17841"/>
    <cellStyle name="%_1. 8월 결산보고_수출채권정리_수출채권정리11 2" xfId="17842"/>
    <cellStyle name="%_1. 8월 결산보고_수출채권정리_수출채권정리11 2 2" xfId="30661"/>
    <cellStyle name="%_1. 8월 결산보고_수출채권정리_수출채권정리11 3" xfId="30660"/>
    <cellStyle name="%_1. 8월 결산보고_수출채권정리_수출채권정리11_차입부채 WS_SJH_OK" xfId="17843"/>
    <cellStyle name="%_1. 8월 결산보고_수출채권정리_수출채권정리11_차입부채 WS_SJH_OK 2" xfId="17844"/>
    <cellStyle name="%_1. 8월 결산보고_수출채권정리_수출채권정리11_차입부채 WS_SJH_OK 2 2" xfId="30663"/>
    <cellStyle name="%_1. 8월 결산보고_수출채권정리_수출채권정리11_차입부채 WS_SJH_OK 3" xfId="30662"/>
    <cellStyle name="%_1. 8월 결산보고_수출채권정리_수출채권정리12" xfId="17845"/>
    <cellStyle name="%_1. 8월 결산보고_수출채권정리_수출채권정리12 2" xfId="17846"/>
    <cellStyle name="%_1. 8월 결산보고_수출채권정리_수출채권정리12 2 2" xfId="30665"/>
    <cellStyle name="%_1. 8월 결산보고_수출채권정리_수출채권정리12 3" xfId="30664"/>
    <cellStyle name="%_1. 8월 결산보고_수출채권정리_수출채권정리12_차입부채 WS_SJH_OK" xfId="17847"/>
    <cellStyle name="%_1. 8월 결산보고_수출채권정리_수출채권정리12_차입부채 WS_SJH_OK 2" xfId="17848"/>
    <cellStyle name="%_1. 8월 결산보고_수출채권정리_수출채권정리12_차입부채 WS_SJH_OK 2 2" xfId="30667"/>
    <cellStyle name="%_1. 8월 결산보고_수출채권정리_수출채권정리12_차입부채 WS_SJH_OK 3" xfId="30666"/>
    <cellStyle name="%_1. 8월 결산보고_수출채권정리_차입부채 WS_SJH_OK" xfId="17849"/>
    <cellStyle name="%_1. 8월 결산보고_수출채권정리_차입부채 WS_SJH_OK 2" xfId="17850"/>
    <cellStyle name="%_1. 8월 결산보고_수출채권정리_차입부채 WS_SJH_OK 2 2" xfId="30669"/>
    <cellStyle name="%_1. 8월 결산보고_수출채권정리_차입부채 WS_SJH_OK 3" xfId="30668"/>
    <cellStyle name="%_1. 8월 결산보고_차입부채 WS_SJH_OK" xfId="17851"/>
    <cellStyle name="%_1. 8월 결산보고_차입부채 WS_SJH_OK 2" xfId="17852"/>
    <cellStyle name="%_1. 8월 결산보고_차입부채 WS_SJH_OK 2 2" xfId="30671"/>
    <cellStyle name="%_1. 8월 결산보고_차입부채 WS_SJH_OK 3" xfId="30670"/>
    <cellStyle name="%_1. 8월 결산보고2" xfId="17853"/>
    <cellStyle name="%_1. 8월 결산보고2 2" xfId="17854"/>
    <cellStyle name="%_1. 8월 결산보고2 2 2" xfId="30673"/>
    <cellStyle name="%_1. 8월 결산보고2 3" xfId="30672"/>
    <cellStyle name="%_1. 8월 결산보고2_수출채권정리" xfId="17855"/>
    <cellStyle name="%_1. 8월 결산보고2_수출채권정리 2" xfId="17856"/>
    <cellStyle name="%_1. 8월 결산보고2_수출채권정리 2 2" xfId="30675"/>
    <cellStyle name="%_1. 8월 결산보고2_수출채권정리 3" xfId="30674"/>
    <cellStyle name="%_1. 8월 결산보고2_수출채권정리_수출채권정리10" xfId="17857"/>
    <cellStyle name="%_1. 8월 결산보고2_수출채권정리_수출채권정리10 2" xfId="17858"/>
    <cellStyle name="%_1. 8월 결산보고2_수출채권정리_수출채권정리10 2 2" xfId="30677"/>
    <cellStyle name="%_1. 8월 결산보고2_수출채권정리_수출채권정리10 3" xfId="30676"/>
    <cellStyle name="%_1. 8월 결산보고2_수출채권정리_수출채권정리10_차입부채 WS_SJH_OK" xfId="17859"/>
    <cellStyle name="%_1. 8월 결산보고2_수출채권정리_수출채권정리10_차입부채 WS_SJH_OK 2" xfId="17860"/>
    <cellStyle name="%_1. 8월 결산보고2_수출채권정리_수출채권정리10_차입부채 WS_SJH_OK 2 2" xfId="30679"/>
    <cellStyle name="%_1. 8월 결산보고2_수출채권정리_수출채권정리10_차입부채 WS_SJH_OK 3" xfId="30678"/>
    <cellStyle name="%_1. 8월 결산보고2_수출채권정리_수출채권정리11" xfId="17861"/>
    <cellStyle name="%_1. 8월 결산보고2_수출채권정리_수출채권정리11 2" xfId="17862"/>
    <cellStyle name="%_1. 8월 결산보고2_수출채권정리_수출채권정리11 2 2" xfId="30681"/>
    <cellStyle name="%_1. 8월 결산보고2_수출채권정리_수출채권정리11 3" xfId="30680"/>
    <cellStyle name="%_1. 8월 결산보고2_수출채권정리_수출채권정리11_차입부채 WS_SJH_OK" xfId="17863"/>
    <cellStyle name="%_1. 8월 결산보고2_수출채권정리_수출채권정리11_차입부채 WS_SJH_OK 2" xfId="17864"/>
    <cellStyle name="%_1. 8월 결산보고2_수출채권정리_수출채권정리11_차입부채 WS_SJH_OK 2 2" xfId="30683"/>
    <cellStyle name="%_1. 8월 결산보고2_수출채권정리_수출채권정리11_차입부채 WS_SJH_OK 3" xfId="30682"/>
    <cellStyle name="%_1. 8월 결산보고2_수출채권정리_수출채권정리12" xfId="17865"/>
    <cellStyle name="%_1. 8월 결산보고2_수출채권정리_수출채권정리12 2" xfId="17866"/>
    <cellStyle name="%_1. 8월 결산보고2_수출채권정리_수출채권정리12 2 2" xfId="30685"/>
    <cellStyle name="%_1. 8월 결산보고2_수출채권정리_수출채권정리12 3" xfId="30684"/>
    <cellStyle name="%_1. 8월 결산보고2_수출채권정리_수출채권정리12_차입부채 WS_SJH_OK" xfId="17867"/>
    <cellStyle name="%_1. 8월 결산보고2_수출채권정리_수출채권정리12_차입부채 WS_SJH_OK 2" xfId="17868"/>
    <cellStyle name="%_1. 8월 결산보고2_수출채권정리_수출채권정리12_차입부채 WS_SJH_OK 2 2" xfId="30687"/>
    <cellStyle name="%_1. 8월 결산보고2_수출채권정리_수출채권정리12_차입부채 WS_SJH_OK 3" xfId="30686"/>
    <cellStyle name="%_1. 8월 결산보고2_수출채권정리_차입부채 WS_SJH_OK" xfId="17869"/>
    <cellStyle name="%_1. 8월 결산보고2_수출채권정리_차입부채 WS_SJH_OK 2" xfId="17870"/>
    <cellStyle name="%_1. 8월 결산보고2_수출채권정리_차입부채 WS_SJH_OK 2 2" xfId="30689"/>
    <cellStyle name="%_1. 8월 결산보고2_수출채권정리_차입부채 WS_SJH_OK 3" xfId="30688"/>
    <cellStyle name="%_1. 8월 결산보고2_차입부채 WS_SJH_OK" xfId="17871"/>
    <cellStyle name="%_1. 8월 결산보고2_차입부채 WS_SJH_OK 2" xfId="17872"/>
    <cellStyle name="%_1. 8월 결산보고2_차입부채 WS_SJH_OK 2 2" xfId="30691"/>
    <cellStyle name="%_1. 8월 결산보고2_차입부채 WS_SJH_OK 3" xfId="30690"/>
    <cellStyle name="%_1. 9월 결산보고(2)" xfId="17873"/>
    <cellStyle name="%_1. 9월 결산보고(2) 2" xfId="17874"/>
    <cellStyle name="%_1. 9월 결산보고(2) 2 2" xfId="30693"/>
    <cellStyle name="%_1. 9월 결산보고(2) 3" xfId="30692"/>
    <cellStyle name="%_1. 9월 결산보고(2)_수출채권정리" xfId="17875"/>
    <cellStyle name="%_1. 9월 결산보고(2)_수출채권정리 2" xfId="17876"/>
    <cellStyle name="%_1. 9월 결산보고(2)_수출채권정리 2 2" xfId="30695"/>
    <cellStyle name="%_1. 9월 결산보고(2)_수출채권정리 3" xfId="30694"/>
    <cellStyle name="%_1. 9월 결산보고(2)_수출채권정리_수출채권정리10" xfId="17877"/>
    <cellStyle name="%_1. 9월 결산보고(2)_수출채권정리_수출채권정리10 2" xfId="17878"/>
    <cellStyle name="%_1. 9월 결산보고(2)_수출채권정리_수출채권정리10 2 2" xfId="30697"/>
    <cellStyle name="%_1. 9월 결산보고(2)_수출채권정리_수출채권정리10 3" xfId="30696"/>
    <cellStyle name="%_1. 9월 결산보고(2)_수출채권정리_수출채권정리10_차입부채 WS_SJH_OK" xfId="17879"/>
    <cellStyle name="%_1. 9월 결산보고(2)_수출채권정리_수출채권정리10_차입부채 WS_SJH_OK 2" xfId="17880"/>
    <cellStyle name="%_1. 9월 결산보고(2)_수출채권정리_수출채권정리10_차입부채 WS_SJH_OK 2 2" xfId="30699"/>
    <cellStyle name="%_1. 9월 결산보고(2)_수출채권정리_수출채권정리10_차입부채 WS_SJH_OK 3" xfId="30698"/>
    <cellStyle name="%_1. 9월 결산보고(2)_수출채권정리_수출채권정리11" xfId="17881"/>
    <cellStyle name="%_1. 9월 결산보고(2)_수출채권정리_수출채권정리11 2" xfId="17882"/>
    <cellStyle name="%_1. 9월 결산보고(2)_수출채권정리_수출채권정리11 2 2" xfId="30701"/>
    <cellStyle name="%_1. 9월 결산보고(2)_수출채권정리_수출채권정리11 3" xfId="30700"/>
    <cellStyle name="%_1. 9월 결산보고(2)_수출채권정리_수출채권정리11_차입부채 WS_SJH_OK" xfId="17883"/>
    <cellStyle name="%_1. 9월 결산보고(2)_수출채권정리_수출채권정리11_차입부채 WS_SJH_OK 2" xfId="17884"/>
    <cellStyle name="%_1. 9월 결산보고(2)_수출채권정리_수출채권정리11_차입부채 WS_SJH_OK 2 2" xfId="30703"/>
    <cellStyle name="%_1. 9월 결산보고(2)_수출채권정리_수출채권정리11_차입부채 WS_SJH_OK 3" xfId="30702"/>
    <cellStyle name="%_1. 9월 결산보고(2)_수출채권정리_수출채권정리12" xfId="17885"/>
    <cellStyle name="%_1. 9월 결산보고(2)_수출채권정리_수출채권정리12 2" xfId="17886"/>
    <cellStyle name="%_1. 9월 결산보고(2)_수출채권정리_수출채권정리12 2 2" xfId="30705"/>
    <cellStyle name="%_1. 9월 결산보고(2)_수출채권정리_수출채권정리12 3" xfId="30704"/>
    <cellStyle name="%_1. 9월 결산보고(2)_수출채권정리_수출채권정리12_차입부채 WS_SJH_OK" xfId="17887"/>
    <cellStyle name="%_1. 9월 결산보고(2)_수출채권정리_수출채권정리12_차입부채 WS_SJH_OK 2" xfId="17888"/>
    <cellStyle name="%_1. 9월 결산보고(2)_수출채권정리_수출채권정리12_차입부채 WS_SJH_OK 2 2" xfId="30707"/>
    <cellStyle name="%_1. 9월 결산보고(2)_수출채권정리_수출채권정리12_차입부채 WS_SJH_OK 3" xfId="30706"/>
    <cellStyle name="%_1. 9월 결산보고(2)_수출채권정리_차입부채 WS_SJH_OK" xfId="17889"/>
    <cellStyle name="%_1. 9월 결산보고(2)_수출채권정리_차입부채 WS_SJH_OK 2" xfId="17890"/>
    <cellStyle name="%_1. 9월 결산보고(2)_수출채권정리_차입부채 WS_SJH_OK 2 2" xfId="30709"/>
    <cellStyle name="%_1. 9월 결산보고(2)_수출채권정리_차입부채 WS_SJH_OK 3" xfId="30708"/>
    <cellStyle name="%_1. 9월 결산보고(2)_차입부채 WS_SJH_OK" xfId="17891"/>
    <cellStyle name="%_1. 9월 결산보고(2)_차입부채 WS_SJH_OK 2" xfId="17892"/>
    <cellStyle name="%_1. 9월 결산보고(2)_차입부채 WS_SJH_OK 2 2" xfId="30711"/>
    <cellStyle name="%_1. 9월 결산보고(2)_차입부채 WS_SJH_OK 3" xfId="30710"/>
    <cellStyle name="%_1. 9월 결산보고(3)" xfId="17893"/>
    <cellStyle name="%_1. 9월 결산보고(3) 2" xfId="17894"/>
    <cellStyle name="%_1. 9월 결산보고(3) 2 2" xfId="30713"/>
    <cellStyle name="%_1. 9월 결산보고(3) 3" xfId="30712"/>
    <cellStyle name="%_1. 9월 결산보고(3)_수출채권정리" xfId="17895"/>
    <cellStyle name="%_1. 9월 결산보고(3)_수출채권정리 2" xfId="17896"/>
    <cellStyle name="%_1. 9월 결산보고(3)_수출채권정리 2 2" xfId="30715"/>
    <cellStyle name="%_1. 9월 결산보고(3)_수출채권정리 3" xfId="30714"/>
    <cellStyle name="%_1. 9월 결산보고(3)_수출채권정리_수출채권정리10" xfId="17897"/>
    <cellStyle name="%_1. 9월 결산보고(3)_수출채권정리_수출채권정리10 2" xfId="17898"/>
    <cellStyle name="%_1. 9월 결산보고(3)_수출채권정리_수출채권정리10 2 2" xfId="30717"/>
    <cellStyle name="%_1. 9월 결산보고(3)_수출채권정리_수출채권정리10 3" xfId="30716"/>
    <cellStyle name="%_1. 9월 결산보고(3)_수출채권정리_수출채권정리10_차입부채 WS_SJH_OK" xfId="17899"/>
    <cellStyle name="%_1. 9월 결산보고(3)_수출채권정리_수출채권정리10_차입부채 WS_SJH_OK 2" xfId="17900"/>
    <cellStyle name="%_1. 9월 결산보고(3)_수출채권정리_수출채권정리10_차입부채 WS_SJH_OK 2 2" xfId="30719"/>
    <cellStyle name="%_1. 9월 결산보고(3)_수출채권정리_수출채권정리10_차입부채 WS_SJH_OK 3" xfId="30718"/>
    <cellStyle name="%_1. 9월 결산보고(3)_수출채권정리_수출채권정리11" xfId="17901"/>
    <cellStyle name="%_1. 9월 결산보고(3)_수출채권정리_수출채권정리11 2" xfId="17902"/>
    <cellStyle name="%_1. 9월 결산보고(3)_수출채권정리_수출채권정리11 2 2" xfId="30721"/>
    <cellStyle name="%_1. 9월 결산보고(3)_수출채권정리_수출채권정리11 3" xfId="30720"/>
    <cellStyle name="%_1. 9월 결산보고(3)_수출채권정리_수출채권정리11_차입부채 WS_SJH_OK" xfId="17903"/>
    <cellStyle name="%_1. 9월 결산보고(3)_수출채권정리_수출채권정리11_차입부채 WS_SJH_OK 2" xfId="17904"/>
    <cellStyle name="%_1. 9월 결산보고(3)_수출채권정리_수출채권정리11_차입부채 WS_SJH_OK 2 2" xfId="30723"/>
    <cellStyle name="%_1. 9월 결산보고(3)_수출채권정리_수출채권정리11_차입부채 WS_SJH_OK 3" xfId="30722"/>
    <cellStyle name="%_1. 9월 결산보고(3)_수출채권정리_수출채권정리12" xfId="17905"/>
    <cellStyle name="%_1. 9월 결산보고(3)_수출채권정리_수출채권정리12 2" xfId="17906"/>
    <cellStyle name="%_1. 9월 결산보고(3)_수출채권정리_수출채권정리12 2 2" xfId="30725"/>
    <cellStyle name="%_1. 9월 결산보고(3)_수출채권정리_수출채권정리12 3" xfId="30724"/>
    <cellStyle name="%_1. 9월 결산보고(3)_수출채권정리_수출채권정리12_차입부채 WS_SJH_OK" xfId="17907"/>
    <cellStyle name="%_1. 9월 결산보고(3)_수출채권정리_수출채권정리12_차입부채 WS_SJH_OK 2" xfId="17908"/>
    <cellStyle name="%_1. 9월 결산보고(3)_수출채권정리_수출채권정리12_차입부채 WS_SJH_OK 2 2" xfId="30727"/>
    <cellStyle name="%_1. 9월 결산보고(3)_수출채권정리_수출채권정리12_차입부채 WS_SJH_OK 3" xfId="30726"/>
    <cellStyle name="%_1. 9월 결산보고(3)_수출채권정리_차입부채 WS_SJH_OK" xfId="17909"/>
    <cellStyle name="%_1. 9월 결산보고(3)_수출채권정리_차입부채 WS_SJH_OK 2" xfId="17910"/>
    <cellStyle name="%_1. 9월 결산보고(3)_수출채권정리_차입부채 WS_SJH_OK 2 2" xfId="30729"/>
    <cellStyle name="%_1. 9월 결산보고(3)_수출채권정리_차입부채 WS_SJH_OK 3" xfId="30728"/>
    <cellStyle name="%_1. 9월 결산보고(3)_차입부채 WS_SJH_OK" xfId="17911"/>
    <cellStyle name="%_1. 9월 결산보고(3)_차입부채 WS_SJH_OK 2" xfId="17912"/>
    <cellStyle name="%_1. 9월 결산보고(3)_차입부채 WS_SJH_OK 2 2" xfId="30731"/>
    <cellStyle name="%_1. 9월 결산보고(3)_차입부채 WS_SJH_OK 3" xfId="30730"/>
    <cellStyle name="%_수출채권정리" xfId="17913"/>
    <cellStyle name="%_수출채권정리 2" xfId="17914"/>
    <cellStyle name="%_수출채권정리 2 2" xfId="30733"/>
    <cellStyle name="%_수출채권정리 3" xfId="30732"/>
    <cellStyle name="%_수출채권정리_수출채권정리10" xfId="17915"/>
    <cellStyle name="%_수출채권정리_수출채권정리10 2" xfId="17916"/>
    <cellStyle name="%_수출채권정리_수출채권정리10 2 2" xfId="30735"/>
    <cellStyle name="%_수출채권정리_수출채권정리10 3" xfId="30734"/>
    <cellStyle name="%_수출채권정리_수출채권정리10_차입부채 WS_SJH_OK" xfId="17917"/>
    <cellStyle name="%_수출채권정리_수출채권정리10_차입부채 WS_SJH_OK 2" xfId="17918"/>
    <cellStyle name="%_수출채권정리_수출채권정리10_차입부채 WS_SJH_OK 2 2" xfId="30737"/>
    <cellStyle name="%_수출채권정리_수출채권정리10_차입부채 WS_SJH_OK 3" xfId="30736"/>
    <cellStyle name="%_수출채권정리_수출채권정리11" xfId="17919"/>
    <cellStyle name="%_수출채권정리_수출채권정리11 2" xfId="17920"/>
    <cellStyle name="%_수출채권정리_수출채권정리11 2 2" xfId="30739"/>
    <cellStyle name="%_수출채권정리_수출채권정리11 3" xfId="30738"/>
    <cellStyle name="%_수출채권정리_수출채권정리11_차입부채 WS_SJH_OK" xfId="17921"/>
    <cellStyle name="%_수출채권정리_수출채권정리11_차입부채 WS_SJH_OK 2" xfId="17922"/>
    <cellStyle name="%_수출채권정리_수출채권정리11_차입부채 WS_SJH_OK 2 2" xfId="30741"/>
    <cellStyle name="%_수출채권정리_수출채권정리11_차입부채 WS_SJH_OK 3" xfId="30740"/>
    <cellStyle name="%_수출채권정리_수출채권정리12" xfId="17923"/>
    <cellStyle name="%_수출채권정리_수출채권정리12 2" xfId="17924"/>
    <cellStyle name="%_수출채권정리_수출채권정리12 2 2" xfId="30743"/>
    <cellStyle name="%_수출채권정리_수출채권정리12 3" xfId="30742"/>
    <cellStyle name="%_수출채권정리_수출채권정리12_차입부채 WS_SJH_OK" xfId="17925"/>
    <cellStyle name="%_수출채권정리_수출채권정리12_차입부채 WS_SJH_OK 2" xfId="17926"/>
    <cellStyle name="%_수출채권정리_수출채권정리12_차입부채 WS_SJH_OK 2 2" xfId="30745"/>
    <cellStyle name="%_수출채권정리_수출채권정리12_차입부채 WS_SJH_OK 3" xfId="30744"/>
    <cellStyle name="%_수출채권정리_차입부채 WS_SJH_OK" xfId="17927"/>
    <cellStyle name="%_수출채권정리_차입부채 WS_SJH_OK 2" xfId="17928"/>
    <cellStyle name="%_수출채권정리_차입부채 WS_SJH_OK 2 2" xfId="30747"/>
    <cellStyle name="%_수출채권정리_차입부채 WS_SJH_OK 3" xfId="30746"/>
    <cellStyle name="%_차입부채 WS_SJH_OK" xfId="17929"/>
    <cellStyle name="%_차입부채 WS_SJH_OK 2" xfId="17930"/>
    <cellStyle name="%_차입부채 WS_SJH_OK 2 2" xfId="30749"/>
    <cellStyle name="%_차입부채 WS_SJH_OK 3" xfId="30748"/>
    <cellStyle name="&amp;A" xfId="5074"/>
    <cellStyle name="(△콤마)" xfId="5075"/>
    <cellStyle name="(3)" xfId="17931"/>
    <cellStyle name="(백분율)" xfId="5076"/>
    <cellStyle name="(요약)" xfId="17932"/>
    <cellStyle name="(콤마)" xfId="5077"/>
    <cellStyle name=")" xfId="17933"/>
    <cellStyle name=")_Drill%Normal_Real Rev per Staff (2)_Imaging" xfId="17934"/>
    <cellStyle name=";;;" xfId="5078"/>
    <cellStyle name="?" xfId="5079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0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2" xfId="5080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3" xfId="508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2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 2" xfId="17935"/>
    <cellStyle name="? ??" xfId="23580"/>
    <cellStyle name="_x0001_?_x0002_ _x0006__x0001_l" xfId="17936"/>
    <cellStyle name="??" xfId="5082"/>
    <cellStyle name="?? ???" xfId="23581"/>
    <cellStyle name="?? [0.00]_List-dwg" xfId="5083"/>
    <cellStyle name="?? [0]" xfId="5084"/>
    <cellStyle name="?? 1" xfId="23582"/>
    <cellStyle name="?? 2" xfId="17937"/>
    <cellStyle name="?? 2 2" xfId="17938"/>
    <cellStyle name="?? 2 2 2" xfId="30751"/>
    <cellStyle name="?? 2 3" xfId="30750"/>
    <cellStyle name="?? 3" xfId="17939"/>
    <cellStyle name="?? 3 2" xfId="30752"/>
    <cellStyle name="?? 4" xfId="17940"/>
    <cellStyle name="?? 4 2" xfId="30753"/>
    <cellStyle name="?? 5" xfId="17941"/>
    <cellStyle name="?? 5 2" xfId="23583"/>
    <cellStyle name="?? 5 2 2" xfId="30774"/>
    <cellStyle name="?? 5 3" xfId="30754"/>
    <cellStyle name="?? 6" xfId="23584"/>
    <cellStyle name="?? 6 2" xfId="23585"/>
    <cellStyle name="?? 6 2 2" xfId="30776"/>
    <cellStyle name="?? 6 3" xfId="30775"/>
    <cellStyle name="?? 7" xfId="23586"/>
    <cellStyle name="?? 7 2" xfId="23587"/>
    <cellStyle name="?? 7 2 2" xfId="30778"/>
    <cellStyle name="?? 7 3" xfId="30777"/>
    <cellStyle name="??_x000c_@?_x000d_3?_x0001__x000b_" xfId="5085"/>
    <cellStyle name="??_x000c_@?_x000d_3?_x0001__x000b_ 2" xfId="17942"/>
    <cellStyle name="??_x000c_@?_x000d_3?_x0001__x000b_ 2 2" xfId="17943"/>
    <cellStyle name="??_x000c_@?_x000d_3?_x0001__x000b_ 2 3" xfId="17944"/>
    <cellStyle name="??_x000c_둄_x001b__x000d_|?_x0001_?_x0003__x0014__x0007__x0001__x0001_" xfId="5086"/>
    <cellStyle name="??_x000c_靖?崧U_x0001_A_x0014_?_x0007__x0001__x0001_" xfId="5087"/>
    <cellStyle name="??_x000c_靖?崧U_x0001_B_x0014_?_x0007__x0001__x0001_" xfId="5088"/>
    <cellStyle name="??&amp;_x0012_?&amp;_x000b_?_x0008_*_x0007_?_x0007__x0001__x0001_" xfId="23588"/>
    <cellStyle name="??&amp;O?&amp;H?_x0001_" xfId="5089"/>
    <cellStyle name="??&amp;O?&amp;H?_x0008_" xfId="5090"/>
    <cellStyle name="??&amp;O?&amp;H?_x0008_!_x0007_?_x0007__x0001__x0001_" xfId="5091"/>
    <cellStyle name="??&amp;O?&amp;H?_x0008__x000f__x0007_?" xfId="5092"/>
    <cellStyle name="??&amp;O?&amp;H?_x0008__x000f__x0007_?_x0007__x0001_" xfId="5093"/>
    <cellStyle name="??&amp;O?&amp;H?_x0008__x000f__x0007_?_x0007__x0001__x0001_" xfId="22"/>
    <cellStyle name="??&amp;O?&amp;H?_x0008__x000f__x0007_?_x0007__x0001__x0001_ 10" xfId="17945"/>
    <cellStyle name="??&amp;O?&amp;H?_x0008__x000f__x0007_?_x0007__x0001__x0001_ 11" xfId="17946"/>
    <cellStyle name="??&amp;O?&amp;H?_x0008__x000f__x0007_?_x0007__x0001__x0001_ 12" xfId="17947"/>
    <cellStyle name="??&amp;O?&amp;H?_x0008__x000f__x0007_?_x0007__x0001__x0001_ 13" xfId="17948"/>
    <cellStyle name="??&amp;O?&amp;H?_x0008__x000f__x0007_?_x0007__x0001__x0001_ 14" xfId="17949"/>
    <cellStyle name="??&amp;O?&amp;H?_x0008__x000f__x0007_?_x0007__x0001__x0001_ 15" xfId="17950"/>
    <cellStyle name="??&amp;O?&amp;H?_x0008__x000f__x0007_?_x0007__x0001__x0001_ 16" xfId="17951"/>
    <cellStyle name="??&amp;O?&amp;H?_x0008__x000f__x0007_?_x0007__x0001__x0001_ 17" xfId="17952"/>
    <cellStyle name="??&amp;O?&amp;H?_x0008__x000f__x0007_?_x0007__x0001__x0001_ 18" xfId="17953"/>
    <cellStyle name="??&amp;O?&amp;H?_x0008__x000f__x0007_?_x0007__x0001__x0001_ 19" xfId="17954"/>
    <cellStyle name="??&amp;O?&amp;H?_x0008__x000f__x0007_?_x0007__x0001__x0001_ 2" xfId="23"/>
    <cellStyle name="??&amp;O?&amp;H?_x0008__x000f__x0007_?_x0007__x0001__x0001_ 20" xfId="17955"/>
    <cellStyle name="??&amp;O?&amp;H?_x0008__x000f__x0007_?_x0007__x0001__x0001_ 21" xfId="17956"/>
    <cellStyle name="??&amp;O?&amp;H?_x0008__x000f__x0007_?_x0007__x0001__x0001_ 22" xfId="17957"/>
    <cellStyle name="??&amp;O?&amp;H?_x0008__x000f__x0007_?_x0007__x0001__x0001_ 23" xfId="17958"/>
    <cellStyle name="??&amp;O?&amp;H?_x0008__x000f__x0007_?_x0007__x0001__x0001_ 24" xfId="17959"/>
    <cellStyle name="??&amp;O?&amp;H?_x0008__x000f__x0007_?_x0007__x0001__x0001_ 25" xfId="17960"/>
    <cellStyle name="??&amp;O?&amp;H?_x0008__x000f__x0007_?_x0007__x0001__x0001_ 26" xfId="17961"/>
    <cellStyle name="??&amp;O?&amp;H?_x0008__x000f__x0007_?_x0007__x0001__x0001_ 27" xfId="17962"/>
    <cellStyle name="??&amp;O?&amp;H?_x0008__x000f__x0007_?_x0007__x0001__x0001_ 28" xfId="17963"/>
    <cellStyle name="??&amp;O?&amp;H?_x0008__x000f__x0007_?_x0007__x0001__x0001_ 29" xfId="17964"/>
    <cellStyle name="??&amp;O?&amp;H?_x0008__x000f__x0007_?_x0007__x0001__x0001_ 3" xfId="5094"/>
    <cellStyle name="??&amp;O?&amp;H?_x0008__x000f__x0007_?_x0007__x0001__x0001_ 30" xfId="17965"/>
    <cellStyle name="??&amp;O?&amp;H?_x0008__x000f__x0007_?_x0007__x0001__x0001_ 31" xfId="17966"/>
    <cellStyle name="??&amp;O?&amp;H?_x0008__x000f__x0007_?_x0007__x0001__x0001_ 32" xfId="17967"/>
    <cellStyle name="??&amp;O?&amp;H?_x0008__x000f__x0007_?_x0007__x0001__x0001_ 33" xfId="17968"/>
    <cellStyle name="??&amp;O?&amp;H?_x0008__x000f__x0007_?_x0007__x0001__x0001_ 4" xfId="17969"/>
    <cellStyle name="??&amp;O?&amp;H?_x0008__x000f__x0007_?_x0007__x0001__x0001_ 5" xfId="17970"/>
    <cellStyle name="??&amp;O?&amp;H?_x0008__x000f__x0007_?_x0007__x0001__x0001_ 6" xfId="17971"/>
    <cellStyle name="??&amp;O?&amp;H?_x0008__x000f__x0007_?_x0007__x0001__x0001_ 7" xfId="17972"/>
    <cellStyle name="??&amp;O?&amp;H?_x0008__x000f__x0007_?_x0007__x0001__x0001_ 8" xfId="17973"/>
    <cellStyle name="??&amp;O?&amp;H?_x0008__x000f__x0007_?_x0007__x0001__x0001_ 9" xfId="17974"/>
    <cellStyle name="??&amp;O?&amp;H?_x0008_??_x0007__x0001__x0001_" xfId="24"/>
    <cellStyle name="??&amp;O?&amp;H?_x0008_??_x000f__x0001__x0001_" xfId="25"/>
    <cellStyle name="??&amp;O?&amp;H?_x0008_??_x0007__x0001__x0001_ 10" xfId="17975"/>
    <cellStyle name="??&amp;O?&amp;H?_x0008_??_x0007__x0001__x0001_ 11" xfId="17976"/>
    <cellStyle name="??&amp;O?&amp;H?_x0008_??_x0007__x0001__x0001_ 12" xfId="17977"/>
    <cellStyle name="??&amp;O?&amp;H?_x0008_??_x0007__x0001__x0001_ 13" xfId="17978"/>
    <cellStyle name="??&amp;O?&amp;H?_x0008_??_x0007__x0001__x0001_ 14" xfId="17979"/>
    <cellStyle name="??&amp;O?&amp;H?_x0008_??_x0007__x0001__x0001_ 15" xfId="17980"/>
    <cellStyle name="??&amp;O?&amp;H?_x0008_??_x0007__x0001__x0001_ 16" xfId="17981"/>
    <cellStyle name="??&amp;O?&amp;H?_x0008_??_x0007__x0001__x0001_ 17" xfId="17982"/>
    <cellStyle name="??&amp;O?&amp;H?_x0008_??_x0007__x0001__x0001_ 18" xfId="17983"/>
    <cellStyle name="??&amp;O?&amp;H?_x0008_??_x0007__x0001__x0001_ 19" xfId="17984"/>
    <cellStyle name="??&amp;O?&amp;H?_x0008_??_x0007__x0001__x0001_ 2" xfId="26"/>
    <cellStyle name="??&amp;O?&amp;H?_x0008_??_x0007__x0001__x0001_ 20" xfId="17985"/>
    <cellStyle name="??&amp;O?&amp;H?_x0008_??_x0007__x0001__x0001_ 21" xfId="17986"/>
    <cellStyle name="??&amp;O?&amp;H?_x0008_??_x0007__x0001__x0001_ 22" xfId="17987"/>
    <cellStyle name="??&amp;O?&amp;H?_x0008_??_x0007__x0001__x0001_ 23" xfId="17988"/>
    <cellStyle name="??&amp;O?&amp;H?_x0008_??_x0007__x0001__x0001_ 24" xfId="17989"/>
    <cellStyle name="??&amp;O?&amp;H?_x0008_??_x0007__x0001__x0001_ 25" xfId="17990"/>
    <cellStyle name="??&amp;O?&amp;H?_x0008_??_x0007__x0001__x0001_ 26" xfId="17991"/>
    <cellStyle name="??&amp;O?&amp;H?_x0008_??_x0007__x0001__x0001_ 27" xfId="17992"/>
    <cellStyle name="??&amp;O?&amp;H?_x0008_??_x0007__x0001__x0001_ 28" xfId="17993"/>
    <cellStyle name="??&amp;O?&amp;H?_x0008_??_x0007__x0001__x0001_ 29" xfId="17994"/>
    <cellStyle name="??&amp;O?&amp;H?_x0008_??_x0007__x0001__x0001_ 3" xfId="5095"/>
    <cellStyle name="??&amp;O?&amp;H?_x0008_??_x0007__x0001__x0001_ 30" xfId="17995"/>
    <cellStyle name="??&amp;O?&amp;H?_x0008_??_x0007__x0001__x0001_ 31" xfId="17996"/>
    <cellStyle name="??&amp;O?&amp;H?_x0008_??_x0007__x0001__x0001_ 32" xfId="17997"/>
    <cellStyle name="??&amp;O?&amp;H?_x0008_??_x0007__x0001__x0001_ 33" xfId="17998"/>
    <cellStyle name="??&amp;O?&amp;H?_x0008_??_x0007__x0001__x0001_ 34" xfId="17999"/>
    <cellStyle name="??&amp;O?&amp;H?_x0008_??_x0007__x0001__x0001_ 35" xfId="18000"/>
    <cellStyle name="??&amp;O?&amp;H?_x0008_??_x0007__x0001__x0001_ 4" xfId="18001"/>
    <cellStyle name="??&amp;O?&amp;H?_x0008_??_x0007__x0001__x0001_ 5" xfId="18002"/>
    <cellStyle name="??&amp;O?&amp;H?_x0008_??_x0007__x0001__x0001_ 6" xfId="18003"/>
    <cellStyle name="??&amp;O?&amp;H?_x0008_??_x0007__x0001__x0001_ 7" xfId="18004"/>
    <cellStyle name="??&amp;O?&amp;H?_x0008_??_x0007__x0001__x0001_ 8" xfId="18005"/>
    <cellStyle name="??&amp;O?&amp;H?_x0008_??_x0007__x0001__x0001_ 9" xfId="18006"/>
    <cellStyle name="??&amp;O?&amp;H?_x0008_??_x0007__x0001__x0001__2011-3차 매각명세(7.8일자_마감자료)_김만종-(1)" xfId="5096"/>
    <cellStyle name="??&amp;O?&amp;H?_x0008_??_x000f__x0001__x0001__2011-3차 매각명세(7.8일자_마감자료)_김만종-(1)" xfId="5097"/>
    <cellStyle name="??&amp;O?&amp;H?_x0008__x000f__x0007_?_x0007__x0001__x0001__2011년 최종예상결산" xfId="23589"/>
    <cellStyle name="??&amp;O?&amp;H?_x0008_x_x000b_P_x000c__x0007__x0001__x0001_" xfId="27"/>
    <cellStyle name="??&amp;O?&amp;H?_x0008_x_x000b_P_x000c__x0007__x0001__x0001_ 2" xfId="5098"/>
    <cellStyle name="??&amp;O?&amp;H?_x0008_x_x000b_P_x000c__x0007__x0001__x0001_ 3" xfId="5099"/>
    <cellStyle name="??&amp;쏗?뷐9_x0008__x0011__x0007_?_x0007__x0001__x0001_" xfId="18007"/>
    <cellStyle name="??&amp;蟻?縊9_x0008_f_x000a_:_x000b__x0007__x0001__x0001_" xfId="5100"/>
    <cellStyle name="???­" xfId="28"/>
    <cellStyle name="??? ?" xfId="23590"/>
    <cellStyle name="???­ [0]" xfId="29"/>
    <cellStyle name="???? ??" xfId="18008"/>
    <cellStyle name="???? [0.00]_1997 Turns" xfId="30"/>
    <cellStyle name="???? [0]_???? " xfId="18009"/>
    <cellStyle name="?????" xfId="5101"/>
    <cellStyle name="????_???? " xfId="18010"/>
    <cellStyle name="???[0]_Book1" xfId="5102"/>
    <cellStyle name="???­_????¿?" xfId="31"/>
    <cellStyle name="???_95" xfId="5103"/>
    <cellStyle name="???1" xfId="23591"/>
    <cellStyle name="???2" xfId="23592"/>
    <cellStyle name="???3" xfId="23593"/>
    <cellStyle name="???4" xfId="23594"/>
    <cellStyle name="???5" xfId="23595"/>
    <cellStyle name="???6" xfId="23596"/>
    <cellStyle name="???ø" xfId="32"/>
    <cellStyle name="??_  FAB ??  " xfId="23597"/>
    <cellStyle name="?_x000f__x0001_?잡_x0002_" xfId="5104"/>
    <cellStyle name="?a?????" xfId="23598"/>
    <cellStyle name="?e??A?_laroux_A??I2A?_BS&amp;IncStat_PL_S " xfId="18011"/>
    <cellStyle name="?k?Tl익" xfId="18012"/>
    <cellStyle name="?þ¸¶" xfId="33"/>
    <cellStyle name="?þ¸¶ [0]" xfId="34"/>
    <cellStyle name="?Þ¸¶_????¿?" xfId="35"/>
    <cellStyle name="?W?_laroux" xfId="36"/>
    <cellStyle name="?렑띙귒궻긪귽긬?깏깛긏" xfId="5105"/>
    <cellStyle name="?霖_?寇bal" xfId="37"/>
    <cellStyle name="?마 [0]_CASH FLOW " xfId="18013"/>
    <cellStyle name="?마_CASH FLOW " xfId="18014"/>
    <cellStyle name="?頂_x000c_:?_x000d_3?_x0001_??_x0007__x0001__x0001_" xfId="18015"/>
    <cellStyle name="?曹%U?&amp;H?_x0008_?s_x000a__x0007__x0001__x0001_" xfId="5106"/>
    <cellStyle name="?핺_2Q97 dist.EOM " xfId="18016"/>
    <cellStyle name="]_x0004_" xfId="5107"/>
    <cellStyle name="]_^[꺞_x0008_?" xfId="38"/>
    <cellStyle name="]_^[꺞_x0008_? 2" xfId="5108"/>
    <cellStyle name="]_^[꺞_x0008_? 3" xfId="5109"/>
    <cellStyle name="-_  코크렙1호 조서 등-강지웅의 워크시트" xfId="18017"/>
    <cellStyle name="-_  코크렙1호 조서 등-강지웅의 워크시트 2" xfId="18018"/>
    <cellStyle name="-_  코크렙1호 조서 등-강지웅의 워크시트 2 2" xfId="18019"/>
    <cellStyle name="-_  코크렙1호 조서 등-강지웅의 워크시트 3" xfId="18020"/>
    <cellStyle name="-_  코크렙1호 조서 등-강지웅의 워크시트_04.10월 손익보정 내역(04.10.15~)" xfId="18021"/>
    <cellStyle name="-_  코크렙1호 조서 등-강지웅의 워크시트_04.10월 손익보정 내역(04.10.15~) 2" xfId="18022"/>
    <cellStyle name="-_  코크렙1호 조서 등-강지웅의 워크시트_04.10월 손익보정 내역(04.10.15~) 2 2" xfId="18023"/>
    <cellStyle name="-_  코크렙1호 조서 등-강지웅의 워크시트_04.10월 손익보정 내역(04.10.15~) 3" xfId="18024"/>
    <cellStyle name="-_  코크렙1호 조서 등-강지웅의 워크시트_04.10월 손익보정 내역(04.10.15~)_04.10월 손익보정 내역(04.10.15~)" xfId="18025"/>
    <cellStyle name="-_  코크렙1호 조서 등-강지웅의 워크시트_04.10월 손익보정 내역(04.10.15~)_04.10월 손익보정 내역(04.10.15~) 2" xfId="18026"/>
    <cellStyle name="-_  코크렙1호 조서 등-강지웅의 워크시트_04.10월 손익보정 내역(04.10.15~)_04.10월 손익보정 내역(04.10.15~) 2 2" xfId="18027"/>
    <cellStyle name="-_  코크렙1호 조서 등-강지웅의 워크시트_04.10월 손익보정 내역(04.10.15~)_04.10월 손익보정 내역(04.10.15~) 3" xfId="18028"/>
    <cellStyle name="-_  코크렙1호 조서 등-강지웅의 워크시트_04.10월 손익보정 내역(04.10.15~)_04.10월 손익보정 내역(04.10.15~)_1.창업관련 회계처리" xfId="18029"/>
    <cellStyle name="-_  코크렙1호 조서 등-강지웅의 워크시트_04.10월 손익보정 내역(04.10.15~)_04.10월 손익보정 내역(04.10.15~)_1.창업관련 회계처리 2" xfId="18030"/>
    <cellStyle name="-_  코크렙1호 조서 등-강지웅의 워크시트_04.10월 손익보정 내역(04.10.15~)_04.10월 손익보정 내역(04.10.15~)_1.창업관련 회계처리 2 2" xfId="18031"/>
    <cellStyle name="-_  코크렙1호 조서 등-강지웅의 워크시트_04.10월 손익보정 내역(04.10.15~)_04.10월 손익보정 내역(04.10.15~)_1.창업관련 회계처리 3" xfId="18032"/>
    <cellStyle name="-_  코크렙1호 조서 등-강지웅의 워크시트_04.10월 손익보정 내역(04.10.15~)_04.10월 손익보정 내역(04.10.15~)_1.창업관련 회계처리_I2 6월 결산 검증서_복합대출상품_20101119" xfId="18033"/>
    <cellStyle name="-_  코크렙1호 조서 등-강지웅의 워크시트_04.10월 손익보정 내역(04.10.15~)_04.10월 손익보정 내역(04.10.15~)_1.창업관련 회계처리_I2 6월 결산 검증서_복합대출상품_20101119 2" xfId="18034"/>
    <cellStyle name="-_  코크렙1호 조서 등-강지웅의 워크시트_04.10월 손익보정 내역(04.10.15~)_04.10월 손익보정 내역(04.10.15~)_1.창업관련 회계처리_I2 6월 결산 검증서_복합대출상품_20101119 2 2" xfId="18035"/>
    <cellStyle name="-_  코크렙1호 조서 등-강지웅의 워크시트_04.10월 손익보정 내역(04.10.15~)_04.10월 손익보정 내역(04.10.15~)_1.창업관련 회계처리_I2 6월 결산 검증서_복합대출상품_20101126" xfId="18036"/>
    <cellStyle name="-_  코크렙1호 조서 등-강지웅의 워크시트_04.10월 손익보정 내역(04.10.15~)_04.10월 손익보정 내역(04.10.15~)_1.창업관련 회계처리_I2 6월 결산 검증서_복합대출상품_20101126 2" xfId="18037"/>
    <cellStyle name="-_  코크렙1호 조서 등-강지웅의 워크시트_04.10월 손익보정 내역(04.10.15~)_04.10월 손익보정 내역(04.10.15~)_1.창업관련 회계처리_I2 6월 결산 검증서_복합대출상품_20101126 2 2" xfId="18038"/>
    <cellStyle name="-_  코크렙1호 조서 등-강지웅의 워크시트_04.10월 손익보정 내역(04.10.15~)_04.10월 손익보정 내역(04.10.15~)_1.창업관련 회계처리_Template회사작성분 검토_PEF(2)" xfId="18039"/>
    <cellStyle name="-_  코크렙1호 조서 등-강지웅의 워크시트_04.10월 손익보정 내역(04.10.15~)_04.10월 손익보정 내역(04.10.15~)_1.창업관련 회계처리_Template회사작성분 검토_PEF(2) 2" xfId="18040"/>
    <cellStyle name="-_  코크렙1호 조서 등-강지웅의 워크시트_04.10월 손익보정 내역(04.10.15~)_04.10월 손익보정 내역(04.10.15~)_1.창업관련 회계처리_Template회사작성분 검토_PEF(2) 2 2" xfId="18041"/>
    <cellStyle name="-_  코크렙1호 조서 등-강지웅의 워크시트_04.10월 손익보정 내역(04.10.15~)_04.10월 손익보정 내역(04.10.15~)_1.창업관련 회계처리_Template회사작성분 검토_PEF(2) 3" xfId="18042"/>
    <cellStyle name="-_  코크렙1호 조서 등-강지웅의 워크시트_04.10월 손익보정 내역(04.10.15~)_04.10월 손익보정 내역(04.10.15~)_1.창업관련 회계처리_Template회사작성분 검토_PEF(2)_I2 6월 결산 검증서_복합대출상품_20101119" xfId="18043"/>
    <cellStyle name="-_  코크렙1호 조서 등-강지웅의 워크시트_04.10월 손익보정 내역(04.10.15~)_04.10월 손익보정 내역(04.10.15~)_1.창업관련 회계처리_Template회사작성분 검토_PEF(2)_I2 6월 결산 검증서_복합대출상품_20101119 2" xfId="18044"/>
    <cellStyle name="-_  코크렙1호 조서 등-강지웅의 워크시트_04.10월 손익보정 내역(04.10.15~)_04.10월 손익보정 내역(04.10.15~)_1.창업관련 회계처리_Template회사작성분 검토_PEF(2)_I2 6월 결산 검증서_복합대출상품_20101119 2 2" xfId="18045"/>
    <cellStyle name="-_  코크렙1호 조서 등-강지웅의 워크시트_04.10월 손익보정 내역(04.10.15~)_04.10월 손익보정 내역(04.10.15~)_1.창업관련 회계처리_Template회사작성분 검토_PEF(2)_I2 6월 결산 검증서_복합대출상품_20101126" xfId="18046"/>
    <cellStyle name="-_  코크렙1호 조서 등-강지웅의 워크시트_04.10월 손익보정 내역(04.10.15~)_04.10월 손익보정 내역(04.10.15~)_1.창업관련 회계처리_Template회사작성분 검토_PEF(2)_I2 6월 결산 검증서_복합대출상품_20101126 2" xfId="18047"/>
    <cellStyle name="-_  코크렙1호 조서 등-강지웅의 워크시트_04.10월 손익보정 내역(04.10.15~)_04.10월 손익보정 내역(04.10.15~)_1.창업관련 회계처리_Template회사작성분 검토_PEF(2)_I2 6월 결산 검증서_복합대출상품_20101126 2 2" xfId="18048"/>
    <cellStyle name="-_  코크렙1호 조서 등-강지웅의 워크시트_04.10월 손익보정 내역(04.10.15~)_04.10월 손익보정 내역(04.10.15~)_I2 6월 결산 검증서_복합대출상품_20101119" xfId="18049"/>
    <cellStyle name="-_  코크렙1호 조서 등-강지웅의 워크시트_04.10월 손익보정 내역(04.10.15~)_04.10월 손익보정 내역(04.10.15~)_I2 6월 결산 검증서_복합대출상품_20101119 2" xfId="18050"/>
    <cellStyle name="-_  코크렙1호 조서 등-강지웅의 워크시트_04.10월 손익보정 내역(04.10.15~)_04.10월 손익보정 내역(04.10.15~)_I2 6월 결산 검증서_복합대출상품_20101119 2 2" xfId="18051"/>
    <cellStyle name="-_  코크렙1호 조서 등-강지웅의 워크시트_04.10월 손익보정 내역(04.10.15~)_04.10월 손익보정 내역(04.10.15~)_I2 6월 결산 검증서_복합대출상품_20101126" xfId="18052"/>
    <cellStyle name="-_  코크렙1호 조서 등-강지웅의 워크시트_04.10월 손익보정 내역(04.10.15~)_04.10월 손익보정 내역(04.10.15~)_I2 6월 결산 검증서_복합대출상품_20101126 2" xfId="18053"/>
    <cellStyle name="-_  코크렙1호 조서 등-강지웅의 워크시트_04.10월 손익보정 내역(04.10.15~)_04.10월 손익보정 내역(04.10.15~)_I2 6월 결산 검증서_복합대출상품_20101126 2 2" xfId="18054"/>
    <cellStyle name="-_  코크렙1호 조서 등-강지웅의 워크시트_04.10월 손익보정 내역(04.10.15~)_04.10월 손익보정 내역(04.10.15~)_name of fund" xfId="18055"/>
    <cellStyle name="-_  코크렙1호 조서 등-강지웅의 워크시트_04.10월 손익보정 내역(04.10.15~)_04.10월 손익보정 내역(04.10.15~)_name of fund 2" xfId="18056"/>
    <cellStyle name="-_  코크렙1호 조서 등-강지웅의 워크시트_04.10월 손익보정 내역(04.10.15~)_04.10월 손익보정 내역(04.10.15~)_name of fund 2 2" xfId="18057"/>
    <cellStyle name="-_  코크렙1호 조서 등-강지웅의 워크시트_04.10월 손익보정 내역(04.10.15~)_04.10월 손익보정 내역(04.10.15~)_name of fund 3" xfId="18058"/>
    <cellStyle name="-_  코크렙1호 조서 등-강지웅의 워크시트_04.10월 손익보정 내역(04.10.15~)_04.10월 손익보정 내역(04.10.15~)_name of fund_I2 6월 결산 검증서_복합대출상품_20101119" xfId="18059"/>
    <cellStyle name="-_  코크렙1호 조서 등-강지웅의 워크시트_04.10월 손익보정 내역(04.10.15~)_04.10월 손익보정 내역(04.10.15~)_name of fund_I2 6월 결산 검증서_복합대출상품_20101119 2" xfId="18060"/>
    <cellStyle name="-_  코크렙1호 조서 등-강지웅의 워크시트_04.10월 손익보정 내역(04.10.15~)_04.10월 손익보정 내역(04.10.15~)_name of fund_I2 6월 결산 검증서_복합대출상품_20101119 2 2" xfId="18061"/>
    <cellStyle name="-_  코크렙1호 조서 등-강지웅의 워크시트_04.10월 손익보정 내역(04.10.15~)_04.10월 손익보정 내역(04.10.15~)_name of fund_I2 6월 결산 검증서_복합대출상품_20101126" xfId="18062"/>
    <cellStyle name="-_  코크렙1호 조서 등-강지웅의 워크시트_04.10월 손익보정 내역(04.10.15~)_04.10월 손익보정 내역(04.10.15~)_name of fund_I2 6월 결산 검증서_복합대출상품_20101126 2" xfId="18063"/>
    <cellStyle name="-_  코크렙1호 조서 등-강지웅의 워크시트_04.10월 손익보정 내역(04.10.15~)_04.10월 손익보정 내역(04.10.15~)_name of fund_I2 6월 결산 검증서_복합대출상품_20101126 2 2" xfId="18064"/>
    <cellStyle name="-_  코크렙1호 조서 등-강지웅의 워크시트_04.10월 손익보정 내역(04.10.15~)_04.10월 손익보정 내역(04.10.15~)_name of fund_name of fund" xfId="18065"/>
    <cellStyle name="-_  코크렙1호 조서 등-강지웅의 워크시트_04.10월 손익보정 내역(04.10.15~)_04.10월 손익보정 내역(04.10.15~)_name of fund_name of fund 2" xfId="18066"/>
    <cellStyle name="-_  코크렙1호 조서 등-강지웅의 워크시트_04.10월 손익보정 내역(04.10.15~)_04.10월 손익보정 내역(04.10.15~)_name of fund_name of fund 2 2" xfId="18067"/>
    <cellStyle name="-_  코크렙1호 조서 등-강지웅의 워크시트_04.10월 손익보정 내역(04.10.15~)_04.10월 손익보정 내역(04.10.15~)_name of fund_name of fund 3" xfId="18068"/>
    <cellStyle name="-_  코크렙1호 조서 등-강지웅의 워크시트_04.10월 손익보정 내역(04.10.15~)_04.10월 손익보정 내역(04.10.15~)_name of fund_name of fund_I2 6월 결산 검증서_복합대출상품_20101119" xfId="18069"/>
    <cellStyle name="-_  코크렙1호 조서 등-강지웅의 워크시트_04.10월 손익보정 내역(04.10.15~)_04.10월 손익보정 내역(04.10.15~)_name of fund_name of fund_I2 6월 결산 검증서_복합대출상품_20101119 2" xfId="18070"/>
    <cellStyle name="-_  코크렙1호 조서 등-강지웅의 워크시트_04.10월 손익보정 내역(04.10.15~)_04.10월 손익보정 내역(04.10.15~)_name of fund_name of fund_I2 6월 결산 검증서_복합대출상품_20101119 2 2" xfId="18071"/>
    <cellStyle name="-_  코크렙1호 조서 등-강지웅의 워크시트_04.10월 손익보정 내역(04.10.15~)_04.10월 손익보정 내역(04.10.15~)_name of fund_name of fund_I2 6월 결산 검증서_복합대출상품_20101126" xfId="18072"/>
    <cellStyle name="-_  코크렙1호 조서 등-강지웅의 워크시트_04.10월 손익보정 내역(04.10.15~)_04.10월 손익보정 내역(04.10.15~)_name of fund_name of fund_I2 6월 결산 검증서_복합대출상품_20101126 2" xfId="18073"/>
    <cellStyle name="-_  코크렙1호 조서 등-강지웅의 워크시트_04.10월 손익보정 내역(04.10.15~)_04.10월 손익보정 내역(04.10.15~)_name of fund_name of fund_I2 6월 결산 검증서_복합대출상품_20101126 2 2" xfId="18074"/>
    <cellStyle name="-_  코크렙1호 조서 등-강지웅의 워크시트_04.10월 손익보정 내역(04.10.15~)_04.10월 손익보정 내역(04.10.15~)_name of fund_name of fund_Template회사작성분 검토_PEF(2)" xfId="18075"/>
    <cellStyle name="-_  코크렙1호 조서 등-강지웅의 워크시트_04.10월 손익보정 내역(04.10.15~)_04.10월 손익보정 내역(04.10.15~)_name of fund_name of fund_Template회사작성분 검토_PEF(2) 2" xfId="18076"/>
    <cellStyle name="-_  코크렙1호 조서 등-강지웅의 워크시트_04.10월 손익보정 내역(04.10.15~)_04.10월 손익보정 내역(04.10.15~)_name of fund_name of fund_Template회사작성분 검토_PEF(2) 2 2" xfId="18077"/>
    <cellStyle name="-_  코크렙1호 조서 등-강지웅의 워크시트_04.10월 손익보정 내역(04.10.15~)_04.10월 손익보정 내역(04.10.15~)_name of fund_name of fund_Template회사작성분 검토_PEF(2) 3" xfId="18078"/>
    <cellStyle name="-_  코크렙1호 조서 등-강지웅의 워크시트_04.10월 손익보정 내역(04.10.15~)_04.10월 손익보정 내역(04.10.15~)_name of fund_name of fund_Template회사작성분 검토_PEF(2)_I2 6월 결산 검증서_복합대출상품_20101119" xfId="18079"/>
    <cellStyle name="-_  코크렙1호 조서 등-강지웅의 워크시트_04.10월 손익보정 내역(04.10.15~)_04.10월 손익보정 내역(04.10.15~)_name of fund_name of fund_Template회사작성분 검토_PEF(2)_I2 6월 결산 검증서_복합대출상품_20101119 2" xfId="18080"/>
    <cellStyle name="-_  코크렙1호 조서 등-강지웅의 워크시트_04.10월 손익보정 내역(04.10.15~)_04.10월 손익보정 내역(04.10.15~)_name of fund_name of fund_Template회사작성분 검토_PEF(2)_I2 6월 결산 검증서_복합대출상품_20101119 2 2" xfId="18081"/>
    <cellStyle name="-_  코크렙1호 조서 등-강지웅의 워크시트_04.10월 손익보정 내역(04.10.15~)_04.10월 손익보정 내역(04.10.15~)_name of fund_name of fund_Template회사작성분 검토_PEF(2)_I2 6월 결산 검증서_복합대출상품_20101126" xfId="18082"/>
    <cellStyle name="-_  코크렙1호 조서 등-강지웅의 워크시트_04.10월 손익보정 내역(04.10.15~)_04.10월 손익보정 내역(04.10.15~)_name of fund_name of fund_Template회사작성분 검토_PEF(2)_I2 6월 결산 검증서_복합대출상품_20101126 2" xfId="18083"/>
    <cellStyle name="-_  코크렙1호 조서 등-강지웅의 워크시트_04.10월 손익보정 내역(04.10.15~)_04.10월 손익보정 내역(04.10.15~)_name of fund_name of fund_Template회사작성분 검토_PEF(2)_I2 6월 결산 검증서_복합대출상품_20101126 2 2" xfId="18084"/>
    <cellStyle name="-_  코크렙1호 조서 등-강지웅의 워크시트_04.10월 손익보정 내역(04.10.15~)_04.10월 손익보정 내역(04.10.15~)_name of fund_Template회사작성분 검토_PEF(2)" xfId="18085"/>
    <cellStyle name="-_  코크렙1호 조서 등-강지웅의 워크시트_04.10월 손익보정 내역(04.10.15~)_04.10월 손익보정 내역(04.10.15~)_name of fund_Template회사작성분 검토_PEF(2) 2" xfId="18086"/>
    <cellStyle name="-_  코크렙1호 조서 등-강지웅의 워크시트_04.10월 손익보정 내역(04.10.15~)_04.10월 손익보정 내역(04.10.15~)_name of fund_Template회사작성분 검토_PEF(2) 2 2" xfId="18087"/>
    <cellStyle name="-_  코크렙1호 조서 등-강지웅의 워크시트_04.10월 손익보정 내역(04.10.15~)_04.10월 손익보정 내역(04.10.15~)_name of fund_Template회사작성분 검토_PEF(2) 3" xfId="18088"/>
    <cellStyle name="-_  코크렙1호 조서 등-강지웅의 워크시트_04.10월 손익보정 내역(04.10.15~)_04.10월 손익보정 내역(04.10.15~)_name of fund_Template회사작성분 검토_PEF(2)_I2 6월 결산 검증서_복합대출상품_20101119" xfId="18089"/>
    <cellStyle name="-_  코크렙1호 조서 등-강지웅의 워크시트_04.10월 손익보정 내역(04.10.15~)_04.10월 손익보정 내역(04.10.15~)_name of fund_Template회사작성분 검토_PEF(2)_I2 6월 결산 검증서_복합대출상품_20101119 2" xfId="18090"/>
    <cellStyle name="-_  코크렙1호 조서 등-강지웅의 워크시트_04.10월 손익보정 내역(04.10.15~)_04.10월 손익보정 내역(04.10.15~)_name of fund_Template회사작성분 검토_PEF(2)_I2 6월 결산 검증서_복합대출상품_20101119 2 2" xfId="18091"/>
    <cellStyle name="-_  코크렙1호 조서 등-강지웅의 워크시트_04.10월 손익보정 내역(04.10.15~)_04.10월 손익보정 내역(04.10.15~)_name of fund_Template회사작성분 검토_PEF(2)_I2 6월 결산 검증서_복합대출상품_20101126" xfId="18092"/>
    <cellStyle name="-_  코크렙1호 조서 등-강지웅의 워크시트_04.10월 손익보정 내역(04.10.15~)_04.10월 손익보정 내역(04.10.15~)_name of fund_Template회사작성분 검토_PEF(2)_I2 6월 결산 검증서_복합대출상품_20101126 2" xfId="18093"/>
    <cellStyle name="-_  코크렙1호 조서 등-강지웅의 워크시트_04.10월 손익보정 내역(04.10.15~)_04.10월 손익보정 내역(04.10.15~)_name of fund_Template회사작성분 검토_PEF(2)_I2 6월 결산 검증서_복합대출상품_20101126 2 2" xfId="18094"/>
    <cellStyle name="-_  코크렙1호 조서 등-강지웅의 워크시트_04.10월 손익보정 내역(04.10.15~)_04.10월 손익보정 내역(04.10.15~)_SUN 입력용fund" xfId="18095"/>
    <cellStyle name="-_  코크렙1호 조서 등-강지웅의 워크시트_04.10월 손익보정 내역(04.10.15~)_04.10월 손익보정 내역(04.10.15~)_SUN 입력용fund 2" xfId="18096"/>
    <cellStyle name="-_  코크렙1호 조서 등-강지웅의 워크시트_04.10월 손익보정 내역(04.10.15~)_04.10월 손익보정 내역(04.10.15~)_SUN 입력용fund 2 2" xfId="18097"/>
    <cellStyle name="-_  코크렙1호 조서 등-강지웅의 워크시트_04.10월 손익보정 내역(04.10.15~)_04.10월 손익보정 내역(04.10.15~)_SUN 입력용fund 3" xfId="18098"/>
    <cellStyle name="-_  코크렙1호 조서 등-강지웅의 워크시트_04.10월 손익보정 내역(04.10.15~)_04.10월 손익보정 내역(04.10.15~)_SUN 입력용fund_I2 6월 결산 검증서_복합대출상품_20101119" xfId="18099"/>
    <cellStyle name="-_  코크렙1호 조서 등-강지웅의 워크시트_04.10월 손익보정 내역(04.10.15~)_04.10월 손익보정 내역(04.10.15~)_SUN 입력용fund_I2 6월 결산 검증서_복합대출상품_20101119 2" xfId="18100"/>
    <cellStyle name="-_  코크렙1호 조서 등-강지웅의 워크시트_04.10월 손익보정 내역(04.10.15~)_04.10월 손익보정 내역(04.10.15~)_SUN 입력용fund_I2 6월 결산 검증서_복합대출상품_20101119 2 2" xfId="18101"/>
    <cellStyle name="-_  코크렙1호 조서 등-강지웅의 워크시트_04.10월 손익보정 내역(04.10.15~)_04.10월 손익보정 내역(04.10.15~)_SUN 입력용fund_I2 6월 결산 검증서_복합대출상품_20101126" xfId="18102"/>
    <cellStyle name="-_  코크렙1호 조서 등-강지웅의 워크시트_04.10월 손익보정 내역(04.10.15~)_04.10월 손익보정 내역(04.10.15~)_SUN 입력용fund_I2 6월 결산 검증서_복합대출상품_20101126 2" xfId="18103"/>
    <cellStyle name="-_  코크렙1호 조서 등-강지웅의 워크시트_04.10월 손익보정 내역(04.10.15~)_04.10월 손익보정 내역(04.10.15~)_SUN 입력용fund_I2 6월 결산 검증서_복합대출상품_20101126 2 2" xfId="18104"/>
    <cellStyle name="-_  코크렙1호 조서 등-강지웅의 워크시트_04.10월 손익보정 내역(04.10.15~)_04.10월 손익보정 내역(04.10.15~)_SUN 입력용fund_name of fund" xfId="18105"/>
    <cellStyle name="-_  코크렙1호 조서 등-강지웅의 워크시트_04.10월 손익보정 내역(04.10.15~)_04.10월 손익보정 내역(04.10.15~)_SUN 입력용fund_name of fund 2" xfId="18106"/>
    <cellStyle name="-_  코크렙1호 조서 등-강지웅의 워크시트_04.10월 손익보정 내역(04.10.15~)_04.10월 손익보정 내역(04.10.15~)_SUN 입력용fund_name of fund 2 2" xfId="18107"/>
    <cellStyle name="-_  코크렙1호 조서 등-강지웅의 워크시트_04.10월 손익보정 내역(04.10.15~)_04.10월 손익보정 내역(04.10.15~)_SUN 입력용fund_name of fund 3" xfId="18108"/>
    <cellStyle name="-_  코크렙1호 조서 등-강지웅의 워크시트_04.10월 손익보정 내역(04.10.15~)_04.10월 손익보정 내역(04.10.15~)_SUN 입력용fund_name of fund_I2 6월 결산 검증서_복합대출상품_20101119" xfId="18109"/>
    <cellStyle name="-_  코크렙1호 조서 등-강지웅의 워크시트_04.10월 손익보정 내역(04.10.15~)_04.10월 손익보정 내역(04.10.15~)_SUN 입력용fund_name of fund_I2 6월 결산 검증서_복합대출상품_20101119 2" xfId="18110"/>
    <cellStyle name="-_  코크렙1호 조서 등-강지웅의 워크시트_04.10월 손익보정 내역(04.10.15~)_04.10월 손익보정 내역(04.10.15~)_SUN 입력용fund_name of fund_I2 6월 결산 검증서_복합대출상품_20101119 2 2" xfId="18111"/>
    <cellStyle name="-_  코크렙1호 조서 등-강지웅의 워크시트_04.10월 손익보정 내역(04.10.15~)_04.10월 손익보정 내역(04.10.15~)_SUN 입력용fund_name of fund_I2 6월 결산 검증서_복합대출상품_20101126" xfId="18112"/>
    <cellStyle name="-_  코크렙1호 조서 등-강지웅의 워크시트_04.10월 손익보정 내역(04.10.15~)_04.10월 손익보정 내역(04.10.15~)_SUN 입력용fund_name of fund_I2 6월 결산 검증서_복합대출상품_20101126 2" xfId="18113"/>
    <cellStyle name="-_  코크렙1호 조서 등-강지웅의 워크시트_04.10월 손익보정 내역(04.10.15~)_04.10월 손익보정 내역(04.10.15~)_SUN 입력용fund_name of fund_I2 6월 결산 검증서_복합대출상품_20101126 2 2" xfId="18114"/>
    <cellStyle name="-_  코크렙1호 조서 등-강지웅의 워크시트_04.10월 손익보정 내역(04.10.15~)_04.10월 손익보정 내역(04.10.15~)_SUN 입력용fund_name of fund_Template회사작성분 검토_PEF(2)" xfId="18115"/>
    <cellStyle name="-_  코크렙1호 조서 등-강지웅의 워크시트_04.10월 손익보정 내역(04.10.15~)_04.10월 손익보정 내역(04.10.15~)_SUN 입력용fund_name of fund_Template회사작성분 검토_PEF(2) 2" xfId="18116"/>
    <cellStyle name="-_  코크렙1호 조서 등-강지웅의 워크시트_04.10월 손익보정 내역(04.10.15~)_04.10월 손익보정 내역(04.10.15~)_SUN 입력용fund_name of fund_Template회사작성분 검토_PEF(2) 2 2" xfId="18117"/>
    <cellStyle name="-_  코크렙1호 조서 등-강지웅의 워크시트_04.10월 손익보정 내역(04.10.15~)_04.10월 손익보정 내역(04.10.15~)_SUN 입력용fund_name of fund_Template회사작성분 검토_PEF(2) 3" xfId="18118"/>
    <cellStyle name="-_  코크렙1호 조서 등-강지웅의 워크시트_04.10월 손익보정 내역(04.10.15~)_04.10월 손익보정 내역(04.10.15~)_SUN 입력용fund_name of fund_Template회사작성분 검토_PEF(2)_I2 6월 결산 검증서_복합대출상품_20101119" xfId="18119"/>
    <cellStyle name="-_  코크렙1호 조서 등-강지웅의 워크시트_04.10월 손익보정 내역(04.10.15~)_04.10월 손익보정 내역(04.10.15~)_SUN 입력용fund_name of fund_Template회사작성분 검토_PEF(2)_I2 6월 결산 검증서_복합대출상품_20101119 2" xfId="18120"/>
    <cellStyle name="-_  코크렙1호 조서 등-강지웅의 워크시트_04.10월 손익보정 내역(04.10.15~)_04.10월 손익보정 내역(04.10.15~)_SUN 입력용fund_name of fund_Template회사작성분 검토_PEF(2)_I2 6월 결산 검증서_복합대출상품_20101119 2 2" xfId="18121"/>
    <cellStyle name="-_  코크렙1호 조서 등-강지웅의 워크시트_04.10월 손익보정 내역(04.10.15~)_04.10월 손익보정 내역(04.10.15~)_SUN 입력용fund_name of fund_Template회사작성분 검토_PEF(2)_I2 6월 결산 검증서_복합대출상품_20101126" xfId="18122"/>
    <cellStyle name="-_  코크렙1호 조서 등-강지웅의 워크시트_04.10월 손익보정 내역(04.10.15~)_04.10월 손익보정 내역(04.10.15~)_SUN 입력용fund_name of fund_Template회사작성분 검토_PEF(2)_I2 6월 결산 검증서_복합대출상품_20101126 2" xfId="18123"/>
    <cellStyle name="-_  코크렙1호 조서 등-강지웅의 워크시트_04.10월 손익보정 내역(04.10.15~)_04.10월 손익보정 내역(04.10.15~)_SUN 입력용fund_name of fund_Template회사작성분 검토_PEF(2)_I2 6월 결산 검증서_복합대출상품_20101126 2 2" xfId="18124"/>
    <cellStyle name="-_  코크렙1호 조서 등-강지웅의 워크시트_04.10월 손익보정 내역(04.10.15~)_04.10월 손익보정 내역(04.10.15~)_SUN 입력용fund_Template회사작성분 검토_PEF(2)" xfId="18125"/>
    <cellStyle name="-_  코크렙1호 조서 등-강지웅의 워크시트_04.10월 손익보정 내역(04.10.15~)_04.10월 손익보정 내역(04.10.15~)_SUN 입력용fund_Template회사작성분 검토_PEF(2) 2" xfId="18126"/>
    <cellStyle name="-_  코크렙1호 조서 등-강지웅의 워크시트_04.10월 손익보정 내역(04.10.15~)_04.10월 손익보정 내역(04.10.15~)_SUN 입력용fund_Template회사작성분 검토_PEF(2) 2 2" xfId="18127"/>
    <cellStyle name="-_  코크렙1호 조서 등-강지웅의 워크시트_04.10월 손익보정 내역(04.10.15~)_04.10월 손익보정 내역(04.10.15~)_SUN 입력용fund_Template회사작성분 검토_PEF(2) 3" xfId="18128"/>
    <cellStyle name="-_  코크렙1호 조서 등-강지웅의 워크시트_04.10월 손익보정 내역(04.10.15~)_04.10월 손익보정 내역(04.10.15~)_SUN 입력용fund_Template회사작성분 검토_PEF(2)_I2 6월 결산 검증서_복합대출상품_20101119" xfId="18129"/>
    <cellStyle name="-_  코크렙1호 조서 등-강지웅의 워크시트_04.10월 손익보정 내역(04.10.15~)_04.10월 손익보정 내역(04.10.15~)_SUN 입력용fund_Template회사작성분 검토_PEF(2)_I2 6월 결산 검증서_복합대출상품_20101119 2" xfId="18130"/>
    <cellStyle name="-_  코크렙1호 조서 등-강지웅의 워크시트_04.10월 손익보정 내역(04.10.15~)_04.10월 손익보정 내역(04.10.15~)_SUN 입력용fund_Template회사작성분 검토_PEF(2)_I2 6월 결산 검증서_복합대출상품_20101119 2 2" xfId="18131"/>
    <cellStyle name="-_  코크렙1호 조서 등-강지웅의 워크시트_04.10월 손익보정 내역(04.10.15~)_04.10월 손익보정 내역(04.10.15~)_SUN 입력용fund_Template회사작성분 검토_PEF(2)_I2 6월 결산 검증서_복합대출상품_20101126" xfId="18132"/>
    <cellStyle name="-_  코크렙1호 조서 등-강지웅의 워크시트_04.10월 손익보정 내역(04.10.15~)_04.10월 손익보정 내역(04.10.15~)_SUN 입력용fund_Template회사작성분 검토_PEF(2)_I2 6월 결산 검증서_복합대출상품_20101126 2" xfId="18133"/>
    <cellStyle name="-_  코크렙1호 조서 등-강지웅의 워크시트_04.10월 손익보정 내역(04.10.15~)_04.10월 손익보정 내역(04.10.15~)_SUN 입력용fund_Template회사작성분 검토_PEF(2)_I2 6월 결산 검증서_복합대출상품_20101126 2 2" xfId="18134"/>
    <cellStyle name="-_  코크렙1호 조서 등-강지웅의 워크시트_04.10월 손익보정 내역(04.10.15~)_04.10월 손익보정 내역(04.10.15~)_Template회사작성분 검토_PEF(2)" xfId="18135"/>
    <cellStyle name="-_  코크렙1호 조서 등-강지웅의 워크시트_04.10월 손익보정 내역(04.10.15~)_04.10월 손익보정 내역(04.10.15~)_Template회사작성분 검토_PEF(2) 2" xfId="18136"/>
    <cellStyle name="-_  코크렙1호 조서 등-강지웅의 워크시트_04.10월 손익보정 내역(04.10.15~)_04.10월 손익보정 내역(04.10.15~)_Template회사작성분 검토_PEF(2) 2 2" xfId="18137"/>
    <cellStyle name="-_  코크렙1호 조서 등-강지웅의 워크시트_04.10월 손익보정 내역(04.10.15~)_04.10월 손익보정 내역(04.10.15~)_Template회사작성분 검토_PEF(2) 3" xfId="18138"/>
    <cellStyle name="-_  코크렙1호 조서 등-강지웅의 워크시트_04.10월 손익보정 내역(04.10.15~)_04.10월 손익보정 내역(04.10.15~)_Template회사작성분 검토_PEF(2)_I2 6월 결산 검증서_복합대출상품_20101119" xfId="18139"/>
    <cellStyle name="-_  코크렙1호 조서 등-강지웅의 워크시트_04.10월 손익보정 내역(04.10.15~)_04.10월 손익보정 내역(04.10.15~)_Template회사작성분 검토_PEF(2)_I2 6월 결산 검증서_복합대출상품_20101119 2" xfId="18140"/>
    <cellStyle name="-_  코크렙1호 조서 등-강지웅의 워크시트_04.10월 손익보정 내역(04.10.15~)_04.10월 손익보정 내역(04.10.15~)_Template회사작성분 검토_PEF(2)_I2 6월 결산 검증서_복합대출상품_20101119 2 2" xfId="18141"/>
    <cellStyle name="-_  코크렙1호 조서 등-강지웅의 워크시트_04.10월 손익보정 내역(04.10.15~)_04.10월 손익보정 내역(04.10.15~)_Template회사작성분 검토_PEF(2)_I2 6월 결산 검증서_복합대출상품_20101126" xfId="18142"/>
    <cellStyle name="-_  코크렙1호 조서 등-강지웅의 워크시트_04.10월 손익보정 내역(04.10.15~)_04.10월 손익보정 내역(04.10.15~)_Template회사작성분 검토_PEF(2)_I2 6월 결산 검증서_복합대출상품_20101126 2" xfId="18143"/>
    <cellStyle name="-_  코크렙1호 조서 등-강지웅의 워크시트_04.10월 손익보정 내역(04.10.15~)_04.10월 손익보정 내역(04.10.15~)_Template회사작성분 검토_PEF(2)_I2 6월 결산 검증서_복합대출상품_20101126 2 2" xfId="18144"/>
    <cellStyle name="-_  코크렙1호 조서 등-강지웅의 워크시트_04.10월 손익보정 내역(04.10.15~)_04.10월 손익보정 내역(04.10.26~)" xfId="18145"/>
    <cellStyle name="-_  코크렙1호 조서 등-강지웅의 워크시트_04.10월 손익보정 내역(04.10.15~)_04.10월 손익보정 내역(04.10.26~) 2" xfId="18146"/>
    <cellStyle name="-_  코크렙1호 조서 등-강지웅의 워크시트_04.10월 손익보정 내역(04.10.15~)_04.10월 손익보정 내역(04.10.26~) 2 2" xfId="18147"/>
    <cellStyle name="-_  코크렙1호 조서 등-강지웅의 워크시트_04.10월 손익보정 내역(04.10.15~)_04.10월 손익보정 내역(04.10.26~) 3" xfId="18148"/>
    <cellStyle name="-_  코크렙1호 조서 등-강지웅의 워크시트_04.10월 손익보정 내역(04.10.15~)_04.10월 손익보정 내역(04.10.26~)_1.창업관련 회계처리" xfId="18149"/>
    <cellStyle name="-_  코크렙1호 조서 등-강지웅의 워크시트_04.10월 손익보정 내역(04.10.15~)_04.10월 손익보정 내역(04.10.26~)_1.창업관련 회계처리 2" xfId="18150"/>
    <cellStyle name="-_  코크렙1호 조서 등-강지웅의 워크시트_04.10월 손익보정 내역(04.10.15~)_04.10월 손익보정 내역(04.10.26~)_1.창업관련 회계처리 2 2" xfId="18151"/>
    <cellStyle name="-_  코크렙1호 조서 등-강지웅의 워크시트_04.10월 손익보정 내역(04.10.15~)_04.10월 손익보정 내역(04.10.26~)_1.창업관련 회계처리 3" xfId="18152"/>
    <cellStyle name="-_  코크렙1호 조서 등-강지웅의 워크시트_04.10월 손익보정 내역(04.10.15~)_04.10월 손익보정 내역(04.10.26~)_1.창업관련 회계처리_I2 6월 결산 검증서_복합대출상품_20101119" xfId="18153"/>
    <cellStyle name="-_  코크렙1호 조서 등-강지웅의 워크시트_04.10월 손익보정 내역(04.10.15~)_04.10월 손익보정 내역(04.10.26~)_1.창업관련 회계처리_I2 6월 결산 검증서_복합대출상품_20101119 2" xfId="18154"/>
    <cellStyle name="-_  코크렙1호 조서 등-강지웅의 워크시트_04.10월 손익보정 내역(04.10.15~)_04.10월 손익보정 내역(04.10.26~)_1.창업관련 회계처리_I2 6월 결산 검증서_복합대출상품_20101119 2 2" xfId="18155"/>
    <cellStyle name="-_  코크렙1호 조서 등-강지웅의 워크시트_04.10월 손익보정 내역(04.10.15~)_04.10월 손익보정 내역(04.10.26~)_1.창업관련 회계처리_I2 6월 결산 검증서_복합대출상품_20101126" xfId="18156"/>
    <cellStyle name="-_  코크렙1호 조서 등-강지웅의 워크시트_04.10월 손익보정 내역(04.10.15~)_04.10월 손익보정 내역(04.10.26~)_1.창업관련 회계처리_I2 6월 결산 검증서_복합대출상품_20101126 2" xfId="18157"/>
    <cellStyle name="-_  코크렙1호 조서 등-강지웅의 워크시트_04.10월 손익보정 내역(04.10.15~)_04.10월 손익보정 내역(04.10.26~)_1.창업관련 회계처리_I2 6월 결산 검증서_복합대출상품_20101126 2 2" xfId="18158"/>
    <cellStyle name="-_  코크렙1호 조서 등-강지웅의 워크시트_04.10월 손익보정 내역(04.10.15~)_04.10월 손익보정 내역(04.10.26~)_1.창업관련 회계처리_Template회사작성분 검토_PEF(2)" xfId="18159"/>
    <cellStyle name="-_  코크렙1호 조서 등-강지웅의 워크시트_04.10월 손익보정 내역(04.10.15~)_04.10월 손익보정 내역(04.10.26~)_1.창업관련 회계처리_Template회사작성분 검토_PEF(2) 2" xfId="18160"/>
    <cellStyle name="-_  코크렙1호 조서 등-강지웅의 워크시트_04.10월 손익보정 내역(04.10.15~)_04.10월 손익보정 내역(04.10.26~)_1.창업관련 회계처리_Template회사작성분 검토_PEF(2) 2 2" xfId="18161"/>
    <cellStyle name="-_  코크렙1호 조서 등-강지웅의 워크시트_04.10월 손익보정 내역(04.10.15~)_04.10월 손익보정 내역(04.10.26~)_1.창업관련 회계처리_Template회사작성분 검토_PEF(2) 3" xfId="18162"/>
    <cellStyle name="-_  코크렙1호 조서 등-강지웅의 워크시트_04.10월 손익보정 내역(04.10.15~)_04.10월 손익보정 내역(04.10.26~)_1.창업관련 회계처리_Template회사작성분 검토_PEF(2)_I2 6월 결산 검증서_복합대출상품_20101119" xfId="18163"/>
    <cellStyle name="-_  코크렙1호 조서 등-강지웅의 워크시트_04.10월 손익보정 내역(04.10.15~)_04.10월 손익보정 내역(04.10.26~)_1.창업관련 회계처리_Template회사작성분 검토_PEF(2)_I2 6월 결산 검증서_복합대출상품_20101119 2" xfId="18164"/>
    <cellStyle name="-_  코크렙1호 조서 등-강지웅의 워크시트_04.10월 손익보정 내역(04.10.15~)_04.10월 손익보정 내역(04.10.26~)_1.창업관련 회계처리_Template회사작성분 검토_PEF(2)_I2 6월 결산 검증서_복합대출상품_20101119 2 2" xfId="18165"/>
    <cellStyle name="-_  코크렙1호 조서 등-강지웅의 워크시트_04.10월 손익보정 내역(04.10.15~)_04.10월 손익보정 내역(04.10.26~)_1.창업관련 회계처리_Template회사작성분 검토_PEF(2)_I2 6월 결산 검증서_복합대출상품_20101126" xfId="18166"/>
    <cellStyle name="-_  코크렙1호 조서 등-강지웅의 워크시트_04.10월 손익보정 내역(04.10.15~)_04.10월 손익보정 내역(04.10.26~)_1.창업관련 회계처리_Template회사작성분 검토_PEF(2)_I2 6월 결산 검증서_복합대출상품_20101126 2" xfId="18167"/>
    <cellStyle name="-_  코크렙1호 조서 등-강지웅의 워크시트_04.10월 손익보정 내역(04.10.15~)_04.10월 손익보정 내역(04.10.26~)_1.창업관련 회계처리_Template회사작성분 검토_PEF(2)_I2 6월 결산 검증서_복합대출상품_20101126 2 2" xfId="18168"/>
    <cellStyle name="-_  코크렙1호 조서 등-강지웅의 워크시트_04.10월 손익보정 내역(04.10.15~)_04.10월 손익보정 내역(04.10.26~)_I2 6월 결산 검증서_복합대출상품_20101119" xfId="18169"/>
    <cellStyle name="-_  코크렙1호 조서 등-강지웅의 워크시트_04.10월 손익보정 내역(04.10.15~)_04.10월 손익보정 내역(04.10.26~)_I2 6월 결산 검증서_복합대출상품_20101119 2" xfId="18170"/>
    <cellStyle name="-_  코크렙1호 조서 등-강지웅의 워크시트_04.10월 손익보정 내역(04.10.15~)_04.10월 손익보정 내역(04.10.26~)_I2 6월 결산 검증서_복합대출상품_20101119 2 2" xfId="18171"/>
    <cellStyle name="-_  코크렙1호 조서 등-강지웅의 워크시트_04.10월 손익보정 내역(04.10.15~)_04.10월 손익보정 내역(04.10.26~)_I2 6월 결산 검증서_복합대출상품_20101126" xfId="18172"/>
    <cellStyle name="-_  코크렙1호 조서 등-강지웅의 워크시트_04.10월 손익보정 내역(04.10.15~)_04.10월 손익보정 내역(04.10.26~)_I2 6월 결산 검증서_복합대출상품_20101126 2" xfId="18173"/>
    <cellStyle name="-_  코크렙1호 조서 등-강지웅의 워크시트_04.10월 손익보정 내역(04.10.15~)_04.10월 손익보정 내역(04.10.26~)_I2 6월 결산 검증서_복합대출상품_20101126 2 2" xfId="18174"/>
    <cellStyle name="-_  코크렙1호 조서 등-강지웅의 워크시트_04.10월 손익보정 내역(04.10.15~)_04.10월 손익보정 내역(04.10.26~)_name of fund" xfId="18175"/>
    <cellStyle name="-_  코크렙1호 조서 등-강지웅의 워크시트_04.10월 손익보정 내역(04.10.15~)_04.10월 손익보정 내역(04.10.26~)_name of fund 2" xfId="18176"/>
    <cellStyle name="-_  코크렙1호 조서 등-강지웅의 워크시트_04.10월 손익보정 내역(04.10.15~)_04.10월 손익보정 내역(04.10.26~)_name of fund 2 2" xfId="18177"/>
    <cellStyle name="-_  코크렙1호 조서 등-강지웅의 워크시트_04.10월 손익보정 내역(04.10.15~)_04.10월 손익보정 내역(04.10.26~)_name of fund 3" xfId="18178"/>
    <cellStyle name="-_  코크렙1호 조서 등-강지웅의 워크시트_04.10월 손익보정 내역(04.10.15~)_04.10월 손익보정 내역(04.10.26~)_name of fund_I2 6월 결산 검증서_복합대출상품_20101119" xfId="18179"/>
    <cellStyle name="-_  코크렙1호 조서 등-강지웅의 워크시트_04.10월 손익보정 내역(04.10.15~)_04.10월 손익보정 내역(04.10.26~)_name of fund_I2 6월 결산 검증서_복합대출상품_20101119 2" xfId="18180"/>
    <cellStyle name="-_  코크렙1호 조서 등-강지웅의 워크시트_04.10월 손익보정 내역(04.10.15~)_04.10월 손익보정 내역(04.10.26~)_name of fund_I2 6월 결산 검증서_복합대출상품_20101119 2 2" xfId="18181"/>
    <cellStyle name="-_  코크렙1호 조서 등-강지웅의 워크시트_04.10월 손익보정 내역(04.10.15~)_04.10월 손익보정 내역(04.10.26~)_name of fund_I2 6월 결산 검증서_복합대출상품_20101126" xfId="18182"/>
    <cellStyle name="-_  코크렙1호 조서 등-강지웅의 워크시트_04.10월 손익보정 내역(04.10.15~)_04.10월 손익보정 내역(04.10.26~)_name of fund_I2 6월 결산 검증서_복합대출상품_20101126 2" xfId="18183"/>
    <cellStyle name="-_  코크렙1호 조서 등-강지웅의 워크시트_04.10월 손익보정 내역(04.10.15~)_04.10월 손익보정 내역(04.10.26~)_name of fund_I2 6월 결산 검증서_복합대출상품_20101126 2 2" xfId="18184"/>
    <cellStyle name="-_  코크렙1호 조서 등-강지웅의 워크시트_04.10월 손익보정 내역(04.10.15~)_04.10월 손익보정 내역(04.10.26~)_name of fund_name of fund" xfId="18185"/>
    <cellStyle name="-_  코크렙1호 조서 등-강지웅의 워크시트_04.10월 손익보정 내역(04.10.15~)_04.10월 손익보정 내역(04.10.26~)_name of fund_name of fund 2" xfId="18186"/>
    <cellStyle name="-_  코크렙1호 조서 등-강지웅의 워크시트_04.10월 손익보정 내역(04.10.15~)_04.10월 손익보정 내역(04.10.26~)_name of fund_name of fund 2 2" xfId="18187"/>
    <cellStyle name="-_  코크렙1호 조서 등-강지웅의 워크시트_04.10월 손익보정 내역(04.10.15~)_04.10월 손익보정 내역(04.10.26~)_name of fund_name of fund 3" xfId="18188"/>
    <cellStyle name="-_  코크렙1호 조서 등-강지웅의 워크시트_04.10월 손익보정 내역(04.10.15~)_04.10월 손익보정 내역(04.10.26~)_name of fund_name of fund_I2 6월 결산 검증서_복합대출상품_20101119" xfId="18189"/>
    <cellStyle name="-_  코크렙1호 조서 등-강지웅의 워크시트_04.10월 손익보정 내역(04.10.15~)_04.10월 손익보정 내역(04.10.26~)_name of fund_name of fund_I2 6월 결산 검증서_복합대출상품_20101119 2" xfId="18190"/>
    <cellStyle name="-_  코크렙1호 조서 등-강지웅의 워크시트_04.10월 손익보정 내역(04.10.15~)_04.10월 손익보정 내역(04.10.26~)_name of fund_name of fund_I2 6월 결산 검증서_복합대출상품_20101119 2 2" xfId="18191"/>
    <cellStyle name="-_  코크렙1호 조서 등-강지웅의 워크시트_04.10월 손익보정 내역(04.10.15~)_04.10월 손익보정 내역(04.10.26~)_name of fund_name of fund_I2 6월 결산 검증서_복합대출상품_20101126" xfId="18192"/>
    <cellStyle name="-_  코크렙1호 조서 등-강지웅의 워크시트_04.10월 손익보정 내역(04.10.15~)_04.10월 손익보정 내역(04.10.26~)_name of fund_name of fund_I2 6월 결산 검증서_복합대출상품_20101126 2" xfId="18193"/>
    <cellStyle name="-_  코크렙1호 조서 등-강지웅의 워크시트_04.10월 손익보정 내역(04.10.15~)_04.10월 손익보정 내역(04.10.26~)_name of fund_name of fund_I2 6월 결산 검증서_복합대출상품_20101126 2 2" xfId="18194"/>
    <cellStyle name="-_  코크렙1호 조서 등-강지웅의 워크시트_04.10월 손익보정 내역(04.10.15~)_04.10월 손익보정 내역(04.10.26~)_name of fund_name of fund_Template회사작성분 검토_PEF(2)" xfId="18195"/>
    <cellStyle name="-_  코크렙1호 조서 등-강지웅의 워크시트_04.10월 손익보정 내역(04.10.15~)_04.10월 손익보정 내역(04.10.26~)_name of fund_name of fund_Template회사작성분 검토_PEF(2) 2" xfId="18196"/>
    <cellStyle name="-_  코크렙1호 조서 등-강지웅의 워크시트_04.10월 손익보정 내역(04.10.15~)_04.10월 손익보정 내역(04.10.26~)_name of fund_name of fund_Template회사작성분 검토_PEF(2) 2 2" xfId="18197"/>
    <cellStyle name="-_  코크렙1호 조서 등-강지웅의 워크시트_04.10월 손익보정 내역(04.10.15~)_04.10월 손익보정 내역(04.10.26~)_name of fund_name of fund_Template회사작성분 검토_PEF(2) 3" xfId="18198"/>
    <cellStyle name="-_  코크렙1호 조서 등-강지웅의 워크시트_04.10월 손익보정 내역(04.10.15~)_04.10월 손익보정 내역(04.10.26~)_name of fund_name of fund_Template회사작성분 검토_PEF(2)_I2 6월 결산 검증서_복합대출상품_20101119" xfId="18199"/>
    <cellStyle name="-_  코크렙1호 조서 등-강지웅의 워크시트_04.10월 손익보정 내역(04.10.15~)_04.10월 손익보정 내역(04.10.26~)_name of fund_name of fund_Template회사작성분 검토_PEF(2)_I2 6월 결산 검증서_복합대출상품_20101119 2" xfId="18200"/>
    <cellStyle name="-_  코크렙1호 조서 등-강지웅의 워크시트_04.10월 손익보정 내역(04.10.15~)_04.10월 손익보정 내역(04.10.26~)_name of fund_name of fund_Template회사작성분 검토_PEF(2)_I2 6월 결산 검증서_복합대출상품_20101119 2 2" xfId="18201"/>
    <cellStyle name="-_  코크렙1호 조서 등-강지웅의 워크시트_04.10월 손익보정 내역(04.10.15~)_04.10월 손익보정 내역(04.10.26~)_name of fund_name of fund_Template회사작성분 검토_PEF(2)_I2 6월 결산 검증서_복합대출상품_20101126" xfId="18202"/>
    <cellStyle name="-_  코크렙1호 조서 등-강지웅의 워크시트_04.10월 손익보정 내역(04.10.15~)_04.10월 손익보정 내역(04.10.26~)_name of fund_name of fund_Template회사작성분 검토_PEF(2)_I2 6월 결산 검증서_복합대출상품_20101126 2" xfId="18203"/>
    <cellStyle name="-_  코크렙1호 조서 등-강지웅의 워크시트_04.10월 손익보정 내역(04.10.15~)_04.10월 손익보정 내역(04.10.26~)_name of fund_name of fund_Template회사작성분 검토_PEF(2)_I2 6월 결산 검증서_복합대출상품_20101126 2 2" xfId="18204"/>
    <cellStyle name="-_  코크렙1호 조서 등-강지웅의 워크시트_04.10월 손익보정 내역(04.10.15~)_04.10월 손익보정 내역(04.10.26~)_name of fund_Template회사작성분 검토_PEF(2)" xfId="18205"/>
    <cellStyle name="-_  코크렙1호 조서 등-강지웅의 워크시트_04.10월 손익보정 내역(04.10.15~)_04.10월 손익보정 내역(04.10.26~)_name of fund_Template회사작성분 검토_PEF(2) 2" xfId="18206"/>
    <cellStyle name="-_  코크렙1호 조서 등-강지웅의 워크시트_04.10월 손익보정 내역(04.10.15~)_04.10월 손익보정 내역(04.10.26~)_name of fund_Template회사작성분 검토_PEF(2) 2 2" xfId="18207"/>
    <cellStyle name="-_  코크렙1호 조서 등-강지웅의 워크시트_04.10월 손익보정 내역(04.10.15~)_04.10월 손익보정 내역(04.10.26~)_name of fund_Template회사작성분 검토_PEF(2) 3" xfId="18208"/>
    <cellStyle name="-_  코크렙1호 조서 등-강지웅의 워크시트_04.10월 손익보정 내역(04.10.15~)_04.10월 손익보정 내역(04.10.26~)_name of fund_Template회사작성분 검토_PEF(2)_I2 6월 결산 검증서_복합대출상품_20101119" xfId="18209"/>
    <cellStyle name="-_  코크렙1호 조서 등-강지웅의 워크시트_04.10월 손익보정 내역(04.10.15~)_04.10월 손익보정 내역(04.10.26~)_name of fund_Template회사작성분 검토_PEF(2)_I2 6월 결산 검증서_복합대출상품_20101119 2" xfId="18210"/>
    <cellStyle name="-_  코크렙1호 조서 등-강지웅의 워크시트_04.10월 손익보정 내역(04.10.15~)_04.10월 손익보정 내역(04.10.26~)_name of fund_Template회사작성분 검토_PEF(2)_I2 6월 결산 검증서_복합대출상품_20101119 2 2" xfId="18211"/>
    <cellStyle name="-_  코크렙1호 조서 등-강지웅의 워크시트_04.10월 손익보정 내역(04.10.15~)_04.10월 손익보정 내역(04.10.26~)_name of fund_Template회사작성분 검토_PEF(2)_I2 6월 결산 검증서_복합대출상품_20101126" xfId="18212"/>
    <cellStyle name="-_  코크렙1호 조서 등-강지웅의 워크시트_04.10월 손익보정 내역(04.10.15~)_04.10월 손익보정 내역(04.10.26~)_name of fund_Template회사작성분 검토_PEF(2)_I2 6월 결산 검증서_복합대출상품_20101126 2" xfId="18213"/>
    <cellStyle name="-_  코크렙1호 조서 등-강지웅의 워크시트_04.10월 손익보정 내역(04.10.15~)_04.10월 손익보정 내역(04.10.26~)_name of fund_Template회사작성분 검토_PEF(2)_I2 6월 결산 검증서_복합대출상품_20101126 2 2" xfId="18214"/>
    <cellStyle name="-_  코크렙1호 조서 등-강지웅의 워크시트_04.10월 손익보정 내역(04.10.15~)_04.10월 손익보정 내역(04.10.26~)_SUN 입력용fund" xfId="18215"/>
    <cellStyle name="-_  코크렙1호 조서 등-강지웅의 워크시트_04.10월 손익보정 내역(04.10.15~)_04.10월 손익보정 내역(04.10.26~)_SUN 입력용fund 2" xfId="18216"/>
    <cellStyle name="-_  코크렙1호 조서 등-강지웅의 워크시트_04.10월 손익보정 내역(04.10.15~)_04.10월 손익보정 내역(04.10.26~)_SUN 입력용fund 2 2" xfId="18217"/>
    <cellStyle name="-_  코크렙1호 조서 등-강지웅의 워크시트_04.10월 손익보정 내역(04.10.15~)_04.10월 손익보정 내역(04.10.26~)_SUN 입력용fund 3" xfId="18218"/>
    <cellStyle name="-_  코크렙1호 조서 등-강지웅의 워크시트_04.10월 손익보정 내역(04.10.15~)_04.10월 손익보정 내역(04.10.26~)_SUN 입력용fund_I2 6월 결산 검증서_복합대출상품_20101119" xfId="18219"/>
    <cellStyle name="-_  코크렙1호 조서 등-강지웅의 워크시트_04.10월 손익보정 내역(04.10.15~)_04.10월 손익보정 내역(04.10.26~)_SUN 입력용fund_I2 6월 결산 검증서_복합대출상품_20101119 2" xfId="18220"/>
    <cellStyle name="-_  코크렙1호 조서 등-강지웅의 워크시트_04.10월 손익보정 내역(04.10.15~)_04.10월 손익보정 내역(04.10.26~)_SUN 입력용fund_I2 6월 결산 검증서_복합대출상품_20101119 2 2" xfId="18221"/>
    <cellStyle name="-_  코크렙1호 조서 등-강지웅의 워크시트_04.10월 손익보정 내역(04.10.15~)_04.10월 손익보정 내역(04.10.26~)_SUN 입력용fund_I2 6월 결산 검증서_복합대출상품_20101126" xfId="18222"/>
    <cellStyle name="-_  코크렙1호 조서 등-강지웅의 워크시트_04.10월 손익보정 내역(04.10.15~)_04.10월 손익보정 내역(04.10.26~)_SUN 입력용fund_I2 6월 결산 검증서_복합대출상품_20101126 2" xfId="18223"/>
    <cellStyle name="-_  코크렙1호 조서 등-강지웅의 워크시트_04.10월 손익보정 내역(04.10.15~)_04.10월 손익보정 내역(04.10.26~)_SUN 입력용fund_I2 6월 결산 검증서_복합대출상품_20101126 2 2" xfId="18224"/>
    <cellStyle name="-_  코크렙1호 조서 등-강지웅의 워크시트_04.10월 손익보정 내역(04.10.15~)_04.10월 손익보정 내역(04.10.26~)_SUN 입력용fund_name of fund" xfId="18225"/>
    <cellStyle name="-_  코크렙1호 조서 등-강지웅의 워크시트_04.10월 손익보정 내역(04.10.15~)_04.10월 손익보정 내역(04.10.26~)_SUN 입력용fund_name of fund 2" xfId="18226"/>
    <cellStyle name="-_  코크렙1호 조서 등-강지웅의 워크시트_04.10월 손익보정 내역(04.10.15~)_04.10월 손익보정 내역(04.10.26~)_SUN 입력용fund_name of fund 2 2" xfId="18227"/>
    <cellStyle name="-_  코크렙1호 조서 등-강지웅의 워크시트_04.10월 손익보정 내역(04.10.15~)_04.10월 손익보정 내역(04.10.26~)_SUN 입력용fund_name of fund 3" xfId="18228"/>
    <cellStyle name="-_  코크렙1호 조서 등-강지웅의 워크시트_04.10월 손익보정 내역(04.10.15~)_04.10월 손익보정 내역(04.10.26~)_SUN 입력용fund_name of fund_I2 6월 결산 검증서_복합대출상품_20101119" xfId="18229"/>
    <cellStyle name="-_  코크렙1호 조서 등-강지웅의 워크시트_04.10월 손익보정 내역(04.10.15~)_04.10월 손익보정 내역(04.10.26~)_SUN 입력용fund_name of fund_I2 6월 결산 검증서_복합대출상품_20101119 2" xfId="18230"/>
    <cellStyle name="-_  코크렙1호 조서 등-강지웅의 워크시트_04.10월 손익보정 내역(04.10.15~)_04.10월 손익보정 내역(04.10.26~)_SUN 입력용fund_name of fund_I2 6월 결산 검증서_복합대출상품_20101119 2 2" xfId="18231"/>
    <cellStyle name="-_  코크렙1호 조서 등-강지웅의 워크시트_04.10월 손익보정 내역(04.10.15~)_04.10월 손익보정 내역(04.10.26~)_SUN 입력용fund_name of fund_I2 6월 결산 검증서_복합대출상품_20101126" xfId="18232"/>
    <cellStyle name="-_  코크렙1호 조서 등-강지웅의 워크시트_04.10월 손익보정 내역(04.10.15~)_04.10월 손익보정 내역(04.10.26~)_SUN 입력용fund_name of fund_I2 6월 결산 검증서_복합대출상품_20101126 2" xfId="18233"/>
    <cellStyle name="-_  코크렙1호 조서 등-강지웅의 워크시트_04.10월 손익보정 내역(04.10.15~)_04.10월 손익보정 내역(04.10.26~)_SUN 입력용fund_name of fund_I2 6월 결산 검증서_복합대출상품_20101126 2 2" xfId="18234"/>
    <cellStyle name="-_  코크렙1호 조서 등-강지웅의 워크시트_04.10월 손익보정 내역(04.10.15~)_04.10월 손익보정 내역(04.10.26~)_SUN 입력용fund_name of fund_Template회사작성분 검토_PEF(2)" xfId="18235"/>
    <cellStyle name="-_  코크렙1호 조서 등-강지웅의 워크시트_04.10월 손익보정 내역(04.10.15~)_04.10월 손익보정 내역(04.10.26~)_SUN 입력용fund_name of fund_Template회사작성분 검토_PEF(2) 2" xfId="18236"/>
    <cellStyle name="-_  코크렙1호 조서 등-강지웅의 워크시트_04.10월 손익보정 내역(04.10.15~)_04.10월 손익보정 내역(04.10.26~)_SUN 입력용fund_name of fund_Template회사작성분 검토_PEF(2) 2 2" xfId="18237"/>
    <cellStyle name="-_  코크렙1호 조서 등-강지웅의 워크시트_04.10월 손익보정 내역(04.10.15~)_04.10월 손익보정 내역(04.10.26~)_SUN 입력용fund_name of fund_Template회사작성분 검토_PEF(2) 3" xfId="18238"/>
    <cellStyle name="-_  코크렙1호 조서 등-강지웅의 워크시트_04.10월 손익보정 내역(04.10.15~)_04.10월 손익보정 내역(04.10.26~)_SUN 입력용fund_name of fund_Template회사작성분 검토_PEF(2)_I2 6월 결산 검증서_복합대출상품_20101119" xfId="18239"/>
    <cellStyle name="-_  코크렙1호 조서 등-강지웅의 워크시트_04.10월 손익보정 내역(04.10.15~)_04.10월 손익보정 내역(04.10.26~)_SUN 입력용fund_name of fund_Template회사작성분 검토_PEF(2)_I2 6월 결산 검증서_복합대출상품_20101119 2" xfId="18240"/>
    <cellStyle name="-_  코크렙1호 조서 등-강지웅의 워크시트_04.10월 손익보정 내역(04.10.15~)_04.10월 손익보정 내역(04.10.26~)_SUN 입력용fund_name of fund_Template회사작성분 검토_PEF(2)_I2 6월 결산 검증서_복합대출상품_20101119 2 2" xfId="18241"/>
    <cellStyle name="-_  코크렙1호 조서 등-강지웅의 워크시트_04.10월 손익보정 내역(04.10.15~)_04.10월 손익보정 내역(04.10.26~)_SUN 입력용fund_name of fund_Template회사작성분 검토_PEF(2)_I2 6월 결산 검증서_복합대출상품_20101126" xfId="18242"/>
    <cellStyle name="-_  코크렙1호 조서 등-강지웅의 워크시트_04.10월 손익보정 내역(04.10.15~)_04.10월 손익보정 내역(04.10.26~)_SUN 입력용fund_name of fund_Template회사작성분 검토_PEF(2)_I2 6월 결산 검증서_복합대출상품_20101126 2" xfId="18243"/>
    <cellStyle name="-_  코크렙1호 조서 등-강지웅의 워크시트_04.10월 손익보정 내역(04.10.15~)_04.10월 손익보정 내역(04.10.26~)_SUN 입력용fund_name of fund_Template회사작성분 검토_PEF(2)_I2 6월 결산 검증서_복합대출상품_20101126 2 2" xfId="18244"/>
    <cellStyle name="-_  코크렙1호 조서 등-강지웅의 워크시트_04.10월 손익보정 내역(04.10.15~)_04.10월 손익보정 내역(04.10.26~)_SUN 입력용fund_Template회사작성분 검토_PEF(2)" xfId="18245"/>
    <cellStyle name="-_  코크렙1호 조서 등-강지웅의 워크시트_04.10월 손익보정 내역(04.10.15~)_04.10월 손익보정 내역(04.10.26~)_SUN 입력용fund_Template회사작성분 검토_PEF(2) 2" xfId="18246"/>
    <cellStyle name="-_  코크렙1호 조서 등-강지웅의 워크시트_04.10월 손익보정 내역(04.10.15~)_04.10월 손익보정 내역(04.10.26~)_SUN 입력용fund_Template회사작성분 검토_PEF(2) 2 2" xfId="18247"/>
    <cellStyle name="-_  코크렙1호 조서 등-강지웅의 워크시트_04.10월 손익보정 내역(04.10.15~)_04.10월 손익보정 내역(04.10.26~)_SUN 입력용fund_Template회사작성분 검토_PEF(2) 3" xfId="18248"/>
    <cellStyle name="-_  코크렙1호 조서 등-강지웅의 워크시트_04.10월 손익보정 내역(04.10.15~)_04.10월 손익보정 내역(04.10.26~)_SUN 입력용fund_Template회사작성분 검토_PEF(2)_I2 6월 결산 검증서_복합대출상품_20101119" xfId="18249"/>
    <cellStyle name="-_  코크렙1호 조서 등-강지웅의 워크시트_04.10월 손익보정 내역(04.10.15~)_04.10월 손익보정 내역(04.10.26~)_SUN 입력용fund_Template회사작성분 검토_PEF(2)_I2 6월 결산 검증서_복합대출상품_20101119 2" xfId="18250"/>
    <cellStyle name="-_  코크렙1호 조서 등-강지웅의 워크시트_04.10월 손익보정 내역(04.10.15~)_04.10월 손익보정 내역(04.10.26~)_SUN 입력용fund_Template회사작성분 검토_PEF(2)_I2 6월 결산 검증서_복합대출상품_20101119 2 2" xfId="18251"/>
    <cellStyle name="-_  코크렙1호 조서 등-강지웅의 워크시트_04.10월 손익보정 내역(04.10.15~)_04.10월 손익보정 내역(04.10.26~)_SUN 입력용fund_Template회사작성분 검토_PEF(2)_I2 6월 결산 검증서_복합대출상품_20101126" xfId="18252"/>
    <cellStyle name="-_  코크렙1호 조서 등-강지웅의 워크시트_04.10월 손익보정 내역(04.10.15~)_04.10월 손익보정 내역(04.10.26~)_SUN 입력용fund_Template회사작성분 검토_PEF(2)_I2 6월 결산 검증서_복합대출상품_20101126 2" xfId="18253"/>
    <cellStyle name="-_  코크렙1호 조서 등-강지웅의 워크시트_04.10월 손익보정 내역(04.10.15~)_04.10월 손익보정 내역(04.10.26~)_SUN 입력용fund_Template회사작성분 검토_PEF(2)_I2 6월 결산 검증서_복합대출상품_20101126 2 2" xfId="18254"/>
    <cellStyle name="-_  코크렙1호 조서 등-강지웅의 워크시트_04.10월 손익보정 내역(04.10.15~)_04.10월 손익보정 내역(04.10.26~)_Template회사작성분 검토_PEF(2)" xfId="18255"/>
    <cellStyle name="-_  코크렙1호 조서 등-강지웅의 워크시트_04.10월 손익보정 내역(04.10.15~)_04.10월 손익보정 내역(04.10.26~)_Template회사작성분 검토_PEF(2) 2" xfId="18256"/>
    <cellStyle name="-_  코크렙1호 조서 등-강지웅의 워크시트_04.10월 손익보정 내역(04.10.15~)_04.10월 손익보정 내역(04.10.26~)_Template회사작성분 검토_PEF(2) 2 2" xfId="18257"/>
    <cellStyle name="-_  코크렙1호 조서 등-강지웅의 워크시트_04.10월 손익보정 내역(04.10.15~)_04.10월 손익보정 내역(04.10.26~)_Template회사작성분 검토_PEF(2) 3" xfId="18258"/>
    <cellStyle name="-_  코크렙1호 조서 등-강지웅의 워크시트_04.10월 손익보정 내역(04.10.15~)_04.10월 손익보정 내역(04.10.26~)_Template회사작성분 검토_PEF(2)_I2 6월 결산 검증서_복합대출상품_20101119" xfId="18259"/>
    <cellStyle name="-_  코크렙1호 조서 등-강지웅의 워크시트_04.10월 손익보정 내역(04.10.15~)_04.10월 손익보정 내역(04.10.26~)_Template회사작성분 검토_PEF(2)_I2 6월 결산 검증서_복합대출상품_20101119 2" xfId="18260"/>
    <cellStyle name="-_  코크렙1호 조서 등-강지웅의 워크시트_04.10월 손익보정 내역(04.10.15~)_04.10월 손익보정 내역(04.10.26~)_Template회사작성분 검토_PEF(2)_I2 6월 결산 검증서_복합대출상품_20101119 2 2" xfId="18261"/>
    <cellStyle name="-_  코크렙1호 조서 등-강지웅의 워크시트_04.10월 손익보정 내역(04.10.15~)_04.10월 손익보정 내역(04.10.26~)_Template회사작성분 검토_PEF(2)_I2 6월 결산 검증서_복합대출상품_20101126" xfId="18262"/>
    <cellStyle name="-_  코크렙1호 조서 등-강지웅의 워크시트_04.10월 손익보정 내역(04.10.15~)_04.10월 손익보정 내역(04.10.26~)_Template회사작성분 검토_PEF(2)_I2 6월 결산 검증서_복합대출상품_20101126 2" xfId="18263"/>
    <cellStyle name="-_  코크렙1호 조서 등-강지웅의 워크시트_04.10월 손익보정 내역(04.10.15~)_04.10월 손익보정 내역(04.10.26~)_Template회사작성분 검토_PEF(2)_I2 6월 결산 검증서_복합대출상품_20101126 2 2" xfId="18264"/>
    <cellStyle name="-_  코크렙1호 조서 등-강지웅의 워크시트_04.10월 손익보정 내역(04.10.15~)_1.창업관련 회계처리" xfId="18265"/>
    <cellStyle name="-_  코크렙1호 조서 등-강지웅의 워크시트_04.10월 손익보정 내역(04.10.15~)_1.창업관련 회계처리 2" xfId="18266"/>
    <cellStyle name="-_  코크렙1호 조서 등-강지웅의 워크시트_04.10월 손익보정 내역(04.10.15~)_1.창업관련 회계처리 2 2" xfId="18267"/>
    <cellStyle name="-_  코크렙1호 조서 등-강지웅의 워크시트_04.10월 손익보정 내역(04.10.15~)_1.창업관련 회계처리 3" xfId="18268"/>
    <cellStyle name="-_  코크렙1호 조서 등-강지웅의 워크시트_04.10월 손익보정 내역(04.10.15~)_1.창업관련 회계처리_1.창업관련 회계처리" xfId="18269"/>
    <cellStyle name="-_  코크렙1호 조서 등-강지웅의 워크시트_04.10월 손익보정 내역(04.10.15~)_1.창업관련 회계처리_1.창업관련 회계처리 2" xfId="18270"/>
    <cellStyle name="-_  코크렙1호 조서 등-강지웅의 워크시트_04.10월 손익보정 내역(04.10.15~)_1.창업관련 회계처리_1.창업관련 회계처리 2 2" xfId="18271"/>
    <cellStyle name="-_  코크렙1호 조서 등-강지웅의 워크시트_04.10월 손익보정 내역(04.10.15~)_1.창업관련 회계처리_1.창업관련 회계처리 3" xfId="18272"/>
    <cellStyle name="-_  코크렙1호 조서 등-강지웅의 워크시트_04.10월 손익보정 내역(04.10.15~)_1.창업관련 회계처리_1.창업관련 회계처리_I2 6월 결산 검증서_복합대출상품_20101119" xfId="18273"/>
    <cellStyle name="-_  코크렙1호 조서 등-강지웅의 워크시트_04.10월 손익보정 내역(04.10.15~)_1.창업관련 회계처리_1.창업관련 회계처리_I2 6월 결산 검증서_복합대출상품_20101119 2" xfId="18274"/>
    <cellStyle name="-_  코크렙1호 조서 등-강지웅의 워크시트_04.10월 손익보정 내역(04.10.15~)_1.창업관련 회계처리_1.창업관련 회계처리_I2 6월 결산 검증서_복합대출상품_20101119 2 2" xfId="18275"/>
    <cellStyle name="-_  코크렙1호 조서 등-강지웅의 워크시트_04.10월 손익보정 내역(04.10.15~)_1.창업관련 회계처리_1.창업관련 회계처리_I2 6월 결산 검증서_복합대출상품_20101126" xfId="18276"/>
    <cellStyle name="-_  코크렙1호 조서 등-강지웅의 워크시트_04.10월 손익보정 내역(04.10.15~)_1.창업관련 회계처리_1.창업관련 회계처리_I2 6월 결산 검증서_복합대출상품_20101126 2" xfId="18277"/>
    <cellStyle name="-_  코크렙1호 조서 등-강지웅의 워크시트_04.10월 손익보정 내역(04.10.15~)_1.창업관련 회계처리_1.창업관련 회계처리_I2 6월 결산 검증서_복합대출상품_20101126 2 2" xfId="18278"/>
    <cellStyle name="-_  코크렙1호 조서 등-강지웅의 워크시트_04.10월 손익보정 내역(04.10.15~)_1.창업관련 회계처리_1.창업관련 회계처리_Template회사작성분 검토_PEF(2)" xfId="18279"/>
    <cellStyle name="-_  코크렙1호 조서 등-강지웅의 워크시트_04.10월 손익보정 내역(04.10.15~)_1.창업관련 회계처리_1.창업관련 회계처리_Template회사작성분 검토_PEF(2) 2" xfId="18280"/>
    <cellStyle name="-_  코크렙1호 조서 등-강지웅의 워크시트_04.10월 손익보정 내역(04.10.15~)_1.창업관련 회계처리_1.창업관련 회계처리_Template회사작성분 검토_PEF(2) 2 2" xfId="18281"/>
    <cellStyle name="-_  코크렙1호 조서 등-강지웅의 워크시트_04.10월 손익보정 내역(04.10.15~)_1.창업관련 회계처리_1.창업관련 회계처리_Template회사작성분 검토_PEF(2) 3" xfId="18282"/>
    <cellStyle name="-_  코크렙1호 조서 등-강지웅의 워크시트_04.10월 손익보정 내역(04.10.15~)_1.창업관련 회계처리_1.창업관련 회계처리_Template회사작성분 검토_PEF(2)_I2 6월 결산 검증서_복합대출상품_20101119" xfId="18283"/>
    <cellStyle name="-_  코크렙1호 조서 등-강지웅의 워크시트_04.10월 손익보정 내역(04.10.15~)_1.창업관련 회계처리_1.창업관련 회계처리_Template회사작성분 검토_PEF(2)_I2 6월 결산 검증서_복합대출상품_20101119 2" xfId="18284"/>
    <cellStyle name="-_  코크렙1호 조서 등-강지웅의 워크시트_04.10월 손익보정 내역(04.10.15~)_1.창업관련 회계처리_1.창업관련 회계처리_Template회사작성분 검토_PEF(2)_I2 6월 결산 검증서_복합대출상품_20101119 2 2" xfId="18285"/>
    <cellStyle name="-_  코크렙1호 조서 등-강지웅의 워크시트_04.10월 손익보정 내역(04.10.15~)_1.창업관련 회계처리_1.창업관련 회계처리_Template회사작성분 검토_PEF(2)_I2 6월 결산 검증서_복합대출상품_20101126" xfId="18286"/>
    <cellStyle name="-_  코크렙1호 조서 등-강지웅의 워크시트_04.10월 손익보정 내역(04.10.15~)_1.창업관련 회계처리_1.창업관련 회계처리_Template회사작성분 검토_PEF(2)_I2 6월 결산 검증서_복합대출상품_20101126 2" xfId="18287"/>
    <cellStyle name="-_  코크렙1호 조서 등-강지웅의 워크시트_04.10월 손익보정 내역(04.10.15~)_1.창업관련 회계처리_1.창업관련 회계처리_Template회사작성분 검토_PEF(2)_I2 6월 결산 검증서_복합대출상품_20101126 2 2" xfId="18288"/>
    <cellStyle name="-_  코크렙1호 조서 등-강지웅의 워크시트_04.10월 손익보정 내역(04.10.15~)_1.창업관련 회계처리_I2 6월 결산 검증서_복합대출상품_20101119" xfId="18289"/>
    <cellStyle name="-_  코크렙1호 조서 등-강지웅의 워크시트_04.10월 손익보정 내역(04.10.15~)_1.창업관련 회계처리_I2 6월 결산 검증서_복합대출상품_20101119 2" xfId="18290"/>
    <cellStyle name="-_  코크렙1호 조서 등-강지웅의 워크시트_04.10월 손익보정 내역(04.10.15~)_1.창업관련 회계처리_I2 6월 결산 검증서_복합대출상품_20101119 2 2" xfId="18291"/>
    <cellStyle name="-_  코크렙1호 조서 등-강지웅의 워크시트_04.10월 손익보정 내역(04.10.15~)_1.창업관련 회계처리_I2 6월 결산 검증서_복합대출상품_20101126" xfId="18292"/>
    <cellStyle name="-_  코크렙1호 조서 등-강지웅의 워크시트_04.10월 손익보정 내역(04.10.15~)_1.창업관련 회계처리_I2 6월 결산 검증서_복합대출상품_20101126 2" xfId="18293"/>
    <cellStyle name="-_  코크렙1호 조서 등-강지웅의 워크시트_04.10월 손익보정 내역(04.10.15~)_1.창업관련 회계처리_I2 6월 결산 검증서_복합대출상품_20101126 2 2" xfId="18294"/>
    <cellStyle name="-_  코크렙1호 조서 등-강지웅의 워크시트_04.10월 손익보정 내역(04.10.15~)_1.창업관련 회계처리_name of fund" xfId="18295"/>
    <cellStyle name="-_  코크렙1호 조서 등-강지웅의 워크시트_04.10월 손익보정 내역(04.10.15~)_1.창업관련 회계처리_name of fund 2" xfId="18296"/>
    <cellStyle name="-_  코크렙1호 조서 등-강지웅의 워크시트_04.10월 손익보정 내역(04.10.15~)_1.창업관련 회계처리_name of fund 2 2" xfId="18297"/>
    <cellStyle name="-_  코크렙1호 조서 등-강지웅의 워크시트_04.10월 손익보정 내역(04.10.15~)_1.창업관련 회계처리_name of fund 3" xfId="18298"/>
    <cellStyle name="-_  코크렙1호 조서 등-강지웅의 워크시트_04.10월 손익보정 내역(04.10.15~)_1.창업관련 회계처리_name of fund_I2 6월 결산 검증서_복합대출상품_20101119" xfId="18299"/>
    <cellStyle name="-_  코크렙1호 조서 등-강지웅의 워크시트_04.10월 손익보정 내역(04.10.15~)_1.창업관련 회계처리_name of fund_I2 6월 결산 검증서_복합대출상품_20101119 2" xfId="18300"/>
    <cellStyle name="-_  코크렙1호 조서 등-강지웅의 워크시트_04.10월 손익보정 내역(04.10.15~)_1.창업관련 회계처리_name of fund_I2 6월 결산 검증서_복합대출상품_20101119 2 2" xfId="18301"/>
    <cellStyle name="-_  코크렙1호 조서 등-강지웅의 워크시트_04.10월 손익보정 내역(04.10.15~)_1.창업관련 회계처리_name of fund_I2 6월 결산 검증서_복합대출상품_20101126" xfId="18302"/>
    <cellStyle name="-_  코크렙1호 조서 등-강지웅의 워크시트_04.10월 손익보정 내역(04.10.15~)_1.창업관련 회계처리_name of fund_I2 6월 결산 검증서_복합대출상품_20101126 2" xfId="18303"/>
    <cellStyle name="-_  코크렙1호 조서 등-강지웅의 워크시트_04.10월 손익보정 내역(04.10.15~)_1.창업관련 회계처리_name of fund_I2 6월 결산 검증서_복합대출상품_20101126 2 2" xfId="18304"/>
    <cellStyle name="-_  코크렙1호 조서 등-강지웅의 워크시트_04.10월 손익보정 내역(04.10.15~)_1.창업관련 회계처리_name of fund_Template회사작성분 검토_PEF(2)" xfId="18305"/>
    <cellStyle name="-_  코크렙1호 조서 등-강지웅의 워크시트_04.10월 손익보정 내역(04.10.15~)_1.창업관련 회계처리_name of fund_Template회사작성분 검토_PEF(2) 2" xfId="18306"/>
    <cellStyle name="-_  코크렙1호 조서 등-강지웅의 워크시트_04.10월 손익보정 내역(04.10.15~)_1.창업관련 회계처리_name of fund_Template회사작성분 검토_PEF(2) 2 2" xfId="18307"/>
    <cellStyle name="-_  코크렙1호 조서 등-강지웅의 워크시트_04.10월 손익보정 내역(04.10.15~)_1.창업관련 회계처리_name of fund_Template회사작성분 검토_PEF(2) 3" xfId="18308"/>
    <cellStyle name="-_  코크렙1호 조서 등-강지웅의 워크시트_04.10월 손익보정 내역(04.10.15~)_1.창업관련 회계처리_name of fund_Template회사작성분 검토_PEF(2)_I2 6월 결산 검증서_복합대출상품_20101119" xfId="18309"/>
    <cellStyle name="-_  코크렙1호 조서 등-강지웅의 워크시트_04.10월 손익보정 내역(04.10.15~)_1.창업관련 회계처리_name of fund_Template회사작성분 검토_PEF(2)_I2 6월 결산 검증서_복합대출상품_20101119 2" xfId="18310"/>
    <cellStyle name="-_  코크렙1호 조서 등-강지웅의 워크시트_04.10월 손익보정 내역(04.10.15~)_1.창업관련 회계처리_name of fund_Template회사작성분 검토_PEF(2)_I2 6월 결산 검증서_복합대출상품_20101119 2 2" xfId="18311"/>
    <cellStyle name="-_  코크렙1호 조서 등-강지웅의 워크시트_04.10월 손익보정 내역(04.10.15~)_1.창업관련 회계처리_name of fund_Template회사작성분 검토_PEF(2)_I2 6월 결산 검증서_복합대출상품_20101126" xfId="18312"/>
    <cellStyle name="-_  코크렙1호 조서 등-강지웅의 워크시트_04.10월 손익보정 내역(04.10.15~)_1.창업관련 회계처리_name of fund_Template회사작성분 검토_PEF(2)_I2 6월 결산 검증서_복합대출상품_20101126 2" xfId="18313"/>
    <cellStyle name="-_  코크렙1호 조서 등-강지웅의 워크시트_04.10월 손익보정 내역(04.10.15~)_1.창업관련 회계처리_name of fund_Template회사작성분 검토_PEF(2)_I2 6월 결산 검증서_복합대출상품_20101126 2 2" xfId="18314"/>
    <cellStyle name="-_  코크렙1호 조서 등-강지웅의 워크시트_04.10월 손익보정 내역(04.10.15~)_1.창업관련 회계처리_Template회사작성분 검토_PEF(2)" xfId="18315"/>
    <cellStyle name="-_  코크렙1호 조서 등-강지웅의 워크시트_04.10월 손익보정 내역(04.10.15~)_1.창업관련 회계처리_Template회사작성분 검토_PEF(2) 2" xfId="18316"/>
    <cellStyle name="-_  코크렙1호 조서 등-강지웅의 워크시트_04.10월 손익보정 내역(04.10.15~)_1.창업관련 회계처리_Template회사작성분 검토_PEF(2) 2 2" xfId="18317"/>
    <cellStyle name="-_  코크렙1호 조서 등-강지웅의 워크시트_04.10월 손익보정 내역(04.10.15~)_1.창업관련 회계처리_Template회사작성분 검토_PEF(2) 3" xfId="18318"/>
    <cellStyle name="-_  코크렙1호 조서 등-강지웅의 워크시트_04.10월 손익보정 내역(04.10.15~)_1.창업관련 회계처리_Template회사작성분 검토_PEF(2)_I2 6월 결산 검증서_복합대출상품_20101119" xfId="18319"/>
    <cellStyle name="-_  코크렙1호 조서 등-강지웅의 워크시트_04.10월 손익보정 내역(04.10.15~)_1.창업관련 회계처리_Template회사작성분 검토_PEF(2)_I2 6월 결산 검증서_복합대출상품_20101119 2" xfId="18320"/>
    <cellStyle name="-_  코크렙1호 조서 등-강지웅의 워크시트_04.10월 손익보정 내역(04.10.15~)_1.창업관련 회계처리_Template회사작성분 검토_PEF(2)_I2 6월 결산 검증서_복합대출상품_20101119 2 2" xfId="18321"/>
    <cellStyle name="-_  코크렙1호 조서 등-강지웅의 워크시트_04.10월 손익보정 내역(04.10.15~)_1.창업관련 회계처리_Template회사작성분 검토_PEF(2)_I2 6월 결산 검증서_복합대출상품_20101126" xfId="18322"/>
    <cellStyle name="-_  코크렙1호 조서 등-강지웅의 워크시트_04.10월 손익보정 내역(04.10.15~)_1.창업관련 회계처리_Template회사작성분 검토_PEF(2)_I2 6월 결산 검증서_복합대출상품_20101126 2" xfId="18323"/>
    <cellStyle name="-_  코크렙1호 조서 등-강지웅의 워크시트_04.10월 손익보정 내역(04.10.15~)_1.창업관련 회계처리_Template회사작성분 검토_PEF(2)_I2 6월 결산 검증서_복합대출상품_20101126 2 2" xfId="18324"/>
    <cellStyle name="-_  코크렙1호 조서 등-강지웅의 워크시트_04.10월 손익보정 내역(04.10.15~)_3.미수이자 보정내역  4.대손충당금" xfId="18325"/>
    <cellStyle name="-_  코크렙1호 조서 등-강지웅의 워크시트_04.10월 손익보정 내역(04.10.15~)_3.미수이자 보정내역  4.대손충당금 2" xfId="18326"/>
    <cellStyle name="-_  코크렙1호 조서 등-강지웅의 워크시트_04.10월 손익보정 내역(04.10.15~)_3.미수이자 보정내역  4.대손충당금 2 2" xfId="18327"/>
    <cellStyle name="-_  코크렙1호 조서 등-강지웅의 워크시트_04.10월 손익보정 내역(04.10.15~)_3.미수이자 보정내역  4.대손충당금 3" xfId="18328"/>
    <cellStyle name="-_  코크렙1호 조서 등-강지웅의 워크시트_04.10월 손익보정 내역(04.10.15~)_3.미수이자 보정내역  4.대손충당금_1.창업관련 회계처리" xfId="18329"/>
    <cellStyle name="-_  코크렙1호 조서 등-강지웅의 워크시트_04.10월 손익보정 내역(04.10.15~)_3.미수이자 보정내역  4.대손충당금_1.창업관련 회계처리 2" xfId="18330"/>
    <cellStyle name="-_  코크렙1호 조서 등-강지웅의 워크시트_04.10월 손익보정 내역(04.10.15~)_3.미수이자 보정내역  4.대손충당금_1.창업관련 회계처리 2 2" xfId="18331"/>
    <cellStyle name="-_  코크렙1호 조서 등-강지웅의 워크시트_04.10월 손익보정 내역(04.10.15~)_3.미수이자 보정내역  4.대손충당금_1.창업관련 회계처리 3" xfId="18332"/>
    <cellStyle name="-_  코크렙1호 조서 등-강지웅의 워크시트_04.10월 손익보정 내역(04.10.15~)_3.미수이자 보정내역  4.대손충당금_1.창업관련 회계처리_I2 6월 결산 검증서_복합대출상품_20101119" xfId="18333"/>
    <cellStyle name="-_  코크렙1호 조서 등-강지웅의 워크시트_04.10월 손익보정 내역(04.10.15~)_3.미수이자 보정내역  4.대손충당금_1.창업관련 회계처리_I2 6월 결산 검증서_복합대출상품_20101119 2" xfId="18334"/>
    <cellStyle name="-_  코크렙1호 조서 등-강지웅의 워크시트_04.10월 손익보정 내역(04.10.15~)_3.미수이자 보정내역  4.대손충당금_1.창업관련 회계처리_I2 6월 결산 검증서_복합대출상품_20101119 2 2" xfId="18335"/>
    <cellStyle name="-_  코크렙1호 조서 등-강지웅의 워크시트_04.10월 손익보정 내역(04.10.15~)_3.미수이자 보정내역  4.대손충당금_1.창업관련 회계처리_I2 6월 결산 검증서_복합대출상품_20101126" xfId="18336"/>
    <cellStyle name="-_  코크렙1호 조서 등-강지웅의 워크시트_04.10월 손익보정 내역(04.10.15~)_3.미수이자 보정내역  4.대손충당금_1.창업관련 회계처리_I2 6월 결산 검증서_복합대출상품_20101126 2" xfId="18337"/>
    <cellStyle name="-_  코크렙1호 조서 등-강지웅의 워크시트_04.10월 손익보정 내역(04.10.15~)_3.미수이자 보정내역  4.대손충당금_1.창업관련 회계처리_I2 6월 결산 검증서_복합대출상품_20101126 2 2" xfId="18338"/>
    <cellStyle name="-_  코크렙1호 조서 등-강지웅의 워크시트_04.10월 손익보정 내역(04.10.15~)_3.미수이자 보정내역  4.대손충당금_1.창업관련 회계처리_Template회사작성분 검토_PEF(2)" xfId="18339"/>
    <cellStyle name="-_  코크렙1호 조서 등-강지웅의 워크시트_04.10월 손익보정 내역(04.10.15~)_3.미수이자 보정내역  4.대손충당금_1.창업관련 회계처리_Template회사작성분 검토_PEF(2) 2" xfId="18340"/>
    <cellStyle name="-_  코크렙1호 조서 등-강지웅의 워크시트_04.10월 손익보정 내역(04.10.15~)_3.미수이자 보정내역  4.대손충당금_1.창업관련 회계처리_Template회사작성분 검토_PEF(2) 2 2" xfId="18341"/>
    <cellStyle name="-_  코크렙1호 조서 등-강지웅의 워크시트_04.10월 손익보정 내역(04.10.15~)_3.미수이자 보정내역  4.대손충당금_1.창업관련 회계처리_Template회사작성분 검토_PEF(2) 3" xfId="18342"/>
    <cellStyle name="-_  코크렙1호 조서 등-강지웅의 워크시트_04.10월 손익보정 내역(04.10.15~)_3.미수이자 보정내역  4.대손충당금_1.창업관련 회계처리_Template회사작성분 검토_PEF(2)_I2 6월 결산 검증서_복합대출상품_20101119" xfId="18343"/>
    <cellStyle name="-_  코크렙1호 조서 등-강지웅의 워크시트_04.10월 손익보정 내역(04.10.15~)_3.미수이자 보정내역  4.대손충당금_1.창업관련 회계처리_Template회사작성분 검토_PEF(2)_I2 6월 결산 검증서_복합대출상품_20101119 2" xfId="18344"/>
    <cellStyle name="-_  코크렙1호 조서 등-강지웅의 워크시트_04.10월 손익보정 내역(04.10.15~)_3.미수이자 보정내역  4.대손충당금_1.창업관련 회계처리_Template회사작성분 검토_PEF(2)_I2 6월 결산 검증서_복합대출상품_20101119 2 2" xfId="18345"/>
    <cellStyle name="-_  코크렙1호 조서 등-강지웅의 워크시트_04.10월 손익보정 내역(04.10.15~)_3.미수이자 보정내역  4.대손충당금_1.창업관련 회계처리_Template회사작성분 검토_PEF(2)_I2 6월 결산 검증서_복합대출상품_20101126" xfId="18346"/>
    <cellStyle name="-_  코크렙1호 조서 등-강지웅의 워크시트_04.10월 손익보정 내역(04.10.15~)_3.미수이자 보정내역  4.대손충당금_1.창업관련 회계처리_Template회사작성분 검토_PEF(2)_I2 6월 결산 검증서_복합대출상품_20101126 2" xfId="18347"/>
    <cellStyle name="-_  코크렙1호 조서 등-강지웅의 워크시트_04.10월 손익보정 내역(04.10.15~)_3.미수이자 보정내역  4.대손충당금_1.창업관련 회계처리_Template회사작성분 검토_PEF(2)_I2 6월 결산 검증서_복합대출상품_20101126 2 2" xfId="18348"/>
    <cellStyle name="-_  코크렙1호 조서 등-강지웅의 워크시트_04.10월 손익보정 내역(04.10.15~)_3.미수이자 보정내역  4.대손충당금_I2 6월 결산 검증서_복합대출상품_20101119" xfId="18349"/>
    <cellStyle name="-_  코크렙1호 조서 등-강지웅의 워크시트_04.10월 손익보정 내역(04.10.15~)_3.미수이자 보정내역  4.대손충당금_I2 6월 결산 검증서_복합대출상품_20101119 2" xfId="18350"/>
    <cellStyle name="-_  코크렙1호 조서 등-강지웅의 워크시트_04.10월 손익보정 내역(04.10.15~)_3.미수이자 보정내역  4.대손충당금_I2 6월 결산 검증서_복합대출상품_20101119 2 2" xfId="18351"/>
    <cellStyle name="-_  코크렙1호 조서 등-강지웅의 워크시트_04.10월 손익보정 내역(04.10.15~)_3.미수이자 보정내역  4.대손충당금_I2 6월 결산 검증서_복합대출상품_20101126" xfId="18352"/>
    <cellStyle name="-_  코크렙1호 조서 등-강지웅의 워크시트_04.10월 손익보정 내역(04.10.15~)_3.미수이자 보정내역  4.대손충당금_I2 6월 결산 검증서_복합대출상품_20101126 2" xfId="18353"/>
    <cellStyle name="-_  코크렙1호 조서 등-강지웅의 워크시트_04.10월 손익보정 내역(04.10.15~)_3.미수이자 보정내역  4.대손충당금_I2 6월 결산 검증서_복합대출상품_20101126 2 2" xfId="18354"/>
    <cellStyle name="-_  코크렙1호 조서 등-강지웅의 워크시트_04.10월 손익보정 내역(04.10.15~)_3.미수이자 보정내역  4.대손충당금_Template회사작성분 검토_PEF(2)" xfId="18355"/>
    <cellStyle name="-_  코크렙1호 조서 등-강지웅의 워크시트_04.10월 손익보정 내역(04.10.15~)_3.미수이자 보정내역  4.대손충당금_Template회사작성분 검토_PEF(2) 2" xfId="18356"/>
    <cellStyle name="-_  코크렙1호 조서 등-강지웅의 워크시트_04.10월 손익보정 내역(04.10.15~)_3.미수이자 보정내역  4.대손충당금_Template회사작성분 검토_PEF(2) 2 2" xfId="18357"/>
    <cellStyle name="-_  코크렙1호 조서 등-강지웅의 워크시트_04.10월 손익보정 내역(04.10.15~)_3.미수이자 보정내역  4.대손충당금_Template회사작성분 검토_PEF(2) 3" xfId="18358"/>
    <cellStyle name="-_  코크렙1호 조서 등-강지웅의 워크시트_04.10월 손익보정 내역(04.10.15~)_3.미수이자 보정내역  4.대손충당금_Template회사작성분 검토_PEF(2)_I2 6월 결산 검증서_복합대출상품_20101119" xfId="18359"/>
    <cellStyle name="-_  코크렙1호 조서 등-강지웅의 워크시트_04.10월 손익보정 내역(04.10.15~)_3.미수이자 보정내역  4.대손충당금_Template회사작성분 검토_PEF(2)_I2 6월 결산 검증서_복합대출상품_20101119 2" xfId="18360"/>
    <cellStyle name="-_  코크렙1호 조서 등-강지웅의 워크시트_04.10월 손익보정 내역(04.10.15~)_3.미수이자 보정내역  4.대손충당금_Template회사작성분 검토_PEF(2)_I2 6월 결산 검증서_복합대출상품_20101119 2 2" xfId="18361"/>
    <cellStyle name="-_  코크렙1호 조서 등-강지웅의 워크시트_04.10월 손익보정 내역(04.10.15~)_3.미수이자 보정내역  4.대손충당금_Template회사작성분 검토_PEF(2)_I2 6월 결산 검증서_복합대출상품_20101126" xfId="18362"/>
    <cellStyle name="-_  코크렙1호 조서 등-강지웅의 워크시트_04.10월 손익보정 내역(04.10.15~)_3.미수이자 보정내역  4.대손충당금_Template회사작성분 검토_PEF(2)_I2 6월 결산 검증서_복합대출상품_20101126 2" xfId="18363"/>
    <cellStyle name="-_  코크렙1호 조서 등-강지웅의 워크시트_04.10월 손익보정 내역(04.10.15~)_3.미수이자 보정내역  4.대손충당금_Template회사작성분 검토_PEF(2)_I2 6월 결산 검증서_복합대출상품_20101126 2 2" xfId="18364"/>
    <cellStyle name="-_  코크렙1호 조서 등-강지웅의 워크시트_04.10월 손익보정 내역(04.10.15~)_6.선급비용" xfId="18365"/>
    <cellStyle name="-_  코크렙1호 조서 등-강지웅의 워크시트_04.10월 손익보정 내역(04.10.15~)_6.선급비용 2" xfId="18366"/>
    <cellStyle name="-_  코크렙1호 조서 등-강지웅의 워크시트_04.10월 손익보정 내역(04.10.15~)_6.선급비용 2 2" xfId="18367"/>
    <cellStyle name="-_  코크렙1호 조서 등-강지웅의 워크시트_04.10월 손익보정 내역(04.10.15~)_6.선급비용 3" xfId="18368"/>
    <cellStyle name="-_  코크렙1호 조서 등-강지웅의 워크시트_04.10월 손익보정 내역(04.10.15~)_6.선급비용_1.창업관련 회계처리" xfId="18369"/>
    <cellStyle name="-_  코크렙1호 조서 등-강지웅의 워크시트_04.10월 손익보정 내역(04.10.15~)_6.선급비용_1.창업관련 회계처리 2" xfId="18370"/>
    <cellStyle name="-_  코크렙1호 조서 등-강지웅의 워크시트_04.10월 손익보정 내역(04.10.15~)_6.선급비용_1.창업관련 회계처리 2 2" xfId="18371"/>
    <cellStyle name="-_  코크렙1호 조서 등-강지웅의 워크시트_04.10월 손익보정 내역(04.10.15~)_6.선급비용_1.창업관련 회계처리 3" xfId="18372"/>
    <cellStyle name="-_  코크렙1호 조서 등-강지웅의 워크시트_04.10월 손익보정 내역(04.10.15~)_6.선급비용_1.창업관련 회계처리_I2 6월 결산 검증서_복합대출상품_20101119" xfId="18373"/>
    <cellStyle name="-_  코크렙1호 조서 등-강지웅의 워크시트_04.10월 손익보정 내역(04.10.15~)_6.선급비용_1.창업관련 회계처리_I2 6월 결산 검증서_복합대출상품_20101119 2" xfId="18374"/>
    <cellStyle name="-_  코크렙1호 조서 등-강지웅의 워크시트_04.10월 손익보정 내역(04.10.15~)_6.선급비용_1.창업관련 회계처리_I2 6월 결산 검증서_복합대출상품_20101119 2 2" xfId="18375"/>
    <cellStyle name="-_  코크렙1호 조서 등-강지웅의 워크시트_04.10월 손익보정 내역(04.10.15~)_6.선급비용_1.창업관련 회계처리_I2 6월 결산 검증서_복합대출상품_20101126" xfId="18376"/>
    <cellStyle name="-_  코크렙1호 조서 등-강지웅의 워크시트_04.10월 손익보정 내역(04.10.15~)_6.선급비용_1.창업관련 회계처리_I2 6월 결산 검증서_복합대출상품_20101126 2" xfId="18377"/>
    <cellStyle name="-_  코크렙1호 조서 등-강지웅의 워크시트_04.10월 손익보정 내역(04.10.15~)_6.선급비용_1.창업관련 회계처리_I2 6월 결산 검증서_복합대출상품_20101126 2 2" xfId="18378"/>
    <cellStyle name="-_  코크렙1호 조서 등-강지웅의 워크시트_04.10월 손익보정 내역(04.10.15~)_6.선급비용_1.창업관련 회계처리_Template회사작성분 검토_PEF(2)" xfId="18379"/>
    <cellStyle name="-_  코크렙1호 조서 등-강지웅의 워크시트_04.10월 손익보정 내역(04.10.15~)_6.선급비용_1.창업관련 회계처리_Template회사작성분 검토_PEF(2) 2" xfId="18380"/>
    <cellStyle name="-_  코크렙1호 조서 등-강지웅의 워크시트_04.10월 손익보정 내역(04.10.15~)_6.선급비용_1.창업관련 회계처리_Template회사작성분 검토_PEF(2) 2 2" xfId="18381"/>
    <cellStyle name="-_  코크렙1호 조서 등-강지웅의 워크시트_04.10월 손익보정 내역(04.10.15~)_6.선급비용_1.창업관련 회계처리_Template회사작성분 검토_PEF(2) 3" xfId="18382"/>
    <cellStyle name="-_  코크렙1호 조서 등-강지웅의 워크시트_04.10월 손익보정 내역(04.10.15~)_6.선급비용_1.창업관련 회계처리_Template회사작성분 검토_PEF(2)_I2 6월 결산 검증서_복합대출상품_20101119" xfId="18383"/>
    <cellStyle name="-_  코크렙1호 조서 등-강지웅의 워크시트_04.10월 손익보정 내역(04.10.15~)_6.선급비용_1.창업관련 회계처리_Template회사작성분 검토_PEF(2)_I2 6월 결산 검증서_복합대출상품_20101119 2" xfId="18384"/>
    <cellStyle name="-_  코크렙1호 조서 등-강지웅의 워크시트_04.10월 손익보정 내역(04.10.15~)_6.선급비용_1.창업관련 회계처리_Template회사작성분 검토_PEF(2)_I2 6월 결산 검증서_복합대출상품_20101119 2 2" xfId="18385"/>
    <cellStyle name="-_  코크렙1호 조서 등-강지웅의 워크시트_04.10월 손익보정 내역(04.10.15~)_6.선급비용_1.창업관련 회계처리_Template회사작성분 검토_PEF(2)_I2 6월 결산 검증서_복합대출상품_20101126" xfId="18386"/>
    <cellStyle name="-_  코크렙1호 조서 등-강지웅의 워크시트_04.10월 손익보정 내역(04.10.15~)_6.선급비용_1.창업관련 회계처리_Template회사작성분 검토_PEF(2)_I2 6월 결산 검증서_복합대출상품_20101126 2" xfId="18387"/>
    <cellStyle name="-_  코크렙1호 조서 등-강지웅의 워크시트_04.10월 손익보정 내역(04.10.15~)_6.선급비용_1.창업관련 회계처리_Template회사작성분 검토_PEF(2)_I2 6월 결산 검증서_복합대출상품_20101126 2 2" xfId="18388"/>
    <cellStyle name="-_  코크렙1호 조서 등-강지웅의 워크시트_04.10월 손익보정 내역(04.10.15~)_6.선급비용_I2 6월 결산 검증서_복합대출상품_20101119" xfId="18389"/>
    <cellStyle name="-_  코크렙1호 조서 등-강지웅의 워크시트_04.10월 손익보정 내역(04.10.15~)_6.선급비용_I2 6월 결산 검증서_복합대출상품_20101119 2" xfId="18390"/>
    <cellStyle name="-_  코크렙1호 조서 등-강지웅의 워크시트_04.10월 손익보정 내역(04.10.15~)_6.선급비용_I2 6월 결산 검증서_복합대출상품_20101119 2 2" xfId="18391"/>
    <cellStyle name="-_  코크렙1호 조서 등-강지웅의 워크시트_04.10월 손익보정 내역(04.10.15~)_6.선급비용_I2 6월 결산 검증서_복합대출상품_20101126" xfId="18392"/>
    <cellStyle name="-_  코크렙1호 조서 등-강지웅의 워크시트_04.10월 손익보정 내역(04.10.15~)_6.선급비용_I2 6월 결산 검증서_복합대출상품_20101126 2" xfId="18393"/>
    <cellStyle name="-_  코크렙1호 조서 등-강지웅의 워크시트_04.10월 손익보정 내역(04.10.15~)_6.선급비용_I2 6월 결산 검증서_복합대출상품_20101126 2 2" xfId="18394"/>
    <cellStyle name="-_  코크렙1호 조서 등-강지웅의 워크시트_04.10월 손익보정 내역(04.10.15~)_6.선급비용_name of fund" xfId="18395"/>
    <cellStyle name="-_  코크렙1호 조서 등-강지웅의 워크시트_04.10월 손익보정 내역(04.10.15~)_6.선급비용_name of fund 2" xfId="18396"/>
    <cellStyle name="-_  코크렙1호 조서 등-강지웅의 워크시트_04.10월 손익보정 내역(04.10.15~)_6.선급비용_name of fund 2 2" xfId="18397"/>
    <cellStyle name="-_  코크렙1호 조서 등-강지웅의 워크시트_04.10월 손익보정 내역(04.10.15~)_6.선급비용_name of fund 3" xfId="18398"/>
    <cellStyle name="-_  코크렙1호 조서 등-강지웅의 워크시트_04.10월 손익보정 내역(04.10.15~)_6.선급비용_name of fund_I2 6월 결산 검증서_복합대출상품_20101119" xfId="18399"/>
    <cellStyle name="-_  코크렙1호 조서 등-강지웅의 워크시트_04.10월 손익보정 내역(04.10.15~)_6.선급비용_name of fund_I2 6월 결산 검증서_복합대출상품_20101119 2" xfId="18400"/>
    <cellStyle name="-_  코크렙1호 조서 등-강지웅의 워크시트_04.10월 손익보정 내역(04.10.15~)_6.선급비용_name of fund_I2 6월 결산 검증서_복합대출상품_20101119 2 2" xfId="18401"/>
    <cellStyle name="-_  코크렙1호 조서 등-강지웅의 워크시트_04.10월 손익보정 내역(04.10.15~)_6.선급비용_name of fund_I2 6월 결산 검증서_복합대출상품_20101126" xfId="18402"/>
    <cellStyle name="-_  코크렙1호 조서 등-강지웅의 워크시트_04.10월 손익보정 내역(04.10.15~)_6.선급비용_name of fund_I2 6월 결산 검증서_복합대출상품_20101126 2" xfId="18403"/>
    <cellStyle name="-_  코크렙1호 조서 등-강지웅의 워크시트_04.10월 손익보정 내역(04.10.15~)_6.선급비용_name of fund_I2 6월 결산 검증서_복합대출상품_20101126 2 2" xfId="18404"/>
    <cellStyle name="-_  코크렙1호 조서 등-강지웅의 워크시트_04.10월 손익보정 내역(04.10.15~)_6.선급비용_name of fund_Template회사작성분 검토_PEF(2)" xfId="18405"/>
    <cellStyle name="-_  코크렙1호 조서 등-강지웅의 워크시트_04.10월 손익보정 내역(04.10.15~)_6.선급비용_name of fund_Template회사작성분 검토_PEF(2) 2" xfId="18406"/>
    <cellStyle name="-_  코크렙1호 조서 등-강지웅의 워크시트_04.10월 손익보정 내역(04.10.15~)_6.선급비용_name of fund_Template회사작성분 검토_PEF(2) 2 2" xfId="18407"/>
    <cellStyle name="-_  코크렙1호 조서 등-강지웅의 워크시트_04.10월 손익보정 내역(04.10.15~)_6.선급비용_name of fund_Template회사작성분 검토_PEF(2) 3" xfId="18408"/>
    <cellStyle name="-_  코크렙1호 조서 등-강지웅의 워크시트_04.10월 손익보정 내역(04.10.15~)_6.선급비용_name of fund_Template회사작성분 검토_PEF(2)_I2 6월 결산 검증서_복합대출상품_20101119" xfId="18409"/>
    <cellStyle name="-_  코크렙1호 조서 등-강지웅의 워크시트_04.10월 손익보정 내역(04.10.15~)_6.선급비용_name of fund_Template회사작성분 검토_PEF(2)_I2 6월 결산 검증서_복합대출상품_20101119 2" xfId="18410"/>
    <cellStyle name="-_  코크렙1호 조서 등-강지웅의 워크시트_04.10월 손익보정 내역(04.10.15~)_6.선급비용_name of fund_Template회사작성분 검토_PEF(2)_I2 6월 결산 검증서_복합대출상품_20101119 2 2" xfId="18411"/>
    <cellStyle name="-_  코크렙1호 조서 등-강지웅의 워크시트_04.10월 손익보정 내역(04.10.15~)_6.선급비용_name of fund_Template회사작성분 검토_PEF(2)_I2 6월 결산 검증서_복합대출상품_20101126" xfId="18412"/>
    <cellStyle name="-_  코크렙1호 조서 등-강지웅의 워크시트_04.10월 손익보정 내역(04.10.15~)_6.선급비용_name of fund_Template회사작성분 검토_PEF(2)_I2 6월 결산 검증서_복합대출상품_20101126 2" xfId="18413"/>
    <cellStyle name="-_  코크렙1호 조서 등-강지웅의 워크시트_04.10월 손익보정 내역(04.10.15~)_6.선급비용_name of fund_Template회사작성분 검토_PEF(2)_I2 6월 결산 검증서_복합대출상품_20101126 2 2" xfId="18414"/>
    <cellStyle name="-_  코크렙1호 조서 등-강지웅의 워크시트_04.10월 손익보정 내역(04.10.15~)_6.선급비용_Template회사작성분 검토_PEF(2)" xfId="18415"/>
    <cellStyle name="-_  코크렙1호 조서 등-강지웅의 워크시트_04.10월 손익보정 내역(04.10.15~)_6.선급비용_Template회사작성분 검토_PEF(2) 2" xfId="18416"/>
    <cellStyle name="-_  코크렙1호 조서 등-강지웅의 워크시트_04.10월 손익보정 내역(04.10.15~)_6.선급비용_Template회사작성분 검토_PEF(2) 2 2" xfId="18417"/>
    <cellStyle name="-_  코크렙1호 조서 등-강지웅의 워크시트_04.10월 손익보정 내역(04.10.15~)_6.선급비용_Template회사작성분 검토_PEF(2) 3" xfId="18418"/>
    <cellStyle name="-_  코크렙1호 조서 등-강지웅의 워크시트_04.10월 손익보정 내역(04.10.15~)_6.선급비용_Template회사작성분 검토_PEF(2)_I2 6월 결산 검증서_복합대출상품_20101119" xfId="18419"/>
    <cellStyle name="-_  코크렙1호 조서 등-강지웅의 워크시트_04.10월 손익보정 내역(04.10.15~)_6.선급비용_Template회사작성분 검토_PEF(2)_I2 6월 결산 검증서_복합대출상품_20101119 2" xfId="18420"/>
    <cellStyle name="-_  코크렙1호 조서 등-강지웅의 워크시트_04.10월 손익보정 내역(04.10.15~)_6.선급비용_Template회사작성분 검토_PEF(2)_I2 6월 결산 검증서_복합대출상품_20101119 2 2" xfId="18421"/>
    <cellStyle name="-_  코크렙1호 조서 등-강지웅의 워크시트_04.10월 손익보정 내역(04.10.15~)_6.선급비용_Template회사작성분 검토_PEF(2)_I2 6월 결산 검증서_복합대출상품_20101126" xfId="18422"/>
    <cellStyle name="-_  코크렙1호 조서 등-강지웅의 워크시트_04.10월 손익보정 내역(04.10.15~)_6.선급비용_Template회사작성분 검토_PEF(2)_I2 6월 결산 검증서_복합대출상품_20101126 2" xfId="18423"/>
    <cellStyle name="-_  코크렙1호 조서 등-강지웅의 워크시트_04.10월 손익보정 내역(04.10.15~)_6.선급비용_Template회사작성분 검토_PEF(2)_I2 6월 결산 검증서_복합대출상품_20101126 2 2" xfId="18424"/>
    <cellStyle name="-_  코크렙1호 조서 등-강지웅의 워크시트_04.10월 손익보정 내역(04.10.15~)_8.퇴직급여 8-1.보너스충당금" xfId="18425"/>
    <cellStyle name="-_  코크렙1호 조서 등-강지웅의 워크시트_04.10월 손익보정 내역(04.10.15~)_8.퇴직급여 8-1.보너스충당금 2" xfId="18426"/>
    <cellStyle name="-_  코크렙1호 조서 등-강지웅의 워크시트_04.10월 손익보정 내역(04.10.15~)_8.퇴직급여 8-1.보너스충당금 2 2" xfId="18427"/>
    <cellStyle name="-_  코크렙1호 조서 등-강지웅의 워크시트_04.10월 손익보정 내역(04.10.15~)_8.퇴직급여 8-1.보너스충당금 3" xfId="18428"/>
    <cellStyle name="-_  코크렙1호 조서 등-강지웅의 워크시트_04.10월 손익보정 내역(04.10.15~)_8.퇴직급여 8-1.보너스충당금_1.창업관련 회계처리" xfId="18429"/>
    <cellStyle name="-_  코크렙1호 조서 등-강지웅의 워크시트_04.10월 손익보정 내역(04.10.15~)_8.퇴직급여 8-1.보너스충당금_1.창업관련 회계처리 2" xfId="18430"/>
    <cellStyle name="-_  코크렙1호 조서 등-강지웅의 워크시트_04.10월 손익보정 내역(04.10.15~)_8.퇴직급여 8-1.보너스충당금_1.창업관련 회계처리 2 2" xfId="18431"/>
    <cellStyle name="-_  코크렙1호 조서 등-강지웅의 워크시트_04.10월 손익보정 내역(04.10.15~)_8.퇴직급여 8-1.보너스충당금_1.창업관련 회계처리 3" xfId="18432"/>
    <cellStyle name="-_  코크렙1호 조서 등-강지웅의 워크시트_04.10월 손익보정 내역(04.10.15~)_8.퇴직급여 8-1.보너스충당금_1.창업관련 회계처리_I2 6월 결산 검증서_복합대출상품_20101119" xfId="18433"/>
    <cellStyle name="-_  코크렙1호 조서 등-강지웅의 워크시트_04.10월 손익보정 내역(04.10.15~)_8.퇴직급여 8-1.보너스충당금_1.창업관련 회계처리_I2 6월 결산 검증서_복합대출상품_20101119 2" xfId="18434"/>
    <cellStyle name="-_  코크렙1호 조서 등-강지웅의 워크시트_04.10월 손익보정 내역(04.10.15~)_8.퇴직급여 8-1.보너스충당금_1.창업관련 회계처리_I2 6월 결산 검증서_복합대출상품_20101119 2 2" xfId="18435"/>
    <cellStyle name="-_  코크렙1호 조서 등-강지웅의 워크시트_04.10월 손익보정 내역(04.10.15~)_8.퇴직급여 8-1.보너스충당금_1.창업관련 회계처리_I2 6월 결산 검증서_복합대출상품_20101126" xfId="18436"/>
    <cellStyle name="-_  코크렙1호 조서 등-강지웅의 워크시트_04.10월 손익보정 내역(04.10.15~)_8.퇴직급여 8-1.보너스충당금_1.창업관련 회계처리_I2 6월 결산 검증서_복합대출상품_20101126 2" xfId="18437"/>
    <cellStyle name="-_  코크렙1호 조서 등-강지웅의 워크시트_04.10월 손익보정 내역(04.10.15~)_8.퇴직급여 8-1.보너스충당금_1.창업관련 회계처리_I2 6월 결산 검증서_복합대출상품_20101126 2 2" xfId="18438"/>
    <cellStyle name="-_  코크렙1호 조서 등-강지웅의 워크시트_04.10월 손익보정 내역(04.10.15~)_8.퇴직급여 8-1.보너스충당금_1.창업관련 회계처리_Template회사작성분 검토_PEF(2)" xfId="18439"/>
    <cellStyle name="-_  코크렙1호 조서 등-강지웅의 워크시트_04.10월 손익보정 내역(04.10.15~)_8.퇴직급여 8-1.보너스충당금_1.창업관련 회계처리_Template회사작성분 검토_PEF(2) 2" xfId="18440"/>
    <cellStyle name="-_  코크렙1호 조서 등-강지웅의 워크시트_04.10월 손익보정 내역(04.10.15~)_8.퇴직급여 8-1.보너스충당금_1.창업관련 회계처리_Template회사작성분 검토_PEF(2) 2 2" xfId="18441"/>
    <cellStyle name="-_  코크렙1호 조서 등-강지웅의 워크시트_04.10월 손익보정 내역(04.10.15~)_8.퇴직급여 8-1.보너스충당금_1.창업관련 회계처리_Template회사작성분 검토_PEF(2) 3" xfId="18442"/>
    <cellStyle name="-_  코크렙1호 조서 등-강지웅의 워크시트_04.10월 손익보정 내역(04.10.15~)_8.퇴직급여 8-1.보너스충당금_1.창업관련 회계처리_Template회사작성분 검토_PEF(2)_I2 6월 결산 검증서_복합대출상품_20101119" xfId="18443"/>
    <cellStyle name="-_  코크렙1호 조서 등-강지웅의 워크시트_04.10월 손익보정 내역(04.10.15~)_8.퇴직급여 8-1.보너스충당금_1.창업관련 회계처리_Template회사작성분 검토_PEF(2)_I2 6월 결산 검증서_복합대출상품_20101119 2" xfId="18444"/>
    <cellStyle name="-_  코크렙1호 조서 등-강지웅의 워크시트_04.10월 손익보정 내역(04.10.15~)_8.퇴직급여 8-1.보너스충당금_1.창업관련 회계처리_Template회사작성분 검토_PEF(2)_I2 6월 결산 검증서_복합대출상품_20101119 2 2" xfId="18445"/>
    <cellStyle name="-_  코크렙1호 조서 등-강지웅의 워크시트_04.10월 손익보정 내역(04.10.15~)_8.퇴직급여 8-1.보너스충당금_1.창업관련 회계처리_Template회사작성분 검토_PEF(2)_I2 6월 결산 검증서_복합대출상품_20101126" xfId="18446"/>
    <cellStyle name="-_  코크렙1호 조서 등-강지웅의 워크시트_04.10월 손익보정 내역(04.10.15~)_8.퇴직급여 8-1.보너스충당금_1.창업관련 회계처리_Template회사작성분 검토_PEF(2)_I2 6월 결산 검증서_복합대출상품_20101126 2" xfId="18447"/>
    <cellStyle name="-_  코크렙1호 조서 등-강지웅의 워크시트_04.10월 손익보정 내역(04.10.15~)_8.퇴직급여 8-1.보너스충당금_1.창업관련 회계처리_Template회사작성분 검토_PEF(2)_I2 6월 결산 검증서_복합대출상품_20101126 2 2" xfId="18448"/>
    <cellStyle name="-_  코크렙1호 조서 등-강지웅의 워크시트_04.10월 손익보정 내역(04.10.15~)_8.퇴직급여 8-1.보너스충당금_I2 6월 결산 검증서_복합대출상품_20101119" xfId="18449"/>
    <cellStyle name="-_  코크렙1호 조서 등-강지웅의 워크시트_04.10월 손익보정 내역(04.10.15~)_8.퇴직급여 8-1.보너스충당금_I2 6월 결산 검증서_복합대출상품_20101119 2" xfId="18450"/>
    <cellStyle name="-_  코크렙1호 조서 등-강지웅의 워크시트_04.10월 손익보정 내역(04.10.15~)_8.퇴직급여 8-1.보너스충당금_I2 6월 결산 검증서_복합대출상품_20101119 2 2" xfId="18451"/>
    <cellStyle name="-_  코크렙1호 조서 등-강지웅의 워크시트_04.10월 손익보정 내역(04.10.15~)_8.퇴직급여 8-1.보너스충당금_I2 6월 결산 검증서_복합대출상품_20101126" xfId="18452"/>
    <cellStyle name="-_  코크렙1호 조서 등-강지웅의 워크시트_04.10월 손익보정 내역(04.10.15~)_8.퇴직급여 8-1.보너스충당금_I2 6월 결산 검증서_복합대출상품_20101126 2" xfId="18453"/>
    <cellStyle name="-_  코크렙1호 조서 등-강지웅의 워크시트_04.10월 손익보정 내역(04.10.15~)_8.퇴직급여 8-1.보너스충당금_I2 6월 결산 검증서_복합대출상품_20101126 2 2" xfId="18454"/>
    <cellStyle name="-_  코크렙1호 조서 등-강지웅의 워크시트_04.10월 손익보정 내역(04.10.15~)_8.퇴직급여 8-1.보너스충당금_name of fund" xfId="18455"/>
    <cellStyle name="-_  코크렙1호 조서 등-강지웅의 워크시트_04.10월 손익보정 내역(04.10.15~)_8.퇴직급여 8-1.보너스충당금_name of fund 2" xfId="18456"/>
    <cellStyle name="-_  코크렙1호 조서 등-강지웅의 워크시트_04.10월 손익보정 내역(04.10.15~)_8.퇴직급여 8-1.보너스충당금_name of fund 2 2" xfId="18457"/>
    <cellStyle name="-_  코크렙1호 조서 등-강지웅의 워크시트_04.10월 손익보정 내역(04.10.15~)_8.퇴직급여 8-1.보너스충당금_name of fund 3" xfId="18458"/>
    <cellStyle name="-_  코크렙1호 조서 등-강지웅의 워크시트_04.10월 손익보정 내역(04.10.15~)_8.퇴직급여 8-1.보너스충당금_name of fund_I2 6월 결산 검증서_복합대출상품_20101119" xfId="18459"/>
    <cellStyle name="-_  코크렙1호 조서 등-강지웅의 워크시트_04.10월 손익보정 내역(04.10.15~)_8.퇴직급여 8-1.보너스충당금_name of fund_I2 6월 결산 검증서_복합대출상품_20101119 2" xfId="18460"/>
    <cellStyle name="-_  코크렙1호 조서 등-강지웅의 워크시트_04.10월 손익보정 내역(04.10.15~)_8.퇴직급여 8-1.보너스충당금_name of fund_I2 6월 결산 검증서_복합대출상품_20101119 2 2" xfId="18461"/>
    <cellStyle name="-_  코크렙1호 조서 등-강지웅의 워크시트_04.10월 손익보정 내역(04.10.15~)_8.퇴직급여 8-1.보너스충당금_name of fund_I2 6월 결산 검증서_복합대출상품_20101126" xfId="18462"/>
    <cellStyle name="-_  코크렙1호 조서 등-강지웅의 워크시트_04.10월 손익보정 내역(04.10.15~)_8.퇴직급여 8-1.보너스충당금_name of fund_I2 6월 결산 검증서_복합대출상품_20101126 2" xfId="18463"/>
    <cellStyle name="-_  코크렙1호 조서 등-강지웅의 워크시트_04.10월 손익보정 내역(04.10.15~)_8.퇴직급여 8-1.보너스충당금_name of fund_I2 6월 결산 검증서_복합대출상품_20101126 2 2" xfId="18464"/>
    <cellStyle name="-_  코크렙1호 조서 등-강지웅의 워크시트_04.10월 손익보정 내역(04.10.15~)_8.퇴직급여 8-1.보너스충당금_name of fund_Template회사작성분 검토_PEF(2)" xfId="18465"/>
    <cellStyle name="-_  코크렙1호 조서 등-강지웅의 워크시트_04.10월 손익보정 내역(04.10.15~)_8.퇴직급여 8-1.보너스충당금_name of fund_Template회사작성분 검토_PEF(2) 2" xfId="18466"/>
    <cellStyle name="-_  코크렙1호 조서 등-강지웅의 워크시트_04.10월 손익보정 내역(04.10.15~)_8.퇴직급여 8-1.보너스충당금_name of fund_Template회사작성분 검토_PEF(2) 2 2" xfId="18467"/>
    <cellStyle name="-_  코크렙1호 조서 등-강지웅의 워크시트_04.10월 손익보정 내역(04.10.15~)_8.퇴직급여 8-1.보너스충당금_name of fund_Template회사작성분 검토_PEF(2) 3" xfId="18468"/>
    <cellStyle name="-_  코크렙1호 조서 등-강지웅의 워크시트_04.10월 손익보정 내역(04.10.15~)_8.퇴직급여 8-1.보너스충당금_name of fund_Template회사작성분 검토_PEF(2)_I2 6월 결산 검증서_복합대출상품_20101119" xfId="18469"/>
    <cellStyle name="-_  코크렙1호 조서 등-강지웅의 워크시트_04.10월 손익보정 내역(04.10.15~)_8.퇴직급여 8-1.보너스충당금_name of fund_Template회사작성분 검토_PEF(2)_I2 6월 결산 검증서_복합대출상품_20101119 2" xfId="18470"/>
    <cellStyle name="-_  코크렙1호 조서 등-강지웅의 워크시트_04.10월 손익보정 내역(04.10.15~)_8.퇴직급여 8-1.보너스충당금_name of fund_Template회사작성분 검토_PEF(2)_I2 6월 결산 검증서_복합대출상품_20101119 2 2" xfId="18471"/>
    <cellStyle name="-_  코크렙1호 조서 등-강지웅의 워크시트_04.10월 손익보정 내역(04.10.15~)_8.퇴직급여 8-1.보너스충당금_name of fund_Template회사작성분 검토_PEF(2)_I2 6월 결산 검증서_복합대출상품_20101126" xfId="18472"/>
    <cellStyle name="-_  코크렙1호 조서 등-강지웅의 워크시트_04.10월 손익보정 내역(04.10.15~)_8.퇴직급여 8-1.보너스충당금_name of fund_Template회사작성분 검토_PEF(2)_I2 6월 결산 검증서_복합대출상품_20101126 2" xfId="18473"/>
    <cellStyle name="-_  코크렙1호 조서 등-강지웅의 워크시트_04.10월 손익보정 내역(04.10.15~)_8.퇴직급여 8-1.보너스충당금_name of fund_Template회사작성분 검토_PEF(2)_I2 6월 결산 검증서_복합대출상품_20101126 2 2" xfId="18474"/>
    <cellStyle name="-_  코크렙1호 조서 등-강지웅의 워크시트_04.10월 손익보정 내역(04.10.15~)_8.퇴직급여 8-1.보너스충당금_Template회사작성분 검토_PEF(2)" xfId="18475"/>
    <cellStyle name="-_  코크렙1호 조서 등-강지웅의 워크시트_04.10월 손익보정 내역(04.10.15~)_8.퇴직급여 8-1.보너스충당금_Template회사작성분 검토_PEF(2) 2" xfId="18476"/>
    <cellStyle name="-_  코크렙1호 조서 등-강지웅의 워크시트_04.10월 손익보정 내역(04.10.15~)_8.퇴직급여 8-1.보너스충당금_Template회사작성분 검토_PEF(2) 2 2" xfId="18477"/>
    <cellStyle name="-_  코크렙1호 조서 등-강지웅의 워크시트_04.10월 손익보정 내역(04.10.15~)_8.퇴직급여 8-1.보너스충당금_Template회사작성분 검토_PEF(2) 3" xfId="18478"/>
    <cellStyle name="-_  코크렙1호 조서 등-강지웅의 워크시트_04.10월 손익보정 내역(04.10.15~)_8.퇴직급여 8-1.보너스충당금_Template회사작성분 검토_PEF(2)_I2 6월 결산 검증서_복합대출상품_20101119" xfId="18479"/>
    <cellStyle name="-_  코크렙1호 조서 등-강지웅의 워크시트_04.10월 손익보정 내역(04.10.15~)_8.퇴직급여 8-1.보너스충당금_Template회사작성분 검토_PEF(2)_I2 6월 결산 검증서_복합대출상품_20101119 2" xfId="18480"/>
    <cellStyle name="-_  코크렙1호 조서 등-강지웅의 워크시트_04.10월 손익보정 내역(04.10.15~)_8.퇴직급여 8-1.보너스충당금_Template회사작성분 검토_PEF(2)_I2 6월 결산 검증서_복합대출상품_20101119 2 2" xfId="18481"/>
    <cellStyle name="-_  코크렙1호 조서 등-강지웅의 워크시트_04.10월 손익보정 내역(04.10.15~)_8.퇴직급여 8-1.보너스충당금_Template회사작성분 검토_PEF(2)_I2 6월 결산 검증서_복합대출상품_20101126" xfId="18482"/>
    <cellStyle name="-_  코크렙1호 조서 등-강지웅의 워크시트_04.10월 손익보정 내역(04.10.15~)_8.퇴직급여 8-1.보너스충당금_Template회사작성분 검토_PEF(2)_I2 6월 결산 검증서_복합대출상품_20101126 2" xfId="18483"/>
    <cellStyle name="-_  코크렙1호 조서 등-강지웅의 워크시트_04.10월 손익보정 내역(04.10.15~)_8.퇴직급여 8-1.보너스충당금_Template회사작성분 검토_PEF(2)_I2 6월 결산 검증서_복합대출상품_20101126 2 2" xfId="18484"/>
    <cellStyle name="-_  코크렙1호 조서 등-강지웅의 워크시트_04.10월 손익보정 내역(04.10.15~)_Book1" xfId="18485"/>
    <cellStyle name="-_  코크렙1호 조서 등-강지웅의 워크시트_04.10월 손익보정 내역(04.10.15~)_Book1 2" xfId="18486"/>
    <cellStyle name="-_  코크렙1호 조서 등-강지웅의 워크시트_04.10월 손익보정 내역(04.10.15~)_Book1 2 2" xfId="18487"/>
    <cellStyle name="-_  코크렙1호 조서 등-강지웅의 워크시트_04.10월 손익보정 내역(04.10.15~)_Book1 3" xfId="18488"/>
    <cellStyle name="-_  코크렙1호 조서 등-강지웅의 워크시트_04.10월 손익보정 내역(04.10.15~)_Book1_1.창업관련 회계처리" xfId="18489"/>
    <cellStyle name="-_  코크렙1호 조서 등-강지웅의 워크시트_04.10월 손익보정 내역(04.10.15~)_Book1_1.창업관련 회계처리 2" xfId="18490"/>
    <cellStyle name="-_  코크렙1호 조서 등-강지웅의 워크시트_04.10월 손익보정 내역(04.10.15~)_Book1_1.창업관련 회계처리 2 2" xfId="18491"/>
    <cellStyle name="-_  코크렙1호 조서 등-강지웅의 워크시트_04.10월 손익보정 내역(04.10.15~)_Book1_1.창업관련 회계처리 3" xfId="18492"/>
    <cellStyle name="-_  코크렙1호 조서 등-강지웅의 워크시트_04.10월 손익보정 내역(04.10.15~)_Book1_1.창업관련 회계처리_I2 6월 결산 검증서_복합대출상품_20101119" xfId="18493"/>
    <cellStyle name="-_  코크렙1호 조서 등-강지웅의 워크시트_04.10월 손익보정 내역(04.10.15~)_Book1_1.창업관련 회계처리_I2 6월 결산 검증서_복합대출상품_20101119 2" xfId="18494"/>
    <cellStyle name="-_  코크렙1호 조서 등-강지웅의 워크시트_04.10월 손익보정 내역(04.10.15~)_Book1_1.창업관련 회계처리_I2 6월 결산 검증서_복합대출상품_20101119 2 2" xfId="18495"/>
    <cellStyle name="-_  코크렙1호 조서 등-강지웅의 워크시트_04.10월 손익보정 내역(04.10.15~)_Book1_1.창업관련 회계처리_I2 6월 결산 검증서_복합대출상품_20101126" xfId="18496"/>
    <cellStyle name="-_  코크렙1호 조서 등-강지웅의 워크시트_04.10월 손익보정 내역(04.10.15~)_Book1_1.창업관련 회계처리_I2 6월 결산 검증서_복합대출상품_20101126 2" xfId="18497"/>
    <cellStyle name="-_  코크렙1호 조서 등-강지웅의 워크시트_04.10월 손익보정 내역(04.10.15~)_Book1_1.창업관련 회계처리_I2 6월 결산 검증서_복합대출상품_20101126 2 2" xfId="18498"/>
    <cellStyle name="-_  코크렙1호 조서 등-강지웅의 워크시트_04.10월 손익보정 내역(04.10.15~)_Book1_1.창업관련 회계처리_Template회사작성분 검토_PEF(2)" xfId="18499"/>
    <cellStyle name="-_  코크렙1호 조서 등-강지웅의 워크시트_04.10월 손익보정 내역(04.10.15~)_Book1_1.창업관련 회계처리_Template회사작성분 검토_PEF(2) 2" xfId="18500"/>
    <cellStyle name="-_  코크렙1호 조서 등-강지웅의 워크시트_04.10월 손익보정 내역(04.10.15~)_Book1_1.창업관련 회계처리_Template회사작성분 검토_PEF(2) 2 2" xfId="18501"/>
    <cellStyle name="-_  코크렙1호 조서 등-강지웅의 워크시트_04.10월 손익보정 내역(04.10.15~)_Book1_1.창업관련 회계처리_Template회사작성분 검토_PEF(2) 3" xfId="18502"/>
    <cellStyle name="-_  코크렙1호 조서 등-강지웅의 워크시트_04.10월 손익보정 내역(04.10.15~)_Book1_1.창업관련 회계처리_Template회사작성분 검토_PEF(2)_I2 6월 결산 검증서_복합대출상품_20101119" xfId="18503"/>
    <cellStyle name="-_  코크렙1호 조서 등-강지웅의 워크시트_04.10월 손익보정 내역(04.10.15~)_Book1_1.창업관련 회계처리_Template회사작성분 검토_PEF(2)_I2 6월 결산 검증서_복합대출상품_20101119 2" xfId="18504"/>
    <cellStyle name="-_  코크렙1호 조서 등-강지웅의 워크시트_04.10월 손익보정 내역(04.10.15~)_Book1_1.창업관련 회계처리_Template회사작성분 검토_PEF(2)_I2 6월 결산 검증서_복합대출상품_20101119 2 2" xfId="18505"/>
    <cellStyle name="-_  코크렙1호 조서 등-강지웅의 워크시트_04.10월 손익보정 내역(04.10.15~)_Book1_1.창업관련 회계처리_Template회사작성분 검토_PEF(2)_I2 6월 결산 검증서_복합대출상품_20101126" xfId="18506"/>
    <cellStyle name="-_  코크렙1호 조서 등-강지웅의 워크시트_04.10월 손익보정 내역(04.10.15~)_Book1_1.창업관련 회계처리_Template회사작성분 검토_PEF(2)_I2 6월 결산 검증서_복합대출상품_20101126 2" xfId="18507"/>
    <cellStyle name="-_  코크렙1호 조서 등-강지웅의 워크시트_04.10월 손익보정 내역(04.10.15~)_Book1_1.창업관련 회계처리_Template회사작성분 검토_PEF(2)_I2 6월 결산 검증서_복합대출상품_20101126 2 2" xfId="18508"/>
    <cellStyle name="-_  코크렙1호 조서 등-강지웅의 워크시트_04.10월 손익보정 내역(04.10.15~)_Book1_I2 6월 결산 검증서_복합대출상품_20101119" xfId="18509"/>
    <cellStyle name="-_  코크렙1호 조서 등-강지웅의 워크시트_04.10월 손익보정 내역(04.10.15~)_Book1_I2 6월 결산 검증서_복합대출상품_20101119 2" xfId="18510"/>
    <cellStyle name="-_  코크렙1호 조서 등-강지웅의 워크시트_04.10월 손익보정 내역(04.10.15~)_Book1_I2 6월 결산 검증서_복합대출상품_20101119 2 2" xfId="18511"/>
    <cellStyle name="-_  코크렙1호 조서 등-강지웅의 워크시트_04.10월 손익보정 내역(04.10.15~)_Book1_I2 6월 결산 검증서_복합대출상품_20101126" xfId="18512"/>
    <cellStyle name="-_  코크렙1호 조서 등-강지웅의 워크시트_04.10월 손익보정 내역(04.10.15~)_Book1_I2 6월 결산 검증서_복합대출상품_20101126 2" xfId="18513"/>
    <cellStyle name="-_  코크렙1호 조서 등-강지웅의 워크시트_04.10월 손익보정 내역(04.10.15~)_Book1_I2 6월 결산 검증서_복합대출상품_20101126 2 2" xfId="18514"/>
    <cellStyle name="-_  코크렙1호 조서 등-강지웅의 워크시트_04.10월 손익보정 내역(04.10.15~)_Book1_name of fund" xfId="18515"/>
    <cellStyle name="-_  코크렙1호 조서 등-강지웅의 워크시트_04.10월 손익보정 내역(04.10.15~)_Book1_name of fund 2" xfId="18516"/>
    <cellStyle name="-_  코크렙1호 조서 등-강지웅의 워크시트_04.10월 손익보정 내역(04.10.15~)_Book1_name of fund 2 2" xfId="18517"/>
    <cellStyle name="-_  코크렙1호 조서 등-강지웅의 워크시트_04.10월 손익보정 내역(04.10.15~)_Book1_name of fund 3" xfId="18518"/>
    <cellStyle name="-_  코크렙1호 조서 등-강지웅의 워크시트_04.10월 손익보정 내역(04.10.15~)_Book1_name of fund_I2 6월 결산 검증서_복합대출상품_20101119" xfId="18519"/>
    <cellStyle name="-_  코크렙1호 조서 등-강지웅의 워크시트_04.10월 손익보정 내역(04.10.15~)_Book1_name of fund_I2 6월 결산 검증서_복합대출상품_20101119 2" xfId="18520"/>
    <cellStyle name="-_  코크렙1호 조서 등-강지웅의 워크시트_04.10월 손익보정 내역(04.10.15~)_Book1_name of fund_I2 6월 결산 검증서_복합대출상품_20101119 2 2" xfId="18521"/>
    <cellStyle name="-_  코크렙1호 조서 등-강지웅의 워크시트_04.10월 손익보정 내역(04.10.15~)_Book1_name of fund_I2 6월 결산 검증서_복합대출상품_20101126" xfId="18522"/>
    <cellStyle name="-_  코크렙1호 조서 등-강지웅의 워크시트_04.10월 손익보정 내역(04.10.15~)_Book1_name of fund_I2 6월 결산 검증서_복합대출상품_20101126 2" xfId="18523"/>
    <cellStyle name="-_  코크렙1호 조서 등-강지웅의 워크시트_04.10월 손익보정 내역(04.10.15~)_Book1_name of fund_I2 6월 결산 검증서_복합대출상품_20101126 2 2" xfId="18524"/>
    <cellStyle name="-_  코크렙1호 조서 등-강지웅의 워크시트_04.10월 손익보정 내역(04.10.15~)_Book1_name of fund_Template회사작성분 검토_PEF(2)" xfId="18525"/>
    <cellStyle name="-_  코크렙1호 조서 등-강지웅의 워크시트_04.10월 손익보정 내역(04.10.15~)_Book1_name of fund_Template회사작성분 검토_PEF(2) 2" xfId="18526"/>
    <cellStyle name="-_  코크렙1호 조서 등-강지웅의 워크시트_04.10월 손익보정 내역(04.10.15~)_Book1_name of fund_Template회사작성분 검토_PEF(2) 2 2" xfId="18527"/>
    <cellStyle name="-_  코크렙1호 조서 등-강지웅의 워크시트_04.10월 손익보정 내역(04.10.15~)_Book1_name of fund_Template회사작성분 검토_PEF(2) 3" xfId="18528"/>
    <cellStyle name="-_  코크렙1호 조서 등-강지웅의 워크시트_04.10월 손익보정 내역(04.10.15~)_Book1_name of fund_Template회사작성분 검토_PEF(2)_I2 6월 결산 검증서_복합대출상품_20101119" xfId="18529"/>
    <cellStyle name="-_  코크렙1호 조서 등-강지웅의 워크시트_04.10월 손익보정 내역(04.10.15~)_Book1_name of fund_Template회사작성분 검토_PEF(2)_I2 6월 결산 검증서_복합대출상품_20101119 2" xfId="18530"/>
    <cellStyle name="-_  코크렙1호 조서 등-강지웅의 워크시트_04.10월 손익보정 내역(04.10.15~)_Book1_name of fund_Template회사작성분 검토_PEF(2)_I2 6월 결산 검증서_복합대출상품_20101119 2 2" xfId="18531"/>
    <cellStyle name="-_  코크렙1호 조서 등-강지웅의 워크시트_04.10월 손익보정 내역(04.10.15~)_Book1_name of fund_Template회사작성분 검토_PEF(2)_I2 6월 결산 검증서_복합대출상품_20101126" xfId="18532"/>
    <cellStyle name="-_  코크렙1호 조서 등-강지웅의 워크시트_04.10월 손익보정 내역(04.10.15~)_Book1_name of fund_Template회사작성분 검토_PEF(2)_I2 6월 결산 검증서_복합대출상품_20101126 2" xfId="18533"/>
    <cellStyle name="-_  코크렙1호 조서 등-강지웅의 워크시트_04.10월 손익보정 내역(04.10.15~)_Book1_name of fund_Template회사작성분 검토_PEF(2)_I2 6월 결산 검증서_복합대출상품_20101126 2 2" xfId="18534"/>
    <cellStyle name="-_  코크렙1호 조서 등-강지웅의 워크시트_04.10월 손익보정 내역(04.10.15~)_Book1_Template회사작성분 검토_PEF(2)" xfId="18535"/>
    <cellStyle name="-_  코크렙1호 조서 등-강지웅의 워크시트_04.10월 손익보정 내역(04.10.15~)_Book1_Template회사작성분 검토_PEF(2) 2" xfId="18536"/>
    <cellStyle name="-_  코크렙1호 조서 등-강지웅의 워크시트_04.10월 손익보정 내역(04.10.15~)_Book1_Template회사작성분 검토_PEF(2) 2 2" xfId="18537"/>
    <cellStyle name="-_  코크렙1호 조서 등-강지웅의 워크시트_04.10월 손익보정 내역(04.10.15~)_Book1_Template회사작성분 검토_PEF(2) 3" xfId="18538"/>
    <cellStyle name="-_  코크렙1호 조서 등-강지웅의 워크시트_04.10월 손익보정 내역(04.10.15~)_Book1_Template회사작성분 검토_PEF(2)_I2 6월 결산 검증서_복합대출상품_20101119" xfId="18539"/>
    <cellStyle name="-_  코크렙1호 조서 등-강지웅의 워크시트_04.10월 손익보정 내역(04.10.15~)_Book1_Template회사작성분 검토_PEF(2)_I2 6월 결산 검증서_복합대출상품_20101119 2" xfId="18540"/>
    <cellStyle name="-_  코크렙1호 조서 등-강지웅의 워크시트_04.10월 손익보정 내역(04.10.15~)_Book1_Template회사작성분 검토_PEF(2)_I2 6월 결산 검증서_복합대출상품_20101119 2 2" xfId="18541"/>
    <cellStyle name="-_  코크렙1호 조서 등-강지웅의 워크시트_04.10월 손익보정 내역(04.10.15~)_Book1_Template회사작성분 검토_PEF(2)_I2 6월 결산 검증서_복합대출상품_20101126" xfId="18542"/>
    <cellStyle name="-_  코크렙1호 조서 등-강지웅의 워크시트_04.10월 손익보정 내역(04.10.15~)_Book1_Template회사작성분 검토_PEF(2)_I2 6월 결산 검증서_복합대출상품_20101126 2" xfId="18543"/>
    <cellStyle name="-_  코크렙1호 조서 등-강지웅의 워크시트_04.10월 손익보정 내역(04.10.15~)_Book1_Template회사작성분 검토_PEF(2)_I2 6월 결산 검증서_복합대출상품_20101126 2 2" xfId="18544"/>
    <cellStyle name="-_  코크렙1호 조서 등-강지웅의 워크시트_04.10월 손익보정 내역(04.10.15~)_I2 6월 결산 검증서_복합대출상품_20101119" xfId="18545"/>
    <cellStyle name="-_  코크렙1호 조서 등-강지웅의 워크시트_04.10월 손익보정 내역(04.10.15~)_I2 6월 결산 검증서_복합대출상품_20101119 2" xfId="18546"/>
    <cellStyle name="-_  코크렙1호 조서 등-강지웅의 워크시트_04.10월 손익보정 내역(04.10.15~)_I2 6월 결산 검증서_복합대출상품_20101119 2 2" xfId="18547"/>
    <cellStyle name="-_  코크렙1호 조서 등-강지웅의 워크시트_04.10월 손익보정 내역(04.10.15~)_I2 6월 결산 검증서_복합대출상품_20101126" xfId="18548"/>
    <cellStyle name="-_  코크렙1호 조서 등-강지웅의 워크시트_04.10월 손익보정 내역(04.10.15~)_I2 6월 결산 검증서_복합대출상품_20101126 2" xfId="18549"/>
    <cellStyle name="-_  코크렙1호 조서 등-강지웅의 워크시트_04.10월 손익보정 내역(04.10.15~)_I2 6월 결산 검증서_복합대출상품_20101126 2 2" xfId="18550"/>
    <cellStyle name="-_  코크렙1호 조서 등-강지웅의 워크시트_04.10월 손익보정 내역(04.10.15~)_name of fund" xfId="18551"/>
    <cellStyle name="-_  코크렙1호 조서 등-강지웅의 워크시트_04.10월 손익보정 내역(04.10.15~)_name of fund 2" xfId="18552"/>
    <cellStyle name="-_  코크렙1호 조서 등-강지웅의 워크시트_04.10월 손익보정 내역(04.10.15~)_name of fund 2 2" xfId="18553"/>
    <cellStyle name="-_  코크렙1호 조서 등-강지웅의 워크시트_04.10월 손익보정 내역(04.10.15~)_name of fund 3" xfId="18554"/>
    <cellStyle name="-_  코크렙1호 조서 등-강지웅의 워크시트_04.10월 손익보정 내역(04.10.15~)_name of fund_I2 6월 결산 검증서_복합대출상품_20101119" xfId="18555"/>
    <cellStyle name="-_  코크렙1호 조서 등-강지웅의 워크시트_04.10월 손익보정 내역(04.10.15~)_name of fund_I2 6월 결산 검증서_복합대출상품_20101119 2" xfId="18556"/>
    <cellStyle name="-_  코크렙1호 조서 등-강지웅의 워크시트_04.10월 손익보정 내역(04.10.15~)_name of fund_I2 6월 결산 검증서_복합대출상품_20101119 2 2" xfId="18557"/>
    <cellStyle name="-_  코크렙1호 조서 등-강지웅의 워크시트_04.10월 손익보정 내역(04.10.15~)_name of fund_I2 6월 결산 검증서_복합대출상품_20101126" xfId="18558"/>
    <cellStyle name="-_  코크렙1호 조서 등-강지웅의 워크시트_04.10월 손익보정 내역(04.10.15~)_name of fund_I2 6월 결산 검증서_복합대출상품_20101126 2" xfId="18559"/>
    <cellStyle name="-_  코크렙1호 조서 등-강지웅의 워크시트_04.10월 손익보정 내역(04.10.15~)_name of fund_I2 6월 결산 검증서_복합대출상품_20101126 2 2" xfId="18560"/>
    <cellStyle name="-_  코크렙1호 조서 등-강지웅의 워크시트_04.10월 손익보정 내역(04.10.15~)_name of fund_Template회사작성분 검토_PEF(2)" xfId="18561"/>
    <cellStyle name="-_  코크렙1호 조서 등-강지웅의 워크시트_04.10월 손익보정 내역(04.10.15~)_name of fund_Template회사작성분 검토_PEF(2) 2" xfId="18562"/>
    <cellStyle name="-_  코크렙1호 조서 등-강지웅의 워크시트_04.10월 손익보정 내역(04.10.15~)_name of fund_Template회사작성분 검토_PEF(2) 2 2" xfId="18563"/>
    <cellStyle name="-_  코크렙1호 조서 등-강지웅의 워크시트_04.10월 손익보정 내역(04.10.15~)_name of fund_Template회사작성분 검토_PEF(2) 3" xfId="18564"/>
    <cellStyle name="-_  코크렙1호 조서 등-강지웅의 워크시트_04.10월 손익보정 내역(04.10.15~)_name of fund_Template회사작성분 검토_PEF(2)_I2 6월 결산 검증서_복합대출상품_20101119" xfId="18565"/>
    <cellStyle name="-_  코크렙1호 조서 등-강지웅의 워크시트_04.10월 손익보정 내역(04.10.15~)_name of fund_Template회사작성분 검토_PEF(2)_I2 6월 결산 검증서_복합대출상품_20101119 2" xfId="18566"/>
    <cellStyle name="-_  코크렙1호 조서 등-강지웅의 워크시트_04.10월 손익보정 내역(04.10.15~)_name of fund_Template회사작성분 검토_PEF(2)_I2 6월 결산 검증서_복합대출상품_20101119 2 2" xfId="18567"/>
    <cellStyle name="-_  코크렙1호 조서 등-강지웅의 워크시트_04.10월 손익보정 내역(04.10.15~)_name of fund_Template회사작성분 검토_PEF(2)_I2 6월 결산 검증서_복합대출상품_20101126" xfId="18568"/>
    <cellStyle name="-_  코크렙1호 조서 등-강지웅의 워크시트_04.10월 손익보정 내역(04.10.15~)_name of fund_Template회사작성분 검토_PEF(2)_I2 6월 결산 검증서_복합대출상품_20101126 2" xfId="18569"/>
    <cellStyle name="-_  코크렙1호 조서 등-강지웅의 워크시트_04.10월 손익보정 내역(04.10.15~)_name of fund_Template회사작성분 검토_PEF(2)_I2 6월 결산 검증서_복합대출상품_20101126 2 2" xfId="18570"/>
    <cellStyle name="-_  코크렙1호 조서 등-강지웅의 워크시트_04.10월 손익보정 내역(04.10.15~)_Template회사작성분 검토_PEF(2)" xfId="18571"/>
    <cellStyle name="-_  코크렙1호 조서 등-강지웅의 워크시트_04.10월 손익보정 내역(04.10.15~)_Template회사작성분 검토_PEF(2) 2" xfId="18572"/>
    <cellStyle name="-_  코크렙1호 조서 등-강지웅의 워크시트_04.10월 손익보정 내역(04.10.15~)_Template회사작성분 검토_PEF(2) 2 2" xfId="18573"/>
    <cellStyle name="-_  코크렙1호 조서 등-강지웅의 워크시트_04.10월 손익보정 내역(04.10.15~)_Template회사작성분 검토_PEF(2) 3" xfId="18574"/>
    <cellStyle name="-_  코크렙1호 조서 등-강지웅의 워크시트_04.10월 손익보정 내역(04.10.15~)_Template회사작성분 검토_PEF(2)_I2 6월 결산 검증서_복합대출상품_20101119" xfId="18575"/>
    <cellStyle name="-_  코크렙1호 조서 등-강지웅의 워크시트_04.10월 손익보정 내역(04.10.15~)_Template회사작성분 검토_PEF(2)_I2 6월 결산 검증서_복합대출상품_20101119 2" xfId="18576"/>
    <cellStyle name="-_  코크렙1호 조서 등-강지웅의 워크시트_04.10월 손익보정 내역(04.10.15~)_Template회사작성분 검토_PEF(2)_I2 6월 결산 검증서_복합대출상품_20101119 2 2" xfId="18577"/>
    <cellStyle name="-_  코크렙1호 조서 등-강지웅의 워크시트_04.10월 손익보정 내역(04.10.15~)_Template회사작성분 검토_PEF(2)_I2 6월 결산 검증서_복합대출상품_20101126" xfId="18578"/>
    <cellStyle name="-_  코크렙1호 조서 등-강지웅의 워크시트_04.10월 손익보정 내역(04.10.15~)_Template회사작성분 검토_PEF(2)_I2 6월 결산 검증서_복합대출상품_20101126 2" xfId="18579"/>
    <cellStyle name="-_  코크렙1호 조서 등-강지웅의 워크시트_04.10월 손익보정 내역(04.10.15~)_Template회사작성분 검토_PEF(2)_I2 6월 결산 검증서_복합대출상품_20101126 2 2" xfId="18580"/>
    <cellStyle name="-_  코크렙1호 조서 등-강지웅의 워크시트_04.10월 손익보정 내역(04.10.15~)_제2기 손익보정 내역(05.4.1~06.3.31)" xfId="18581"/>
    <cellStyle name="-_  코크렙1호 조서 등-강지웅의 워크시트_04.10월 손익보정 내역(04.10.15~)_제2기 손익보정 내역(05.4.1~06.3.31) 2" xfId="18582"/>
    <cellStyle name="-_  코크렙1호 조서 등-강지웅의 워크시트_04.10월 손익보정 내역(04.10.15~)_제2기 손익보정 내역(05.4.1~06.3.31) 2 2" xfId="18583"/>
    <cellStyle name="-_  코크렙1호 조서 등-강지웅의 워크시트_04.10월 손익보정 내역(04.10.15~)_제2기 손익보정 내역(05.4.1~06.3.31) 3" xfId="18584"/>
    <cellStyle name="-_  코크렙1호 조서 등-강지웅의 워크시트_04.10월 손익보정 내역(04.10.15~)_제2기 손익보정 내역(05.4.1~06.3.31)_1.창업관련 회계처리" xfId="18585"/>
    <cellStyle name="-_  코크렙1호 조서 등-강지웅의 워크시트_04.10월 손익보정 내역(04.10.15~)_제2기 손익보정 내역(05.4.1~06.3.31)_1.창업관련 회계처리 2" xfId="18586"/>
    <cellStyle name="-_  코크렙1호 조서 등-강지웅의 워크시트_04.10월 손익보정 내역(04.10.15~)_제2기 손익보정 내역(05.4.1~06.3.31)_1.창업관련 회계처리 2 2" xfId="18587"/>
    <cellStyle name="-_  코크렙1호 조서 등-강지웅의 워크시트_04.10월 손익보정 내역(04.10.15~)_제2기 손익보정 내역(05.4.1~06.3.31)_1.창업관련 회계처리 3" xfId="18588"/>
    <cellStyle name="-_  코크렙1호 조서 등-강지웅의 워크시트_04.10월 손익보정 내역(04.10.15~)_제2기 손익보정 내역(05.4.1~06.3.31)_1.창업관련 회계처리_I2 6월 결산 검증서_복합대출상품_20101119" xfId="18589"/>
    <cellStyle name="-_  코크렙1호 조서 등-강지웅의 워크시트_04.10월 손익보정 내역(04.10.15~)_제2기 손익보정 내역(05.4.1~06.3.31)_1.창업관련 회계처리_I2 6월 결산 검증서_복합대출상품_20101119 2" xfId="18590"/>
    <cellStyle name="-_  코크렙1호 조서 등-강지웅의 워크시트_04.10월 손익보정 내역(04.10.15~)_제2기 손익보정 내역(05.4.1~06.3.31)_1.창업관련 회계처리_I2 6월 결산 검증서_복합대출상품_20101119 2 2" xfId="18591"/>
    <cellStyle name="-_  코크렙1호 조서 등-강지웅의 워크시트_04.10월 손익보정 내역(04.10.15~)_제2기 손익보정 내역(05.4.1~06.3.31)_1.창업관련 회계처리_I2 6월 결산 검증서_복합대출상품_20101126" xfId="18592"/>
    <cellStyle name="-_  코크렙1호 조서 등-강지웅의 워크시트_04.10월 손익보정 내역(04.10.15~)_제2기 손익보정 내역(05.4.1~06.3.31)_1.창업관련 회계처리_I2 6월 결산 검증서_복합대출상품_20101126 2" xfId="18593"/>
    <cellStyle name="-_  코크렙1호 조서 등-강지웅의 워크시트_04.10월 손익보정 내역(04.10.15~)_제2기 손익보정 내역(05.4.1~06.3.31)_1.창업관련 회계처리_I2 6월 결산 검증서_복합대출상품_20101126 2 2" xfId="18594"/>
    <cellStyle name="-_  코크렙1호 조서 등-강지웅의 워크시트_04.10월 손익보정 내역(04.10.15~)_제2기 손익보정 내역(05.4.1~06.3.31)_1.창업관련 회계처리_Template회사작성분 검토_PEF(2)" xfId="18595"/>
    <cellStyle name="-_  코크렙1호 조서 등-강지웅의 워크시트_04.10월 손익보정 내역(04.10.15~)_제2기 손익보정 내역(05.4.1~06.3.31)_1.창업관련 회계처리_Template회사작성분 검토_PEF(2) 2" xfId="18596"/>
    <cellStyle name="-_  코크렙1호 조서 등-강지웅의 워크시트_04.10월 손익보정 내역(04.10.15~)_제2기 손익보정 내역(05.4.1~06.3.31)_1.창업관련 회계처리_Template회사작성분 검토_PEF(2) 2 2" xfId="18597"/>
    <cellStyle name="-_  코크렙1호 조서 등-강지웅의 워크시트_04.10월 손익보정 내역(04.10.15~)_제2기 손익보정 내역(05.4.1~06.3.31)_1.창업관련 회계처리_Template회사작성분 검토_PEF(2) 3" xfId="18598"/>
    <cellStyle name="-_  코크렙1호 조서 등-강지웅의 워크시트_04.10월 손익보정 내역(04.10.15~)_제2기 손익보정 내역(05.4.1~06.3.31)_1.창업관련 회계처리_Template회사작성분 검토_PEF(2)_I2 6월 결산 검증서_복합대출상품_20101119" xfId="18599"/>
    <cellStyle name="-_  코크렙1호 조서 등-강지웅의 워크시트_04.10월 손익보정 내역(04.10.15~)_제2기 손익보정 내역(05.4.1~06.3.31)_1.창업관련 회계처리_Template회사작성분 검토_PEF(2)_I2 6월 결산 검증서_복합대출상품_20101119 2" xfId="18600"/>
    <cellStyle name="-_  코크렙1호 조서 등-강지웅의 워크시트_04.10월 손익보정 내역(04.10.15~)_제2기 손익보정 내역(05.4.1~06.3.31)_1.창업관련 회계처리_Template회사작성분 검토_PEF(2)_I2 6월 결산 검증서_복합대출상품_20101119 2 2" xfId="18601"/>
    <cellStyle name="-_  코크렙1호 조서 등-강지웅의 워크시트_04.10월 손익보정 내역(04.10.15~)_제2기 손익보정 내역(05.4.1~06.3.31)_1.창업관련 회계처리_Template회사작성분 검토_PEF(2)_I2 6월 결산 검증서_복합대출상품_20101126" xfId="18602"/>
    <cellStyle name="-_  코크렙1호 조서 등-강지웅의 워크시트_04.10월 손익보정 내역(04.10.15~)_제2기 손익보정 내역(05.4.1~06.3.31)_1.창업관련 회계처리_Template회사작성분 검토_PEF(2)_I2 6월 결산 검증서_복합대출상품_20101126 2" xfId="18603"/>
    <cellStyle name="-_  코크렙1호 조서 등-강지웅의 워크시트_04.10월 손익보정 내역(04.10.15~)_제2기 손익보정 내역(05.4.1~06.3.31)_1.창업관련 회계처리_Template회사작성분 검토_PEF(2)_I2 6월 결산 검증서_복합대출상품_20101126 2 2" xfId="18604"/>
    <cellStyle name="-_  코크렙1호 조서 등-강지웅의 워크시트_04.10월 손익보정 내역(04.10.15~)_제2기 손익보정 내역(05.4.1~06.3.31)_I2 6월 결산 검증서_복합대출상품_20101119" xfId="18605"/>
    <cellStyle name="-_  코크렙1호 조서 등-강지웅의 워크시트_04.10월 손익보정 내역(04.10.15~)_제2기 손익보정 내역(05.4.1~06.3.31)_I2 6월 결산 검증서_복합대출상품_20101119 2" xfId="18606"/>
    <cellStyle name="-_  코크렙1호 조서 등-강지웅의 워크시트_04.10월 손익보정 내역(04.10.15~)_제2기 손익보정 내역(05.4.1~06.3.31)_I2 6월 결산 검증서_복합대출상품_20101119 2 2" xfId="18607"/>
    <cellStyle name="-_  코크렙1호 조서 등-강지웅의 워크시트_04.10월 손익보정 내역(04.10.15~)_제2기 손익보정 내역(05.4.1~06.3.31)_I2 6월 결산 검증서_복합대출상품_20101126" xfId="18608"/>
    <cellStyle name="-_  코크렙1호 조서 등-강지웅의 워크시트_04.10월 손익보정 내역(04.10.15~)_제2기 손익보정 내역(05.4.1~06.3.31)_I2 6월 결산 검증서_복합대출상품_20101126 2" xfId="18609"/>
    <cellStyle name="-_  코크렙1호 조서 등-강지웅의 워크시트_04.10월 손익보정 내역(04.10.15~)_제2기 손익보정 내역(05.4.1~06.3.31)_I2 6월 결산 검증서_복합대출상품_20101126 2 2" xfId="18610"/>
    <cellStyle name="-_  코크렙1호 조서 등-강지웅의 워크시트_04.10월 손익보정 내역(04.10.15~)_제2기 손익보정 내역(05.4.1~06.3.31)_name of fund" xfId="18611"/>
    <cellStyle name="-_  코크렙1호 조서 등-강지웅의 워크시트_04.10월 손익보정 내역(04.10.15~)_제2기 손익보정 내역(05.4.1~06.3.31)_name of fund 2" xfId="18612"/>
    <cellStyle name="-_  코크렙1호 조서 등-강지웅의 워크시트_04.10월 손익보정 내역(04.10.15~)_제2기 손익보정 내역(05.4.1~06.3.31)_name of fund 2 2" xfId="18613"/>
    <cellStyle name="-_  코크렙1호 조서 등-강지웅의 워크시트_04.10월 손익보정 내역(04.10.15~)_제2기 손익보정 내역(05.4.1~06.3.31)_name of fund 3" xfId="18614"/>
    <cellStyle name="-_  코크렙1호 조서 등-강지웅의 워크시트_04.10월 손익보정 내역(04.10.15~)_제2기 손익보정 내역(05.4.1~06.3.31)_name of fund_I2 6월 결산 검증서_복합대출상품_20101119" xfId="18615"/>
    <cellStyle name="-_  코크렙1호 조서 등-강지웅의 워크시트_04.10월 손익보정 내역(04.10.15~)_제2기 손익보정 내역(05.4.1~06.3.31)_name of fund_I2 6월 결산 검증서_복합대출상품_20101119 2" xfId="18616"/>
    <cellStyle name="-_  코크렙1호 조서 등-강지웅의 워크시트_04.10월 손익보정 내역(04.10.15~)_제2기 손익보정 내역(05.4.1~06.3.31)_name of fund_I2 6월 결산 검증서_복합대출상품_20101119 2 2" xfId="18617"/>
    <cellStyle name="-_  코크렙1호 조서 등-강지웅의 워크시트_04.10월 손익보정 내역(04.10.15~)_제2기 손익보정 내역(05.4.1~06.3.31)_name of fund_I2 6월 결산 검증서_복합대출상품_20101126" xfId="18618"/>
    <cellStyle name="-_  코크렙1호 조서 등-강지웅의 워크시트_04.10월 손익보정 내역(04.10.15~)_제2기 손익보정 내역(05.4.1~06.3.31)_name of fund_I2 6월 결산 검증서_복합대출상품_20101126 2" xfId="18619"/>
    <cellStyle name="-_  코크렙1호 조서 등-강지웅의 워크시트_04.10월 손익보정 내역(04.10.15~)_제2기 손익보정 내역(05.4.1~06.3.31)_name of fund_I2 6월 결산 검증서_복합대출상품_20101126 2 2" xfId="18620"/>
    <cellStyle name="-_  코크렙1호 조서 등-강지웅의 워크시트_04.10월 손익보정 내역(04.10.15~)_제2기 손익보정 내역(05.4.1~06.3.31)_name of fund_name of fund" xfId="18621"/>
    <cellStyle name="-_  코크렙1호 조서 등-강지웅의 워크시트_04.10월 손익보정 내역(04.10.15~)_제2기 손익보정 내역(05.4.1~06.3.31)_name of fund_name of fund 2" xfId="18622"/>
    <cellStyle name="-_  코크렙1호 조서 등-강지웅의 워크시트_04.10월 손익보정 내역(04.10.15~)_제2기 손익보정 내역(05.4.1~06.3.31)_name of fund_name of fund 2 2" xfId="18623"/>
    <cellStyle name="-_  코크렙1호 조서 등-강지웅의 워크시트_04.10월 손익보정 내역(04.10.15~)_제2기 손익보정 내역(05.4.1~06.3.31)_name of fund_name of fund 3" xfId="18624"/>
    <cellStyle name="-_  코크렙1호 조서 등-강지웅의 워크시트_04.10월 손익보정 내역(04.10.15~)_제2기 손익보정 내역(05.4.1~06.3.31)_name of fund_name of fund_I2 6월 결산 검증서_복합대출상품_20101119" xfId="18625"/>
    <cellStyle name="-_  코크렙1호 조서 등-강지웅의 워크시트_04.10월 손익보정 내역(04.10.15~)_제2기 손익보정 내역(05.4.1~06.3.31)_name of fund_name of fund_I2 6월 결산 검증서_복합대출상품_20101119 2" xfId="18626"/>
    <cellStyle name="-_  코크렙1호 조서 등-강지웅의 워크시트_04.10월 손익보정 내역(04.10.15~)_제2기 손익보정 내역(05.4.1~06.3.31)_name of fund_name of fund_I2 6월 결산 검증서_복합대출상품_20101119 2 2" xfId="18627"/>
    <cellStyle name="-_  코크렙1호 조서 등-강지웅의 워크시트_04.10월 손익보정 내역(04.10.15~)_제2기 손익보정 내역(05.4.1~06.3.31)_name of fund_name of fund_I2 6월 결산 검증서_복합대출상품_20101126" xfId="18628"/>
    <cellStyle name="-_  코크렙1호 조서 등-강지웅의 워크시트_04.10월 손익보정 내역(04.10.15~)_제2기 손익보정 내역(05.4.1~06.3.31)_name of fund_name of fund_I2 6월 결산 검증서_복합대출상품_20101126 2" xfId="18629"/>
    <cellStyle name="-_  코크렙1호 조서 등-강지웅의 워크시트_04.10월 손익보정 내역(04.10.15~)_제2기 손익보정 내역(05.4.1~06.3.31)_name of fund_name of fund_I2 6월 결산 검증서_복합대출상품_20101126 2 2" xfId="18630"/>
    <cellStyle name="-_  코크렙1호 조서 등-강지웅의 워크시트_04.10월 손익보정 내역(04.10.15~)_제2기 손익보정 내역(05.4.1~06.3.31)_name of fund_name of fund_Template회사작성분 검토_PEF(2)" xfId="18631"/>
    <cellStyle name="-_  코크렙1호 조서 등-강지웅의 워크시트_04.10월 손익보정 내역(04.10.15~)_제2기 손익보정 내역(05.4.1~06.3.31)_name of fund_name of fund_Template회사작성분 검토_PEF(2) 2" xfId="18632"/>
    <cellStyle name="-_  코크렙1호 조서 등-강지웅의 워크시트_04.10월 손익보정 내역(04.10.15~)_제2기 손익보정 내역(05.4.1~06.3.31)_name of fund_name of fund_Template회사작성분 검토_PEF(2) 2 2" xfId="18633"/>
    <cellStyle name="-_  코크렙1호 조서 등-강지웅의 워크시트_04.10월 손익보정 내역(04.10.15~)_제2기 손익보정 내역(05.4.1~06.3.31)_name of fund_name of fund_Template회사작성분 검토_PEF(2) 3" xfId="18634"/>
    <cellStyle name="-_  코크렙1호 조서 등-강지웅의 워크시트_04.10월 손익보정 내역(04.10.15~)_제2기 손익보정 내역(05.4.1~06.3.31)_name of fund_name of fund_Template회사작성분 검토_PEF(2)_I2 6월 결산 검증서_복합대출상품_20101119" xfId="18635"/>
    <cellStyle name="-_  코크렙1호 조서 등-강지웅의 워크시트_04.10월 손익보정 내역(04.10.15~)_제2기 손익보정 내역(05.4.1~06.3.31)_name of fund_name of fund_Template회사작성분 검토_PEF(2)_I2 6월 결산 검증서_복합대출상품_20101119 2" xfId="18636"/>
    <cellStyle name="-_  코크렙1호 조서 등-강지웅의 워크시트_04.10월 손익보정 내역(04.10.15~)_제2기 손익보정 내역(05.4.1~06.3.31)_name of fund_name of fund_Template회사작성분 검토_PEF(2)_I2 6월 결산 검증서_복합대출상품_20101119 2 2" xfId="18637"/>
    <cellStyle name="-_  코크렙1호 조서 등-강지웅의 워크시트_04.10월 손익보정 내역(04.10.15~)_제2기 손익보정 내역(05.4.1~06.3.31)_name of fund_name of fund_Template회사작성분 검토_PEF(2)_I2 6월 결산 검증서_복합대출상품_20101126" xfId="18638"/>
    <cellStyle name="-_  코크렙1호 조서 등-강지웅의 워크시트_04.10월 손익보정 내역(04.10.15~)_제2기 손익보정 내역(05.4.1~06.3.31)_name of fund_name of fund_Template회사작성분 검토_PEF(2)_I2 6월 결산 검증서_복합대출상품_20101126 2" xfId="18639"/>
    <cellStyle name="-_  코크렙1호 조서 등-강지웅의 워크시트_04.10월 손익보정 내역(04.10.15~)_제2기 손익보정 내역(05.4.1~06.3.31)_name of fund_name of fund_Template회사작성분 검토_PEF(2)_I2 6월 결산 검증서_복합대출상품_20101126 2 2" xfId="18640"/>
    <cellStyle name="-_  코크렙1호 조서 등-강지웅의 워크시트_04.10월 손익보정 내역(04.10.15~)_제2기 손익보정 내역(05.4.1~06.3.31)_name of fund_Template회사작성분 검토_PEF(2)" xfId="18641"/>
    <cellStyle name="-_  코크렙1호 조서 등-강지웅의 워크시트_04.10월 손익보정 내역(04.10.15~)_제2기 손익보정 내역(05.4.1~06.3.31)_name of fund_Template회사작성분 검토_PEF(2) 2" xfId="18642"/>
    <cellStyle name="-_  코크렙1호 조서 등-강지웅의 워크시트_04.10월 손익보정 내역(04.10.15~)_제2기 손익보정 내역(05.4.1~06.3.31)_name of fund_Template회사작성분 검토_PEF(2) 2 2" xfId="18643"/>
    <cellStyle name="-_  코크렙1호 조서 등-강지웅의 워크시트_04.10월 손익보정 내역(04.10.15~)_제2기 손익보정 내역(05.4.1~06.3.31)_name of fund_Template회사작성분 검토_PEF(2) 3" xfId="18644"/>
    <cellStyle name="-_  코크렙1호 조서 등-강지웅의 워크시트_04.10월 손익보정 내역(04.10.15~)_제2기 손익보정 내역(05.4.1~06.3.31)_name of fund_Template회사작성분 검토_PEF(2)_I2 6월 결산 검증서_복합대출상품_20101119" xfId="18645"/>
    <cellStyle name="-_  코크렙1호 조서 등-강지웅의 워크시트_04.10월 손익보정 내역(04.10.15~)_제2기 손익보정 내역(05.4.1~06.3.31)_name of fund_Template회사작성분 검토_PEF(2)_I2 6월 결산 검증서_복합대출상품_20101119 2" xfId="18646"/>
    <cellStyle name="-_  코크렙1호 조서 등-강지웅의 워크시트_04.10월 손익보정 내역(04.10.15~)_제2기 손익보정 내역(05.4.1~06.3.31)_name of fund_Template회사작성분 검토_PEF(2)_I2 6월 결산 검증서_복합대출상품_20101119 2 2" xfId="18647"/>
    <cellStyle name="-_  코크렙1호 조서 등-강지웅의 워크시트_04.10월 손익보정 내역(04.10.15~)_제2기 손익보정 내역(05.4.1~06.3.31)_name of fund_Template회사작성분 검토_PEF(2)_I2 6월 결산 검증서_복합대출상품_20101126" xfId="18648"/>
    <cellStyle name="-_  코크렙1호 조서 등-강지웅의 워크시트_04.10월 손익보정 내역(04.10.15~)_제2기 손익보정 내역(05.4.1~06.3.31)_name of fund_Template회사작성분 검토_PEF(2)_I2 6월 결산 검증서_복합대출상품_20101126 2" xfId="18649"/>
    <cellStyle name="-_  코크렙1호 조서 등-강지웅의 워크시트_04.10월 손익보정 내역(04.10.15~)_제2기 손익보정 내역(05.4.1~06.3.31)_name of fund_Template회사작성분 검토_PEF(2)_I2 6월 결산 검증서_복합대출상품_20101126 2 2" xfId="18650"/>
    <cellStyle name="-_  코크렙1호 조서 등-강지웅의 워크시트_04.10월 손익보정 내역(04.10.15~)_제2기 손익보정 내역(05.4.1~06.3.31)_SUN 입력용fund" xfId="18651"/>
    <cellStyle name="-_  코크렙1호 조서 등-강지웅의 워크시트_04.10월 손익보정 내역(04.10.15~)_제2기 손익보정 내역(05.4.1~06.3.31)_SUN 입력용fund 2" xfId="18652"/>
    <cellStyle name="-_  코크렙1호 조서 등-강지웅의 워크시트_04.10월 손익보정 내역(04.10.15~)_제2기 손익보정 내역(05.4.1~06.3.31)_SUN 입력용fund 2 2" xfId="18653"/>
    <cellStyle name="-_  코크렙1호 조서 등-강지웅의 워크시트_04.10월 손익보정 내역(04.10.15~)_제2기 손익보정 내역(05.4.1~06.3.31)_SUN 입력용fund 3" xfId="18654"/>
    <cellStyle name="-_  코크렙1호 조서 등-강지웅의 워크시트_04.10월 손익보정 내역(04.10.15~)_제2기 손익보정 내역(05.4.1~06.3.31)_SUN 입력용fund_I2 6월 결산 검증서_복합대출상품_20101119" xfId="18655"/>
    <cellStyle name="-_  코크렙1호 조서 등-강지웅의 워크시트_04.10월 손익보정 내역(04.10.15~)_제2기 손익보정 내역(05.4.1~06.3.31)_SUN 입력용fund_I2 6월 결산 검증서_복합대출상품_20101119 2" xfId="18656"/>
    <cellStyle name="-_  코크렙1호 조서 등-강지웅의 워크시트_04.10월 손익보정 내역(04.10.15~)_제2기 손익보정 내역(05.4.1~06.3.31)_SUN 입력용fund_I2 6월 결산 검증서_복합대출상품_20101119 2 2" xfId="18657"/>
    <cellStyle name="-_  코크렙1호 조서 등-강지웅의 워크시트_04.10월 손익보정 내역(04.10.15~)_제2기 손익보정 내역(05.4.1~06.3.31)_SUN 입력용fund_I2 6월 결산 검증서_복합대출상품_20101126" xfId="18658"/>
    <cellStyle name="-_  코크렙1호 조서 등-강지웅의 워크시트_04.10월 손익보정 내역(04.10.15~)_제2기 손익보정 내역(05.4.1~06.3.31)_SUN 입력용fund_I2 6월 결산 검증서_복합대출상품_20101126 2" xfId="18659"/>
    <cellStyle name="-_  코크렙1호 조서 등-강지웅의 워크시트_04.10월 손익보정 내역(04.10.15~)_제2기 손익보정 내역(05.4.1~06.3.31)_SUN 입력용fund_I2 6월 결산 검증서_복합대출상품_20101126 2 2" xfId="18660"/>
    <cellStyle name="-_  코크렙1호 조서 등-강지웅의 워크시트_04.10월 손익보정 내역(04.10.15~)_제2기 손익보정 내역(05.4.1~06.3.31)_SUN 입력용fund_name of fund" xfId="18661"/>
    <cellStyle name="-_  코크렙1호 조서 등-강지웅의 워크시트_04.10월 손익보정 내역(04.10.15~)_제2기 손익보정 내역(05.4.1~06.3.31)_SUN 입력용fund_name of fund 2" xfId="18662"/>
    <cellStyle name="-_  코크렙1호 조서 등-강지웅의 워크시트_04.10월 손익보정 내역(04.10.15~)_제2기 손익보정 내역(05.4.1~06.3.31)_SUN 입력용fund_name of fund 2 2" xfId="18663"/>
    <cellStyle name="-_  코크렙1호 조서 등-강지웅의 워크시트_04.10월 손익보정 내역(04.10.15~)_제2기 손익보정 내역(05.4.1~06.3.31)_SUN 입력용fund_name of fund 3" xfId="18664"/>
    <cellStyle name="-_  코크렙1호 조서 등-강지웅의 워크시트_04.10월 손익보정 내역(04.10.15~)_제2기 손익보정 내역(05.4.1~06.3.31)_SUN 입력용fund_name of fund_I2 6월 결산 검증서_복합대출상품_20101119" xfId="18665"/>
    <cellStyle name="-_  코크렙1호 조서 등-강지웅의 워크시트_04.10월 손익보정 내역(04.10.15~)_제2기 손익보정 내역(05.4.1~06.3.31)_SUN 입력용fund_name of fund_I2 6월 결산 검증서_복합대출상품_20101119 2" xfId="18666"/>
    <cellStyle name="-_  코크렙1호 조서 등-강지웅의 워크시트_04.10월 손익보정 내역(04.10.15~)_제2기 손익보정 내역(05.4.1~06.3.31)_SUN 입력용fund_name of fund_I2 6월 결산 검증서_복합대출상품_20101119 2 2" xfId="18667"/>
    <cellStyle name="-_  코크렙1호 조서 등-강지웅의 워크시트_04.10월 손익보정 내역(04.10.15~)_제2기 손익보정 내역(05.4.1~06.3.31)_SUN 입력용fund_name of fund_I2 6월 결산 검증서_복합대출상품_20101126" xfId="18668"/>
    <cellStyle name="-_  코크렙1호 조서 등-강지웅의 워크시트_04.10월 손익보정 내역(04.10.15~)_제2기 손익보정 내역(05.4.1~06.3.31)_SUN 입력용fund_name of fund_I2 6월 결산 검증서_복합대출상품_20101126 2" xfId="18669"/>
    <cellStyle name="-_  코크렙1호 조서 등-강지웅의 워크시트_04.10월 손익보정 내역(04.10.15~)_제2기 손익보정 내역(05.4.1~06.3.31)_SUN 입력용fund_name of fund_I2 6월 결산 검증서_복합대출상품_20101126 2 2" xfId="18670"/>
    <cellStyle name="-_  코크렙1호 조서 등-강지웅의 워크시트_04.10월 손익보정 내역(04.10.15~)_제2기 손익보정 내역(05.4.1~06.3.31)_SUN 입력용fund_name of fund_Template회사작성분 검토_PEF(2)" xfId="18671"/>
    <cellStyle name="-_  코크렙1호 조서 등-강지웅의 워크시트_04.10월 손익보정 내역(04.10.15~)_제2기 손익보정 내역(05.4.1~06.3.31)_SUN 입력용fund_name of fund_Template회사작성분 검토_PEF(2) 2" xfId="18672"/>
    <cellStyle name="-_  코크렙1호 조서 등-강지웅의 워크시트_04.10월 손익보정 내역(04.10.15~)_제2기 손익보정 내역(05.4.1~06.3.31)_SUN 입력용fund_name of fund_Template회사작성분 검토_PEF(2) 2 2" xfId="18673"/>
    <cellStyle name="-_  코크렙1호 조서 등-강지웅의 워크시트_04.10월 손익보정 내역(04.10.15~)_제2기 손익보정 내역(05.4.1~06.3.31)_SUN 입력용fund_name of fund_Template회사작성분 검토_PEF(2) 3" xfId="18674"/>
    <cellStyle name="-_  코크렙1호 조서 등-강지웅의 워크시트_04.10월 손익보정 내역(04.10.15~)_제2기 손익보정 내역(05.4.1~06.3.31)_SUN 입력용fund_name of fund_Template회사작성분 검토_PEF(2)_I2 6월 결산 검증서_복합대출상품_20101119" xfId="18675"/>
    <cellStyle name="-_  코크렙1호 조서 등-강지웅의 워크시트_04.10월 손익보정 내역(04.10.15~)_제2기 손익보정 내역(05.4.1~06.3.31)_SUN 입력용fund_name of fund_Template회사작성분 검토_PEF(2)_I2 6월 결산 검증서_복합대출상품_20101119 2" xfId="18676"/>
    <cellStyle name="-_  코크렙1호 조서 등-강지웅의 워크시트_04.10월 손익보정 내역(04.10.15~)_제2기 손익보정 내역(05.4.1~06.3.31)_SUN 입력용fund_name of fund_Template회사작성분 검토_PEF(2)_I2 6월 결산 검증서_복합대출상품_20101119 2 2" xfId="18677"/>
    <cellStyle name="-_  코크렙1호 조서 등-강지웅의 워크시트_04.10월 손익보정 내역(04.10.15~)_제2기 손익보정 내역(05.4.1~06.3.31)_SUN 입력용fund_name of fund_Template회사작성분 검토_PEF(2)_I2 6월 결산 검증서_복합대출상품_20101126" xfId="18678"/>
    <cellStyle name="-_  코크렙1호 조서 등-강지웅의 워크시트_04.10월 손익보정 내역(04.10.15~)_제2기 손익보정 내역(05.4.1~06.3.31)_SUN 입력용fund_name of fund_Template회사작성분 검토_PEF(2)_I2 6월 결산 검증서_복합대출상품_20101126 2" xfId="18679"/>
    <cellStyle name="-_  코크렙1호 조서 등-강지웅의 워크시트_04.10월 손익보정 내역(04.10.15~)_제2기 손익보정 내역(05.4.1~06.3.31)_SUN 입력용fund_name of fund_Template회사작성분 검토_PEF(2)_I2 6월 결산 검증서_복합대출상품_20101126 2 2" xfId="18680"/>
    <cellStyle name="-_  코크렙1호 조서 등-강지웅의 워크시트_04.10월 손익보정 내역(04.10.15~)_제2기 손익보정 내역(05.4.1~06.3.31)_SUN 입력용fund_Template회사작성분 검토_PEF(2)" xfId="18681"/>
    <cellStyle name="-_  코크렙1호 조서 등-강지웅의 워크시트_04.10월 손익보정 내역(04.10.15~)_제2기 손익보정 내역(05.4.1~06.3.31)_SUN 입력용fund_Template회사작성분 검토_PEF(2) 2" xfId="18682"/>
    <cellStyle name="-_  코크렙1호 조서 등-강지웅의 워크시트_04.10월 손익보정 내역(04.10.15~)_제2기 손익보정 내역(05.4.1~06.3.31)_SUN 입력용fund_Template회사작성분 검토_PEF(2) 2 2" xfId="18683"/>
    <cellStyle name="-_  코크렙1호 조서 등-강지웅의 워크시트_04.10월 손익보정 내역(04.10.15~)_제2기 손익보정 내역(05.4.1~06.3.31)_SUN 입력용fund_Template회사작성분 검토_PEF(2) 3" xfId="18684"/>
    <cellStyle name="-_  코크렙1호 조서 등-강지웅의 워크시트_04.10월 손익보정 내역(04.10.15~)_제2기 손익보정 내역(05.4.1~06.3.31)_SUN 입력용fund_Template회사작성분 검토_PEF(2)_I2 6월 결산 검증서_복합대출상품_20101119" xfId="18685"/>
    <cellStyle name="-_  코크렙1호 조서 등-강지웅의 워크시트_04.10월 손익보정 내역(04.10.15~)_제2기 손익보정 내역(05.4.1~06.3.31)_SUN 입력용fund_Template회사작성분 검토_PEF(2)_I2 6월 결산 검증서_복합대출상품_20101119 2" xfId="18686"/>
    <cellStyle name="-_  코크렙1호 조서 등-강지웅의 워크시트_04.10월 손익보정 내역(04.10.15~)_제2기 손익보정 내역(05.4.1~06.3.31)_SUN 입력용fund_Template회사작성분 검토_PEF(2)_I2 6월 결산 검증서_복합대출상품_20101119 2 2" xfId="18687"/>
    <cellStyle name="-_  코크렙1호 조서 등-강지웅의 워크시트_04.10월 손익보정 내역(04.10.15~)_제2기 손익보정 내역(05.4.1~06.3.31)_SUN 입력용fund_Template회사작성분 검토_PEF(2)_I2 6월 결산 검증서_복합대출상품_20101126" xfId="18688"/>
    <cellStyle name="-_  코크렙1호 조서 등-강지웅의 워크시트_04.10월 손익보정 내역(04.10.15~)_제2기 손익보정 내역(05.4.1~06.3.31)_SUN 입력용fund_Template회사작성분 검토_PEF(2)_I2 6월 결산 검증서_복합대출상품_20101126 2" xfId="18689"/>
    <cellStyle name="-_  코크렙1호 조서 등-강지웅의 워크시트_04.10월 손익보정 내역(04.10.15~)_제2기 손익보정 내역(05.4.1~06.3.31)_SUN 입력용fund_Template회사작성분 검토_PEF(2)_I2 6월 결산 검증서_복합대출상품_20101126 2 2" xfId="18690"/>
    <cellStyle name="-_  코크렙1호 조서 등-강지웅의 워크시트_04.10월 손익보정 내역(04.10.15~)_제2기 손익보정 내역(05.4.1~06.3.31)_Template회사작성분 검토_PEF(2)" xfId="18691"/>
    <cellStyle name="-_  코크렙1호 조서 등-강지웅의 워크시트_04.10월 손익보정 내역(04.10.15~)_제2기 손익보정 내역(05.4.1~06.3.31)_Template회사작성분 검토_PEF(2) 2" xfId="18692"/>
    <cellStyle name="-_  코크렙1호 조서 등-강지웅의 워크시트_04.10월 손익보정 내역(04.10.15~)_제2기 손익보정 내역(05.4.1~06.3.31)_Template회사작성분 검토_PEF(2) 2 2" xfId="18693"/>
    <cellStyle name="-_  코크렙1호 조서 등-강지웅의 워크시트_04.10월 손익보정 내역(04.10.15~)_제2기 손익보정 내역(05.4.1~06.3.31)_Template회사작성분 검토_PEF(2) 3" xfId="18694"/>
    <cellStyle name="-_  코크렙1호 조서 등-강지웅의 워크시트_04.10월 손익보정 내역(04.10.15~)_제2기 손익보정 내역(05.4.1~06.3.31)_Template회사작성분 검토_PEF(2)_I2 6월 결산 검증서_복합대출상품_20101119" xfId="18695"/>
    <cellStyle name="-_  코크렙1호 조서 등-강지웅의 워크시트_04.10월 손익보정 내역(04.10.15~)_제2기 손익보정 내역(05.4.1~06.3.31)_Template회사작성분 검토_PEF(2)_I2 6월 결산 검증서_복합대출상품_20101119 2" xfId="18696"/>
    <cellStyle name="-_  코크렙1호 조서 등-강지웅의 워크시트_04.10월 손익보정 내역(04.10.15~)_제2기 손익보정 내역(05.4.1~06.3.31)_Template회사작성분 검토_PEF(2)_I2 6월 결산 검증서_복합대출상품_20101119 2 2" xfId="18697"/>
    <cellStyle name="-_  코크렙1호 조서 등-강지웅의 워크시트_04.10월 손익보정 내역(04.10.15~)_제2기 손익보정 내역(05.4.1~06.3.31)_Template회사작성분 검토_PEF(2)_I2 6월 결산 검증서_복합대출상품_20101126" xfId="18698"/>
    <cellStyle name="-_  코크렙1호 조서 등-강지웅의 워크시트_04.10월 손익보정 내역(04.10.15~)_제2기 손익보정 내역(05.4.1~06.3.31)_Template회사작성분 검토_PEF(2)_I2 6월 결산 검증서_복합대출상품_20101126 2" xfId="18699"/>
    <cellStyle name="-_  코크렙1호 조서 등-강지웅의 워크시트_04.10월 손익보정 내역(04.10.15~)_제2기 손익보정 내역(05.4.1~06.3.31)_Template회사작성분 검토_PEF(2)_I2 6월 결산 검증서_복합대출상품_20101126 2 2" xfId="18700"/>
    <cellStyle name="-_  코크렙1호 조서 등-강지웅의 워크시트_1.창업관련 회계처리" xfId="18701"/>
    <cellStyle name="-_  코크렙1호 조서 등-강지웅의 워크시트_1.창업관련 회계처리 2" xfId="18702"/>
    <cellStyle name="-_  코크렙1호 조서 등-강지웅의 워크시트_1.창업관련 회계처리 2 2" xfId="18703"/>
    <cellStyle name="-_  코크렙1호 조서 등-강지웅의 워크시트_1.창업관련 회계처리 3" xfId="18704"/>
    <cellStyle name="-_  코크렙1호 조서 등-강지웅의 워크시트_1.창업관련 회계처리_I2 6월 결산 검증서_복합대출상품_20101119" xfId="18705"/>
    <cellStyle name="-_  코크렙1호 조서 등-강지웅의 워크시트_1.창업관련 회계처리_I2 6월 결산 검증서_복합대출상품_20101119 2" xfId="18706"/>
    <cellStyle name="-_  코크렙1호 조서 등-강지웅의 워크시트_1.창업관련 회계처리_I2 6월 결산 검증서_복합대출상품_20101119 2 2" xfId="18707"/>
    <cellStyle name="-_  코크렙1호 조서 등-강지웅의 워크시트_1.창업관련 회계처리_I2 6월 결산 검증서_복합대출상품_20101126" xfId="18708"/>
    <cellStyle name="-_  코크렙1호 조서 등-강지웅의 워크시트_1.창업관련 회계처리_I2 6월 결산 검증서_복합대출상품_20101126 2" xfId="18709"/>
    <cellStyle name="-_  코크렙1호 조서 등-강지웅의 워크시트_1.창업관련 회계처리_I2 6월 결산 검증서_복합대출상품_20101126 2 2" xfId="18710"/>
    <cellStyle name="-_  코크렙1호 조서 등-강지웅의 워크시트_1.창업관련 회계처리_Template회사작성분 검토_PEF(2)" xfId="18711"/>
    <cellStyle name="-_  코크렙1호 조서 등-강지웅의 워크시트_1.창업관련 회계처리_Template회사작성분 검토_PEF(2) 2" xfId="18712"/>
    <cellStyle name="-_  코크렙1호 조서 등-강지웅의 워크시트_1.창업관련 회계처리_Template회사작성분 검토_PEF(2) 2 2" xfId="18713"/>
    <cellStyle name="-_  코크렙1호 조서 등-강지웅의 워크시트_1.창업관련 회계처리_Template회사작성분 검토_PEF(2) 3" xfId="18714"/>
    <cellStyle name="-_  코크렙1호 조서 등-강지웅의 워크시트_1.창업관련 회계처리_Template회사작성분 검토_PEF(2)_I2 6월 결산 검증서_복합대출상품_20101119" xfId="18715"/>
    <cellStyle name="-_  코크렙1호 조서 등-강지웅의 워크시트_1.창업관련 회계처리_Template회사작성분 검토_PEF(2)_I2 6월 결산 검증서_복합대출상품_20101119 2" xfId="18716"/>
    <cellStyle name="-_  코크렙1호 조서 등-강지웅의 워크시트_1.창업관련 회계처리_Template회사작성분 검토_PEF(2)_I2 6월 결산 검증서_복합대출상품_20101119 2 2" xfId="18717"/>
    <cellStyle name="-_  코크렙1호 조서 등-강지웅의 워크시트_1.창업관련 회계처리_Template회사작성분 검토_PEF(2)_I2 6월 결산 검증서_복합대출상품_20101126" xfId="18718"/>
    <cellStyle name="-_  코크렙1호 조서 등-강지웅의 워크시트_1.창업관련 회계처리_Template회사작성분 검토_PEF(2)_I2 6월 결산 검증서_복합대출상품_20101126 2" xfId="18719"/>
    <cellStyle name="-_  코크렙1호 조서 등-강지웅의 워크시트_1.창업관련 회계처리_Template회사작성분 검토_PEF(2)_I2 6월 결산 검증서_복합대출상품_20101126 2 2" xfId="18720"/>
    <cellStyle name="-_  코크렙1호 조서 등-강지웅의 워크시트_I2 6월 결산 검증서_복합대출상품_20101119" xfId="18721"/>
    <cellStyle name="-_  코크렙1호 조서 등-강지웅의 워크시트_I2 6월 결산 검증서_복합대출상품_20101119 2" xfId="18722"/>
    <cellStyle name="-_  코크렙1호 조서 등-강지웅의 워크시트_I2 6월 결산 검증서_복합대출상품_20101119 2 2" xfId="18723"/>
    <cellStyle name="-_  코크렙1호 조서 등-강지웅의 워크시트_I2 6월 결산 검증서_복합대출상품_20101126" xfId="18724"/>
    <cellStyle name="-_  코크렙1호 조서 등-강지웅의 워크시트_I2 6월 결산 검증서_복합대출상품_20101126 2" xfId="18725"/>
    <cellStyle name="-_  코크렙1호 조서 등-강지웅의 워크시트_I2 6월 결산 검증서_복합대출상품_20101126 2 2" xfId="18726"/>
    <cellStyle name="-_  코크렙1호 조서 등-강지웅의 워크시트_name of fund" xfId="18727"/>
    <cellStyle name="-_  코크렙1호 조서 등-강지웅의 워크시트_name of fund 2" xfId="18728"/>
    <cellStyle name="-_  코크렙1호 조서 등-강지웅의 워크시트_name of fund 2 2" xfId="18729"/>
    <cellStyle name="-_  코크렙1호 조서 등-강지웅의 워크시트_name of fund 3" xfId="18730"/>
    <cellStyle name="-_  코크렙1호 조서 등-강지웅의 워크시트_name of fund_I2 6월 결산 검증서_복합대출상품_20101119" xfId="18731"/>
    <cellStyle name="-_  코크렙1호 조서 등-강지웅의 워크시트_name of fund_I2 6월 결산 검증서_복합대출상품_20101119 2" xfId="18732"/>
    <cellStyle name="-_  코크렙1호 조서 등-강지웅의 워크시트_name of fund_I2 6월 결산 검증서_복합대출상품_20101119 2 2" xfId="18733"/>
    <cellStyle name="-_  코크렙1호 조서 등-강지웅의 워크시트_name of fund_I2 6월 결산 검증서_복합대출상품_20101126" xfId="18734"/>
    <cellStyle name="-_  코크렙1호 조서 등-강지웅의 워크시트_name of fund_I2 6월 결산 검증서_복합대출상품_20101126 2" xfId="18735"/>
    <cellStyle name="-_  코크렙1호 조서 등-강지웅의 워크시트_name of fund_I2 6월 결산 검증서_복합대출상품_20101126 2 2" xfId="18736"/>
    <cellStyle name="-_  코크렙1호 조서 등-강지웅의 워크시트_name of fund_name of fund" xfId="18737"/>
    <cellStyle name="-_  코크렙1호 조서 등-강지웅의 워크시트_name of fund_name of fund 2" xfId="18738"/>
    <cellStyle name="-_  코크렙1호 조서 등-강지웅의 워크시트_name of fund_name of fund 2 2" xfId="18739"/>
    <cellStyle name="-_  코크렙1호 조서 등-강지웅의 워크시트_name of fund_name of fund 3" xfId="18740"/>
    <cellStyle name="-_  코크렙1호 조서 등-강지웅의 워크시트_name of fund_name of fund_I2 6월 결산 검증서_복합대출상품_20101119" xfId="18741"/>
    <cellStyle name="-_  코크렙1호 조서 등-강지웅의 워크시트_name of fund_name of fund_I2 6월 결산 검증서_복합대출상품_20101119 2" xfId="18742"/>
    <cellStyle name="-_  코크렙1호 조서 등-강지웅의 워크시트_name of fund_name of fund_I2 6월 결산 검증서_복합대출상품_20101119 2 2" xfId="18743"/>
    <cellStyle name="-_  코크렙1호 조서 등-강지웅의 워크시트_name of fund_name of fund_I2 6월 결산 검증서_복합대출상품_20101126" xfId="18744"/>
    <cellStyle name="-_  코크렙1호 조서 등-강지웅의 워크시트_name of fund_name of fund_I2 6월 결산 검증서_복합대출상품_20101126 2" xfId="18745"/>
    <cellStyle name="-_  코크렙1호 조서 등-강지웅의 워크시트_name of fund_name of fund_I2 6월 결산 검증서_복합대출상품_20101126 2 2" xfId="18746"/>
    <cellStyle name="-_  코크렙1호 조서 등-강지웅의 워크시트_name of fund_name of fund_Template회사작성분 검토_PEF(2)" xfId="18747"/>
    <cellStyle name="-_  코크렙1호 조서 등-강지웅의 워크시트_name of fund_name of fund_Template회사작성분 검토_PEF(2) 2" xfId="18748"/>
    <cellStyle name="-_  코크렙1호 조서 등-강지웅의 워크시트_name of fund_name of fund_Template회사작성분 검토_PEF(2) 2 2" xfId="18749"/>
    <cellStyle name="-_  코크렙1호 조서 등-강지웅의 워크시트_name of fund_name of fund_Template회사작성분 검토_PEF(2) 3" xfId="18750"/>
    <cellStyle name="-_  코크렙1호 조서 등-강지웅의 워크시트_name of fund_name of fund_Template회사작성분 검토_PEF(2)_I2 6월 결산 검증서_복합대출상품_20101119" xfId="18751"/>
    <cellStyle name="-_  코크렙1호 조서 등-강지웅의 워크시트_name of fund_name of fund_Template회사작성분 검토_PEF(2)_I2 6월 결산 검증서_복합대출상품_20101119 2" xfId="18752"/>
    <cellStyle name="-_  코크렙1호 조서 등-강지웅의 워크시트_name of fund_name of fund_Template회사작성분 검토_PEF(2)_I2 6월 결산 검증서_복합대출상품_20101119 2 2" xfId="18753"/>
    <cellStyle name="-_  코크렙1호 조서 등-강지웅의 워크시트_name of fund_name of fund_Template회사작성분 검토_PEF(2)_I2 6월 결산 검증서_복합대출상품_20101126" xfId="18754"/>
    <cellStyle name="-_  코크렙1호 조서 등-강지웅의 워크시트_name of fund_name of fund_Template회사작성분 검토_PEF(2)_I2 6월 결산 검증서_복합대출상품_20101126 2" xfId="18755"/>
    <cellStyle name="-_  코크렙1호 조서 등-강지웅의 워크시트_name of fund_name of fund_Template회사작성분 검토_PEF(2)_I2 6월 결산 검증서_복합대출상품_20101126 2 2" xfId="18756"/>
    <cellStyle name="-_  코크렙1호 조서 등-강지웅의 워크시트_name of fund_Template회사작성분 검토_PEF(2)" xfId="18757"/>
    <cellStyle name="-_  코크렙1호 조서 등-강지웅의 워크시트_name of fund_Template회사작성분 검토_PEF(2) 2" xfId="18758"/>
    <cellStyle name="-_  코크렙1호 조서 등-강지웅의 워크시트_name of fund_Template회사작성분 검토_PEF(2) 2 2" xfId="18759"/>
    <cellStyle name="-_  코크렙1호 조서 등-강지웅의 워크시트_name of fund_Template회사작성분 검토_PEF(2) 3" xfId="18760"/>
    <cellStyle name="-_  코크렙1호 조서 등-강지웅의 워크시트_name of fund_Template회사작성분 검토_PEF(2)_I2 6월 결산 검증서_복합대출상품_20101119" xfId="18761"/>
    <cellStyle name="-_  코크렙1호 조서 등-강지웅의 워크시트_name of fund_Template회사작성분 검토_PEF(2)_I2 6월 결산 검증서_복합대출상품_20101119 2" xfId="18762"/>
    <cellStyle name="-_  코크렙1호 조서 등-강지웅의 워크시트_name of fund_Template회사작성분 검토_PEF(2)_I2 6월 결산 검증서_복합대출상품_20101119 2 2" xfId="18763"/>
    <cellStyle name="-_  코크렙1호 조서 등-강지웅의 워크시트_name of fund_Template회사작성분 검토_PEF(2)_I2 6월 결산 검증서_복합대출상품_20101126" xfId="18764"/>
    <cellStyle name="-_  코크렙1호 조서 등-강지웅의 워크시트_name of fund_Template회사작성분 검토_PEF(2)_I2 6월 결산 검증서_복합대출상품_20101126 2" xfId="18765"/>
    <cellStyle name="-_  코크렙1호 조서 등-강지웅의 워크시트_name of fund_Template회사작성분 검토_PEF(2)_I2 6월 결산 검증서_복합대출상품_20101126 2 2" xfId="18766"/>
    <cellStyle name="-_  코크렙1호 조서 등-강지웅의 워크시트_SUN 입력용fund" xfId="18767"/>
    <cellStyle name="-_  코크렙1호 조서 등-강지웅의 워크시트_SUN 입력용fund 2" xfId="18768"/>
    <cellStyle name="-_  코크렙1호 조서 등-강지웅의 워크시트_SUN 입력용fund 2 2" xfId="18769"/>
    <cellStyle name="-_  코크렙1호 조서 등-강지웅의 워크시트_SUN 입력용fund 3" xfId="18770"/>
    <cellStyle name="-_  코크렙1호 조서 등-강지웅의 워크시트_SUN 입력용fund_I2 6월 결산 검증서_복합대출상품_20101119" xfId="18771"/>
    <cellStyle name="-_  코크렙1호 조서 등-강지웅의 워크시트_SUN 입력용fund_I2 6월 결산 검증서_복합대출상품_20101119 2" xfId="18772"/>
    <cellStyle name="-_  코크렙1호 조서 등-강지웅의 워크시트_SUN 입력용fund_I2 6월 결산 검증서_복합대출상품_20101119 2 2" xfId="18773"/>
    <cellStyle name="-_  코크렙1호 조서 등-강지웅의 워크시트_SUN 입력용fund_I2 6월 결산 검증서_복합대출상품_20101126" xfId="18774"/>
    <cellStyle name="-_  코크렙1호 조서 등-강지웅의 워크시트_SUN 입력용fund_I2 6월 결산 검증서_복합대출상품_20101126 2" xfId="18775"/>
    <cellStyle name="-_  코크렙1호 조서 등-강지웅의 워크시트_SUN 입력용fund_I2 6월 결산 검증서_복합대출상품_20101126 2 2" xfId="18776"/>
    <cellStyle name="-_  코크렙1호 조서 등-강지웅의 워크시트_SUN 입력용fund_name of fund" xfId="18777"/>
    <cellStyle name="-_  코크렙1호 조서 등-강지웅의 워크시트_SUN 입력용fund_name of fund 2" xfId="18778"/>
    <cellStyle name="-_  코크렙1호 조서 등-강지웅의 워크시트_SUN 입력용fund_name of fund 2 2" xfId="18779"/>
    <cellStyle name="-_  코크렙1호 조서 등-강지웅의 워크시트_SUN 입력용fund_name of fund 3" xfId="18780"/>
    <cellStyle name="-_  코크렙1호 조서 등-강지웅의 워크시트_SUN 입력용fund_name of fund_I2 6월 결산 검증서_복합대출상품_20101119" xfId="18781"/>
    <cellStyle name="-_  코크렙1호 조서 등-강지웅의 워크시트_SUN 입력용fund_name of fund_I2 6월 결산 검증서_복합대출상품_20101119 2" xfId="18782"/>
    <cellStyle name="-_  코크렙1호 조서 등-강지웅의 워크시트_SUN 입력용fund_name of fund_I2 6월 결산 검증서_복합대출상품_20101119 2 2" xfId="18783"/>
    <cellStyle name="-_  코크렙1호 조서 등-강지웅의 워크시트_SUN 입력용fund_name of fund_I2 6월 결산 검증서_복합대출상품_20101126" xfId="18784"/>
    <cellStyle name="-_  코크렙1호 조서 등-강지웅의 워크시트_SUN 입력용fund_name of fund_I2 6월 결산 검증서_복합대출상품_20101126 2" xfId="18785"/>
    <cellStyle name="-_  코크렙1호 조서 등-강지웅의 워크시트_SUN 입력용fund_name of fund_I2 6월 결산 검증서_복합대출상품_20101126 2 2" xfId="18786"/>
    <cellStyle name="-_  코크렙1호 조서 등-강지웅의 워크시트_SUN 입력용fund_name of fund_Template회사작성분 검토_PEF(2)" xfId="18787"/>
    <cellStyle name="-_  코크렙1호 조서 등-강지웅의 워크시트_SUN 입력용fund_name of fund_Template회사작성분 검토_PEF(2) 2" xfId="18788"/>
    <cellStyle name="-_  코크렙1호 조서 등-강지웅의 워크시트_SUN 입력용fund_name of fund_Template회사작성분 검토_PEF(2) 2 2" xfId="18789"/>
    <cellStyle name="-_  코크렙1호 조서 등-강지웅의 워크시트_SUN 입력용fund_name of fund_Template회사작성분 검토_PEF(2) 3" xfId="18790"/>
    <cellStyle name="-_  코크렙1호 조서 등-강지웅의 워크시트_SUN 입력용fund_name of fund_Template회사작성분 검토_PEF(2)_I2 6월 결산 검증서_복합대출상품_20101119" xfId="18791"/>
    <cellStyle name="-_  코크렙1호 조서 등-강지웅의 워크시트_SUN 입력용fund_name of fund_Template회사작성분 검토_PEF(2)_I2 6월 결산 검증서_복합대출상품_20101119 2" xfId="18792"/>
    <cellStyle name="-_  코크렙1호 조서 등-강지웅의 워크시트_SUN 입력용fund_name of fund_Template회사작성분 검토_PEF(2)_I2 6월 결산 검증서_복합대출상품_20101119 2 2" xfId="18793"/>
    <cellStyle name="-_  코크렙1호 조서 등-강지웅의 워크시트_SUN 입력용fund_name of fund_Template회사작성분 검토_PEF(2)_I2 6월 결산 검증서_복합대출상품_20101126" xfId="18794"/>
    <cellStyle name="-_  코크렙1호 조서 등-강지웅의 워크시트_SUN 입력용fund_name of fund_Template회사작성분 검토_PEF(2)_I2 6월 결산 검증서_복합대출상품_20101126 2" xfId="18795"/>
    <cellStyle name="-_  코크렙1호 조서 등-강지웅의 워크시트_SUN 입력용fund_name of fund_Template회사작성분 검토_PEF(2)_I2 6월 결산 검증서_복합대출상품_20101126 2 2" xfId="18796"/>
    <cellStyle name="-_  코크렙1호 조서 등-강지웅의 워크시트_SUN 입력용fund_Template회사작성분 검토_PEF(2)" xfId="18797"/>
    <cellStyle name="-_  코크렙1호 조서 등-강지웅의 워크시트_SUN 입력용fund_Template회사작성분 검토_PEF(2) 2" xfId="18798"/>
    <cellStyle name="-_  코크렙1호 조서 등-강지웅의 워크시트_SUN 입력용fund_Template회사작성분 검토_PEF(2) 2 2" xfId="18799"/>
    <cellStyle name="-_  코크렙1호 조서 등-강지웅의 워크시트_SUN 입력용fund_Template회사작성분 검토_PEF(2) 3" xfId="18800"/>
    <cellStyle name="-_  코크렙1호 조서 등-강지웅의 워크시트_SUN 입력용fund_Template회사작성분 검토_PEF(2)_I2 6월 결산 검증서_복합대출상품_20101119" xfId="18801"/>
    <cellStyle name="-_  코크렙1호 조서 등-강지웅의 워크시트_SUN 입력용fund_Template회사작성분 검토_PEF(2)_I2 6월 결산 검증서_복합대출상품_20101119 2" xfId="18802"/>
    <cellStyle name="-_  코크렙1호 조서 등-강지웅의 워크시트_SUN 입력용fund_Template회사작성분 검토_PEF(2)_I2 6월 결산 검증서_복합대출상품_20101119 2 2" xfId="18803"/>
    <cellStyle name="-_  코크렙1호 조서 등-강지웅의 워크시트_SUN 입력용fund_Template회사작성분 검토_PEF(2)_I2 6월 결산 검증서_복합대출상품_20101126" xfId="18804"/>
    <cellStyle name="-_  코크렙1호 조서 등-강지웅의 워크시트_SUN 입력용fund_Template회사작성분 검토_PEF(2)_I2 6월 결산 검증서_복합대출상품_20101126 2" xfId="18805"/>
    <cellStyle name="-_  코크렙1호 조서 등-강지웅의 워크시트_SUN 입력용fund_Template회사작성분 검토_PEF(2)_I2 6월 결산 검증서_복합대출상품_20101126 2 2" xfId="18806"/>
    <cellStyle name="-_  코크렙1호 조서 등-강지웅의 워크시트_Template회사작성분 검토_PEF(2)" xfId="18807"/>
    <cellStyle name="-_  코크렙1호 조서 등-강지웅의 워크시트_Template회사작성분 검토_PEF(2) 2" xfId="18808"/>
    <cellStyle name="-_  코크렙1호 조서 등-강지웅의 워크시트_Template회사작성분 검토_PEF(2) 2 2" xfId="18809"/>
    <cellStyle name="-_  코크렙1호 조서 등-강지웅의 워크시트_Template회사작성분 검토_PEF(2) 3" xfId="18810"/>
    <cellStyle name="-_  코크렙1호 조서 등-강지웅의 워크시트_Template회사작성분 검토_PEF(2)_I2 6월 결산 검증서_복합대출상품_20101119" xfId="18811"/>
    <cellStyle name="-_  코크렙1호 조서 등-강지웅의 워크시트_Template회사작성분 검토_PEF(2)_I2 6월 결산 검증서_복합대출상품_20101119 2" xfId="18812"/>
    <cellStyle name="-_  코크렙1호 조서 등-강지웅의 워크시트_Template회사작성분 검토_PEF(2)_I2 6월 결산 검증서_복합대출상품_20101119 2 2" xfId="18813"/>
    <cellStyle name="-_  코크렙1호 조서 등-강지웅의 워크시트_Template회사작성분 검토_PEF(2)_I2 6월 결산 검증서_복합대출상품_20101126" xfId="18814"/>
    <cellStyle name="-_  코크렙1호 조서 등-강지웅의 워크시트_Template회사작성분 검토_PEF(2)_I2 6월 결산 검증서_복합대출상품_20101126 2" xfId="18815"/>
    <cellStyle name="-_  코크렙1호 조서 등-강지웅의 워크시트_Template회사작성분 검토_PEF(2)_I2 6월 결산 검증서_복합대출상품_20101126 2 2" xfId="18816"/>
    <cellStyle name="_(02.03.05) 묵동 현장관리비 실행" xfId="5110"/>
    <cellStyle name="_(02.03.08) 묵동 현장관리비 실행" xfId="5111"/>
    <cellStyle name="_(02.09.17)인천 삼산1지구 2블럭 주공아파트" xfId="5112"/>
    <cellStyle name="_(02.09.23  64,000평)인천 삼산1지구 2블럭 " xfId="5113"/>
    <cellStyle name="_(03.12)목동황재 공통+현관" xfId="5114"/>
    <cellStyle name="_(07.31 최종확정)묵동 실행예산" xfId="5115"/>
    <cellStyle name="_(07-07-19)1사분기 영업실적(잠정) 자료제출요구서(양식-일반)(1)" xfId="39"/>
    <cellStyle name="_(07-07-19)1사분기 영업실적(잠정) 자료제출요구서(양식-일반)(1) 2" xfId="5116"/>
    <cellStyle name="_(07-07-19)1사분기 영업실적(잠정) 자료제출요구서(양식-일반)(1) 3" xfId="5117"/>
    <cellStyle name="_(09.05)인천원당 공통가설공사" xfId="5118"/>
    <cellStyle name="_(WR 2010 2Q) 채권명세_주간사_0518_F&amp;I 발송(2)" xfId="40"/>
    <cellStyle name="_(WR 2010 2Q) 채권명세_주간사_0518_F&amp;I 발송(2) 2" xfId="41"/>
    <cellStyle name="_(WR 2010 2Q) 채권명세_주간사_0518_F&amp;I 발송(2) 3" xfId="42"/>
    <cellStyle name="_(수정)반송고외4교 BTL Fund FS (Draft_0601)" xfId="5119"/>
    <cellStyle name="_(주)기성 유형자산감가상각-총괄" xfId="5120"/>
    <cellStyle name="_(주)기성-2005결산명세서(수정후)" xfId="5121"/>
    <cellStyle name="_(주)기성유형자산감가상각-총괄(최종)" xfId="5122"/>
    <cellStyle name="_(주)동부cwi01" xfId="18817"/>
    <cellStyle name="_-* #,##0_-;-* #,##0_-;_-* &quot;-&quot;_-;_-@_-" xfId="43"/>
    <cellStyle name="_-* #,##0_-;-* #,##0_-;_-* &quot;-&quot;_-;_-@_- 10" xfId="23599"/>
    <cellStyle name="_-* #,##0_-;-* #,##0_-;_-* &quot;-&quot;_-;_-@_- 10 2" xfId="30779"/>
    <cellStyle name="_-* #,##0_-;-* #,##0_-;_-* &quot;-&quot;_-;_-@_- 11" xfId="23600"/>
    <cellStyle name="_-* #,##0_-;-* #,##0_-;_-* &quot;-&quot;_-;_-@_- 11 2" xfId="30780"/>
    <cellStyle name="_-* #,##0_-;-* #,##0_-;_-* &quot;-&quot;_-;_-@_- 12" xfId="27607"/>
    <cellStyle name="_-* #,##0_-;-* #,##0_-;_-* &quot;-&quot;_-;_-@_- 2" xfId="5123"/>
    <cellStyle name="_-* #,##0_-;-* #,##0_-;_-* &quot;-&quot;_-;_-@_- 2 10" xfId="27742"/>
    <cellStyle name="_-* #,##0_-;-* #,##0_-;_-* &quot;-&quot;_-;_-@_- 2 2" xfId="5124"/>
    <cellStyle name="_-* #,##0_-;-* #,##0_-;_-* &quot;-&quot;_-;_-@_- 2 2 2" xfId="5125"/>
    <cellStyle name="_-* #,##0_-;-* #,##0_-;_-* &quot;-&quot;_-;_-@_- 2 2 2 2" xfId="5126"/>
    <cellStyle name="_-* #,##0_-;-* #,##0_-;_-* &quot;-&quot;_-;_-@_- 2 2 2 2 2" xfId="23601"/>
    <cellStyle name="_-* #,##0_-;-* #,##0_-;_-* &quot;-&quot;_-;_-@_- 2 2 2 2 2 2" xfId="30781"/>
    <cellStyle name="_-* #,##0_-;-* #,##0_-;_-* &quot;-&quot;_-;_-@_- 2 2 2 2 3" xfId="27745"/>
    <cellStyle name="_-* #,##0_-;-* #,##0_-;_-* &quot;-&quot;_-;_-@_- 2 2 2 3" xfId="23602"/>
    <cellStyle name="_-* #,##0_-;-* #,##0_-;_-* &quot;-&quot;_-;_-@_- 2 2 2 3 2" xfId="30782"/>
    <cellStyle name="_-* #,##0_-;-* #,##0_-;_-* &quot;-&quot;_-;_-@_- 2 2 2 4" xfId="23603"/>
    <cellStyle name="_-* #,##0_-;-* #,##0_-;_-* &quot;-&quot;_-;_-@_- 2 2 2 4 2" xfId="30783"/>
    <cellStyle name="_-* #,##0_-;-* #,##0_-;_-* &quot;-&quot;_-;_-@_- 2 2 2 5" xfId="23604"/>
    <cellStyle name="_-* #,##0_-;-* #,##0_-;_-* &quot;-&quot;_-;_-@_- 2 2 2 5 2" xfId="30784"/>
    <cellStyle name="_-* #,##0_-;-* #,##0_-;_-* &quot;-&quot;_-;_-@_- 2 2 2 6" xfId="27744"/>
    <cellStyle name="_-* #,##0_-;-* #,##0_-;_-* &quot;-&quot;_-;_-@_- 2 2 3" xfId="5127"/>
    <cellStyle name="_-* #,##0_-;-* #,##0_-;_-* &quot;-&quot;_-;_-@_- 2 2 3 2" xfId="5128"/>
    <cellStyle name="_-* #,##0_-;-* #,##0_-;_-* &quot;-&quot;_-;_-@_- 2 2 3 2 2" xfId="23605"/>
    <cellStyle name="_-* #,##0_-;-* #,##0_-;_-* &quot;-&quot;_-;_-@_- 2 2 3 2 2 2" xfId="30785"/>
    <cellStyle name="_-* #,##0_-;-* #,##0_-;_-* &quot;-&quot;_-;_-@_- 2 2 3 2 3" xfId="27747"/>
    <cellStyle name="_-* #,##0_-;-* #,##0_-;_-* &quot;-&quot;_-;_-@_- 2 2 3 3" xfId="23606"/>
    <cellStyle name="_-* #,##0_-;-* #,##0_-;_-* &quot;-&quot;_-;_-@_- 2 2 3 3 2" xfId="30786"/>
    <cellStyle name="_-* #,##0_-;-* #,##0_-;_-* &quot;-&quot;_-;_-@_- 2 2 3 4" xfId="27746"/>
    <cellStyle name="_-* #,##0_-;-* #,##0_-;_-* &quot;-&quot;_-;_-@_- 2 2 4" xfId="5129"/>
    <cellStyle name="_-* #,##0_-;-* #,##0_-;_-* &quot;-&quot;_-;_-@_- 2 2 4 2" xfId="5130"/>
    <cellStyle name="_-* #,##0_-;-* #,##0_-;_-* &quot;-&quot;_-;_-@_- 2 2 4 2 2" xfId="23607"/>
    <cellStyle name="_-* #,##0_-;-* #,##0_-;_-* &quot;-&quot;_-;_-@_- 2 2 4 2 2 2" xfId="30787"/>
    <cellStyle name="_-* #,##0_-;-* #,##0_-;_-* &quot;-&quot;_-;_-@_- 2 2 4 2 3" xfId="27749"/>
    <cellStyle name="_-* #,##0_-;-* #,##0_-;_-* &quot;-&quot;_-;_-@_- 2 2 4 3" xfId="23608"/>
    <cellStyle name="_-* #,##0_-;-* #,##0_-;_-* &quot;-&quot;_-;_-@_- 2 2 4 3 2" xfId="30788"/>
    <cellStyle name="_-* #,##0_-;-* #,##0_-;_-* &quot;-&quot;_-;_-@_- 2 2 4 4" xfId="27748"/>
    <cellStyle name="_-* #,##0_-;-* #,##0_-;_-* &quot;-&quot;_-;_-@_- 2 2 5" xfId="5131"/>
    <cellStyle name="_-* #,##0_-;-* #,##0_-;_-* &quot;-&quot;_-;_-@_- 2 2 5 2" xfId="23609"/>
    <cellStyle name="_-* #,##0_-;-* #,##0_-;_-* &quot;-&quot;_-;_-@_- 2 2 5 2 2" xfId="30789"/>
    <cellStyle name="_-* #,##0_-;-* #,##0_-;_-* &quot;-&quot;_-;_-@_- 2 2 5 3" xfId="27750"/>
    <cellStyle name="_-* #,##0_-;-* #,##0_-;_-* &quot;-&quot;_-;_-@_- 2 2 6" xfId="23610"/>
    <cellStyle name="_-* #,##0_-;-* #,##0_-;_-* &quot;-&quot;_-;_-@_- 2 2 6 2" xfId="30790"/>
    <cellStyle name="_-* #,##0_-;-* #,##0_-;_-* &quot;-&quot;_-;_-@_- 2 2 7" xfId="23611"/>
    <cellStyle name="_-* #,##0_-;-* #,##0_-;_-* &quot;-&quot;_-;_-@_- 2 2 7 2" xfId="30791"/>
    <cellStyle name="_-* #,##0_-;-* #,##0_-;_-* &quot;-&quot;_-;_-@_- 2 2 8" xfId="27743"/>
    <cellStyle name="_-* #,##0_-;-* #,##0_-;_-* &quot;-&quot;_-;_-@_- 2 3" xfId="5132"/>
    <cellStyle name="_-* #,##0_-;-* #,##0_-;_-* &quot;-&quot;_-;_-@_- 2 3 2" xfId="5133"/>
    <cellStyle name="_-* #,##0_-;-* #,##0_-;_-* &quot;-&quot;_-;_-@_- 2 3 2 2" xfId="5134"/>
    <cellStyle name="_-* #,##0_-;-* #,##0_-;_-* &quot;-&quot;_-;_-@_- 2 3 2 2 2" xfId="23612"/>
    <cellStyle name="_-* #,##0_-;-* #,##0_-;_-* &quot;-&quot;_-;_-@_- 2 3 2 2 2 2" xfId="30792"/>
    <cellStyle name="_-* #,##0_-;-* #,##0_-;_-* &quot;-&quot;_-;_-@_- 2 3 2 2 3" xfId="27753"/>
    <cellStyle name="_-* #,##0_-;-* #,##0_-;_-* &quot;-&quot;_-;_-@_- 2 3 2 3" xfId="23613"/>
    <cellStyle name="_-* #,##0_-;-* #,##0_-;_-* &quot;-&quot;_-;_-@_- 2 3 2 3 2" xfId="30793"/>
    <cellStyle name="_-* #,##0_-;-* #,##0_-;_-* &quot;-&quot;_-;_-@_- 2 3 2 4" xfId="23614"/>
    <cellStyle name="_-* #,##0_-;-* #,##0_-;_-* &quot;-&quot;_-;_-@_- 2 3 2 4 2" xfId="30794"/>
    <cellStyle name="_-* #,##0_-;-* #,##0_-;_-* &quot;-&quot;_-;_-@_- 2 3 2 5" xfId="23615"/>
    <cellStyle name="_-* #,##0_-;-* #,##0_-;_-* &quot;-&quot;_-;_-@_- 2 3 2 5 2" xfId="30795"/>
    <cellStyle name="_-* #,##0_-;-* #,##0_-;_-* &quot;-&quot;_-;_-@_- 2 3 2 6" xfId="27752"/>
    <cellStyle name="_-* #,##0_-;-* #,##0_-;_-* &quot;-&quot;_-;_-@_- 2 3 3" xfId="5135"/>
    <cellStyle name="_-* #,##0_-;-* #,##0_-;_-* &quot;-&quot;_-;_-@_- 2 3 3 2" xfId="5136"/>
    <cellStyle name="_-* #,##0_-;-* #,##0_-;_-* &quot;-&quot;_-;_-@_- 2 3 3 2 2" xfId="23616"/>
    <cellStyle name="_-* #,##0_-;-* #,##0_-;_-* &quot;-&quot;_-;_-@_- 2 3 3 2 2 2" xfId="30796"/>
    <cellStyle name="_-* #,##0_-;-* #,##0_-;_-* &quot;-&quot;_-;_-@_- 2 3 3 2 3" xfId="27755"/>
    <cellStyle name="_-* #,##0_-;-* #,##0_-;_-* &quot;-&quot;_-;_-@_- 2 3 3 3" xfId="23617"/>
    <cellStyle name="_-* #,##0_-;-* #,##0_-;_-* &quot;-&quot;_-;_-@_- 2 3 3 3 2" xfId="30797"/>
    <cellStyle name="_-* #,##0_-;-* #,##0_-;_-* &quot;-&quot;_-;_-@_- 2 3 3 4" xfId="27754"/>
    <cellStyle name="_-* #,##0_-;-* #,##0_-;_-* &quot;-&quot;_-;_-@_- 2 3 4" xfId="5137"/>
    <cellStyle name="_-* #,##0_-;-* #,##0_-;_-* &quot;-&quot;_-;_-@_- 2 3 4 2" xfId="5138"/>
    <cellStyle name="_-* #,##0_-;-* #,##0_-;_-* &quot;-&quot;_-;_-@_- 2 3 4 2 2" xfId="23618"/>
    <cellStyle name="_-* #,##0_-;-* #,##0_-;_-* &quot;-&quot;_-;_-@_- 2 3 4 2 2 2" xfId="30798"/>
    <cellStyle name="_-* #,##0_-;-* #,##0_-;_-* &quot;-&quot;_-;_-@_- 2 3 4 2 3" xfId="27757"/>
    <cellStyle name="_-* #,##0_-;-* #,##0_-;_-* &quot;-&quot;_-;_-@_- 2 3 4 3" xfId="23619"/>
    <cellStyle name="_-* #,##0_-;-* #,##0_-;_-* &quot;-&quot;_-;_-@_- 2 3 4 3 2" xfId="30799"/>
    <cellStyle name="_-* #,##0_-;-* #,##0_-;_-* &quot;-&quot;_-;_-@_- 2 3 4 4" xfId="27756"/>
    <cellStyle name="_-* #,##0_-;-* #,##0_-;_-* &quot;-&quot;_-;_-@_- 2 3 5" xfId="5139"/>
    <cellStyle name="_-* #,##0_-;-* #,##0_-;_-* &quot;-&quot;_-;_-@_- 2 3 5 2" xfId="23620"/>
    <cellStyle name="_-* #,##0_-;-* #,##0_-;_-* &quot;-&quot;_-;_-@_- 2 3 5 2 2" xfId="30800"/>
    <cellStyle name="_-* #,##0_-;-* #,##0_-;_-* &quot;-&quot;_-;_-@_- 2 3 5 3" xfId="27758"/>
    <cellStyle name="_-* #,##0_-;-* #,##0_-;_-* &quot;-&quot;_-;_-@_- 2 3 6" xfId="23621"/>
    <cellStyle name="_-* #,##0_-;-* #,##0_-;_-* &quot;-&quot;_-;_-@_- 2 3 6 2" xfId="30801"/>
    <cellStyle name="_-* #,##0_-;-* #,##0_-;_-* &quot;-&quot;_-;_-@_- 2 3 7" xfId="23622"/>
    <cellStyle name="_-* #,##0_-;-* #,##0_-;_-* &quot;-&quot;_-;_-@_- 2 3 7 2" xfId="30802"/>
    <cellStyle name="_-* #,##0_-;-* #,##0_-;_-* &quot;-&quot;_-;_-@_- 2 3 8" xfId="27751"/>
    <cellStyle name="_-* #,##0_-;-* #,##0_-;_-* &quot;-&quot;_-;_-@_- 2 4" xfId="5140"/>
    <cellStyle name="_-* #,##0_-;-* #,##0_-;_-* &quot;-&quot;_-;_-@_- 2 4 2" xfId="5141"/>
    <cellStyle name="_-* #,##0_-;-* #,##0_-;_-* &quot;-&quot;_-;_-@_- 2 4 2 2" xfId="5142"/>
    <cellStyle name="_-* #,##0_-;-* #,##0_-;_-* &quot;-&quot;_-;_-@_- 2 4 2 2 2" xfId="23623"/>
    <cellStyle name="_-* #,##0_-;-* #,##0_-;_-* &quot;-&quot;_-;_-@_- 2 4 2 2 2 2" xfId="30803"/>
    <cellStyle name="_-* #,##0_-;-* #,##0_-;_-* &quot;-&quot;_-;_-@_- 2 4 2 2 3" xfId="27761"/>
    <cellStyle name="_-* #,##0_-;-* #,##0_-;_-* &quot;-&quot;_-;_-@_- 2 4 2 3" xfId="23624"/>
    <cellStyle name="_-* #,##0_-;-* #,##0_-;_-* &quot;-&quot;_-;_-@_- 2 4 2 3 2" xfId="30804"/>
    <cellStyle name="_-* #,##0_-;-* #,##0_-;_-* &quot;-&quot;_-;_-@_- 2 4 2 4" xfId="23625"/>
    <cellStyle name="_-* #,##0_-;-* #,##0_-;_-* &quot;-&quot;_-;_-@_- 2 4 2 4 2" xfId="30805"/>
    <cellStyle name="_-* #,##0_-;-* #,##0_-;_-* &quot;-&quot;_-;_-@_- 2 4 2 5" xfId="23626"/>
    <cellStyle name="_-* #,##0_-;-* #,##0_-;_-* &quot;-&quot;_-;_-@_- 2 4 2 5 2" xfId="30806"/>
    <cellStyle name="_-* #,##0_-;-* #,##0_-;_-* &quot;-&quot;_-;_-@_- 2 4 2 6" xfId="27760"/>
    <cellStyle name="_-* #,##0_-;-* #,##0_-;_-* &quot;-&quot;_-;_-@_- 2 4 3" xfId="5143"/>
    <cellStyle name="_-* #,##0_-;-* #,##0_-;_-* &quot;-&quot;_-;_-@_- 2 4 3 2" xfId="5144"/>
    <cellStyle name="_-* #,##0_-;-* #,##0_-;_-* &quot;-&quot;_-;_-@_- 2 4 3 2 2" xfId="23627"/>
    <cellStyle name="_-* #,##0_-;-* #,##0_-;_-* &quot;-&quot;_-;_-@_- 2 4 3 2 2 2" xfId="30807"/>
    <cellStyle name="_-* #,##0_-;-* #,##0_-;_-* &quot;-&quot;_-;_-@_- 2 4 3 2 3" xfId="27763"/>
    <cellStyle name="_-* #,##0_-;-* #,##0_-;_-* &quot;-&quot;_-;_-@_- 2 4 3 3" xfId="23628"/>
    <cellStyle name="_-* #,##0_-;-* #,##0_-;_-* &quot;-&quot;_-;_-@_- 2 4 3 3 2" xfId="30808"/>
    <cellStyle name="_-* #,##0_-;-* #,##0_-;_-* &quot;-&quot;_-;_-@_- 2 4 3 4" xfId="27762"/>
    <cellStyle name="_-* #,##0_-;-* #,##0_-;_-* &quot;-&quot;_-;_-@_- 2 4 4" xfId="5145"/>
    <cellStyle name="_-* #,##0_-;-* #,##0_-;_-* &quot;-&quot;_-;_-@_- 2 4 4 2" xfId="23629"/>
    <cellStyle name="_-* #,##0_-;-* #,##0_-;_-* &quot;-&quot;_-;_-@_- 2 4 4 2 2" xfId="30809"/>
    <cellStyle name="_-* #,##0_-;-* #,##0_-;_-* &quot;-&quot;_-;_-@_- 2 4 4 3" xfId="27764"/>
    <cellStyle name="_-* #,##0_-;-* #,##0_-;_-* &quot;-&quot;_-;_-@_- 2 4 5" xfId="23630"/>
    <cellStyle name="_-* #,##0_-;-* #,##0_-;_-* &quot;-&quot;_-;_-@_- 2 4 5 2" xfId="30810"/>
    <cellStyle name="_-* #,##0_-;-* #,##0_-;_-* &quot;-&quot;_-;_-@_- 2 4 6" xfId="23631"/>
    <cellStyle name="_-* #,##0_-;-* #,##0_-;_-* &quot;-&quot;_-;_-@_- 2 4 6 2" xfId="30811"/>
    <cellStyle name="_-* #,##0_-;-* #,##0_-;_-* &quot;-&quot;_-;_-@_- 2 4 7" xfId="23632"/>
    <cellStyle name="_-* #,##0_-;-* #,##0_-;_-* &quot;-&quot;_-;_-@_- 2 4 7 2" xfId="30812"/>
    <cellStyle name="_-* #,##0_-;-* #,##0_-;_-* &quot;-&quot;_-;_-@_- 2 4 8" xfId="27759"/>
    <cellStyle name="_-* #,##0_-;-* #,##0_-;_-* &quot;-&quot;_-;_-@_- 2 5" xfId="5146"/>
    <cellStyle name="_-* #,##0_-;-* #,##0_-;_-* &quot;-&quot;_-;_-@_- 2 5 2" xfId="5147"/>
    <cellStyle name="_-* #,##0_-;-* #,##0_-;_-* &quot;-&quot;_-;_-@_- 2 5 2 2" xfId="23633"/>
    <cellStyle name="_-* #,##0_-;-* #,##0_-;_-* &quot;-&quot;_-;_-@_- 2 5 2 2 2" xfId="30813"/>
    <cellStyle name="_-* #,##0_-;-* #,##0_-;_-* &quot;-&quot;_-;_-@_- 2 5 2 3" xfId="27766"/>
    <cellStyle name="_-* #,##0_-;-* #,##0_-;_-* &quot;-&quot;_-;_-@_- 2 5 3" xfId="5148"/>
    <cellStyle name="_-* #,##0_-;-* #,##0_-;_-* &quot;-&quot;_-;_-@_- 2 5 3 2" xfId="23634"/>
    <cellStyle name="_-* #,##0_-;-* #,##0_-;_-* &quot;-&quot;_-;_-@_- 2 5 3 2 2" xfId="30814"/>
    <cellStyle name="_-* #,##0_-;-* #,##0_-;_-* &quot;-&quot;_-;_-@_- 2 5 3 3" xfId="27767"/>
    <cellStyle name="_-* #,##0_-;-* #,##0_-;_-* &quot;-&quot;_-;_-@_- 2 5 4" xfId="23635"/>
    <cellStyle name="_-* #,##0_-;-* #,##0_-;_-* &quot;-&quot;_-;_-@_- 2 5 4 2" xfId="30815"/>
    <cellStyle name="_-* #,##0_-;-* #,##0_-;_-* &quot;-&quot;_-;_-@_- 2 5 5" xfId="23636"/>
    <cellStyle name="_-* #,##0_-;-* #,##0_-;_-* &quot;-&quot;_-;_-@_- 2 5 5 2" xfId="30816"/>
    <cellStyle name="_-* #,##0_-;-* #,##0_-;_-* &quot;-&quot;_-;_-@_- 2 5 6" xfId="27765"/>
    <cellStyle name="_-* #,##0_-;-* #,##0_-;_-* &quot;-&quot;_-;_-@_- 2 6" xfId="5149"/>
    <cellStyle name="_-* #,##0_-;-* #,##0_-;_-* &quot;-&quot;_-;_-@_- 2 6 2" xfId="5150"/>
    <cellStyle name="_-* #,##0_-;-* #,##0_-;_-* &quot;-&quot;_-;_-@_- 2 6 2 2" xfId="23637"/>
    <cellStyle name="_-* #,##0_-;-* #,##0_-;_-* &quot;-&quot;_-;_-@_- 2 6 2 2 2" xfId="30817"/>
    <cellStyle name="_-* #,##0_-;-* #,##0_-;_-* &quot;-&quot;_-;_-@_- 2 6 2 3" xfId="27769"/>
    <cellStyle name="_-* #,##0_-;-* #,##0_-;_-* &quot;-&quot;_-;_-@_- 2 6 3" xfId="5151"/>
    <cellStyle name="_-* #,##0_-;-* #,##0_-;_-* &quot;-&quot;_-;_-@_- 2 6 3 2" xfId="23638"/>
    <cellStyle name="_-* #,##0_-;-* #,##0_-;_-* &quot;-&quot;_-;_-@_- 2 6 3 2 2" xfId="30818"/>
    <cellStyle name="_-* #,##0_-;-* #,##0_-;_-* &quot;-&quot;_-;_-@_- 2 6 3 3" xfId="27770"/>
    <cellStyle name="_-* #,##0_-;-* #,##0_-;_-* &quot;-&quot;_-;_-@_- 2 6 4" xfId="23639"/>
    <cellStyle name="_-* #,##0_-;-* #,##0_-;_-* &quot;-&quot;_-;_-@_- 2 6 4 2" xfId="30819"/>
    <cellStyle name="_-* #,##0_-;-* #,##0_-;_-* &quot;-&quot;_-;_-@_- 2 6 5" xfId="27768"/>
    <cellStyle name="_-* #,##0_-;-* #,##0_-;_-* &quot;-&quot;_-;_-@_- 2 7" xfId="5152"/>
    <cellStyle name="_-* #,##0_-;-* #,##0_-;_-* &quot;-&quot;_-;_-@_- 2 7 2" xfId="5153"/>
    <cellStyle name="_-* #,##0_-;-* #,##0_-;_-* &quot;-&quot;_-;_-@_- 2 7 2 2" xfId="23640"/>
    <cellStyle name="_-* #,##0_-;-* #,##0_-;_-* &quot;-&quot;_-;_-@_- 2 7 2 2 2" xfId="30820"/>
    <cellStyle name="_-* #,##0_-;-* #,##0_-;_-* &quot;-&quot;_-;_-@_- 2 7 2 3" xfId="27772"/>
    <cellStyle name="_-* #,##0_-;-* #,##0_-;_-* &quot;-&quot;_-;_-@_- 2 7 3" xfId="23641"/>
    <cellStyle name="_-* #,##0_-;-* #,##0_-;_-* &quot;-&quot;_-;_-@_- 2 7 3 2" xfId="30821"/>
    <cellStyle name="_-* #,##0_-;-* #,##0_-;_-* &quot;-&quot;_-;_-@_- 2 7 4" xfId="27771"/>
    <cellStyle name="_-* #,##0_-;-* #,##0_-;_-* &quot;-&quot;_-;_-@_- 2 8" xfId="5154"/>
    <cellStyle name="_-* #,##0_-;-* #,##0_-;_-* &quot;-&quot;_-;_-@_- 2 8 2" xfId="23642"/>
    <cellStyle name="_-* #,##0_-;-* #,##0_-;_-* &quot;-&quot;_-;_-@_- 2 8 2 2" xfId="30822"/>
    <cellStyle name="_-* #,##0_-;-* #,##0_-;_-* &quot;-&quot;_-;_-@_- 2 8 3" xfId="27773"/>
    <cellStyle name="_-* #,##0_-;-* #,##0_-;_-* &quot;-&quot;_-;_-@_- 2 9" xfId="23643"/>
    <cellStyle name="_-* #,##0_-;-* #,##0_-;_-* &quot;-&quot;_-;_-@_- 2 9 2" xfId="30823"/>
    <cellStyle name="_-* #,##0_-;-* #,##0_-;_-* &quot;-&quot;_-;_-@_- 3" xfId="5155"/>
    <cellStyle name="_-* #,##0_-;-* #,##0_-;_-* &quot;-&quot;_-;_-@_- 3 10" xfId="23644"/>
    <cellStyle name="_-* #,##0_-;-* #,##0_-;_-* &quot;-&quot;_-;_-@_- 3 10 2" xfId="30824"/>
    <cellStyle name="_-* #,##0_-;-* #,##0_-;_-* &quot;-&quot;_-;_-@_- 3 11" xfId="27774"/>
    <cellStyle name="_-* #,##0_-;-* #,##0_-;_-* &quot;-&quot;_-;_-@_- 3 2" xfId="5156"/>
    <cellStyle name="_-* #,##0_-;-* #,##0_-;_-* &quot;-&quot;_-;_-@_- 3 2 2" xfId="5157"/>
    <cellStyle name="_-* #,##0_-;-* #,##0_-;_-* &quot;-&quot;_-;_-@_- 3 2 2 2" xfId="23645"/>
    <cellStyle name="_-* #,##0_-;-* #,##0_-;_-* &quot;-&quot;_-;_-@_- 3 2 2 2 2" xfId="30825"/>
    <cellStyle name="_-* #,##0_-;-* #,##0_-;_-* &quot;-&quot;_-;_-@_- 3 2 2 3" xfId="23646"/>
    <cellStyle name="_-* #,##0_-;-* #,##0_-;_-* &quot;-&quot;_-;_-@_- 3 2 2 3 2" xfId="30826"/>
    <cellStyle name="_-* #,##0_-;-* #,##0_-;_-* &quot;-&quot;_-;_-@_- 3 2 2 4" xfId="23647"/>
    <cellStyle name="_-* #,##0_-;-* #,##0_-;_-* &quot;-&quot;_-;_-@_- 3 2 2 4 2" xfId="30827"/>
    <cellStyle name="_-* #,##0_-;-* #,##0_-;_-* &quot;-&quot;_-;_-@_- 3 2 2 5" xfId="23648"/>
    <cellStyle name="_-* #,##0_-;-* #,##0_-;_-* &quot;-&quot;_-;_-@_- 3 2 2 5 2" xfId="30828"/>
    <cellStyle name="_-* #,##0_-;-* #,##0_-;_-* &quot;-&quot;_-;_-@_- 3 2 2 6" xfId="27776"/>
    <cellStyle name="_-* #,##0_-;-* #,##0_-;_-* &quot;-&quot;_-;_-@_- 3 2 3" xfId="23649"/>
    <cellStyle name="_-* #,##0_-;-* #,##0_-;_-* &quot;-&quot;_-;_-@_- 3 2 3 2" xfId="23650"/>
    <cellStyle name="_-* #,##0_-;-* #,##0_-;_-* &quot;-&quot;_-;_-@_- 3 2 3 2 2" xfId="30830"/>
    <cellStyle name="_-* #,##0_-;-* #,##0_-;_-* &quot;-&quot;_-;_-@_- 3 2 3 3" xfId="30829"/>
    <cellStyle name="_-* #,##0_-;-* #,##0_-;_-* &quot;-&quot;_-;_-@_- 3 2 4" xfId="23651"/>
    <cellStyle name="_-* #,##0_-;-* #,##0_-;_-* &quot;-&quot;_-;_-@_- 3 2 4 2" xfId="30831"/>
    <cellStyle name="_-* #,##0_-;-* #,##0_-;_-* &quot;-&quot;_-;_-@_- 3 2 5" xfId="23652"/>
    <cellStyle name="_-* #,##0_-;-* #,##0_-;_-* &quot;-&quot;_-;_-@_- 3 2 5 2" xfId="30832"/>
    <cellStyle name="_-* #,##0_-;-* #,##0_-;_-* &quot;-&quot;_-;_-@_- 3 2 6" xfId="23653"/>
    <cellStyle name="_-* #,##0_-;-* #,##0_-;_-* &quot;-&quot;_-;_-@_- 3 2 6 2" xfId="30833"/>
    <cellStyle name="_-* #,##0_-;-* #,##0_-;_-* &quot;-&quot;_-;_-@_- 3 2 7" xfId="23654"/>
    <cellStyle name="_-* #,##0_-;-* #,##0_-;_-* &quot;-&quot;_-;_-@_- 3 2 7 2" xfId="30834"/>
    <cellStyle name="_-* #,##0_-;-* #,##0_-;_-* &quot;-&quot;_-;_-@_- 3 2 8" xfId="27775"/>
    <cellStyle name="_-* #,##0_-;-* #,##0_-;_-* &quot;-&quot;_-;_-@_- 3 3" xfId="5158"/>
    <cellStyle name="_-* #,##0_-;-* #,##0_-;_-* &quot;-&quot;_-;_-@_- 3 3 2" xfId="5159"/>
    <cellStyle name="_-* #,##0_-;-* #,##0_-;_-* &quot;-&quot;_-;_-@_- 3 3 2 2" xfId="23655"/>
    <cellStyle name="_-* #,##0_-;-* #,##0_-;_-* &quot;-&quot;_-;_-@_- 3 3 2 2 2" xfId="30835"/>
    <cellStyle name="_-* #,##0_-;-* #,##0_-;_-* &quot;-&quot;_-;_-@_- 3 3 2 3" xfId="23656"/>
    <cellStyle name="_-* #,##0_-;-* #,##0_-;_-* &quot;-&quot;_-;_-@_- 3 3 2 3 2" xfId="30836"/>
    <cellStyle name="_-* #,##0_-;-* #,##0_-;_-* &quot;-&quot;_-;_-@_- 3 3 2 4" xfId="23657"/>
    <cellStyle name="_-* #,##0_-;-* #,##0_-;_-* &quot;-&quot;_-;_-@_- 3 3 2 4 2" xfId="30837"/>
    <cellStyle name="_-* #,##0_-;-* #,##0_-;_-* &quot;-&quot;_-;_-@_- 3 3 2 5" xfId="23658"/>
    <cellStyle name="_-* #,##0_-;-* #,##0_-;_-* &quot;-&quot;_-;_-@_- 3 3 2 5 2" xfId="30838"/>
    <cellStyle name="_-* #,##0_-;-* #,##0_-;_-* &quot;-&quot;_-;_-@_- 3 3 2 6" xfId="27778"/>
    <cellStyle name="_-* #,##0_-;-* #,##0_-;_-* &quot;-&quot;_-;_-@_- 3 3 3" xfId="23659"/>
    <cellStyle name="_-* #,##0_-;-* #,##0_-;_-* &quot;-&quot;_-;_-@_- 3 3 3 2" xfId="23660"/>
    <cellStyle name="_-* #,##0_-;-* #,##0_-;_-* &quot;-&quot;_-;_-@_- 3 3 3 2 2" xfId="30840"/>
    <cellStyle name="_-* #,##0_-;-* #,##0_-;_-* &quot;-&quot;_-;_-@_- 3 3 3 3" xfId="30839"/>
    <cellStyle name="_-* #,##0_-;-* #,##0_-;_-* &quot;-&quot;_-;_-@_- 3 3 4" xfId="23661"/>
    <cellStyle name="_-* #,##0_-;-* #,##0_-;_-* &quot;-&quot;_-;_-@_- 3 3 4 2" xfId="30841"/>
    <cellStyle name="_-* #,##0_-;-* #,##0_-;_-* &quot;-&quot;_-;_-@_- 3 3 5" xfId="23662"/>
    <cellStyle name="_-* #,##0_-;-* #,##0_-;_-* &quot;-&quot;_-;_-@_- 3 3 5 2" xfId="30842"/>
    <cellStyle name="_-* #,##0_-;-* #,##0_-;_-* &quot;-&quot;_-;_-@_- 3 3 6" xfId="23663"/>
    <cellStyle name="_-* #,##0_-;-* #,##0_-;_-* &quot;-&quot;_-;_-@_- 3 3 6 2" xfId="30843"/>
    <cellStyle name="_-* #,##0_-;-* #,##0_-;_-* &quot;-&quot;_-;_-@_- 3 3 7" xfId="23664"/>
    <cellStyle name="_-* #,##0_-;-* #,##0_-;_-* &quot;-&quot;_-;_-@_- 3 3 7 2" xfId="30844"/>
    <cellStyle name="_-* #,##0_-;-* #,##0_-;_-* &quot;-&quot;_-;_-@_- 3 3 8" xfId="27777"/>
    <cellStyle name="_-* #,##0_-;-* #,##0_-;_-* &quot;-&quot;_-;_-@_- 3 4" xfId="5160"/>
    <cellStyle name="_-* #,##0_-;-* #,##0_-;_-* &quot;-&quot;_-;_-@_- 3 4 2" xfId="5161"/>
    <cellStyle name="_-* #,##0_-;-* #,##0_-;_-* &quot;-&quot;_-;_-@_- 3 4 2 2" xfId="23665"/>
    <cellStyle name="_-* #,##0_-;-* #,##0_-;_-* &quot;-&quot;_-;_-@_- 3 4 2 2 2" xfId="30845"/>
    <cellStyle name="_-* #,##0_-;-* #,##0_-;_-* &quot;-&quot;_-;_-@_- 3 4 2 3" xfId="23666"/>
    <cellStyle name="_-* #,##0_-;-* #,##0_-;_-* &quot;-&quot;_-;_-@_- 3 4 2 3 2" xfId="30846"/>
    <cellStyle name="_-* #,##0_-;-* #,##0_-;_-* &quot;-&quot;_-;_-@_- 3 4 2 4" xfId="23667"/>
    <cellStyle name="_-* #,##0_-;-* #,##0_-;_-* &quot;-&quot;_-;_-@_- 3 4 2 4 2" xfId="30847"/>
    <cellStyle name="_-* #,##0_-;-* #,##0_-;_-* &quot;-&quot;_-;_-@_- 3 4 2 5" xfId="23668"/>
    <cellStyle name="_-* #,##0_-;-* #,##0_-;_-* &quot;-&quot;_-;_-@_- 3 4 2 5 2" xfId="30848"/>
    <cellStyle name="_-* #,##0_-;-* #,##0_-;_-* &quot;-&quot;_-;_-@_- 3 4 2 6" xfId="27780"/>
    <cellStyle name="_-* #,##0_-;-* #,##0_-;_-* &quot;-&quot;_-;_-@_- 3 4 3" xfId="23669"/>
    <cellStyle name="_-* #,##0_-;-* #,##0_-;_-* &quot;-&quot;_-;_-@_- 3 4 3 2" xfId="23670"/>
    <cellStyle name="_-* #,##0_-;-* #,##0_-;_-* &quot;-&quot;_-;_-@_- 3 4 3 2 2" xfId="30850"/>
    <cellStyle name="_-* #,##0_-;-* #,##0_-;_-* &quot;-&quot;_-;_-@_- 3 4 3 3" xfId="30849"/>
    <cellStyle name="_-* #,##0_-;-* #,##0_-;_-* &quot;-&quot;_-;_-@_- 3 4 4" xfId="23671"/>
    <cellStyle name="_-* #,##0_-;-* #,##0_-;_-* &quot;-&quot;_-;_-@_- 3 4 4 2" xfId="30851"/>
    <cellStyle name="_-* #,##0_-;-* #,##0_-;_-* &quot;-&quot;_-;_-@_- 3 4 5" xfId="23672"/>
    <cellStyle name="_-* #,##0_-;-* #,##0_-;_-* &quot;-&quot;_-;_-@_- 3 4 5 2" xfId="30852"/>
    <cellStyle name="_-* #,##0_-;-* #,##0_-;_-* &quot;-&quot;_-;_-@_- 3 4 6" xfId="23673"/>
    <cellStyle name="_-* #,##0_-;-* #,##0_-;_-* &quot;-&quot;_-;_-@_- 3 4 6 2" xfId="30853"/>
    <cellStyle name="_-* #,##0_-;-* #,##0_-;_-* &quot;-&quot;_-;_-@_- 3 4 7" xfId="23674"/>
    <cellStyle name="_-* #,##0_-;-* #,##0_-;_-* &quot;-&quot;_-;_-@_- 3 4 7 2" xfId="30854"/>
    <cellStyle name="_-* #,##0_-;-* #,##0_-;_-* &quot;-&quot;_-;_-@_- 3 4 8" xfId="27779"/>
    <cellStyle name="_-* #,##0_-;-* #,##0_-;_-* &quot;-&quot;_-;_-@_- 3 5" xfId="5162"/>
    <cellStyle name="_-* #,##0_-;-* #,##0_-;_-* &quot;-&quot;_-;_-@_- 3 5 2" xfId="23675"/>
    <cellStyle name="_-* #,##0_-;-* #,##0_-;_-* &quot;-&quot;_-;_-@_- 3 5 2 2" xfId="30855"/>
    <cellStyle name="_-* #,##0_-;-* #,##0_-;_-* &quot;-&quot;_-;_-@_- 3 5 3" xfId="23676"/>
    <cellStyle name="_-* #,##0_-;-* #,##0_-;_-* &quot;-&quot;_-;_-@_- 3 5 3 2" xfId="30856"/>
    <cellStyle name="_-* #,##0_-;-* #,##0_-;_-* &quot;-&quot;_-;_-@_- 3 5 4" xfId="23677"/>
    <cellStyle name="_-* #,##0_-;-* #,##0_-;_-* &quot;-&quot;_-;_-@_- 3 5 4 2" xfId="30857"/>
    <cellStyle name="_-* #,##0_-;-* #,##0_-;_-* &quot;-&quot;_-;_-@_- 3 5 5" xfId="23678"/>
    <cellStyle name="_-* #,##0_-;-* #,##0_-;_-* &quot;-&quot;_-;_-@_- 3 5 5 2" xfId="30858"/>
    <cellStyle name="_-* #,##0_-;-* #,##0_-;_-* &quot;-&quot;_-;_-@_- 3 5 6" xfId="27781"/>
    <cellStyle name="_-* #,##0_-;-* #,##0_-;_-* &quot;-&quot;_-;_-@_- 3 6" xfId="23679"/>
    <cellStyle name="_-* #,##0_-;-* #,##0_-;_-* &quot;-&quot;_-;_-@_- 3 6 2" xfId="23680"/>
    <cellStyle name="_-* #,##0_-;-* #,##0_-;_-* &quot;-&quot;_-;_-@_- 3 6 2 2" xfId="30860"/>
    <cellStyle name="_-* #,##0_-;-* #,##0_-;_-* &quot;-&quot;_-;_-@_- 3 6 3" xfId="30859"/>
    <cellStyle name="_-* #,##0_-;-* #,##0_-;_-* &quot;-&quot;_-;_-@_- 3 7" xfId="23681"/>
    <cellStyle name="_-* #,##0_-;-* #,##0_-;_-* &quot;-&quot;_-;_-@_- 3 7 2" xfId="30861"/>
    <cellStyle name="_-* #,##0_-;-* #,##0_-;_-* &quot;-&quot;_-;_-@_- 3 8" xfId="23682"/>
    <cellStyle name="_-* #,##0_-;-* #,##0_-;_-* &quot;-&quot;_-;_-@_- 3 8 2" xfId="30862"/>
    <cellStyle name="_-* #,##0_-;-* #,##0_-;_-* &quot;-&quot;_-;_-@_- 3 9" xfId="23683"/>
    <cellStyle name="_-* #,##0_-;-* #,##0_-;_-* &quot;-&quot;_-;_-@_- 3 9 2" xfId="30863"/>
    <cellStyle name="_-* #,##0_-;-* #,##0_-;_-* &quot;-&quot;_-;_-@_- 4" xfId="5163"/>
    <cellStyle name="_-* #,##0_-;-* #,##0_-;_-* &quot;-&quot;_-;_-@_- 4 2" xfId="5164"/>
    <cellStyle name="_-* #,##0_-;-* #,##0_-;_-* &quot;-&quot;_-;_-@_- 4 2 2" xfId="5165"/>
    <cellStyle name="_-* #,##0_-;-* #,##0_-;_-* &quot;-&quot;_-;_-@_- 4 2 2 2" xfId="23684"/>
    <cellStyle name="_-* #,##0_-;-* #,##0_-;_-* &quot;-&quot;_-;_-@_- 4 2 2 2 2" xfId="30864"/>
    <cellStyle name="_-* #,##0_-;-* #,##0_-;_-* &quot;-&quot;_-;_-@_- 4 2 2 3" xfId="27784"/>
    <cellStyle name="_-* #,##0_-;-* #,##0_-;_-* &quot;-&quot;_-;_-@_- 4 2 3" xfId="23685"/>
    <cellStyle name="_-* #,##0_-;-* #,##0_-;_-* &quot;-&quot;_-;_-@_- 4 2 3 2" xfId="30865"/>
    <cellStyle name="_-* #,##0_-;-* #,##0_-;_-* &quot;-&quot;_-;_-@_- 4 2 4" xfId="23686"/>
    <cellStyle name="_-* #,##0_-;-* #,##0_-;_-* &quot;-&quot;_-;_-@_- 4 2 4 2" xfId="30866"/>
    <cellStyle name="_-* #,##0_-;-* #,##0_-;_-* &quot;-&quot;_-;_-@_- 4 2 5" xfId="23687"/>
    <cellStyle name="_-* #,##0_-;-* #,##0_-;_-* &quot;-&quot;_-;_-@_- 4 2 5 2" xfId="30867"/>
    <cellStyle name="_-* #,##0_-;-* #,##0_-;_-* &quot;-&quot;_-;_-@_- 4 2 6" xfId="27783"/>
    <cellStyle name="_-* #,##0_-;-* #,##0_-;_-* &quot;-&quot;_-;_-@_- 4 3" xfId="5166"/>
    <cellStyle name="_-* #,##0_-;-* #,##0_-;_-* &quot;-&quot;_-;_-@_- 4 3 2" xfId="5167"/>
    <cellStyle name="_-* #,##0_-;-* #,##0_-;_-* &quot;-&quot;_-;_-@_- 4 3 2 2" xfId="23688"/>
    <cellStyle name="_-* #,##0_-;-* #,##0_-;_-* &quot;-&quot;_-;_-@_- 4 3 2 2 2" xfId="30868"/>
    <cellStyle name="_-* #,##0_-;-* #,##0_-;_-* &quot;-&quot;_-;_-@_- 4 3 2 3" xfId="27786"/>
    <cellStyle name="_-* #,##0_-;-* #,##0_-;_-* &quot;-&quot;_-;_-@_- 4 3 3" xfId="23689"/>
    <cellStyle name="_-* #,##0_-;-* #,##0_-;_-* &quot;-&quot;_-;_-@_- 4 3 3 2" xfId="30869"/>
    <cellStyle name="_-* #,##0_-;-* #,##0_-;_-* &quot;-&quot;_-;_-@_- 4 3 4" xfId="27785"/>
    <cellStyle name="_-* #,##0_-;-* #,##0_-;_-* &quot;-&quot;_-;_-@_- 4 4" xfId="5168"/>
    <cellStyle name="_-* #,##0_-;-* #,##0_-;_-* &quot;-&quot;_-;_-@_- 4 4 2" xfId="5169"/>
    <cellStyle name="_-* #,##0_-;-* #,##0_-;_-* &quot;-&quot;_-;_-@_- 4 4 2 2" xfId="23690"/>
    <cellStyle name="_-* #,##0_-;-* #,##0_-;_-* &quot;-&quot;_-;_-@_- 4 4 2 2 2" xfId="30870"/>
    <cellStyle name="_-* #,##0_-;-* #,##0_-;_-* &quot;-&quot;_-;_-@_- 4 4 2 3" xfId="27788"/>
    <cellStyle name="_-* #,##0_-;-* #,##0_-;_-* &quot;-&quot;_-;_-@_- 4 4 3" xfId="23691"/>
    <cellStyle name="_-* #,##0_-;-* #,##0_-;_-* &quot;-&quot;_-;_-@_- 4 4 3 2" xfId="30871"/>
    <cellStyle name="_-* #,##0_-;-* #,##0_-;_-* &quot;-&quot;_-;_-@_- 4 4 4" xfId="27787"/>
    <cellStyle name="_-* #,##0_-;-* #,##0_-;_-* &quot;-&quot;_-;_-@_- 4 5" xfId="5170"/>
    <cellStyle name="_-* #,##0_-;-* #,##0_-;_-* &quot;-&quot;_-;_-@_- 4 5 2" xfId="23692"/>
    <cellStyle name="_-* #,##0_-;-* #,##0_-;_-* &quot;-&quot;_-;_-@_- 4 5 2 2" xfId="30872"/>
    <cellStyle name="_-* #,##0_-;-* #,##0_-;_-* &quot;-&quot;_-;_-@_- 4 5 3" xfId="27789"/>
    <cellStyle name="_-* #,##0_-;-* #,##0_-;_-* &quot;-&quot;_-;_-@_- 4 6" xfId="23693"/>
    <cellStyle name="_-* #,##0_-;-* #,##0_-;_-* &quot;-&quot;_-;_-@_- 4 6 2" xfId="30873"/>
    <cellStyle name="_-* #,##0_-;-* #,##0_-;_-* &quot;-&quot;_-;_-@_- 4 7" xfId="23694"/>
    <cellStyle name="_-* #,##0_-;-* #,##0_-;_-* &quot;-&quot;_-;_-@_- 4 7 2" xfId="30874"/>
    <cellStyle name="_-* #,##0_-;-* #,##0_-;_-* &quot;-&quot;_-;_-@_- 4 8" xfId="27782"/>
    <cellStyle name="_-* #,##0_-;-* #,##0_-;_-* &quot;-&quot;_-;_-@_- 5" xfId="5171"/>
    <cellStyle name="_-* #,##0_-;-* #,##0_-;_-* &quot;-&quot;_-;_-@_- 5 2" xfId="5172"/>
    <cellStyle name="_-* #,##0_-;-* #,##0_-;_-* &quot;-&quot;_-;_-@_- 5 2 2" xfId="5173"/>
    <cellStyle name="_-* #,##0_-;-* #,##0_-;_-* &quot;-&quot;_-;_-@_- 5 2 2 2" xfId="23695"/>
    <cellStyle name="_-* #,##0_-;-* #,##0_-;_-* &quot;-&quot;_-;_-@_- 5 2 2 2 2" xfId="30875"/>
    <cellStyle name="_-* #,##0_-;-* #,##0_-;_-* &quot;-&quot;_-;_-@_- 5 2 2 3" xfId="27792"/>
    <cellStyle name="_-* #,##0_-;-* #,##0_-;_-* &quot;-&quot;_-;_-@_- 5 2 3" xfId="23696"/>
    <cellStyle name="_-* #,##0_-;-* #,##0_-;_-* &quot;-&quot;_-;_-@_- 5 2 3 2" xfId="30876"/>
    <cellStyle name="_-* #,##0_-;-* #,##0_-;_-* &quot;-&quot;_-;_-@_- 5 2 4" xfId="23697"/>
    <cellStyle name="_-* #,##0_-;-* #,##0_-;_-* &quot;-&quot;_-;_-@_- 5 2 4 2" xfId="30877"/>
    <cellStyle name="_-* #,##0_-;-* #,##0_-;_-* &quot;-&quot;_-;_-@_- 5 2 5" xfId="23698"/>
    <cellStyle name="_-* #,##0_-;-* #,##0_-;_-* &quot;-&quot;_-;_-@_- 5 2 5 2" xfId="30878"/>
    <cellStyle name="_-* #,##0_-;-* #,##0_-;_-* &quot;-&quot;_-;_-@_- 5 2 6" xfId="27791"/>
    <cellStyle name="_-* #,##0_-;-* #,##0_-;_-* &quot;-&quot;_-;_-@_- 5 3" xfId="5174"/>
    <cellStyle name="_-* #,##0_-;-* #,##0_-;_-* &quot;-&quot;_-;_-@_- 5 3 2" xfId="5175"/>
    <cellStyle name="_-* #,##0_-;-* #,##0_-;_-* &quot;-&quot;_-;_-@_- 5 3 2 2" xfId="23699"/>
    <cellStyle name="_-* #,##0_-;-* #,##0_-;_-* &quot;-&quot;_-;_-@_- 5 3 2 2 2" xfId="30879"/>
    <cellStyle name="_-* #,##0_-;-* #,##0_-;_-* &quot;-&quot;_-;_-@_- 5 3 2 3" xfId="27794"/>
    <cellStyle name="_-* #,##0_-;-* #,##0_-;_-* &quot;-&quot;_-;_-@_- 5 3 3" xfId="23700"/>
    <cellStyle name="_-* #,##0_-;-* #,##0_-;_-* &quot;-&quot;_-;_-@_- 5 3 3 2" xfId="30880"/>
    <cellStyle name="_-* #,##0_-;-* #,##0_-;_-* &quot;-&quot;_-;_-@_- 5 3 4" xfId="27793"/>
    <cellStyle name="_-* #,##0_-;-* #,##0_-;_-* &quot;-&quot;_-;_-@_- 5 4" xfId="5176"/>
    <cellStyle name="_-* #,##0_-;-* #,##0_-;_-* &quot;-&quot;_-;_-@_- 5 4 2" xfId="23701"/>
    <cellStyle name="_-* #,##0_-;-* #,##0_-;_-* &quot;-&quot;_-;_-@_- 5 4 2 2" xfId="30881"/>
    <cellStyle name="_-* #,##0_-;-* #,##0_-;_-* &quot;-&quot;_-;_-@_- 5 4 3" xfId="27795"/>
    <cellStyle name="_-* #,##0_-;-* #,##0_-;_-* &quot;-&quot;_-;_-@_- 5 5" xfId="23702"/>
    <cellStyle name="_-* #,##0_-;-* #,##0_-;_-* &quot;-&quot;_-;_-@_- 5 5 2" xfId="30882"/>
    <cellStyle name="_-* #,##0_-;-* #,##0_-;_-* &quot;-&quot;_-;_-@_- 5 6" xfId="23703"/>
    <cellStyle name="_-* #,##0_-;-* #,##0_-;_-* &quot;-&quot;_-;_-@_- 5 6 2" xfId="30883"/>
    <cellStyle name="_-* #,##0_-;-* #,##0_-;_-* &quot;-&quot;_-;_-@_- 5 7" xfId="23704"/>
    <cellStyle name="_-* #,##0_-;-* #,##0_-;_-* &quot;-&quot;_-;_-@_- 5 7 2" xfId="30884"/>
    <cellStyle name="_-* #,##0_-;-* #,##0_-;_-* &quot;-&quot;_-;_-@_- 5 8" xfId="27790"/>
    <cellStyle name="_-* #,##0_-;-* #,##0_-;_-* &quot;-&quot;_-;_-@_- 6" xfId="5177"/>
    <cellStyle name="_-* #,##0_-;-* #,##0_-;_-* &quot;-&quot;_-;_-@_- 6 2" xfId="5178"/>
    <cellStyle name="_-* #,##0_-;-* #,##0_-;_-* &quot;-&quot;_-;_-@_- 6 2 2" xfId="23705"/>
    <cellStyle name="_-* #,##0_-;-* #,##0_-;_-* &quot;-&quot;_-;_-@_- 6 2 2 2" xfId="30885"/>
    <cellStyle name="_-* #,##0_-;-* #,##0_-;_-* &quot;-&quot;_-;_-@_- 6 2 3" xfId="23706"/>
    <cellStyle name="_-* #,##0_-;-* #,##0_-;_-* &quot;-&quot;_-;_-@_- 6 2 3 2" xfId="30886"/>
    <cellStyle name="_-* #,##0_-;-* #,##0_-;_-* &quot;-&quot;_-;_-@_- 6 2 4" xfId="23707"/>
    <cellStyle name="_-* #,##0_-;-* #,##0_-;_-* &quot;-&quot;_-;_-@_- 6 2 4 2" xfId="30887"/>
    <cellStyle name="_-* #,##0_-;-* #,##0_-;_-* &quot;-&quot;_-;_-@_- 6 2 5" xfId="23708"/>
    <cellStyle name="_-* #,##0_-;-* #,##0_-;_-* &quot;-&quot;_-;_-@_- 6 2 5 2" xfId="30888"/>
    <cellStyle name="_-* #,##0_-;-* #,##0_-;_-* &quot;-&quot;_-;_-@_- 6 2 6" xfId="27797"/>
    <cellStyle name="_-* #,##0_-;-* #,##0_-;_-* &quot;-&quot;_-;_-@_- 6 3" xfId="23709"/>
    <cellStyle name="_-* #,##0_-;-* #,##0_-;_-* &quot;-&quot;_-;_-@_- 6 3 2" xfId="23710"/>
    <cellStyle name="_-* #,##0_-;-* #,##0_-;_-* &quot;-&quot;_-;_-@_- 6 3 2 2" xfId="30890"/>
    <cellStyle name="_-* #,##0_-;-* #,##0_-;_-* &quot;-&quot;_-;_-@_- 6 3 3" xfId="30889"/>
    <cellStyle name="_-* #,##0_-;-* #,##0_-;_-* &quot;-&quot;_-;_-@_- 6 4" xfId="23711"/>
    <cellStyle name="_-* #,##0_-;-* #,##0_-;_-* &quot;-&quot;_-;_-@_- 6 4 2" xfId="30891"/>
    <cellStyle name="_-* #,##0_-;-* #,##0_-;_-* &quot;-&quot;_-;_-@_- 6 5" xfId="23712"/>
    <cellStyle name="_-* #,##0_-;-* #,##0_-;_-* &quot;-&quot;_-;_-@_- 6 5 2" xfId="30892"/>
    <cellStyle name="_-* #,##0_-;-* #,##0_-;_-* &quot;-&quot;_-;_-@_- 6 6" xfId="23713"/>
    <cellStyle name="_-* #,##0_-;-* #,##0_-;_-* &quot;-&quot;_-;_-@_- 6 6 2" xfId="30893"/>
    <cellStyle name="_-* #,##0_-;-* #,##0_-;_-* &quot;-&quot;_-;_-@_- 6 7" xfId="23714"/>
    <cellStyle name="_-* #,##0_-;-* #,##0_-;_-* &quot;-&quot;_-;_-@_- 6 7 2" xfId="30894"/>
    <cellStyle name="_-* #,##0_-;-* #,##0_-;_-* &quot;-&quot;_-;_-@_- 6 8" xfId="27796"/>
    <cellStyle name="_-* #,##0_-;-* #,##0_-;_-* &quot;-&quot;_-;_-@_- 7" xfId="5179"/>
    <cellStyle name="_-* #,##0_-;-* #,##0_-;_-* &quot;-&quot;_-;_-@_- 7 2" xfId="5180"/>
    <cellStyle name="_-* #,##0_-;-* #,##0_-;_-* &quot;-&quot;_-;_-@_- 7 2 2" xfId="23715"/>
    <cellStyle name="_-* #,##0_-;-* #,##0_-;_-* &quot;-&quot;_-;_-@_- 7 2 2 2" xfId="30895"/>
    <cellStyle name="_-* #,##0_-;-* #,##0_-;_-* &quot;-&quot;_-;_-@_- 7 2 3" xfId="27799"/>
    <cellStyle name="_-* #,##0_-;-* #,##0_-;_-* &quot;-&quot;_-;_-@_- 7 3" xfId="23716"/>
    <cellStyle name="_-* #,##0_-;-* #,##0_-;_-* &quot;-&quot;_-;_-@_- 7 3 2" xfId="30896"/>
    <cellStyle name="_-* #,##0_-;-* #,##0_-;_-* &quot;-&quot;_-;_-@_- 7 4" xfId="23717"/>
    <cellStyle name="_-* #,##0_-;-* #,##0_-;_-* &quot;-&quot;_-;_-@_- 7 4 2" xfId="30897"/>
    <cellStyle name="_-* #,##0_-;-* #,##0_-;_-* &quot;-&quot;_-;_-@_- 7 5" xfId="23718"/>
    <cellStyle name="_-* #,##0_-;-* #,##0_-;_-* &quot;-&quot;_-;_-@_- 7 5 2" xfId="30898"/>
    <cellStyle name="_-* #,##0_-;-* #,##0_-;_-* &quot;-&quot;_-;_-@_- 7 6" xfId="27798"/>
    <cellStyle name="_-* #,##0_-;-* #,##0_-;_-* &quot;-&quot;_-;_-@_- 8" xfId="5181"/>
    <cellStyle name="_-* #,##0_-;-* #,##0_-;_-* &quot;-&quot;_-;_-@_- 8 2" xfId="5182"/>
    <cellStyle name="_-* #,##0_-;-* #,##0_-;_-* &quot;-&quot;_-;_-@_- 8 2 2" xfId="23719"/>
    <cellStyle name="_-* #,##0_-;-* #,##0_-;_-* &quot;-&quot;_-;_-@_- 8 2 2 2" xfId="30899"/>
    <cellStyle name="_-* #,##0_-;-* #,##0_-;_-* &quot;-&quot;_-;_-@_- 8 2 3" xfId="27801"/>
    <cellStyle name="_-* #,##0_-;-* #,##0_-;_-* &quot;-&quot;_-;_-@_- 8 3" xfId="23720"/>
    <cellStyle name="_-* #,##0_-;-* #,##0_-;_-* &quot;-&quot;_-;_-@_- 8 3 2" xfId="30900"/>
    <cellStyle name="_-* #,##0_-;-* #,##0_-;_-* &quot;-&quot;_-;_-@_- 8 4" xfId="23721"/>
    <cellStyle name="_-* #,##0_-;-* #,##0_-;_-* &quot;-&quot;_-;_-@_- 8 4 2" xfId="30901"/>
    <cellStyle name="_-* #,##0_-;-* #,##0_-;_-* &quot;-&quot;_-;_-@_- 8 5" xfId="23722"/>
    <cellStyle name="_-* #,##0_-;-* #,##0_-;_-* &quot;-&quot;_-;_-@_- 8 5 2" xfId="30902"/>
    <cellStyle name="_-* #,##0_-;-* #,##0_-;_-* &quot;-&quot;_-;_-@_- 8 6" xfId="27800"/>
    <cellStyle name="_-* #,##0_-;-* #,##0_-;_-* &quot;-&quot;_-;_-@_- 9" xfId="5183"/>
    <cellStyle name="_-* #,##0_-;-* #,##0_-;_-* &quot;-&quot;_-;_-@_- 9 2" xfId="23723"/>
    <cellStyle name="_-* #,##0_-;-* #,##0_-;_-* &quot;-&quot;_-;_-@_- 9 2 2" xfId="30903"/>
    <cellStyle name="_-* #,##0_-;-* #,##0_-;_-* &quot;-&quot;_-;_-@_- 9 3" xfId="23724"/>
    <cellStyle name="_-* #,##0_-;-* #,##0_-;_-* &quot;-&quot;_-;_-@_- 9 3 2" xfId="30904"/>
    <cellStyle name="_-* #,##0_-;-* #,##0_-;_-* &quot;-&quot;_-;_-@_- 9 4" xfId="23725"/>
    <cellStyle name="_-* #,##0_-;-* #,##0_-;_-* &quot;-&quot;_-;_-@_- 9 4 2" xfId="30905"/>
    <cellStyle name="_-* #,##0_-;-* #,##0_-;_-* &quot;-&quot;_-;_-@_- 9 5" xfId="27802"/>
    <cellStyle name="_-* #,##0_-;-* #,##0_-;_-* &quot;-&quot;_-;_-@_-_1211 충당금,건전성 현황_작업" xfId="5184"/>
    <cellStyle name="_-* #,##0_-;-* #,##0_-;_-* &quot;-&quot;_-;_-@_-_1211 충당금,건전성 현황_작업 2" xfId="23726"/>
    <cellStyle name="_-* #,##0_-;-* #,##0_-;_-* &quot;-&quot;_-;_-@_-_1211 충당금,건전성 현황_작업 2 2" xfId="30906"/>
    <cellStyle name="_-* #,##0_-;-* #,##0_-;_-* &quot;-&quot;_-;_-@_-_1211 충당금,건전성 현황_작업 3" xfId="27803"/>
    <cellStyle name="_-* #,##0_-;-* #,##0_-;_-* &quot;-&quot;_-;_-@_-_Hana 2011-1 Program_Data Disk_Pool B_v2(v5-1더밸류-이교민)" xfId="5185"/>
    <cellStyle name="_-* #,##0_-;-* #,##0_-;_-* &quot;-&quot;_-;_-@_-_Hana 2011-1 Program_Data Disk_Pool B_v2(v5-1더밸류-이교민) 2" xfId="23727"/>
    <cellStyle name="_-* #,##0_-;-* #,##0_-;_-* &quot;-&quot;_-;_-@_-_Hana 2011-1 Program_Data Disk_Pool B_v2(v5-1더밸류-이교민) 2 2" xfId="30907"/>
    <cellStyle name="_-* #,##0_-;-* #,##0_-;_-* &quot;-&quot;_-;_-@_-_Hana 2011-1 Program_Data Disk_Pool B_v2(v5-1더밸류-이교민) 3" xfId="23728"/>
    <cellStyle name="_-* #,##0_-;-* #,##0_-;_-* &quot;-&quot;_-;_-@_-_Hana 2011-1 Program_Data Disk_Pool B_v2(v5-1더밸류-이교민) 3 2" xfId="30908"/>
    <cellStyle name="_-* #,##0_-;-* #,##0_-;_-* &quot;-&quot;_-;_-@_-_Hana 2011-1 Program_Data Disk_Pool B_v2(v5-1더밸류-이교민) 4" xfId="23729"/>
    <cellStyle name="_-* #,##0_-;-* #,##0_-;_-* &quot;-&quot;_-;_-@_-_Hana 2011-1 Program_Data Disk_Pool B_v2(v5-1더밸류-이교민) 4 2" xfId="30909"/>
    <cellStyle name="_-* #,##0_-;-* #,##0_-;_-* &quot;-&quot;_-;_-@_-_Hana 2011-1 Program_Data Disk_Pool B_v2(v5-1더밸류-이교민) 5" xfId="27804"/>
    <cellStyle name="_-* #,##0_-;-* #,##0_-;_-* &quot;-&quot;_-;_-@_-_Hana 2011-1 Program_Data Disk_Pool B_v2(v5-1더밸류-이교민)_SHB 2011-2 Program_Data Disk_Pool C,B_v1(v2더밸류_이교민)" xfId="5186"/>
    <cellStyle name="_-* #,##0_-;-* #,##0_-;_-* &quot;-&quot;_-;_-@_-_Hana 2011-1 Program_Data Disk_Pool B_v2(v5-1더밸류-이교민)_SHB 2011-2 Program_Data Disk_Pool C,B_v1(v2더밸류_이교민) 2" xfId="23730"/>
    <cellStyle name="_-* #,##0_-;-* #,##0_-;_-* &quot;-&quot;_-;_-@_-_Hana 2011-1 Program_Data Disk_Pool B_v2(v5-1더밸류-이교민)_SHB 2011-2 Program_Data Disk_Pool C,B_v1(v2더밸류_이교민) 2 2" xfId="30910"/>
    <cellStyle name="_-* #,##0_-;-* #,##0_-;_-* &quot;-&quot;_-;_-@_-_Hana 2011-1 Program_Data Disk_Pool B_v2(v5-1더밸류-이교민)_SHB 2011-2 Program_Data Disk_Pool C,B_v1(v2더밸류_이교민) 3" xfId="23731"/>
    <cellStyle name="_-* #,##0_-;-* #,##0_-;_-* &quot;-&quot;_-;_-@_-_Hana 2011-1 Program_Data Disk_Pool B_v2(v5-1더밸류-이교민)_SHB 2011-2 Program_Data Disk_Pool C,B_v1(v2더밸류_이교민) 3 2" xfId="30911"/>
    <cellStyle name="_-* #,##0_-;-* #,##0_-;_-* &quot;-&quot;_-;_-@_-_Hana 2011-1 Program_Data Disk_Pool B_v2(v5-1더밸류-이교민)_SHB 2011-2 Program_Data Disk_Pool C,B_v1(v2더밸류_이교민) 4" xfId="23732"/>
    <cellStyle name="_-* #,##0_-;-* #,##0_-;_-* &quot;-&quot;_-;_-@_-_Hana 2011-1 Program_Data Disk_Pool B_v2(v5-1더밸류-이교민)_SHB 2011-2 Program_Data Disk_Pool C,B_v1(v2더밸류_이교민) 4 2" xfId="30912"/>
    <cellStyle name="_-* #,##0_-;-* #,##0_-;_-* &quot;-&quot;_-;_-@_-_Hana 2011-1 Program_Data Disk_Pool B_v2(v5-1더밸류-이교민)_SHB 2011-2 Program_Data Disk_Pool C,B_v1(v2더밸류_이교민) 5" xfId="27805"/>
    <cellStyle name="_-* #,##0_-;-* #,##0_-;_-* &quot;-&quot;_-;_-@_-_Hana 2011-1 Program_Data Disk_Pool B_v2(v5-1더밸류-이교민)_차주명관리_20110726_v1" xfId="5187"/>
    <cellStyle name="_-* #,##0_-;-* #,##0_-;_-* &quot;-&quot;_-;_-@_-_Hana 2011-1 Program_Data Disk_Pool B_v2(v5-1더밸류-이교민)_차주명관리_20110726_v1 2" xfId="23733"/>
    <cellStyle name="_-* #,##0_-;-* #,##0_-;_-* &quot;-&quot;_-;_-@_-_Hana 2011-1 Program_Data Disk_Pool B_v2(v5-1더밸류-이교민)_차주명관리_20110726_v1 2 2" xfId="30913"/>
    <cellStyle name="_-* #,##0_-;-* #,##0_-;_-* &quot;-&quot;_-;_-@_-_Hana 2011-1 Program_Data Disk_Pool B_v2(v5-1더밸류-이교민)_차주명관리_20110726_v1 3" xfId="23734"/>
    <cellStyle name="_-* #,##0_-;-* #,##0_-;_-* &quot;-&quot;_-;_-@_-_Hana 2011-1 Program_Data Disk_Pool B_v2(v5-1더밸류-이교민)_차주명관리_20110726_v1 3 2" xfId="30914"/>
    <cellStyle name="_-* #,##0_-;-* #,##0_-;_-* &quot;-&quot;_-;_-@_-_Hana 2011-1 Program_Data Disk_Pool B_v2(v5-1더밸류-이교민)_차주명관리_20110726_v1 4" xfId="23735"/>
    <cellStyle name="_-* #,##0_-;-* #,##0_-;_-* &quot;-&quot;_-;_-@_-_Hana 2011-1 Program_Data Disk_Pool B_v2(v5-1더밸류-이교민)_차주명관리_20110726_v1 4 2" xfId="30915"/>
    <cellStyle name="_-* #,##0_-;-* #,##0_-;_-* &quot;-&quot;_-;_-@_-_Hana 2011-1 Program_Data Disk_Pool B_v2(v5-1더밸류-이교민)_차주명관리_20110726_v1 5" xfId="27806"/>
    <cellStyle name="_-* #,##0_-;-* #,##0_-;_-* &quot;-&quot;_-;_-@_-_SHB_2011-3_담보sheet(더밸류_v6이교민)" xfId="5188"/>
    <cellStyle name="_-* #,##0_-;-* #,##0_-;_-* &quot;-&quot;_-;_-@_-_SHB_2011-3_담보sheet(더밸류_v6이교민) 2" xfId="23736"/>
    <cellStyle name="_-* #,##0_-;-* #,##0_-;_-* &quot;-&quot;_-;_-@_-_SHB_2011-3_담보sheet(더밸류_v6이교민) 2 2" xfId="30916"/>
    <cellStyle name="_-* #,##0_-;-* #,##0_-;_-* &quot;-&quot;_-;_-@_-_SHB_2011-3_담보sheet(더밸류_v6이교민) 3" xfId="23737"/>
    <cellStyle name="_-* #,##0_-;-* #,##0_-;_-* &quot;-&quot;_-;_-@_-_SHB_2011-3_담보sheet(더밸류_v6이교민) 3 2" xfId="30917"/>
    <cellStyle name="_-* #,##0_-;-* #,##0_-;_-* &quot;-&quot;_-;_-@_-_SHB_2011-3_담보sheet(더밸류_v6이교민) 4" xfId="23738"/>
    <cellStyle name="_-* #,##0_-;-* #,##0_-;_-* &quot;-&quot;_-;_-@_-_SHB_2011-3_담보sheet(더밸류_v6이교민) 4 2" xfId="30918"/>
    <cellStyle name="_-* #,##0_-;-* #,##0_-;_-* &quot;-&quot;_-;_-@_-_SHB_2011-3_담보sheet(더밸류_v6이교민) 5" xfId="27807"/>
    <cellStyle name="_-* #,##0_-;-* #,##0_-;_-* &quot;-&quot;_-;_-@_-_SHB_2011-3_담보sheet(더밸류_v6이교민)_차주명관리_20110726_v1" xfId="5189"/>
    <cellStyle name="_-* #,##0_-;-* #,##0_-;_-* &quot;-&quot;_-;_-@_-_SHB_2011-3_담보sheet(더밸류_v6이교민)_차주명관리_20110726_v1 2" xfId="23739"/>
    <cellStyle name="_-* #,##0_-;-* #,##0_-;_-* &quot;-&quot;_-;_-@_-_SHB_2011-3_담보sheet(더밸류_v6이교민)_차주명관리_20110726_v1 2 2" xfId="30919"/>
    <cellStyle name="_-* #,##0_-;-* #,##0_-;_-* &quot;-&quot;_-;_-@_-_SHB_2011-3_담보sheet(더밸류_v6이교민)_차주명관리_20110726_v1 3" xfId="23740"/>
    <cellStyle name="_-* #,##0_-;-* #,##0_-;_-* &quot;-&quot;_-;_-@_-_SHB_2011-3_담보sheet(더밸류_v6이교민)_차주명관리_20110726_v1 3 2" xfId="30920"/>
    <cellStyle name="_-* #,##0_-;-* #,##0_-;_-* &quot;-&quot;_-;_-@_-_SHB_2011-3_담보sheet(더밸류_v6이교민)_차주명관리_20110726_v1 4" xfId="23741"/>
    <cellStyle name="_-* #,##0_-;-* #,##0_-;_-* &quot;-&quot;_-;_-@_-_SHB_2011-3_담보sheet(더밸류_v6이교민)_차주명관리_20110726_v1 4 2" xfId="30921"/>
    <cellStyle name="_-* #,##0_-;-* #,##0_-;_-* &quot;-&quot;_-;_-@_-_SHB_2011-3_담보sheet(더밸류_v6이교민)_차주명관리_20110726_v1 5" xfId="27808"/>
    <cellStyle name="_-* #,##0_-;-* #,##0_-;_-* &quot;-&quot;_-;_-@_-_Sheet1" xfId="5190"/>
    <cellStyle name="_-* #,##0_-;-* #,##0_-;_-* &quot;-&quot;_-;_-@_-_Sheet1 2" xfId="23742"/>
    <cellStyle name="_-* #,##0_-;-* #,##0_-;_-* &quot;-&quot;_-;_-@_-_Sheet1 2 2" xfId="30922"/>
    <cellStyle name="_-* #,##0_-;-* #,##0_-;_-* &quot;-&quot;_-;_-@_-_Sheet1 3" xfId="27809"/>
    <cellStyle name="_-* #,##0_-;-* #,##0_-;_-* &quot;-&quot;_-;_-@_-_권리분석_v1(최초)-4" xfId="5191"/>
    <cellStyle name="_-* #,##0_-;-* #,##0_-;_-* &quot;-&quot;_-;_-@_-_권리분석_v1(최초)-4 2" xfId="23743"/>
    <cellStyle name="_-* #,##0_-;-* #,##0_-;_-* &quot;-&quot;_-;_-@_-_권리분석_v1(최초)-4 2 2" xfId="30923"/>
    <cellStyle name="_-* #,##0_-;-* #,##0_-;_-* &quot;-&quot;_-;_-@_-_권리분석_v1(최초)-4 3" xfId="23744"/>
    <cellStyle name="_-* #,##0_-;-* #,##0_-;_-* &quot;-&quot;_-;_-@_-_권리분석_v1(최초)-4 3 2" xfId="30924"/>
    <cellStyle name="_-* #,##0_-;-* #,##0_-;_-* &quot;-&quot;_-;_-@_-_권리분석_v1(최초)-4 4" xfId="23745"/>
    <cellStyle name="_-* #,##0_-;-* #,##0_-;_-* &quot;-&quot;_-;_-@_-_권리분석_v1(최초)-4 4 2" xfId="30925"/>
    <cellStyle name="_-* #,##0_-;-* #,##0_-;_-* &quot;-&quot;_-;_-@_-_권리분석_v1(최초)-4 5" xfId="27810"/>
    <cellStyle name="_-* #,##0_-;-* #,##0_-;_-* &quot;-&quot;_-;_-@_-_예외적립품의_0910(완료)" xfId="44"/>
    <cellStyle name="_-* #,##0_-;-* #,##0_-;_-* &quot;-&quot;_-;_-@_-_예외적립품의_0910(완료) 10" xfId="23746"/>
    <cellStyle name="_-* #,##0_-;-* #,##0_-;_-* &quot;-&quot;_-;_-@_-_예외적립품의_0910(완료) 10 2" xfId="30926"/>
    <cellStyle name="_-* #,##0_-;-* #,##0_-;_-* &quot;-&quot;_-;_-@_-_예외적립품의_0910(완료) 11" xfId="23747"/>
    <cellStyle name="_-* #,##0_-;-* #,##0_-;_-* &quot;-&quot;_-;_-@_-_예외적립품의_0910(완료) 11 2" xfId="30927"/>
    <cellStyle name="_-* #,##0_-;-* #,##0_-;_-* &quot;-&quot;_-;_-@_-_예외적립품의_0910(완료) 12" xfId="27608"/>
    <cellStyle name="_-* #,##0_-;-* #,##0_-;_-* &quot;-&quot;_-;_-@_-_예외적립품의_0910(완료) 2" xfId="5192"/>
    <cellStyle name="_-* #,##0_-;-* #,##0_-;_-* &quot;-&quot;_-;_-@_-_예외적립품의_0910(완료) 2 10" xfId="27811"/>
    <cellStyle name="_-* #,##0_-;-* #,##0_-;_-* &quot;-&quot;_-;_-@_-_예외적립품의_0910(완료) 2 2" xfId="5193"/>
    <cellStyle name="_-* #,##0_-;-* #,##0_-;_-* &quot;-&quot;_-;_-@_-_예외적립품의_0910(완료) 2 2 2" xfId="5194"/>
    <cellStyle name="_-* #,##0_-;-* #,##0_-;_-* &quot;-&quot;_-;_-@_-_예외적립품의_0910(완료) 2 2 2 2" xfId="5195"/>
    <cellStyle name="_-* #,##0_-;-* #,##0_-;_-* &quot;-&quot;_-;_-@_-_예외적립품의_0910(완료) 2 2 2 2 2" xfId="23748"/>
    <cellStyle name="_-* #,##0_-;-* #,##0_-;_-* &quot;-&quot;_-;_-@_-_예외적립품의_0910(완료) 2 2 2 2 2 2" xfId="30928"/>
    <cellStyle name="_-* #,##0_-;-* #,##0_-;_-* &quot;-&quot;_-;_-@_-_예외적립품의_0910(완료) 2 2 2 2 3" xfId="27814"/>
    <cellStyle name="_-* #,##0_-;-* #,##0_-;_-* &quot;-&quot;_-;_-@_-_예외적립품의_0910(완료) 2 2 2 3" xfId="23749"/>
    <cellStyle name="_-* #,##0_-;-* #,##0_-;_-* &quot;-&quot;_-;_-@_-_예외적립품의_0910(완료) 2 2 2 3 2" xfId="30929"/>
    <cellStyle name="_-* #,##0_-;-* #,##0_-;_-* &quot;-&quot;_-;_-@_-_예외적립품의_0910(완료) 2 2 2 4" xfId="23750"/>
    <cellStyle name="_-* #,##0_-;-* #,##0_-;_-* &quot;-&quot;_-;_-@_-_예외적립품의_0910(완료) 2 2 2 4 2" xfId="30930"/>
    <cellStyle name="_-* #,##0_-;-* #,##0_-;_-* &quot;-&quot;_-;_-@_-_예외적립품의_0910(완료) 2 2 2 5" xfId="23751"/>
    <cellStyle name="_-* #,##0_-;-* #,##0_-;_-* &quot;-&quot;_-;_-@_-_예외적립품의_0910(완료) 2 2 2 5 2" xfId="30931"/>
    <cellStyle name="_-* #,##0_-;-* #,##0_-;_-* &quot;-&quot;_-;_-@_-_예외적립품의_0910(완료) 2 2 2 6" xfId="27813"/>
    <cellStyle name="_-* #,##0_-;-* #,##0_-;_-* &quot;-&quot;_-;_-@_-_예외적립품의_0910(완료) 2 2 3" xfId="5196"/>
    <cellStyle name="_-* #,##0_-;-* #,##0_-;_-* &quot;-&quot;_-;_-@_-_예외적립품의_0910(완료) 2 2 3 2" xfId="5197"/>
    <cellStyle name="_-* #,##0_-;-* #,##0_-;_-* &quot;-&quot;_-;_-@_-_예외적립품의_0910(완료) 2 2 3 2 2" xfId="23752"/>
    <cellStyle name="_-* #,##0_-;-* #,##0_-;_-* &quot;-&quot;_-;_-@_-_예외적립품의_0910(완료) 2 2 3 2 2 2" xfId="30932"/>
    <cellStyle name="_-* #,##0_-;-* #,##0_-;_-* &quot;-&quot;_-;_-@_-_예외적립품의_0910(완료) 2 2 3 2 3" xfId="27816"/>
    <cellStyle name="_-* #,##0_-;-* #,##0_-;_-* &quot;-&quot;_-;_-@_-_예외적립품의_0910(완료) 2 2 3 3" xfId="23753"/>
    <cellStyle name="_-* #,##0_-;-* #,##0_-;_-* &quot;-&quot;_-;_-@_-_예외적립품의_0910(완료) 2 2 3 3 2" xfId="30933"/>
    <cellStyle name="_-* #,##0_-;-* #,##0_-;_-* &quot;-&quot;_-;_-@_-_예외적립품의_0910(완료) 2 2 3 4" xfId="27815"/>
    <cellStyle name="_-* #,##0_-;-* #,##0_-;_-* &quot;-&quot;_-;_-@_-_예외적립품의_0910(완료) 2 2 4" xfId="5198"/>
    <cellStyle name="_-* #,##0_-;-* #,##0_-;_-* &quot;-&quot;_-;_-@_-_예외적립품의_0910(완료) 2 2 4 2" xfId="5199"/>
    <cellStyle name="_-* #,##0_-;-* #,##0_-;_-* &quot;-&quot;_-;_-@_-_예외적립품의_0910(완료) 2 2 4 2 2" xfId="23754"/>
    <cellStyle name="_-* #,##0_-;-* #,##0_-;_-* &quot;-&quot;_-;_-@_-_예외적립품의_0910(완료) 2 2 4 2 2 2" xfId="30934"/>
    <cellStyle name="_-* #,##0_-;-* #,##0_-;_-* &quot;-&quot;_-;_-@_-_예외적립품의_0910(완료) 2 2 4 2 3" xfId="27818"/>
    <cellStyle name="_-* #,##0_-;-* #,##0_-;_-* &quot;-&quot;_-;_-@_-_예외적립품의_0910(완료) 2 2 4 3" xfId="23755"/>
    <cellStyle name="_-* #,##0_-;-* #,##0_-;_-* &quot;-&quot;_-;_-@_-_예외적립품의_0910(완료) 2 2 4 3 2" xfId="30935"/>
    <cellStyle name="_-* #,##0_-;-* #,##0_-;_-* &quot;-&quot;_-;_-@_-_예외적립품의_0910(완료) 2 2 4 4" xfId="27817"/>
    <cellStyle name="_-* #,##0_-;-* #,##0_-;_-* &quot;-&quot;_-;_-@_-_예외적립품의_0910(완료) 2 2 5" xfId="5200"/>
    <cellStyle name="_-* #,##0_-;-* #,##0_-;_-* &quot;-&quot;_-;_-@_-_예외적립품의_0910(완료) 2 2 5 2" xfId="23756"/>
    <cellStyle name="_-* #,##0_-;-* #,##0_-;_-* &quot;-&quot;_-;_-@_-_예외적립품의_0910(완료) 2 2 5 2 2" xfId="30936"/>
    <cellStyle name="_-* #,##0_-;-* #,##0_-;_-* &quot;-&quot;_-;_-@_-_예외적립품의_0910(완료) 2 2 5 3" xfId="27819"/>
    <cellStyle name="_-* #,##0_-;-* #,##0_-;_-* &quot;-&quot;_-;_-@_-_예외적립품의_0910(완료) 2 2 6" xfId="23757"/>
    <cellStyle name="_-* #,##0_-;-* #,##0_-;_-* &quot;-&quot;_-;_-@_-_예외적립품의_0910(완료) 2 2 6 2" xfId="30937"/>
    <cellStyle name="_-* #,##0_-;-* #,##0_-;_-* &quot;-&quot;_-;_-@_-_예외적립품의_0910(완료) 2 2 7" xfId="23758"/>
    <cellStyle name="_-* #,##0_-;-* #,##0_-;_-* &quot;-&quot;_-;_-@_-_예외적립품의_0910(완료) 2 2 7 2" xfId="30938"/>
    <cellStyle name="_-* #,##0_-;-* #,##0_-;_-* &quot;-&quot;_-;_-@_-_예외적립품의_0910(완료) 2 2 8" xfId="27812"/>
    <cellStyle name="_-* #,##0_-;-* #,##0_-;_-* &quot;-&quot;_-;_-@_-_예외적립품의_0910(완료) 2 3" xfId="5201"/>
    <cellStyle name="_-* #,##0_-;-* #,##0_-;_-* &quot;-&quot;_-;_-@_-_예외적립품의_0910(완료) 2 3 2" xfId="5202"/>
    <cellStyle name="_-* #,##0_-;-* #,##0_-;_-* &quot;-&quot;_-;_-@_-_예외적립품의_0910(완료) 2 3 2 2" xfId="5203"/>
    <cellStyle name="_-* #,##0_-;-* #,##0_-;_-* &quot;-&quot;_-;_-@_-_예외적립품의_0910(완료) 2 3 2 2 2" xfId="23759"/>
    <cellStyle name="_-* #,##0_-;-* #,##0_-;_-* &quot;-&quot;_-;_-@_-_예외적립품의_0910(완료) 2 3 2 2 2 2" xfId="30939"/>
    <cellStyle name="_-* #,##0_-;-* #,##0_-;_-* &quot;-&quot;_-;_-@_-_예외적립품의_0910(완료) 2 3 2 2 3" xfId="27822"/>
    <cellStyle name="_-* #,##0_-;-* #,##0_-;_-* &quot;-&quot;_-;_-@_-_예외적립품의_0910(완료) 2 3 2 3" xfId="23760"/>
    <cellStyle name="_-* #,##0_-;-* #,##0_-;_-* &quot;-&quot;_-;_-@_-_예외적립품의_0910(완료) 2 3 2 3 2" xfId="30940"/>
    <cellStyle name="_-* #,##0_-;-* #,##0_-;_-* &quot;-&quot;_-;_-@_-_예외적립품의_0910(완료) 2 3 2 4" xfId="23761"/>
    <cellStyle name="_-* #,##0_-;-* #,##0_-;_-* &quot;-&quot;_-;_-@_-_예외적립품의_0910(완료) 2 3 2 4 2" xfId="30941"/>
    <cellStyle name="_-* #,##0_-;-* #,##0_-;_-* &quot;-&quot;_-;_-@_-_예외적립품의_0910(완료) 2 3 2 5" xfId="23762"/>
    <cellStyle name="_-* #,##0_-;-* #,##0_-;_-* &quot;-&quot;_-;_-@_-_예외적립품의_0910(완료) 2 3 2 5 2" xfId="30942"/>
    <cellStyle name="_-* #,##0_-;-* #,##0_-;_-* &quot;-&quot;_-;_-@_-_예외적립품의_0910(완료) 2 3 2 6" xfId="27821"/>
    <cellStyle name="_-* #,##0_-;-* #,##0_-;_-* &quot;-&quot;_-;_-@_-_예외적립품의_0910(완료) 2 3 3" xfId="5204"/>
    <cellStyle name="_-* #,##0_-;-* #,##0_-;_-* &quot;-&quot;_-;_-@_-_예외적립품의_0910(완료) 2 3 3 2" xfId="5205"/>
    <cellStyle name="_-* #,##0_-;-* #,##0_-;_-* &quot;-&quot;_-;_-@_-_예외적립품의_0910(완료) 2 3 3 2 2" xfId="23763"/>
    <cellStyle name="_-* #,##0_-;-* #,##0_-;_-* &quot;-&quot;_-;_-@_-_예외적립품의_0910(완료) 2 3 3 2 2 2" xfId="30943"/>
    <cellStyle name="_-* #,##0_-;-* #,##0_-;_-* &quot;-&quot;_-;_-@_-_예외적립품의_0910(완료) 2 3 3 2 3" xfId="27824"/>
    <cellStyle name="_-* #,##0_-;-* #,##0_-;_-* &quot;-&quot;_-;_-@_-_예외적립품의_0910(완료) 2 3 3 3" xfId="23764"/>
    <cellStyle name="_-* #,##0_-;-* #,##0_-;_-* &quot;-&quot;_-;_-@_-_예외적립품의_0910(완료) 2 3 3 3 2" xfId="30944"/>
    <cellStyle name="_-* #,##0_-;-* #,##0_-;_-* &quot;-&quot;_-;_-@_-_예외적립품의_0910(완료) 2 3 3 4" xfId="27823"/>
    <cellStyle name="_-* #,##0_-;-* #,##0_-;_-* &quot;-&quot;_-;_-@_-_예외적립품의_0910(완료) 2 3 4" xfId="5206"/>
    <cellStyle name="_-* #,##0_-;-* #,##0_-;_-* &quot;-&quot;_-;_-@_-_예외적립품의_0910(완료) 2 3 4 2" xfId="5207"/>
    <cellStyle name="_-* #,##0_-;-* #,##0_-;_-* &quot;-&quot;_-;_-@_-_예외적립품의_0910(완료) 2 3 4 2 2" xfId="23765"/>
    <cellStyle name="_-* #,##0_-;-* #,##0_-;_-* &quot;-&quot;_-;_-@_-_예외적립품의_0910(완료) 2 3 4 2 2 2" xfId="30945"/>
    <cellStyle name="_-* #,##0_-;-* #,##0_-;_-* &quot;-&quot;_-;_-@_-_예외적립품의_0910(완료) 2 3 4 2 3" xfId="27826"/>
    <cellStyle name="_-* #,##0_-;-* #,##0_-;_-* &quot;-&quot;_-;_-@_-_예외적립품의_0910(완료) 2 3 4 3" xfId="23766"/>
    <cellStyle name="_-* #,##0_-;-* #,##0_-;_-* &quot;-&quot;_-;_-@_-_예외적립품의_0910(완료) 2 3 4 3 2" xfId="30946"/>
    <cellStyle name="_-* #,##0_-;-* #,##0_-;_-* &quot;-&quot;_-;_-@_-_예외적립품의_0910(완료) 2 3 4 4" xfId="27825"/>
    <cellStyle name="_-* #,##0_-;-* #,##0_-;_-* &quot;-&quot;_-;_-@_-_예외적립품의_0910(완료) 2 3 5" xfId="5208"/>
    <cellStyle name="_-* #,##0_-;-* #,##0_-;_-* &quot;-&quot;_-;_-@_-_예외적립품의_0910(완료) 2 3 5 2" xfId="23767"/>
    <cellStyle name="_-* #,##0_-;-* #,##0_-;_-* &quot;-&quot;_-;_-@_-_예외적립품의_0910(완료) 2 3 5 2 2" xfId="30947"/>
    <cellStyle name="_-* #,##0_-;-* #,##0_-;_-* &quot;-&quot;_-;_-@_-_예외적립품의_0910(완료) 2 3 5 3" xfId="27827"/>
    <cellStyle name="_-* #,##0_-;-* #,##0_-;_-* &quot;-&quot;_-;_-@_-_예외적립품의_0910(완료) 2 3 6" xfId="23768"/>
    <cellStyle name="_-* #,##0_-;-* #,##0_-;_-* &quot;-&quot;_-;_-@_-_예외적립품의_0910(완료) 2 3 6 2" xfId="30948"/>
    <cellStyle name="_-* #,##0_-;-* #,##0_-;_-* &quot;-&quot;_-;_-@_-_예외적립품의_0910(완료) 2 3 7" xfId="23769"/>
    <cellStyle name="_-* #,##0_-;-* #,##0_-;_-* &quot;-&quot;_-;_-@_-_예외적립품의_0910(완료) 2 3 7 2" xfId="30949"/>
    <cellStyle name="_-* #,##0_-;-* #,##0_-;_-* &quot;-&quot;_-;_-@_-_예외적립품의_0910(완료) 2 3 8" xfId="27820"/>
    <cellStyle name="_-* #,##0_-;-* #,##0_-;_-* &quot;-&quot;_-;_-@_-_예외적립품의_0910(완료) 2 4" xfId="5209"/>
    <cellStyle name="_-* #,##0_-;-* #,##0_-;_-* &quot;-&quot;_-;_-@_-_예외적립품의_0910(완료) 2 4 2" xfId="5210"/>
    <cellStyle name="_-* #,##0_-;-* #,##0_-;_-* &quot;-&quot;_-;_-@_-_예외적립품의_0910(완료) 2 4 2 2" xfId="5211"/>
    <cellStyle name="_-* #,##0_-;-* #,##0_-;_-* &quot;-&quot;_-;_-@_-_예외적립품의_0910(완료) 2 4 2 2 2" xfId="23770"/>
    <cellStyle name="_-* #,##0_-;-* #,##0_-;_-* &quot;-&quot;_-;_-@_-_예외적립품의_0910(완료) 2 4 2 2 2 2" xfId="30950"/>
    <cellStyle name="_-* #,##0_-;-* #,##0_-;_-* &quot;-&quot;_-;_-@_-_예외적립품의_0910(완료) 2 4 2 2 3" xfId="27830"/>
    <cellStyle name="_-* #,##0_-;-* #,##0_-;_-* &quot;-&quot;_-;_-@_-_예외적립품의_0910(완료) 2 4 2 3" xfId="23771"/>
    <cellStyle name="_-* #,##0_-;-* #,##0_-;_-* &quot;-&quot;_-;_-@_-_예외적립품의_0910(완료) 2 4 2 3 2" xfId="30951"/>
    <cellStyle name="_-* #,##0_-;-* #,##0_-;_-* &quot;-&quot;_-;_-@_-_예외적립품의_0910(완료) 2 4 2 4" xfId="23772"/>
    <cellStyle name="_-* #,##0_-;-* #,##0_-;_-* &quot;-&quot;_-;_-@_-_예외적립품의_0910(완료) 2 4 2 4 2" xfId="30952"/>
    <cellStyle name="_-* #,##0_-;-* #,##0_-;_-* &quot;-&quot;_-;_-@_-_예외적립품의_0910(완료) 2 4 2 5" xfId="23773"/>
    <cellStyle name="_-* #,##0_-;-* #,##0_-;_-* &quot;-&quot;_-;_-@_-_예외적립품의_0910(완료) 2 4 2 5 2" xfId="30953"/>
    <cellStyle name="_-* #,##0_-;-* #,##0_-;_-* &quot;-&quot;_-;_-@_-_예외적립품의_0910(완료) 2 4 2 6" xfId="27829"/>
    <cellStyle name="_-* #,##0_-;-* #,##0_-;_-* &quot;-&quot;_-;_-@_-_예외적립품의_0910(완료) 2 4 3" xfId="5212"/>
    <cellStyle name="_-* #,##0_-;-* #,##0_-;_-* &quot;-&quot;_-;_-@_-_예외적립품의_0910(완료) 2 4 3 2" xfId="5213"/>
    <cellStyle name="_-* #,##0_-;-* #,##0_-;_-* &quot;-&quot;_-;_-@_-_예외적립품의_0910(완료) 2 4 3 2 2" xfId="23774"/>
    <cellStyle name="_-* #,##0_-;-* #,##0_-;_-* &quot;-&quot;_-;_-@_-_예외적립품의_0910(완료) 2 4 3 2 2 2" xfId="30954"/>
    <cellStyle name="_-* #,##0_-;-* #,##0_-;_-* &quot;-&quot;_-;_-@_-_예외적립품의_0910(완료) 2 4 3 2 3" xfId="27832"/>
    <cellStyle name="_-* #,##0_-;-* #,##0_-;_-* &quot;-&quot;_-;_-@_-_예외적립품의_0910(완료) 2 4 3 3" xfId="23775"/>
    <cellStyle name="_-* #,##0_-;-* #,##0_-;_-* &quot;-&quot;_-;_-@_-_예외적립품의_0910(완료) 2 4 3 3 2" xfId="30955"/>
    <cellStyle name="_-* #,##0_-;-* #,##0_-;_-* &quot;-&quot;_-;_-@_-_예외적립품의_0910(완료) 2 4 3 4" xfId="27831"/>
    <cellStyle name="_-* #,##0_-;-* #,##0_-;_-* &quot;-&quot;_-;_-@_-_예외적립품의_0910(완료) 2 4 4" xfId="5214"/>
    <cellStyle name="_-* #,##0_-;-* #,##0_-;_-* &quot;-&quot;_-;_-@_-_예외적립품의_0910(완료) 2 4 4 2" xfId="23776"/>
    <cellStyle name="_-* #,##0_-;-* #,##0_-;_-* &quot;-&quot;_-;_-@_-_예외적립품의_0910(완료) 2 4 4 2 2" xfId="30956"/>
    <cellStyle name="_-* #,##0_-;-* #,##0_-;_-* &quot;-&quot;_-;_-@_-_예외적립품의_0910(완료) 2 4 4 3" xfId="27833"/>
    <cellStyle name="_-* #,##0_-;-* #,##0_-;_-* &quot;-&quot;_-;_-@_-_예외적립품의_0910(완료) 2 4 5" xfId="23777"/>
    <cellStyle name="_-* #,##0_-;-* #,##0_-;_-* &quot;-&quot;_-;_-@_-_예외적립품의_0910(완료) 2 4 5 2" xfId="30957"/>
    <cellStyle name="_-* #,##0_-;-* #,##0_-;_-* &quot;-&quot;_-;_-@_-_예외적립품의_0910(완료) 2 4 6" xfId="23778"/>
    <cellStyle name="_-* #,##0_-;-* #,##0_-;_-* &quot;-&quot;_-;_-@_-_예외적립품의_0910(완료) 2 4 6 2" xfId="30958"/>
    <cellStyle name="_-* #,##0_-;-* #,##0_-;_-* &quot;-&quot;_-;_-@_-_예외적립품의_0910(완료) 2 4 7" xfId="23779"/>
    <cellStyle name="_-* #,##0_-;-* #,##0_-;_-* &quot;-&quot;_-;_-@_-_예외적립품의_0910(완료) 2 4 7 2" xfId="30959"/>
    <cellStyle name="_-* #,##0_-;-* #,##0_-;_-* &quot;-&quot;_-;_-@_-_예외적립품의_0910(완료) 2 4 8" xfId="27828"/>
    <cellStyle name="_-* #,##0_-;-* #,##0_-;_-* &quot;-&quot;_-;_-@_-_예외적립품의_0910(완료) 2 5" xfId="5215"/>
    <cellStyle name="_-* #,##0_-;-* #,##0_-;_-* &quot;-&quot;_-;_-@_-_예외적립품의_0910(완료) 2 5 2" xfId="5216"/>
    <cellStyle name="_-* #,##0_-;-* #,##0_-;_-* &quot;-&quot;_-;_-@_-_예외적립품의_0910(완료) 2 5 2 2" xfId="23780"/>
    <cellStyle name="_-* #,##0_-;-* #,##0_-;_-* &quot;-&quot;_-;_-@_-_예외적립품의_0910(완료) 2 5 2 2 2" xfId="30960"/>
    <cellStyle name="_-* #,##0_-;-* #,##0_-;_-* &quot;-&quot;_-;_-@_-_예외적립품의_0910(완료) 2 5 2 3" xfId="27835"/>
    <cellStyle name="_-* #,##0_-;-* #,##0_-;_-* &quot;-&quot;_-;_-@_-_예외적립품의_0910(완료) 2 5 3" xfId="5217"/>
    <cellStyle name="_-* #,##0_-;-* #,##0_-;_-* &quot;-&quot;_-;_-@_-_예외적립품의_0910(완료) 2 5 3 2" xfId="23781"/>
    <cellStyle name="_-* #,##0_-;-* #,##0_-;_-* &quot;-&quot;_-;_-@_-_예외적립품의_0910(완료) 2 5 3 2 2" xfId="30961"/>
    <cellStyle name="_-* #,##0_-;-* #,##0_-;_-* &quot;-&quot;_-;_-@_-_예외적립품의_0910(완료) 2 5 3 3" xfId="27836"/>
    <cellStyle name="_-* #,##0_-;-* #,##0_-;_-* &quot;-&quot;_-;_-@_-_예외적립품의_0910(완료) 2 5 4" xfId="23782"/>
    <cellStyle name="_-* #,##0_-;-* #,##0_-;_-* &quot;-&quot;_-;_-@_-_예외적립품의_0910(완료) 2 5 4 2" xfId="30962"/>
    <cellStyle name="_-* #,##0_-;-* #,##0_-;_-* &quot;-&quot;_-;_-@_-_예외적립품의_0910(완료) 2 5 5" xfId="23783"/>
    <cellStyle name="_-* #,##0_-;-* #,##0_-;_-* &quot;-&quot;_-;_-@_-_예외적립품의_0910(완료) 2 5 5 2" xfId="30963"/>
    <cellStyle name="_-* #,##0_-;-* #,##0_-;_-* &quot;-&quot;_-;_-@_-_예외적립품의_0910(완료) 2 5 6" xfId="27834"/>
    <cellStyle name="_-* #,##0_-;-* #,##0_-;_-* &quot;-&quot;_-;_-@_-_예외적립품의_0910(완료) 2 6" xfId="5218"/>
    <cellStyle name="_-* #,##0_-;-* #,##0_-;_-* &quot;-&quot;_-;_-@_-_예외적립품의_0910(완료) 2 6 2" xfId="5219"/>
    <cellStyle name="_-* #,##0_-;-* #,##0_-;_-* &quot;-&quot;_-;_-@_-_예외적립품의_0910(완료) 2 6 2 2" xfId="23784"/>
    <cellStyle name="_-* #,##0_-;-* #,##0_-;_-* &quot;-&quot;_-;_-@_-_예외적립품의_0910(완료) 2 6 2 2 2" xfId="30964"/>
    <cellStyle name="_-* #,##0_-;-* #,##0_-;_-* &quot;-&quot;_-;_-@_-_예외적립품의_0910(완료) 2 6 2 3" xfId="27838"/>
    <cellStyle name="_-* #,##0_-;-* #,##0_-;_-* &quot;-&quot;_-;_-@_-_예외적립품의_0910(완료) 2 6 3" xfId="5220"/>
    <cellStyle name="_-* #,##0_-;-* #,##0_-;_-* &quot;-&quot;_-;_-@_-_예외적립품의_0910(완료) 2 6 3 2" xfId="23785"/>
    <cellStyle name="_-* #,##0_-;-* #,##0_-;_-* &quot;-&quot;_-;_-@_-_예외적립품의_0910(완료) 2 6 3 2 2" xfId="30965"/>
    <cellStyle name="_-* #,##0_-;-* #,##0_-;_-* &quot;-&quot;_-;_-@_-_예외적립품의_0910(완료) 2 6 3 3" xfId="27839"/>
    <cellStyle name="_-* #,##0_-;-* #,##0_-;_-* &quot;-&quot;_-;_-@_-_예외적립품의_0910(완료) 2 6 4" xfId="23786"/>
    <cellStyle name="_-* #,##0_-;-* #,##0_-;_-* &quot;-&quot;_-;_-@_-_예외적립품의_0910(완료) 2 6 4 2" xfId="30966"/>
    <cellStyle name="_-* #,##0_-;-* #,##0_-;_-* &quot;-&quot;_-;_-@_-_예외적립품의_0910(완료) 2 6 5" xfId="27837"/>
    <cellStyle name="_-* #,##0_-;-* #,##0_-;_-* &quot;-&quot;_-;_-@_-_예외적립품의_0910(완료) 2 7" xfId="5221"/>
    <cellStyle name="_-* #,##0_-;-* #,##0_-;_-* &quot;-&quot;_-;_-@_-_예외적립품의_0910(완료) 2 7 2" xfId="5222"/>
    <cellStyle name="_-* #,##0_-;-* #,##0_-;_-* &quot;-&quot;_-;_-@_-_예외적립품의_0910(완료) 2 7 2 2" xfId="23787"/>
    <cellStyle name="_-* #,##0_-;-* #,##0_-;_-* &quot;-&quot;_-;_-@_-_예외적립품의_0910(완료) 2 7 2 2 2" xfId="30967"/>
    <cellStyle name="_-* #,##0_-;-* #,##0_-;_-* &quot;-&quot;_-;_-@_-_예외적립품의_0910(완료) 2 7 2 3" xfId="27841"/>
    <cellStyle name="_-* #,##0_-;-* #,##0_-;_-* &quot;-&quot;_-;_-@_-_예외적립품의_0910(완료) 2 7 3" xfId="23788"/>
    <cellStyle name="_-* #,##0_-;-* #,##0_-;_-* &quot;-&quot;_-;_-@_-_예외적립품의_0910(완료) 2 7 3 2" xfId="30968"/>
    <cellStyle name="_-* #,##0_-;-* #,##0_-;_-* &quot;-&quot;_-;_-@_-_예외적립품의_0910(완료) 2 7 4" xfId="27840"/>
    <cellStyle name="_-* #,##0_-;-* #,##0_-;_-* &quot;-&quot;_-;_-@_-_예외적립품의_0910(완료) 2 8" xfId="5223"/>
    <cellStyle name="_-* #,##0_-;-* #,##0_-;_-* &quot;-&quot;_-;_-@_-_예외적립품의_0910(완료) 2 8 2" xfId="23789"/>
    <cellStyle name="_-* #,##0_-;-* #,##0_-;_-* &quot;-&quot;_-;_-@_-_예외적립품의_0910(완료) 2 8 2 2" xfId="30969"/>
    <cellStyle name="_-* #,##0_-;-* #,##0_-;_-* &quot;-&quot;_-;_-@_-_예외적립품의_0910(완료) 2 8 3" xfId="27842"/>
    <cellStyle name="_-* #,##0_-;-* #,##0_-;_-* &quot;-&quot;_-;_-@_-_예외적립품의_0910(완료) 2 9" xfId="23790"/>
    <cellStyle name="_-* #,##0_-;-* #,##0_-;_-* &quot;-&quot;_-;_-@_-_예외적립품의_0910(완료) 2 9 2" xfId="30970"/>
    <cellStyle name="_-* #,##0_-;-* #,##0_-;_-* &quot;-&quot;_-;_-@_-_예외적립품의_0910(완료) 3" xfId="5224"/>
    <cellStyle name="_-* #,##0_-;-* #,##0_-;_-* &quot;-&quot;_-;_-@_-_예외적립품의_0910(완료) 3 10" xfId="23791"/>
    <cellStyle name="_-* #,##0_-;-* #,##0_-;_-* &quot;-&quot;_-;_-@_-_예외적립품의_0910(완료) 3 10 2" xfId="30971"/>
    <cellStyle name="_-* #,##0_-;-* #,##0_-;_-* &quot;-&quot;_-;_-@_-_예외적립품의_0910(완료) 3 11" xfId="27843"/>
    <cellStyle name="_-* #,##0_-;-* #,##0_-;_-* &quot;-&quot;_-;_-@_-_예외적립품의_0910(완료) 3 2" xfId="5225"/>
    <cellStyle name="_-* #,##0_-;-* #,##0_-;_-* &quot;-&quot;_-;_-@_-_예외적립품의_0910(완료) 3 2 2" xfId="5226"/>
    <cellStyle name="_-* #,##0_-;-* #,##0_-;_-* &quot;-&quot;_-;_-@_-_예외적립품의_0910(완료) 3 2 2 2" xfId="23792"/>
    <cellStyle name="_-* #,##0_-;-* #,##0_-;_-* &quot;-&quot;_-;_-@_-_예외적립품의_0910(완료) 3 2 2 2 2" xfId="30972"/>
    <cellStyle name="_-* #,##0_-;-* #,##0_-;_-* &quot;-&quot;_-;_-@_-_예외적립품의_0910(완료) 3 2 2 3" xfId="23793"/>
    <cellStyle name="_-* #,##0_-;-* #,##0_-;_-* &quot;-&quot;_-;_-@_-_예외적립품의_0910(완료) 3 2 2 3 2" xfId="30973"/>
    <cellStyle name="_-* #,##0_-;-* #,##0_-;_-* &quot;-&quot;_-;_-@_-_예외적립품의_0910(완료) 3 2 2 4" xfId="23794"/>
    <cellStyle name="_-* #,##0_-;-* #,##0_-;_-* &quot;-&quot;_-;_-@_-_예외적립품의_0910(완료) 3 2 2 4 2" xfId="30974"/>
    <cellStyle name="_-* #,##0_-;-* #,##0_-;_-* &quot;-&quot;_-;_-@_-_예외적립품의_0910(완료) 3 2 2 5" xfId="23795"/>
    <cellStyle name="_-* #,##0_-;-* #,##0_-;_-* &quot;-&quot;_-;_-@_-_예외적립품의_0910(완료) 3 2 2 5 2" xfId="30975"/>
    <cellStyle name="_-* #,##0_-;-* #,##0_-;_-* &quot;-&quot;_-;_-@_-_예외적립품의_0910(완료) 3 2 2 6" xfId="27845"/>
    <cellStyle name="_-* #,##0_-;-* #,##0_-;_-* &quot;-&quot;_-;_-@_-_예외적립품의_0910(완료) 3 2 3" xfId="23796"/>
    <cellStyle name="_-* #,##0_-;-* #,##0_-;_-* &quot;-&quot;_-;_-@_-_예외적립품의_0910(완료) 3 2 3 2" xfId="23797"/>
    <cellStyle name="_-* #,##0_-;-* #,##0_-;_-* &quot;-&quot;_-;_-@_-_예외적립품의_0910(완료) 3 2 3 2 2" xfId="30977"/>
    <cellStyle name="_-* #,##0_-;-* #,##0_-;_-* &quot;-&quot;_-;_-@_-_예외적립품의_0910(완료) 3 2 3 3" xfId="30976"/>
    <cellStyle name="_-* #,##0_-;-* #,##0_-;_-* &quot;-&quot;_-;_-@_-_예외적립품의_0910(완료) 3 2 4" xfId="23798"/>
    <cellStyle name="_-* #,##0_-;-* #,##0_-;_-* &quot;-&quot;_-;_-@_-_예외적립품의_0910(완료) 3 2 4 2" xfId="30978"/>
    <cellStyle name="_-* #,##0_-;-* #,##0_-;_-* &quot;-&quot;_-;_-@_-_예외적립품의_0910(완료) 3 2 5" xfId="23799"/>
    <cellStyle name="_-* #,##0_-;-* #,##0_-;_-* &quot;-&quot;_-;_-@_-_예외적립품의_0910(완료) 3 2 5 2" xfId="30979"/>
    <cellStyle name="_-* #,##0_-;-* #,##0_-;_-* &quot;-&quot;_-;_-@_-_예외적립품의_0910(완료) 3 2 6" xfId="23800"/>
    <cellStyle name="_-* #,##0_-;-* #,##0_-;_-* &quot;-&quot;_-;_-@_-_예외적립품의_0910(완료) 3 2 6 2" xfId="30980"/>
    <cellStyle name="_-* #,##0_-;-* #,##0_-;_-* &quot;-&quot;_-;_-@_-_예외적립품의_0910(완료) 3 2 7" xfId="23801"/>
    <cellStyle name="_-* #,##0_-;-* #,##0_-;_-* &quot;-&quot;_-;_-@_-_예외적립품의_0910(완료) 3 2 7 2" xfId="30981"/>
    <cellStyle name="_-* #,##0_-;-* #,##0_-;_-* &quot;-&quot;_-;_-@_-_예외적립품의_0910(완료) 3 2 8" xfId="27844"/>
    <cellStyle name="_-* #,##0_-;-* #,##0_-;_-* &quot;-&quot;_-;_-@_-_예외적립품의_0910(완료) 3 3" xfId="5227"/>
    <cellStyle name="_-* #,##0_-;-* #,##0_-;_-* &quot;-&quot;_-;_-@_-_예외적립품의_0910(완료) 3 3 2" xfId="5228"/>
    <cellStyle name="_-* #,##0_-;-* #,##0_-;_-* &quot;-&quot;_-;_-@_-_예외적립품의_0910(완료) 3 3 2 2" xfId="23802"/>
    <cellStyle name="_-* #,##0_-;-* #,##0_-;_-* &quot;-&quot;_-;_-@_-_예외적립품의_0910(완료) 3 3 2 2 2" xfId="30982"/>
    <cellStyle name="_-* #,##0_-;-* #,##0_-;_-* &quot;-&quot;_-;_-@_-_예외적립품의_0910(완료) 3 3 2 3" xfId="23803"/>
    <cellStyle name="_-* #,##0_-;-* #,##0_-;_-* &quot;-&quot;_-;_-@_-_예외적립품의_0910(완료) 3 3 2 3 2" xfId="30983"/>
    <cellStyle name="_-* #,##0_-;-* #,##0_-;_-* &quot;-&quot;_-;_-@_-_예외적립품의_0910(완료) 3 3 2 4" xfId="23804"/>
    <cellStyle name="_-* #,##0_-;-* #,##0_-;_-* &quot;-&quot;_-;_-@_-_예외적립품의_0910(완료) 3 3 2 4 2" xfId="30984"/>
    <cellStyle name="_-* #,##0_-;-* #,##0_-;_-* &quot;-&quot;_-;_-@_-_예외적립품의_0910(완료) 3 3 2 5" xfId="23805"/>
    <cellStyle name="_-* #,##0_-;-* #,##0_-;_-* &quot;-&quot;_-;_-@_-_예외적립품의_0910(완료) 3 3 2 5 2" xfId="30985"/>
    <cellStyle name="_-* #,##0_-;-* #,##0_-;_-* &quot;-&quot;_-;_-@_-_예외적립품의_0910(완료) 3 3 2 6" xfId="27847"/>
    <cellStyle name="_-* #,##0_-;-* #,##0_-;_-* &quot;-&quot;_-;_-@_-_예외적립품의_0910(완료) 3 3 3" xfId="23806"/>
    <cellStyle name="_-* #,##0_-;-* #,##0_-;_-* &quot;-&quot;_-;_-@_-_예외적립품의_0910(완료) 3 3 3 2" xfId="23807"/>
    <cellStyle name="_-* #,##0_-;-* #,##0_-;_-* &quot;-&quot;_-;_-@_-_예외적립품의_0910(완료) 3 3 3 2 2" xfId="30987"/>
    <cellStyle name="_-* #,##0_-;-* #,##0_-;_-* &quot;-&quot;_-;_-@_-_예외적립품의_0910(완료) 3 3 3 3" xfId="30986"/>
    <cellStyle name="_-* #,##0_-;-* #,##0_-;_-* &quot;-&quot;_-;_-@_-_예외적립품의_0910(완료) 3 3 4" xfId="23808"/>
    <cellStyle name="_-* #,##0_-;-* #,##0_-;_-* &quot;-&quot;_-;_-@_-_예외적립품의_0910(완료) 3 3 4 2" xfId="30988"/>
    <cellStyle name="_-* #,##0_-;-* #,##0_-;_-* &quot;-&quot;_-;_-@_-_예외적립품의_0910(완료) 3 3 5" xfId="23809"/>
    <cellStyle name="_-* #,##0_-;-* #,##0_-;_-* &quot;-&quot;_-;_-@_-_예외적립품의_0910(완료) 3 3 5 2" xfId="30989"/>
    <cellStyle name="_-* #,##0_-;-* #,##0_-;_-* &quot;-&quot;_-;_-@_-_예외적립품의_0910(완료) 3 3 6" xfId="23810"/>
    <cellStyle name="_-* #,##0_-;-* #,##0_-;_-* &quot;-&quot;_-;_-@_-_예외적립품의_0910(완료) 3 3 6 2" xfId="30990"/>
    <cellStyle name="_-* #,##0_-;-* #,##0_-;_-* &quot;-&quot;_-;_-@_-_예외적립품의_0910(완료) 3 3 7" xfId="23811"/>
    <cellStyle name="_-* #,##0_-;-* #,##0_-;_-* &quot;-&quot;_-;_-@_-_예외적립품의_0910(완료) 3 3 7 2" xfId="30991"/>
    <cellStyle name="_-* #,##0_-;-* #,##0_-;_-* &quot;-&quot;_-;_-@_-_예외적립품의_0910(완료) 3 3 8" xfId="27846"/>
    <cellStyle name="_-* #,##0_-;-* #,##0_-;_-* &quot;-&quot;_-;_-@_-_예외적립품의_0910(완료) 3 4" xfId="5229"/>
    <cellStyle name="_-* #,##0_-;-* #,##0_-;_-* &quot;-&quot;_-;_-@_-_예외적립품의_0910(완료) 3 4 2" xfId="5230"/>
    <cellStyle name="_-* #,##0_-;-* #,##0_-;_-* &quot;-&quot;_-;_-@_-_예외적립품의_0910(완료) 3 4 2 2" xfId="23812"/>
    <cellStyle name="_-* #,##0_-;-* #,##0_-;_-* &quot;-&quot;_-;_-@_-_예외적립품의_0910(완료) 3 4 2 2 2" xfId="30992"/>
    <cellStyle name="_-* #,##0_-;-* #,##0_-;_-* &quot;-&quot;_-;_-@_-_예외적립품의_0910(완료) 3 4 2 3" xfId="23813"/>
    <cellStyle name="_-* #,##0_-;-* #,##0_-;_-* &quot;-&quot;_-;_-@_-_예외적립품의_0910(완료) 3 4 2 3 2" xfId="30993"/>
    <cellStyle name="_-* #,##0_-;-* #,##0_-;_-* &quot;-&quot;_-;_-@_-_예외적립품의_0910(완료) 3 4 2 4" xfId="23814"/>
    <cellStyle name="_-* #,##0_-;-* #,##0_-;_-* &quot;-&quot;_-;_-@_-_예외적립품의_0910(완료) 3 4 2 4 2" xfId="30994"/>
    <cellStyle name="_-* #,##0_-;-* #,##0_-;_-* &quot;-&quot;_-;_-@_-_예외적립품의_0910(완료) 3 4 2 5" xfId="23815"/>
    <cellStyle name="_-* #,##0_-;-* #,##0_-;_-* &quot;-&quot;_-;_-@_-_예외적립품의_0910(완료) 3 4 2 5 2" xfId="30995"/>
    <cellStyle name="_-* #,##0_-;-* #,##0_-;_-* &quot;-&quot;_-;_-@_-_예외적립품의_0910(완료) 3 4 2 6" xfId="27849"/>
    <cellStyle name="_-* #,##0_-;-* #,##0_-;_-* &quot;-&quot;_-;_-@_-_예외적립품의_0910(완료) 3 4 3" xfId="23816"/>
    <cellStyle name="_-* #,##0_-;-* #,##0_-;_-* &quot;-&quot;_-;_-@_-_예외적립품의_0910(완료) 3 4 3 2" xfId="23817"/>
    <cellStyle name="_-* #,##0_-;-* #,##0_-;_-* &quot;-&quot;_-;_-@_-_예외적립품의_0910(완료) 3 4 3 2 2" xfId="30997"/>
    <cellStyle name="_-* #,##0_-;-* #,##0_-;_-* &quot;-&quot;_-;_-@_-_예외적립품의_0910(완료) 3 4 3 3" xfId="30996"/>
    <cellStyle name="_-* #,##0_-;-* #,##0_-;_-* &quot;-&quot;_-;_-@_-_예외적립품의_0910(완료) 3 4 4" xfId="23818"/>
    <cellStyle name="_-* #,##0_-;-* #,##0_-;_-* &quot;-&quot;_-;_-@_-_예외적립품의_0910(완료) 3 4 4 2" xfId="30998"/>
    <cellStyle name="_-* #,##0_-;-* #,##0_-;_-* &quot;-&quot;_-;_-@_-_예외적립품의_0910(완료) 3 4 5" xfId="23819"/>
    <cellStyle name="_-* #,##0_-;-* #,##0_-;_-* &quot;-&quot;_-;_-@_-_예외적립품의_0910(완료) 3 4 5 2" xfId="30999"/>
    <cellStyle name="_-* #,##0_-;-* #,##0_-;_-* &quot;-&quot;_-;_-@_-_예외적립품의_0910(완료) 3 4 6" xfId="23820"/>
    <cellStyle name="_-* #,##0_-;-* #,##0_-;_-* &quot;-&quot;_-;_-@_-_예외적립품의_0910(완료) 3 4 6 2" xfId="31000"/>
    <cellStyle name="_-* #,##0_-;-* #,##0_-;_-* &quot;-&quot;_-;_-@_-_예외적립품의_0910(완료) 3 4 7" xfId="23821"/>
    <cellStyle name="_-* #,##0_-;-* #,##0_-;_-* &quot;-&quot;_-;_-@_-_예외적립품의_0910(완료) 3 4 7 2" xfId="31001"/>
    <cellStyle name="_-* #,##0_-;-* #,##0_-;_-* &quot;-&quot;_-;_-@_-_예외적립품의_0910(완료) 3 4 8" xfId="27848"/>
    <cellStyle name="_-* #,##0_-;-* #,##0_-;_-* &quot;-&quot;_-;_-@_-_예외적립품의_0910(완료) 3 5" xfId="5231"/>
    <cellStyle name="_-* #,##0_-;-* #,##0_-;_-* &quot;-&quot;_-;_-@_-_예외적립품의_0910(완료) 3 5 2" xfId="23822"/>
    <cellStyle name="_-* #,##0_-;-* #,##0_-;_-* &quot;-&quot;_-;_-@_-_예외적립품의_0910(완료) 3 5 2 2" xfId="31002"/>
    <cellStyle name="_-* #,##0_-;-* #,##0_-;_-* &quot;-&quot;_-;_-@_-_예외적립품의_0910(완료) 3 5 3" xfId="23823"/>
    <cellStyle name="_-* #,##0_-;-* #,##0_-;_-* &quot;-&quot;_-;_-@_-_예외적립품의_0910(완료) 3 5 3 2" xfId="31003"/>
    <cellStyle name="_-* #,##0_-;-* #,##0_-;_-* &quot;-&quot;_-;_-@_-_예외적립품의_0910(완료) 3 5 4" xfId="23824"/>
    <cellStyle name="_-* #,##0_-;-* #,##0_-;_-* &quot;-&quot;_-;_-@_-_예외적립품의_0910(완료) 3 5 4 2" xfId="31004"/>
    <cellStyle name="_-* #,##0_-;-* #,##0_-;_-* &quot;-&quot;_-;_-@_-_예외적립품의_0910(완료) 3 5 5" xfId="23825"/>
    <cellStyle name="_-* #,##0_-;-* #,##0_-;_-* &quot;-&quot;_-;_-@_-_예외적립품의_0910(완료) 3 5 5 2" xfId="31005"/>
    <cellStyle name="_-* #,##0_-;-* #,##0_-;_-* &quot;-&quot;_-;_-@_-_예외적립품의_0910(완료) 3 5 6" xfId="27850"/>
    <cellStyle name="_-* #,##0_-;-* #,##0_-;_-* &quot;-&quot;_-;_-@_-_예외적립품의_0910(완료) 3 6" xfId="23826"/>
    <cellStyle name="_-* #,##0_-;-* #,##0_-;_-* &quot;-&quot;_-;_-@_-_예외적립품의_0910(완료) 3 6 2" xfId="23827"/>
    <cellStyle name="_-* #,##0_-;-* #,##0_-;_-* &quot;-&quot;_-;_-@_-_예외적립품의_0910(완료) 3 6 2 2" xfId="31007"/>
    <cellStyle name="_-* #,##0_-;-* #,##0_-;_-* &quot;-&quot;_-;_-@_-_예외적립품의_0910(완료) 3 6 3" xfId="31006"/>
    <cellStyle name="_-* #,##0_-;-* #,##0_-;_-* &quot;-&quot;_-;_-@_-_예외적립품의_0910(완료) 3 7" xfId="23828"/>
    <cellStyle name="_-* #,##0_-;-* #,##0_-;_-* &quot;-&quot;_-;_-@_-_예외적립품의_0910(완료) 3 7 2" xfId="31008"/>
    <cellStyle name="_-* #,##0_-;-* #,##0_-;_-* &quot;-&quot;_-;_-@_-_예외적립품의_0910(완료) 3 8" xfId="23829"/>
    <cellStyle name="_-* #,##0_-;-* #,##0_-;_-* &quot;-&quot;_-;_-@_-_예외적립품의_0910(완료) 3 8 2" xfId="31009"/>
    <cellStyle name="_-* #,##0_-;-* #,##0_-;_-* &quot;-&quot;_-;_-@_-_예외적립품의_0910(완료) 3 9" xfId="23830"/>
    <cellStyle name="_-* #,##0_-;-* #,##0_-;_-* &quot;-&quot;_-;_-@_-_예외적립품의_0910(완료) 3 9 2" xfId="31010"/>
    <cellStyle name="_-* #,##0_-;-* #,##0_-;_-* &quot;-&quot;_-;_-@_-_예외적립품의_0910(완료) 4" xfId="5232"/>
    <cellStyle name="_-* #,##0_-;-* #,##0_-;_-* &quot;-&quot;_-;_-@_-_예외적립품의_0910(완료) 4 2" xfId="5233"/>
    <cellStyle name="_-* #,##0_-;-* #,##0_-;_-* &quot;-&quot;_-;_-@_-_예외적립품의_0910(완료) 4 2 2" xfId="5234"/>
    <cellStyle name="_-* #,##0_-;-* #,##0_-;_-* &quot;-&quot;_-;_-@_-_예외적립품의_0910(완료) 4 2 2 2" xfId="23831"/>
    <cellStyle name="_-* #,##0_-;-* #,##0_-;_-* &quot;-&quot;_-;_-@_-_예외적립품의_0910(완료) 4 2 2 2 2" xfId="31011"/>
    <cellStyle name="_-* #,##0_-;-* #,##0_-;_-* &quot;-&quot;_-;_-@_-_예외적립품의_0910(완료) 4 2 2 3" xfId="27853"/>
    <cellStyle name="_-* #,##0_-;-* #,##0_-;_-* &quot;-&quot;_-;_-@_-_예외적립품의_0910(완료) 4 2 3" xfId="23832"/>
    <cellStyle name="_-* #,##0_-;-* #,##0_-;_-* &quot;-&quot;_-;_-@_-_예외적립품의_0910(완료) 4 2 3 2" xfId="31012"/>
    <cellStyle name="_-* #,##0_-;-* #,##0_-;_-* &quot;-&quot;_-;_-@_-_예외적립품의_0910(완료) 4 2 4" xfId="23833"/>
    <cellStyle name="_-* #,##0_-;-* #,##0_-;_-* &quot;-&quot;_-;_-@_-_예외적립품의_0910(완료) 4 2 4 2" xfId="31013"/>
    <cellStyle name="_-* #,##0_-;-* #,##0_-;_-* &quot;-&quot;_-;_-@_-_예외적립품의_0910(완료) 4 2 5" xfId="23834"/>
    <cellStyle name="_-* #,##0_-;-* #,##0_-;_-* &quot;-&quot;_-;_-@_-_예외적립품의_0910(완료) 4 2 5 2" xfId="31014"/>
    <cellStyle name="_-* #,##0_-;-* #,##0_-;_-* &quot;-&quot;_-;_-@_-_예외적립품의_0910(완료) 4 2 6" xfId="27852"/>
    <cellStyle name="_-* #,##0_-;-* #,##0_-;_-* &quot;-&quot;_-;_-@_-_예외적립품의_0910(완료) 4 3" xfId="5235"/>
    <cellStyle name="_-* #,##0_-;-* #,##0_-;_-* &quot;-&quot;_-;_-@_-_예외적립품의_0910(완료) 4 3 2" xfId="5236"/>
    <cellStyle name="_-* #,##0_-;-* #,##0_-;_-* &quot;-&quot;_-;_-@_-_예외적립품의_0910(완료) 4 3 2 2" xfId="23835"/>
    <cellStyle name="_-* #,##0_-;-* #,##0_-;_-* &quot;-&quot;_-;_-@_-_예외적립품의_0910(완료) 4 3 2 2 2" xfId="31015"/>
    <cellStyle name="_-* #,##0_-;-* #,##0_-;_-* &quot;-&quot;_-;_-@_-_예외적립품의_0910(완료) 4 3 2 3" xfId="27855"/>
    <cellStyle name="_-* #,##0_-;-* #,##0_-;_-* &quot;-&quot;_-;_-@_-_예외적립품의_0910(완료) 4 3 3" xfId="23836"/>
    <cellStyle name="_-* #,##0_-;-* #,##0_-;_-* &quot;-&quot;_-;_-@_-_예외적립품의_0910(완료) 4 3 3 2" xfId="31016"/>
    <cellStyle name="_-* #,##0_-;-* #,##0_-;_-* &quot;-&quot;_-;_-@_-_예외적립품의_0910(완료) 4 3 4" xfId="27854"/>
    <cellStyle name="_-* #,##0_-;-* #,##0_-;_-* &quot;-&quot;_-;_-@_-_예외적립품의_0910(완료) 4 4" xfId="5237"/>
    <cellStyle name="_-* #,##0_-;-* #,##0_-;_-* &quot;-&quot;_-;_-@_-_예외적립품의_0910(완료) 4 4 2" xfId="5238"/>
    <cellStyle name="_-* #,##0_-;-* #,##0_-;_-* &quot;-&quot;_-;_-@_-_예외적립품의_0910(완료) 4 4 2 2" xfId="23837"/>
    <cellStyle name="_-* #,##0_-;-* #,##0_-;_-* &quot;-&quot;_-;_-@_-_예외적립품의_0910(완료) 4 4 2 2 2" xfId="31017"/>
    <cellStyle name="_-* #,##0_-;-* #,##0_-;_-* &quot;-&quot;_-;_-@_-_예외적립품의_0910(완료) 4 4 2 3" xfId="27857"/>
    <cellStyle name="_-* #,##0_-;-* #,##0_-;_-* &quot;-&quot;_-;_-@_-_예외적립품의_0910(완료) 4 4 3" xfId="23838"/>
    <cellStyle name="_-* #,##0_-;-* #,##0_-;_-* &quot;-&quot;_-;_-@_-_예외적립품의_0910(완료) 4 4 3 2" xfId="31018"/>
    <cellStyle name="_-* #,##0_-;-* #,##0_-;_-* &quot;-&quot;_-;_-@_-_예외적립품의_0910(완료) 4 4 4" xfId="27856"/>
    <cellStyle name="_-* #,##0_-;-* #,##0_-;_-* &quot;-&quot;_-;_-@_-_예외적립품의_0910(완료) 4 5" xfId="5239"/>
    <cellStyle name="_-* #,##0_-;-* #,##0_-;_-* &quot;-&quot;_-;_-@_-_예외적립품의_0910(완료) 4 5 2" xfId="23839"/>
    <cellStyle name="_-* #,##0_-;-* #,##0_-;_-* &quot;-&quot;_-;_-@_-_예외적립품의_0910(완료) 4 5 2 2" xfId="31019"/>
    <cellStyle name="_-* #,##0_-;-* #,##0_-;_-* &quot;-&quot;_-;_-@_-_예외적립품의_0910(완료) 4 5 3" xfId="27858"/>
    <cellStyle name="_-* #,##0_-;-* #,##0_-;_-* &quot;-&quot;_-;_-@_-_예외적립품의_0910(완료) 4 6" xfId="23840"/>
    <cellStyle name="_-* #,##0_-;-* #,##0_-;_-* &quot;-&quot;_-;_-@_-_예외적립품의_0910(완료) 4 6 2" xfId="31020"/>
    <cellStyle name="_-* #,##0_-;-* #,##0_-;_-* &quot;-&quot;_-;_-@_-_예외적립품의_0910(완료) 4 7" xfId="23841"/>
    <cellStyle name="_-* #,##0_-;-* #,##0_-;_-* &quot;-&quot;_-;_-@_-_예외적립품의_0910(완료) 4 7 2" xfId="31021"/>
    <cellStyle name="_-* #,##0_-;-* #,##0_-;_-* &quot;-&quot;_-;_-@_-_예외적립품의_0910(완료) 4 8" xfId="27851"/>
    <cellStyle name="_-* #,##0_-;-* #,##0_-;_-* &quot;-&quot;_-;_-@_-_예외적립품의_0910(완료) 5" xfId="5240"/>
    <cellStyle name="_-* #,##0_-;-* #,##0_-;_-* &quot;-&quot;_-;_-@_-_예외적립품의_0910(완료) 5 2" xfId="5241"/>
    <cellStyle name="_-* #,##0_-;-* #,##0_-;_-* &quot;-&quot;_-;_-@_-_예외적립품의_0910(완료) 5 2 2" xfId="5242"/>
    <cellStyle name="_-* #,##0_-;-* #,##0_-;_-* &quot;-&quot;_-;_-@_-_예외적립품의_0910(완료) 5 2 2 2" xfId="23842"/>
    <cellStyle name="_-* #,##0_-;-* #,##0_-;_-* &quot;-&quot;_-;_-@_-_예외적립품의_0910(완료) 5 2 2 2 2" xfId="31022"/>
    <cellStyle name="_-* #,##0_-;-* #,##0_-;_-* &quot;-&quot;_-;_-@_-_예외적립품의_0910(완료) 5 2 2 3" xfId="27861"/>
    <cellStyle name="_-* #,##0_-;-* #,##0_-;_-* &quot;-&quot;_-;_-@_-_예외적립품의_0910(완료) 5 2 3" xfId="23843"/>
    <cellStyle name="_-* #,##0_-;-* #,##0_-;_-* &quot;-&quot;_-;_-@_-_예외적립품의_0910(완료) 5 2 3 2" xfId="31023"/>
    <cellStyle name="_-* #,##0_-;-* #,##0_-;_-* &quot;-&quot;_-;_-@_-_예외적립품의_0910(완료) 5 2 4" xfId="23844"/>
    <cellStyle name="_-* #,##0_-;-* #,##0_-;_-* &quot;-&quot;_-;_-@_-_예외적립품의_0910(완료) 5 2 4 2" xfId="31024"/>
    <cellStyle name="_-* #,##0_-;-* #,##0_-;_-* &quot;-&quot;_-;_-@_-_예외적립품의_0910(완료) 5 2 5" xfId="23845"/>
    <cellStyle name="_-* #,##0_-;-* #,##0_-;_-* &quot;-&quot;_-;_-@_-_예외적립품의_0910(완료) 5 2 5 2" xfId="31025"/>
    <cellStyle name="_-* #,##0_-;-* #,##0_-;_-* &quot;-&quot;_-;_-@_-_예외적립품의_0910(완료) 5 2 6" xfId="27860"/>
    <cellStyle name="_-* #,##0_-;-* #,##0_-;_-* &quot;-&quot;_-;_-@_-_예외적립품의_0910(완료) 5 3" xfId="5243"/>
    <cellStyle name="_-* #,##0_-;-* #,##0_-;_-* &quot;-&quot;_-;_-@_-_예외적립품의_0910(완료) 5 3 2" xfId="5244"/>
    <cellStyle name="_-* #,##0_-;-* #,##0_-;_-* &quot;-&quot;_-;_-@_-_예외적립품의_0910(완료) 5 3 2 2" xfId="23846"/>
    <cellStyle name="_-* #,##0_-;-* #,##0_-;_-* &quot;-&quot;_-;_-@_-_예외적립품의_0910(완료) 5 3 2 2 2" xfId="31026"/>
    <cellStyle name="_-* #,##0_-;-* #,##0_-;_-* &quot;-&quot;_-;_-@_-_예외적립품의_0910(완료) 5 3 2 3" xfId="27863"/>
    <cellStyle name="_-* #,##0_-;-* #,##0_-;_-* &quot;-&quot;_-;_-@_-_예외적립품의_0910(완료) 5 3 3" xfId="23847"/>
    <cellStyle name="_-* #,##0_-;-* #,##0_-;_-* &quot;-&quot;_-;_-@_-_예외적립품의_0910(완료) 5 3 3 2" xfId="31027"/>
    <cellStyle name="_-* #,##0_-;-* #,##0_-;_-* &quot;-&quot;_-;_-@_-_예외적립품의_0910(완료) 5 3 4" xfId="27862"/>
    <cellStyle name="_-* #,##0_-;-* #,##0_-;_-* &quot;-&quot;_-;_-@_-_예외적립품의_0910(완료) 5 4" xfId="5245"/>
    <cellStyle name="_-* #,##0_-;-* #,##0_-;_-* &quot;-&quot;_-;_-@_-_예외적립품의_0910(완료) 5 4 2" xfId="23848"/>
    <cellStyle name="_-* #,##0_-;-* #,##0_-;_-* &quot;-&quot;_-;_-@_-_예외적립품의_0910(완료) 5 4 2 2" xfId="31028"/>
    <cellStyle name="_-* #,##0_-;-* #,##0_-;_-* &quot;-&quot;_-;_-@_-_예외적립품의_0910(완료) 5 4 3" xfId="27864"/>
    <cellStyle name="_-* #,##0_-;-* #,##0_-;_-* &quot;-&quot;_-;_-@_-_예외적립품의_0910(완료) 5 5" xfId="23849"/>
    <cellStyle name="_-* #,##0_-;-* #,##0_-;_-* &quot;-&quot;_-;_-@_-_예외적립품의_0910(완료) 5 5 2" xfId="31029"/>
    <cellStyle name="_-* #,##0_-;-* #,##0_-;_-* &quot;-&quot;_-;_-@_-_예외적립품의_0910(완료) 5 6" xfId="23850"/>
    <cellStyle name="_-* #,##0_-;-* #,##0_-;_-* &quot;-&quot;_-;_-@_-_예외적립품의_0910(완료) 5 6 2" xfId="31030"/>
    <cellStyle name="_-* #,##0_-;-* #,##0_-;_-* &quot;-&quot;_-;_-@_-_예외적립품의_0910(완료) 5 7" xfId="23851"/>
    <cellStyle name="_-* #,##0_-;-* #,##0_-;_-* &quot;-&quot;_-;_-@_-_예외적립품의_0910(완료) 5 7 2" xfId="31031"/>
    <cellStyle name="_-* #,##0_-;-* #,##0_-;_-* &quot;-&quot;_-;_-@_-_예외적립품의_0910(완료) 5 8" xfId="27859"/>
    <cellStyle name="_-* #,##0_-;-* #,##0_-;_-* &quot;-&quot;_-;_-@_-_예외적립품의_0910(완료) 6" xfId="5246"/>
    <cellStyle name="_-* #,##0_-;-* #,##0_-;_-* &quot;-&quot;_-;_-@_-_예외적립품의_0910(완료) 6 2" xfId="5247"/>
    <cellStyle name="_-* #,##0_-;-* #,##0_-;_-* &quot;-&quot;_-;_-@_-_예외적립품의_0910(완료) 6 2 2" xfId="23852"/>
    <cellStyle name="_-* #,##0_-;-* #,##0_-;_-* &quot;-&quot;_-;_-@_-_예외적립품의_0910(완료) 6 2 2 2" xfId="31032"/>
    <cellStyle name="_-* #,##0_-;-* #,##0_-;_-* &quot;-&quot;_-;_-@_-_예외적립품의_0910(완료) 6 2 3" xfId="23853"/>
    <cellStyle name="_-* #,##0_-;-* #,##0_-;_-* &quot;-&quot;_-;_-@_-_예외적립품의_0910(완료) 6 2 3 2" xfId="31033"/>
    <cellStyle name="_-* #,##0_-;-* #,##0_-;_-* &quot;-&quot;_-;_-@_-_예외적립품의_0910(완료) 6 2 4" xfId="23854"/>
    <cellStyle name="_-* #,##0_-;-* #,##0_-;_-* &quot;-&quot;_-;_-@_-_예외적립품의_0910(완료) 6 2 4 2" xfId="31034"/>
    <cellStyle name="_-* #,##0_-;-* #,##0_-;_-* &quot;-&quot;_-;_-@_-_예외적립품의_0910(완료) 6 2 5" xfId="23855"/>
    <cellStyle name="_-* #,##0_-;-* #,##0_-;_-* &quot;-&quot;_-;_-@_-_예외적립품의_0910(완료) 6 2 5 2" xfId="31035"/>
    <cellStyle name="_-* #,##0_-;-* #,##0_-;_-* &quot;-&quot;_-;_-@_-_예외적립품의_0910(완료) 6 2 6" xfId="27866"/>
    <cellStyle name="_-* #,##0_-;-* #,##0_-;_-* &quot;-&quot;_-;_-@_-_예외적립품의_0910(완료) 6 3" xfId="23856"/>
    <cellStyle name="_-* #,##0_-;-* #,##0_-;_-* &quot;-&quot;_-;_-@_-_예외적립품의_0910(완료) 6 3 2" xfId="23857"/>
    <cellStyle name="_-* #,##0_-;-* #,##0_-;_-* &quot;-&quot;_-;_-@_-_예외적립품의_0910(완료) 6 3 2 2" xfId="31037"/>
    <cellStyle name="_-* #,##0_-;-* #,##0_-;_-* &quot;-&quot;_-;_-@_-_예외적립품의_0910(완료) 6 3 3" xfId="31036"/>
    <cellStyle name="_-* #,##0_-;-* #,##0_-;_-* &quot;-&quot;_-;_-@_-_예외적립품의_0910(완료) 6 4" xfId="23858"/>
    <cellStyle name="_-* #,##0_-;-* #,##0_-;_-* &quot;-&quot;_-;_-@_-_예외적립품의_0910(완료) 6 4 2" xfId="31038"/>
    <cellStyle name="_-* #,##0_-;-* #,##0_-;_-* &quot;-&quot;_-;_-@_-_예외적립품의_0910(완료) 6 5" xfId="23859"/>
    <cellStyle name="_-* #,##0_-;-* #,##0_-;_-* &quot;-&quot;_-;_-@_-_예외적립품의_0910(완료) 6 5 2" xfId="31039"/>
    <cellStyle name="_-* #,##0_-;-* #,##0_-;_-* &quot;-&quot;_-;_-@_-_예외적립품의_0910(완료) 6 6" xfId="23860"/>
    <cellStyle name="_-* #,##0_-;-* #,##0_-;_-* &quot;-&quot;_-;_-@_-_예외적립품의_0910(완료) 6 6 2" xfId="31040"/>
    <cellStyle name="_-* #,##0_-;-* #,##0_-;_-* &quot;-&quot;_-;_-@_-_예외적립품의_0910(완료) 6 7" xfId="23861"/>
    <cellStyle name="_-* #,##0_-;-* #,##0_-;_-* &quot;-&quot;_-;_-@_-_예외적립품의_0910(완료) 6 7 2" xfId="31041"/>
    <cellStyle name="_-* #,##0_-;-* #,##0_-;_-* &quot;-&quot;_-;_-@_-_예외적립품의_0910(완료) 6 8" xfId="27865"/>
    <cellStyle name="_-* #,##0_-;-* #,##0_-;_-* &quot;-&quot;_-;_-@_-_예외적립품의_0910(완료) 7" xfId="5248"/>
    <cellStyle name="_-* #,##0_-;-* #,##0_-;_-* &quot;-&quot;_-;_-@_-_예외적립품의_0910(완료) 7 2" xfId="5249"/>
    <cellStyle name="_-* #,##0_-;-* #,##0_-;_-* &quot;-&quot;_-;_-@_-_예외적립품의_0910(완료) 7 2 2" xfId="23862"/>
    <cellStyle name="_-* #,##0_-;-* #,##0_-;_-* &quot;-&quot;_-;_-@_-_예외적립품의_0910(완료) 7 2 2 2" xfId="31042"/>
    <cellStyle name="_-* #,##0_-;-* #,##0_-;_-* &quot;-&quot;_-;_-@_-_예외적립품의_0910(완료) 7 2 3" xfId="27868"/>
    <cellStyle name="_-* #,##0_-;-* #,##0_-;_-* &quot;-&quot;_-;_-@_-_예외적립품의_0910(완료) 7 3" xfId="23863"/>
    <cellStyle name="_-* #,##0_-;-* #,##0_-;_-* &quot;-&quot;_-;_-@_-_예외적립품의_0910(완료) 7 3 2" xfId="31043"/>
    <cellStyle name="_-* #,##0_-;-* #,##0_-;_-* &quot;-&quot;_-;_-@_-_예외적립품의_0910(완료) 7 4" xfId="23864"/>
    <cellStyle name="_-* #,##0_-;-* #,##0_-;_-* &quot;-&quot;_-;_-@_-_예외적립품의_0910(완료) 7 4 2" xfId="31044"/>
    <cellStyle name="_-* #,##0_-;-* #,##0_-;_-* &quot;-&quot;_-;_-@_-_예외적립품의_0910(완료) 7 5" xfId="23865"/>
    <cellStyle name="_-* #,##0_-;-* #,##0_-;_-* &quot;-&quot;_-;_-@_-_예외적립품의_0910(완료) 7 5 2" xfId="31045"/>
    <cellStyle name="_-* #,##0_-;-* #,##0_-;_-* &quot;-&quot;_-;_-@_-_예외적립품의_0910(완료) 7 6" xfId="27867"/>
    <cellStyle name="_-* #,##0_-;-* #,##0_-;_-* &quot;-&quot;_-;_-@_-_예외적립품의_0910(완료) 8" xfId="5250"/>
    <cellStyle name="_-* #,##0_-;-* #,##0_-;_-* &quot;-&quot;_-;_-@_-_예외적립품의_0910(완료) 8 2" xfId="5251"/>
    <cellStyle name="_-* #,##0_-;-* #,##0_-;_-* &quot;-&quot;_-;_-@_-_예외적립품의_0910(완료) 8 2 2" xfId="23866"/>
    <cellStyle name="_-* #,##0_-;-* #,##0_-;_-* &quot;-&quot;_-;_-@_-_예외적립품의_0910(완료) 8 2 2 2" xfId="31046"/>
    <cellStyle name="_-* #,##0_-;-* #,##0_-;_-* &quot;-&quot;_-;_-@_-_예외적립품의_0910(완료) 8 2 3" xfId="27870"/>
    <cellStyle name="_-* #,##0_-;-* #,##0_-;_-* &quot;-&quot;_-;_-@_-_예외적립품의_0910(완료) 8 3" xfId="23867"/>
    <cellStyle name="_-* #,##0_-;-* #,##0_-;_-* &quot;-&quot;_-;_-@_-_예외적립품의_0910(완료) 8 3 2" xfId="31047"/>
    <cellStyle name="_-* #,##0_-;-* #,##0_-;_-* &quot;-&quot;_-;_-@_-_예외적립품의_0910(완료) 8 4" xfId="23868"/>
    <cellStyle name="_-* #,##0_-;-* #,##0_-;_-* &quot;-&quot;_-;_-@_-_예외적립품의_0910(완료) 8 4 2" xfId="31048"/>
    <cellStyle name="_-* #,##0_-;-* #,##0_-;_-* &quot;-&quot;_-;_-@_-_예외적립품의_0910(완료) 8 5" xfId="23869"/>
    <cellStyle name="_-* #,##0_-;-* #,##0_-;_-* &quot;-&quot;_-;_-@_-_예외적립품의_0910(완료) 8 5 2" xfId="31049"/>
    <cellStyle name="_-* #,##0_-;-* #,##0_-;_-* &quot;-&quot;_-;_-@_-_예외적립품의_0910(완료) 8 6" xfId="27869"/>
    <cellStyle name="_-* #,##0_-;-* #,##0_-;_-* &quot;-&quot;_-;_-@_-_예외적립품의_0910(완료) 9" xfId="5252"/>
    <cellStyle name="_-* #,##0_-;-* #,##0_-;_-* &quot;-&quot;_-;_-@_-_예외적립품의_0910(완료) 9 2" xfId="23870"/>
    <cellStyle name="_-* #,##0_-;-* #,##0_-;_-* &quot;-&quot;_-;_-@_-_예외적립품의_0910(완료) 9 2 2" xfId="31050"/>
    <cellStyle name="_-* #,##0_-;-* #,##0_-;_-* &quot;-&quot;_-;_-@_-_예외적립품의_0910(완료) 9 3" xfId="23871"/>
    <cellStyle name="_-* #,##0_-;-* #,##0_-;_-* &quot;-&quot;_-;_-@_-_예외적립품의_0910(완료) 9 3 2" xfId="31051"/>
    <cellStyle name="_-* #,##0_-;-* #,##0_-;_-* &quot;-&quot;_-;_-@_-_예외적립품의_0910(완료) 9 4" xfId="23872"/>
    <cellStyle name="_-* #,##0_-;-* #,##0_-;_-* &quot;-&quot;_-;_-@_-_예외적립품의_0910(완료) 9 4 2" xfId="31052"/>
    <cellStyle name="_-* #,##0_-;-* #,##0_-;_-* &quot;-&quot;_-;_-@_-_예외적립품의_0910(완료) 9 5" xfId="27871"/>
    <cellStyle name="_-* #,##0_-;-* #,##0_-;_-* &quot;-&quot;_-;_-@_-_예외적립품의_0910(완료)_1211 충당금,건전성 현황_작업" xfId="5253"/>
    <cellStyle name="_-* #,##0_-;-* #,##0_-;_-* &quot;-&quot;_-;_-@_-_예외적립품의_0910(완료)_1211 충당금,건전성 현황_작업 2" xfId="23873"/>
    <cellStyle name="_-* #,##0_-;-* #,##0_-;_-* &quot;-&quot;_-;_-@_-_예외적립품의_0910(완료)_1211 충당금,건전성 현황_작업 2 2" xfId="31053"/>
    <cellStyle name="_-* #,##0_-;-* #,##0_-;_-* &quot;-&quot;_-;_-@_-_예외적립품의_0910(완료)_1211 충당금,건전성 현황_작업 3" xfId="27872"/>
    <cellStyle name="_-* #,##0_-;-* #,##0_-;_-* &quot;-&quot;_-;_-@_-_예외적립품의_0910(완료)_Hana 2011-1 Program_Data Disk_Pool B_v2(v5-1더밸류-이교민)" xfId="5254"/>
    <cellStyle name="_-* #,##0_-;-* #,##0_-;_-* &quot;-&quot;_-;_-@_-_예외적립품의_0910(완료)_Hana 2011-1 Program_Data Disk_Pool B_v2(v5-1더밸류-이교민) 2" xfId="23874"/>
    <cellStyle name="_-* #,##0_-;-* #,##0_-;_-* &quot;-&quot;_-;_-@_-_예외적립품의_0910(완료)_Hana 2011-1 Program_Data Disk_Pool B_v2(v5-1더밸류-이교민) 2 2" xfId="31054"/>
    <cellStyle name="_-* #,##0_-;-* #,##0_-;_-* &quot;-&quot;_-;_-@_-_예외적립품의_0910(완료)_Hana 2011-1 Program_Data Disk_Pool B_v2(v5-1더밸류-이교민) 3" xfId="23875"/>
    <cellStyle name="_-* #,##0_-;-* #,##0_-;_-* &quot;-&quot;_-;_-@_-_예외적립품의_0910(완료)_Hana 2011-1 Program_Data Disk_Pool B_v2(v5-1더밸류-이교민) 3 2" xfId="31055"/>
    <cellStyle name="_-* #,##0_-;-* #,##0_-;_-* &quot;-&quot;_-;_-@_-_예외적립품의_0910(완료)_Hana 2011-1 Program_Data Disk_Pool B_v2(v5-1더밸류-이교민) 4" xfId="23876"/>
    <cellStyle name="_-* #,##0_-;-* #,##0_-;_-* &quot;-&quot;_-;_-@_-_예외적립품의_0910(완료)_Hana 2011-1 Program_Data Disk_Pool B_v2(v5-1더밸류-이교민) 4 2" xfId="31056"/>
    <cellStyle name="_-* #,##0_-;-* #,##0_-;_-* &quot;-&quot;_-;_-@_-_예외적립품의_0910(완료)_Hana 2011-1 Program_Data Disk_Pool B_v2(v5-1더밸류-이교민) 5" xfId="27873"/>
    <cellStyle name="_-* #,##0_-;-* #,##0_-;_-* &quot;-&quot;_-;_-@_-_예외적립품의_0910(완료)_Hana 2011-1 Program_Data Disk_Pool B_v2(v5-1더밸류-이교민)_SHB 2011-2 Program_Data Disk_Pool C,B_v1(v2더밸류_이교민)" xfId="5255"/>
    <cellStyle name="_-* #,##0_-;-* #,##0_-;_-* &quot;-&quot;_-;_-@_-_예외적립품의_0910(완료)_Hana 2011-1 Program_Data Disk_Pool B_v2(v5-1더밸류-이교민)_SHB 2011-2 Program_Data Disk_Pool C,B_v1(v2더밸류_이교민) 2" xfId="23877"/>
    <cellStyle name="_-* #,##0_-;-* #,##0_-;_-* &quot;-&quot;_-;_-@_-_예외적립품의_0910(완료)_Hana 2011-1 Program_Data Disk_Pool B_v2(v5-1더밸류-이교민)_SHB 2011-2 Program_Data Disk_Pool C,B_v1(v2더밸류_이교민) 2 2" xfId="31057"/>
    <cellStyle name="_-* #,##0_-;-* #,##0_-;_-* &quot;-&quot;_-;_-@_-_예외적립품의_0910(완료)_Hana 2011-1 Program_Data Disk_Pool B_v2(v5-1더밸류-이교민)_SHB 2011-2 Program_Data Disk_Pool C,B_v1(v2더밸류_이교민) 3" xfId="23878"/>
    <cellStyle name="_-* #,##0_-;-* #,##0_-;_-* &quot;-&quot;_-;_-@_-_예외적립품의_0910(완료)_Hana 2011-1 Program_Data Disk_Pool B_v2(v5-1더밸류-이교민)_SHB 2011-2 Program_Data Disk_Pool C,B_v1(v2더밸류_이교민) 3 2" xfId="31058"/>
    <cellStyle name="_-* #,##0_-;-* #,##0_-;_-* &quot;-&quot;_-;_-@_-_예외적립품의_0910(완료)_Hana 2011-1 Program_Data Disk_Pool B_v2(v5-1더밸류-이교민)_SHB 2011-2 Program_Data Disk_Pool C,B_v1(v2더밸류_이교민) 4" xfId="23879"/>
    <cellStyle name="_-* #,##0_-;-* #,##0_-;_-* &quot;-&quot;_-;_-@_-_예외적립품의_0910(완료)_Hana 2011-1 Program_Data Disk_Pool B_v2(v5-1더밸류-이교민)_SHB 2011-2 Program_Data Disk_Pool C,B_v1(v2더밸류_이교민) 4 2" xfId="31059"/>
    <cellStyle name="_-* #,##0_-;-* #,##0_-;_-* &quot;-&quot;_-;_-@_-_예외적립품의_0910(완료)_Hana 2011-1 Program_Data Disk_Pool B_v2(v5-1더밸류-이교민)_SHB 2011-2 Program_Data Disk_Pool C,B_v1(v2더밸류_이교민) 5" xfId="27874"/>
    <cellStyle name="_-* #,##0_-;-* #,##0_-;_-* &quot;-&quot;_-;_-@_-_예외적립품의_0910(완료)_Hana 2011-1 Program_Data Disk_Pool B_v2(v5-1더밸류-이교민)_차주명관리_20110726_v1" xfId="5256"/>
    <cellStyle name="_-* #,##0_-;-* #,##0_-;_-* &quot;-&quot;_-;_-@_-_예외적립품의_0910(완료)_Hana 2011-1 Program_Data Disk_Pool B_v2(v5-1더밸류-이교민)_차주명관리_20110726_v1 2" xfId="23880"/>
    <cellStyle name="_-* #,##0_-;-* #,##0_-;_-* &quot;-&quot;_-;_-@_-_예외적립품의_0910(완료)_Hana 2011-1 Program_Data Disk_Pool B_v2(v5-1더밸류-이교민)_차주명관리_20110726_v1 2 2" xfId="31060"/>
    <cellStyle name="_-* #,##0_-;-* #,##0_-;_-* &quot;-&quot;_-;_-@_-_예외적립품의_0910(완료)_Hana 2011-1 Program_Data Disk_Pool B_v2(v5-1더밸류-이교민)_차주명관리_20110726_v1 3" xfId="23881"/>
    <cellStyle name="_-* #,##0_-;-* #,##0_-;_-* &quot;-&quot;_-;_-@_-_예외적립품의_0910(완료)_Hana 2011-1 Program_Data Disk_Pool B_v2(v5-1더밸류-이교민)_차주명관리_20110726_v1 3 2" xfId="31061"/>
    <cellStyle name="_-* #,##0_-;-* #,##0_-;_-* &quot;-&quot;_-;_-@_-_예외적립품의_0910(완료)_Hana 2011-1 Program_Data Disk_Pool B_v2(v5-1더밸류-이교민)_차주명관리_20110726_v1 4" xfId="23882"/>
    <cellStyle name="_-* #,##0_-;-* #,##0_-;_-* &quot;-&quot;_-;_-@_-_예외적립품의_0910(완료)_Hana 2011-1 Program_Data Disk_Pool B_v2(v5-1더밸류-이교민)_차주명관리_20110726_v1 4 2" xfId="31062"/>
    <cellStyle name="_-* #,##0_-;-* #,##0_-;_-* &quot;-&quot;_-;_-@_-_예외적립품의_0910(완료)_Hana 2011-1 Program_Data Disk_Pool B_v2(v5-1더밸류-이교민)_차주명관리_20110726_v1 5" xfId="27875"/>
    <cellStyle name="_-* #,##0_-;-* #,##0_-;_-* &quot;-&quot;_-;_-@_-_예외적립품의_0910(완료)_SHB_2011-3_담보sheet(더밸류_v6이교민)" xfId="5257"/>
    <cellStyle name="_-* #,##0_-;-* #,##0_-;_-* &quot;-&quot;_-;_-@_-_예외적립품의_0910(완료)_SHB_2011-3_담보sheet(더밸류_v6이교민) 2" xfId="23883"/>
    <cellStyle name="_-* #,##0_-;-* #,##0_-;_-* &quot;-&quot;_-;_-@_-_예외적립품의_0910(완료)_SHB_2011-3_담보sheet(더밸류_v6이교민) 2 2" xfId="31063"/>
    <cellStyle name="_-* #,##0_-;-* #,##0_-;_-* &quot;-&quot;_-;_-@_-_예외적립품의_0910(완료)_SHB_2011-3_담보sheet(더밸류_v6이교민) 3" xfId="23884"/>
    <cellStyle name="_-* #,##0_-;-* #,##0_-;_-* &quot;-&quot;_-;_-@_-_예외적립품의_0910(완료)_SHB_2011-3_담보sheet(더밸류_v6이교민) 3 2" xfId="31064"/>
    <cellStyle name="_-* #,##0_-;-* #,##0_-;_-* &quot;-&quot;_-;_-@_-_예외적립품의_0910(완료)_SHB_2011-3_담보sheet(더밸류_v6이교민) 4" xfId="23885"/>
    <cellStyle name="_-* #,##0_-;-* #,##0_-;_-* &quot;-&quot;_-;_-@_-_예외적립품의_0910(완료)_SHB_2011-3_담보sheet(더밸류_v6이교민) 4 2" xfId="31065"/>
    <cellStyle name="_-* #,##0_-;-* #,##0_-;_-* &quot;-&quot;_-;_-@_-_예외적립품의_0910(완료)_SHB_2011-3_담보sheet(더밸류_v6이교민) 5" xfId="27876"/>
    <cellStyle name="_-* #,##0_-;-* #,##0_-;_-* &quot;-&quot;_-;_-@_-_예외적립품의_0910(완료)_SHB_2011-3_담보sheet(더밸류_v6이교민)_차주명관리_20110726_v1" xfId="5258"/>
    <cellStyle name="_-* #,##0_-;-* #,##0_-;_-* &quot;-&quot;_-;_-@_-_예외적립품의_0910(완료)_SHB_2011-3_담보sheet(더밸류_v6이교민)_차주명관리_20110726_v1 2" xfId="23886"/>
    <cellStyle name="_-* #,##0_-;-* #,##0_-;_-* &quot;-&quot;_-;_-@_-_예외적립품의_0910(완료)_SHB_2011-3_담보sheet(더밸류_v6이교민)_차주명관리_20110726_v1 2 2" xfId="31066"/>
    <cellStyle name="_-* #,##0_-;-* #,##0_-;_-* &quot;-&quot;_-;_-@_-_예외적립품의_0910(완료)_SHB_2011-3_담보sheet(더밸류_v6이교민)_차주명관리_20110726_v1 3" xfId="23887"/>
    <cellStyle name="_-* #,##0_-;-* #,##0_-;_-* &quot;-&quot;_-;_-@_-_예외적립품의_0910(완료)_SHB_2011-3_담보sheet(더밸류_v6이교민)_차주명관리_20110726_v1 3 2" xfId="31067"/>
    <cellStyle name="_-* #,##0_-;-* #,##0_-;_-* &quot;-&quot;_-;_-@_-_예외적립품의_0910(완료)_SHB_2011-3_담보sheet(더밸류_v6이교민)_차주명관리_20110726_v1 4" xfId="23888"/>
    <cellStyle name="_-* #,##0_-;-* #,##0_-;_-* &quot;-&quot;_-;_-@_-_예외적립품의_0910(완료)_SHB_2011-3_담보sheet(더밸류_v6이교민)_차주명관리_20110726_v1 4 2" xfId="31068"/>
    <cellStyle name="_-* #,##0_-;-* #,##0_-;_-* &quot;-&quot;_-;_-@_-_예외적립품의_0910(완료)_SHB_2011-3_담보sheet(더밸류_v6이교민)_차주명관리_20110726_v1 5" xfId="27877"/>
    <cellStyle name="_-* #,##0_-;-* #,##0_-;_-* &quot;-&quot;_-;_-@_-_예외적립품의_0910(완료)_Sheet1" xfId="5259"/>
    <cellStyle name="_-* #,##0_-;-* #,##0_-;_-* &quot;-&quot;_-;_-@_-_예외적립품의_0910(완료)_Sheet1 2" xfId="23889"/>
    <cellStyle name="_-* #,##0_-;-* #,##0_-;_-* &quot;-&quot;_-;_-@_-_예외적립품의_0910(완료)_Sheet1 2 2" xfId="31069"/>
    <cellStyle name="_-* #,##0_-;-* #,##0_-;_-* &quot;-&quot;_-;_-@_-_예외적립품의_0910(완료)_Sheet1 3" xfId="27878"/>
    <cellStyle name="_-* #,##0_-;-* #,##0_-;_-* &quot;-&quot;_-;_-@_-_예외적립품의_0910(완료)_권리분석_v1(최초)-4" xfId="5260"/>
    <cellStyle name="_-* #,##0_-;-* #,##0_-;_-* &quot;-&quot;_-;_-@_-_예외적립품의_0910(완료)_권리분석_v1(최초)-4 2" xfId="23890"/>
    <cellStyle name="_-* #,##0_-;-* #,##0_-;_-* &quot;-&quot;_-;_-@_-_예외적립품의_0910(완료)_권리분석_v1(최초)-4 2 2" xfId="31070"/>
    <cellStyle name="_-* #,##0_-;-* #,##0_-;_-* &quot;-&quot;_-;_-@_-_예외적립품의_0910(완료)_권리분석_v1(최초)-4 3" xfId="23891"/>
    <cellStyle name="_-* #,##0_-;-* #,##0_-;_-* &quot;-&quot;_-;_-@_-_예외적립품의_0910(완료)_권리분석_v1(최초)-4 3 2" xfId="31071"/>
    <cellStyle name="_-* #,##0_-;-* #,##0_-;_-* &quot;-&quot;_-;_-@_-_예외적립품의_0910(완료)_권리분석_v1(최초)-4 4" xfId="23892"/>
    <cellStyle name="_-* #,##0_-;-* #,##0_-;_-* &quot;-&quot;_-;_-@_-_예외적립품의_0910(완료)_권리분석_v1(최초)-4 4 2" xfId="31072"/>
    <cellStyle name="_-* #,##0_-;-* #,##0_-;_-* &quot;-&quot;_-;_-@_-_예외적립품의_0910(완료)_권리분석_v1(최초)-4 5" xfId="27879"/>
    <cellStyle name="_-* #,##0_-;-* #,##0_-;_-* &quot;-&quot;_-;_-@_-_요약자료_20090831" xfId="45"/>
    <cellStyle name="_-* #,##0_-;-* #,##0_-;_-* &quot;-&quot;_-;_-@_-_요약자료_20090831 10" xfId="23893"/>
    <cellStyle name="_-* #,##0_-;-* #,##0_-;_-* &quot;-&quot;_-;_-@_-_요약자료_20090831 10 2" xfId="31073"/>
    <cellStyle name="_-* #,##0_-;-* #,##0_-;_-* &quot;-&quot;_-;_-@_-_요약자료_20090831 11" xfId="23894"/>
    <cellStyle name="_-* #,##0_-;-* #,##0_-;_-* &quot;-&quot;_-;_-@_-_요약자료_20090831 11 2" xfId="31074"/>
    <cellStyle name="_-* #,##0_-;-* #,##0_-;_-* &quot;-&quot;_-;_-@_-_요약자료_20090831 12" xfId="27609"/>
    <cellStyle name="_-* #,##0_-;-* #,##0_-;_-* &quot;-&quot;_-;_-@_-_요약자료_20090831 2" xfId="5261"/>
    <cellStyle name="_-* #,##0_-;-* #,##0_-;_-* &quot;-&quot;_-;_-@_-_요약자료_20090831 2 10" xfId="27880"/>
    <cellStyle name="_-* #,##0_-;-* #,##0_-;_-* &quot;-&quot;_-;_-@_-_요약자료_20090831 2 2" xfId="5262"/>
    <cellStyle name="_-* #,##0_-;-* #,##0_-;_-* &quot;-&quot;_-;_-@_-_요약자료_20090831 2 2 2" xfId="5263"/>
    <cellStyle name="_-* #,##0_-;-* #,##0_-;_-* &quot;-&quot;_-;_-@_-_요약자료_20090831 2 2 2 2" xfId="5264"/>
    <cellStyle name="_-* #,##0_-;-* #,##0_-;_-* &quot;-&quot;_-;_-@_-_요약자료_20090831 2 2 2 2 2" xfId="23895"/>
    <cellStyle name="_-* #,##0_-;-* #,##0_-;_-* &quot;-&quot;_-;_-@_-_요약자료_20090831 2 2 2 2 2 2" xfId="31075"/>
    <cellStyle name="_-* #,##0_-;-* #,##0_-;_-* &quot;-&quot;_-;_-@_-_요약자료_20090831 2 2 2 2 3" xfId="27883"/>
    <cellStyle name="_-* #,##0_-;-* #,##0_-;_-* &quot;-&quot;_-;_-@_-_요약자료_20090831 2 2 2 3" xfId="23896"/>
    <cellStyle name="_-* #,##0_-;-* #,##0_-;_-* &quot;-&quot;_-;_-@_-_요약자료_20090831 2 2 2 3 2" xfId="31076"/>
    <cellStyle name="_-* #,##0_-;-* #,##0_-;_-* &quot;-&quot;_-;_-@_-_요약자료_20090831 2 2 2 4" xfId="23897"/>
    <cellStyle name="_-* #,##0_-;-* #,##0_-;_-* &quot;-&quot;_-;_-@_-_요약자료_20090831 2 2 2 4 2" xfId="31077"/>
    <cellStyle name="_-* #,##0_-;-* #,##0_-;_-* &quot;-&quot;_-;_-@_-_요약자료_20090831 2 2 2 5" xfId="23898"/>
    <cellStyle name="_-* #,##0_-;-* #,##0_-;_-* &quot;-&quot;_-;_-@_-_요약자료_20090831 2 2 2 5 2" xfId="31078"/>
    <cellStyle name="_-* #,##0_-;-* #,##0_-;_-* &quot;-&quot;_-;_-@_-_요약자료_20090831 2 2 2 6" xfId="27882"/>
    <cellStyle name="_-* #,##0_-;-* #,##0_-;_-* &quot;-&quot;_-;_-@_-_요약자료_20090831 2 2 3" xfId="5265"/>
    <cellStyle name="_-* #,##0_-;-* #,##0_-;_-* &quot;-&quot;_-;_-@_-_요약자료_20090831 2 2 3 2" xfId="5266"/>
    <cellStyle name="_-* #,##0_-;-* #,##0_-;_-* &quot;-&quot;_-;_-@_-_요약자료_20090831 2 2 3 2 2" xfId="23899"/>
    <cellStyle name="_-* #,##0_-;-* #,##0_-;_-* &quot;-&quot;_-;_-@_-_요약자료_20090831 2 2 3 2 2 2" xfId="31079"/>
    <cellStyle name="_-* #,##0_-;-* #,##0_-;_-* &quot;-&quot;_-;_-@_-_요약자료_20090831 2 2 3 2 3" xfId="27885"/>
    <cellStyle name="_-* #,##0_-;-* #,##0_-;_-* &quot;-&quot;_-;_-@_-_요약자료_20090831 2 2 3 3" xfId="23900"/>
    <cellStyle name="_-* #,##0_-;-* #,##0_-;_-* &quot;-&quot;_-;_-@_-_요약자료_20090831 2 2 3 3 2" xfId="31080"/>
    <cellStyle name="_-* #,##0_-;-* #,##0_-;_-* &quot;-&quot;_-;_-@_-_요약자료_20090831 2 2 3 4" xfId="27884"/>
    <cellStyle name="_-* #,##0_-;-* #,##0_-;_-* &quot;-&quot;_-;_-@_-_요약자료_20090831 2 2 4" xfId="5267"/>
    <cellStyle name="_-* #,##0_-;-* #,##0_-;_-* &quot;-&quot;_-;_-@_-_요약자료_20090831 2 2 4 2" xfId="5268"/>
    <cellStyle name="_-* #,##0_-;-* #,##0_-;_-* &quot;-&quot;_-;_-@_-_요약자료_20090831 2 2 4 2 2" xfId="23901"/>
    <cellStyle name="_-* #,##0_-;-* #,##0_-;_-* &quot;-&quot;_-;_-@_-_요약자료_20090831 2 2 4 2 2 2" xfId="31081"/>
    <cellStyle name="_-* #,##0_-;-* #,##0_-;_-* &quot;-&quot;_-;_-@_-_요약자료_20090831 2 2 4 2 3" xfId="27887"/>
    <cellStyle name="_-* #,##0_-;-* #,##0_-;_-* &quot;-&quot;_-;_-@_-_요약자료_20090831 2 2 4 3" xfId="23902"/>
    <cellStyle name="_-* #,##0_-;-* #,##0_-;_-* &quot;-&quot;_-;_-@_-_요약자료_20090831 2 2 4 3 2" xfId="31082"/>
    <cellStyle name="_-* #,##0_-;-* #,##0_-;_-* &quot;-&quot;_-;_-@_-_요약자료_20090831 2 2 4 4" xfId="27886"/>
    <cellStyle name="_-* #,##0_-;-* #,##0_-;_-* &quot;-&quot;_-;_-@_-_요약자료_20090831 2 2 5" xfId="5269"/>
    <cellStyle name="_-* #,##0_-;-* #,##0_-;_-* &quot;-&quot;_-;_-@_-_요약자료_20090831 2 2 5 2" xfId="23903"/>
    <cellStyle name="_-* #,##0_-;-* #,##0_-;_-* &quot;-&quot;_-;_-@_-_요약자료_20090831 2 2 5 2 2" xfId="31083"/>
    <cellStyle name="_-* #,##0_-;-* #,##0_-;_-* &quot;-&quot;_-;_-@_-_요약자료_20090831 2 2 5 3" xfId="27888"/>
    <cellStyle name="_-* #,##0_-;-* #,##0_-;_-* &quot;-&quot;_-;_-@_-_요약자료_20090831 2 2 6" xfId="23904"/>
    <cellStyle name="_-* #,##0_-;-* #,##0_-;_-* &quot;-&quot;_-;_-@_-_요약자료_20090831 2 2 6 2" xfId="31084"/>
    <cellStyle name="_-* #,##0_-;-* #,##0_-;_-* &quot;-&quot;_-;_-@_-_요약자료_20090831 2 2 7" xfId="23905"/>
    <cellStyle name="_-* #,##0_-;-* #,##0_-;_-* &quot;-&quot;_-;_-@_-_요약자료_20090831 2 2 7 2" xfId="31085"/>
    <cellStyle name="_-* #,##0_-;-* #,##0_-;_-* &quot;-&quot;_-;_-@_-_요약자료_20090831 2 2 8" xfId="27881"/>
    <cellStyle name="_-* #,##0_-;-* #,##0_-;_-* &quot;-&quot;_-;_-@_-_요약자료_20090831 2 3" xfId="5270"/>
    <cellStyle name="_-* #,##0_-;-* #,##0_-;_-* &quot;-&quot;_-;_-@_-_요약자료_20090831 2 3 2" xfId="5271"/>
    <cellStyle name="_-* #,##0_-;-* #,##0_-;_-* &quot;-&quot;_-;_-@_-_요약자료_20090831 2 3 2 2" xfId="5272"/>
    <cellStyle name="_-* #,##0_-;-* #,##0_-;_-* &quot;-&quot;_-;_-@_-_요약자료_20090831 2 3 2 2 2" xfId="23906"/>
    <cellStyle name="_-* #,##0_-;-* #,##0_-;_-* &quot;-&quot;_-;_-@_-_요약자료_20090831 2 3 2 2 2 2" xfId="31086"/>
    <cellStyle name="_-* #,##0_-;-* #,##0_-;_-* &quot;-&quot;_-;_-@_-_요약자료_20090831 2 3 2 2 3" xfId="27891"/>
    <cellStyle name="_-* #,##0_-;-* #,##0_-;_-* &quot;-&quot;_-;_-@_-_요약자료_20090831 2 3 2 3" xfId="23907"/>
    <cellStyle name="_-* #,##0_-;-* #,##0_-;_-* &quot;-&quot;_-;_-@_-_요약자료_20090831 2 3 2 3 2" xfId="31087"/>
    <cellStyle name="_-* #,##0_-;-* #,##0_-;_-* &quot;-&quot;_-;_-@_-_요약자료_20090831 2 3 2 4" xfId="23908"/>
    <cellStyle name="_-* #,##0_-;-* #,##0_-;_-* &quot;-&quot;_-;_-@_-_요약자료_20090831 2 3 2 4 2" xfId="31088"/>
    <cellStyle name="_-* #,##0_-;-* #,##0_-;_-* &quot;-&quot;_-;_-@_-_요약자료_20090831 2 3 2 5" xfId="23909"/>
    <cellStyle name="_-* #,##0_-;-* #,##0_-;_-* &quot;-&quot;_-;_-@_-_요약자료_20090831 2 3 2 5 2" xfId="31089"/>
    <cellStyle name="_-* #,##0_-;-* #,##0_-;_-* &quot;-&quot;_-;_-@_-_요약자료_20090831 2 3 2 6" xfId="27890"/>
    <cellStyle name="_-* #,##0_-;-* #,##0_-;_-* &quot;-&quot;_-;_-@_-_요약자료_20090831 2 3 3" xfId="5273"/>
    <cellStyle name="_-* #,##0_-;-* #,##0_-;_-* &quot;-&quot;_-;_-@_-_요약자료_20090831 2 3 3 2" xfId="5274"/>
    <cellStyle name="_-* #,##0_-;-* #,##0_-;_-* &quot;-&quot;_-;_-@_-_요약자료_20090831 2 3 3 2 2" xfId="23910"/>
    <cellStyle name="_-* #,##0_-;-* #,##0_-;_-* &quot;-&quot;_-;_-@_-_요약자료_20090831 2 3 3 2 2 2" xfId="31090"/>
    <cellStyle name="_-* #,##0_-;-* #,##0_-;_-* &quot;-&quot;_-;_-@_-_요약자료_20090831 2 3 3 2 3" xfId="27893"/>
    <cellStyle name="_-* #,##0_-;-* #,##0_-;_-* &quot;-&quot;_-;_-@_-_요약자료_20090831 2 3 3 3" xfId="23911"/>
    <cellStyle name="_-* #,##0_-;-* #,##0_-;_-* &quot;-&quot;_-;_-@_-_요약자료_20090831 2 3 3 3 2" xfId="31091"/>
    <cellStyle name="_-* #,##0_-;-* #,##0_-;_-* &quot;-&quot;_-;_-@_-_요약자료_20090831 2 3 3 4" xfId="27892"/>
    <cellStyle name="_-* #,##0_-;-* #,##0_-;_-* &quot;-&quot;_-;_-@_-_요약자료_20090831 2 3 4" xfId="5275"/>
    <cellStyle name="_-* #,##0_-;-* #,##0_-;_-* &quot;-&quot;_-;_-@_-_요약자료_20090831 2 3 4 2" xfId="5276"/>
    <cellStyle name="_-* #,##0_-;-* #,##0_-;_-* &quot;-&quot;_-;_-@_-_요약자료_20090831 2 3 4 2 2" xfId="23912"/>
    <cellStyle name="_-* #,##0_-;-* #,##0_-;_-* &quot;-&quot;_-;_-@_-_요약자료_20090831 2 3 4 2 2 2" xfId="31092"/>
    <cellStyle name="_-* #,##0_-;-* #,##0_-;_-* &quot;-&quot;_-;_-@_-_요약자료_20090831 2 3 4 2 3" xfId="27895"/>
    <cellStyle name="_-* #,##0_-;-* #,##0_-;_-* &quot;-&quot;_-;_-@_-_요약자료_20090831 2 3 4 3" xfId="23913"/>
    <cellStyle name="_-* #,##0_-;-* #,##0_-;_-* &quot;-&quot;_-;_-@_-_요약자료_20090831 2 3 4 3 2" xfId="31093"/>
    <cellStyle name="_-* #,##0_-;-* #,##0_-;_-* &quot;-&quot;_-;_-@_-_요약자료_20090831 2 3 4 4" xfId="27894"/>
    <cellStyle name="_-* #,##0_-;-* #,##0_-;_-* &quot;-&quot;_-;_-@_-_요약자료_20090831 2 3 5" xfId="5277"/>
    <cellStyle name="_-* #,##0_-;-* #,##0_-;_-* &quot;-&quot;_-;_-@_-_요약자료_20090831 2 3 5 2" xfId="23914"/>
    <cellStyle name="_-* #,##0_-;-* #,##0_-;_-* &quot;-&quot;_-;_-@_-_요약자료_20090831 2 3 5 2 2" xfId="31094"/>
    <cellStyle name="_-* #,##0_-;-* #,##0_-;_-* &quot;-&quot;_-;_-@_-_요약자료_20090831 2 3 5 3" xfId="27896"/>
    <cellStyle name="_-* #,##0_-;-* #,##0_-;_-* &quot;-&quot;_-;_-@_-_요약자료_20090831 2 3 6" xfId="23915"/>
    <cellStyle name="_-* #,##0_-;-* #,##0_-;_-* &quot;-&quot;_-;_-@_-_요약자료_20090831 2 3 6 2" xfId="31095"/>
    <cellStyle name="_-* #,##0_-;-* #,##0_-;_-* &quot;-&quot;_-;_-@_-_요약자료_20090831 2 3 7" xfId="23916"/>
    <cellStyle name="_-* #,##0_-;-* #,##0_-;_-* &quot;-&quot;_-;_-@_-_요약자료_20090831 2 3 7 2" xfId="31096"/>
    <cellStyle name="_-* #,##0_-;-* #,##0_-;_-* &quot;-&quot;_-;_-@_-_요약자료_20090831 2 3 8" xfId="27889"/>
    <cellStyle name="_-* #,##0_-;-* #,##0_-;_-* &quot;-&quot;_-;_-@_-_요약자료_20090831 2 4" xfId="5278"/>
    <cellStyle name="_-* #,##0_-;-* #,##0_-;_-* &quot;-&quot;_-;_-@_-_요약자료_20090831 2 4 2" xfId="5279"/>
    <cellStyle name="_-* #,##0_-;-* #,##0_-;_-* &quot;-&quot;_-;_-@_-_요약자료_20090831 2 4 2 2" xfId="5280"/>
    <cellStyle name="_-* #,##0_-;-* #,##0_-;_-* &quot;-&quot;_-;_-@_-_요약자료_20090831 2 4 2 2 2" xfId="23917"/>
    <cellStyle name="_-* #,##0_-;-* #,##0_-;_-* &quot;-&quot;_-;_-@_-_요약자료_20090831 2 4 2 2 2 2" xfId="31097"/>
    <cellStyle name="_-* #,##0_-;-* #,##0_-;_-* &quot;-&quot;_-;_-@_-_요약자료_20090831 2 4 2 2 3" xfId="27899"/>
    <cellStyle name="_-* #,##0_-;-* #,##0_-;_-* &quot;-&quot;_-;_-@_-_요약자료_20090831 2 4 2 3" xfId="23918"/>
    <cellStyle name="_-* #,##0_-;-* #,##0_-;_-* &quot;-&quot;_-;_-@_-_요약자료_20090831 2 4 2 3 2" xfId="31098"/>
    <cellStyle name="_-* #,##0_-;-* #,##0_-;_-* &quot;-&quot;_-;_-@_-_요약자료_20090831 2 4 2 4" xfId="23919"/>
    <cellStyle name="_-* #,##0_-;-* #,##0_-;_-* &quot;-&quot;_-;_-@_-_요약자료_20090831 2 4 2 4 2" xfId="31099"/>
    <cellStyle name="_-* #,##0_-;-* #,##0_-;_-* &quot;-&quot;_-;_-@_-_요약자료_20090831 2 4 2 5" xfId="23920"/>
    <cellStyle name="_-* #,##0_-;-* #,##0_-;_-* &quot;-&quot;_-;_-@_-_요약자료_20090831 2 4 2 5 2" xfId="31100"/>
    <cellStyle name="_-* #,##0_-;-* #,##0_-;_-* &quot;-&quot;_-;_-@_-_요약자료_20090831 2 4 2 6" xfId="27898"/>
    <cellStyle name="_-* #,##0_-;-* #,##0_-;_-* &quot;-&quot;_-;_-@_-_요약자료_20090831 2 4 3" xfId="5281"/>
    <cellStyle name="_-* #,##0_-;-* #,##0_-;_-* &quot;-&quot;_-;_-@_-_요약자료_20090831 2 4 3 2" xfId="5282"/>
    <cellStyle name="_-* #,##0_-;-* #,##0_-;_-* &quot;-&quot;_-;_-@_-_요약자료_20090831 2 4 3 2 2" xfId="23921"/>
    <cellStyle name="_-* #,##0_-;-* #,##0_-;_-* &quot;-&quot;_-;_-@_-_요약자료_20090831 2 4 3 2 2 2" xfId="31101"/>
    <cellStyle name="_-* #,##0_-;-* #,##0_-;_-* &quot;-&quot;_-;_-@_-_요약자료_20090831 2 4 3 2 3" xfId="27901"/>
    <cellStyle name="_-* #,##0_-;-* #,##0_-;_-* &quot;-&quot;_-;_-@_-_요약자료_20090831 2 4 3 3" xfId="23922"/>
    <cellStyle name="_-* #,##0_-;-* #,##0_-;_-* &quot;-&quot;_-;_-@_-_요약자료_20090831 2 4 3 3 2" xfId="31102"/>
    <cellStyle name="_-* #,##0_-;-* #,##0_-;_-* &quot;-&quot;_-;_-@_-_요약자료_20090831 2 4 3 4" xfId="27900"/>
    <cellStyle name="_-* #,##0_-;-* #,##0_-;_-* &quot;-&quot;_-;_-@_-_요약자료_20090831 2 4 4" xfId="5283"/>
    <cellStyle name="_-* #,##0_-;-* #,##0_-;_-* &quot;-&quot;_-;_-@_-_요약자료_20090831 2 4 4 2" xfId="23923"/>
    <cellStyle name="_-* #,##0_-;-* #,##0_-;_-* &quot;-&quot;_-;_-@_-_요약자료_20090831 2 4 4 2 2" xfId="31103"/>
    <cellStyle name="_-* #,##0_-;-* #,##0_-;_-* &quot;-&quot;_-;_-@_-_요약자료_20090831 2 4 4 3" xfId="27902"/>
    <cellStyle name="_-* #,##0_-;-* #,##0_-;_-* &quot;-&quot;_-;_-@_-_요약자료_20090831 2 4 5" xfId="23924"/>
    <cellStyle name="_-* #,##0_-;-* #,##0_-;_-* &quot;-&quot;_-;_-@_-_요약자료_20090831 2 4 5 2" xfId="31104"/>
    <cellStyle name="_-* #,##0_-;-* #,##0_-;_-* &quot;-&quot;_-;_-@_-_요약자료_20090831 2 4 6" xfId="23925"/>
    <cellStyle name="_-* #,##0_-;-* #,##0_-;_-* &quot;-&quot;_-;_-@_-_요약자료_20090831 2 4 6 2" xfId="31105"/>
    <cellStyle name="_-* #,##0_-;-* #,##0_-;_-* &quot;-&quot;_-;_-@_-_요약자료_20090831 2 4 7" xfId="23926"/>
    <cellStyle name="_-* #,##0_-;-* #,##0_-;_-* &quot;-&quot;_-;_-@_-_요약자료_20090831 2 4 7 2" xfId="31106"/>
    <cellStyle name="_-* #,##0_-;-* #,##0_-;_-* &quot;-&quot;_-;_-@_-_요약자료_20090831 2 4 8" xfId="27897"/>
    <cellStyle name="_-* #,##0_-;-* #,##0_-;_-* &quot;-&quot;_-;_-@_-_요약자료_20090831 2 5" xfId="5284"/>
    <cellStyle name="_-* #,##0_-;-* #,##0_-;_-* &quot;-&quot;_-;_-@_-_요약자료_20090831 2 5 2" xfId="5285"/>
    <cellStyle name="_-* #,##0_-;-* #,##0_-;_-* &quot;-&quot;_-;_-@_-_요약자료_20090831 2 5 2 2" xfId="23927"/>
    <cellStyle name="_-* #,##0_-;-* #,##0_-;_-* &quot;-&quot;_-;_-@_-_요약자료_20090831 2 5 2 2 2" xfId="31107"/>
    <cellStyle name="_-* #,##0_-;-* #,##0_-;_-* &quot;-&quot;_-;_-@_-_요약자료_20090831 2 5 2 3" xfId="27904"/>
    <cellStyle name="_-* #,##0_-;-* #,##0_-;_-* &quot;-&quot;_-;_-@_-_요약자료_20090831 2 5 3" xfId="5286"/>
    <cellStyle name="_-* #,##0_-;-* #,##0_-;_-* &quot;-&quot;_-;_-@_-_요약자료_20090831 2 5 3 2" xfId="23928"/>
    <cellStyle name="_-* #,##0_-;-* #,##0_-;_-* &quot;-&quot;_-;_-@_-_요약자료_20090831 2 5 3 2 2" xfId="31108"/>
    <cellStyle name="_-* #,##0_-;-* #,##0_-;_-* &quot;-&quot;_-;_-@_-_요약자료_20090831 2 5 3 3" xfId="27905"/>
    <cellStyle name="_-* #,##0_-;-* #,##0_-;_-* &quot;-&quot;_-;_-@_-_요약자료_20090831 2 5 4" xfId="23929"/>
    <cellStyle name="_-* #,##0_-;-* #,##0_-;_-* &quot;-&quot;_-;_-@_-_요약자료_20090831 2 5 4 2" xfId="31109"/>
    <cellStyle name="_-* #,##0_-;-* #,##0_-;_-* &quot;-&quot;_-;_-@_-_요약자료_20090831 2 5 5" xfId="23930"/>
    <cellStyle name="_-* #,##0_-;-* #,##0_-;_-* &quot;-&quot;_-;_-@_-_요약자료_20090831 2 5 5 2" xfId="31110"/>
    <cellStyle name="_-* #,##0_-;-* #,##0_-;_-* &quot;-&quot;_-;_-@_-_요약자료_20090831 2 5 6" xfId="27903"/>
    <cellStyle name="_-* #,##0_-;-* #,##0_-;_-* &quot;-&quot;_-;_-@_-_요약자료_20090831 2 6" xfId="5287"/>
    <cellStyle name="_-* #,##0_-;-* #,##0_-;_-* &quot;-&quot;_-;_-@_-_요약자료_20090831 2 6 2" xfId="5288"/>
    <cellStyle name="_-* #,##0_-;-* #,##0_-;_-* &quot;-&quot;_-;_-@_-_요약자료_20090831 2 6 2 2" xfId="23931"/>
    <cellStyle name="_-* #,##0_-;-* #,##0_-;_-* &quot;-&quot;_-;_-@_-_요약자료_20090831 2 6 2 2 2" xfId="31111"/>
    <cellStyle name="_-* #,##0_-;-* #,##0_-;_-* &quot;-&quot;_-;_-@_-_요약자료_20090831 2 6 2 3" xfId="27907"/>
    <cellStyle name="_-* #,##0_-;-* #,##0_-;_-* &quot;-&quot;_-;_-@_-_요약자료_20090831 2 6 3" xfId="5289"/>
    <cellStyle name="_-* #,##0_-;-* #,##0_-;_-* &quot;-&quot;_-;_-@_-_요약자료_20090831 2 6 3 2" xfId="23932"/>
    <cellStyle name="_-* #,##0_-;-* #,##0_-;_-* &quot;-&quot;_-;_-@_-_요약자료_20090831 2 6 3 2 2" xfId="31112"/>
    <cellStyle name="_-* #,##0_-;-* #,##0_-;_-* &quot;-&quot;_-;_-@_-_요약자료_20090831 2 6 3 3" xfId="27908"/>
    <cellStyle name="_-* #,##0_-;-* #,##0_-;_-* &quot;-&quot;_-;_-@_-_요약자료_20090831 2 6 4" xfId="23933"/>
    <cellStyle name="_-* #,##0_-;-* #,##0_-;_-* &quot;-&quot;_-;_-@_-_요약자료_20090831 2 6 4 2" xfId="31113"/>
    <cellStyle name="_-* #,##0_-;-* #,##0_-;_-* &quot;-&quot;_-;_-@_-_요약자료_20090831 2 6 5" xfId="27906"/>
    <cellStyle name="_-* #,##0_-;-* #,##0_-;_-* &quot;-&quot;_-;_-@_-_요약자료_20090831 2 7" xfId="5290"/>
    <cellStyle name="_-* #,##0_-;-* #,##0_-;_-* &quot;-&quot;_-;_-@_-_요약자료_20090831 2 7 2" xfId="5291"/>
    <cellStyle name="_-* #,##0_-;-* #,##0_-;_-* &quot;-&quot;_-;_-@_-_요약자료_20090831 2 7 2 2" xfId="23934"/>
    <cellStyle name="_-* #,##0_-;-* #,##0_-;_-* &quot;-&quot;_-;_-@_-_요약자료_20090831 2 7 2 2 2" xfId="31114"/>
    <cellStyle name="_-* #,##0_-;-* #,##0_-;_-* &quot;-&quot;_-;_-@_-_요약자료_20090831 2 7 2 3" xfId="27910"/>
    <cellStyle name="_-* #,##0_-;-* #,##0_-;_-* &quot;-&quot;_-;_-@_-_요약자료_20090831 2 7 3" xfId="23935"/>
    <cellStyle name="_-* #,##0_-;-* #,##0_-;_-* &quot;-&quot;_-;_-@_-_요약자료_20090831 2 7 3 2" xfId="31115"/>
    <cellStyle name="_-* #,##0_-;-* #,##0_-;_-* &quot;-&quot;_-;_-@_-_요약자료_20090831 2 7 4" xfId="27909"/>
    <cellStyle name="_-* #,##0_-;-* #,##0_-;_-* &quot;-&quot;_-;_-@_-_요약자료_20090831 2 8" xfId="5292"/>
    <cellStyle name="_-* #,##0_-;-* #,##0_-;_-* &quot;-&quot;_-;_-@_-_요약자료_20090831 2 8 2" xfId="23936"/>
    <cellStyle name="_-* #,##0_-;-* #,##0_-;_-* &quot;-&quot;_-;_-@_-_요약자료_20090831 2 8 2 2" xfId="31116"/>
    <cellStyle name="_-* #,##0_-;-* #,##0_-;_-* &quot;-&quot;_-;_-@_-_요약자료_20090831 2 8 3" xfId="27911"/>
    <cellStyle name="_-* #,##0_-;-* #,##0_-;_-* &quot;-&quot;_-;_-@_-_요약자료_20090831 2 9" xfId="23937"/>
    <cellStyle name="_-* #,##0_-;-* #,##0_-;_-* &quot;-&quot;_-;_-@_-_요약자료_20090831 2 9 2" xfId="31117"/>
    <cellStyle name="_-* #,##0_-;-* #,##0_-;_-* &quot;-&quot;_-;_-@_-_요약자료_20090831 3" xfId="5293"/>
    <cellStyle name="_-* #,##0_-;-* #,##0_-;_-* &quot;-&quot;_-;_-@_-_요약자료_20090831 3 10" xfId="23938"/>
    <cellStyle name="_-* #,##0_-;-* #,##0_-;_-* &quot;-&quot;_-;_-@_-_요약자료_20090831 3 10 2" xfId="31118"/>
    <cellStyle name="_-* #,##0_-;-* #,##0_-;_-* &quot;-&quot;_-;_-@_-_요약자료_20090831 3 11" xfId="27912"/>
    <cellStyle name="_-* #,##0_-;-* #,##0_-;_-* &quot;-&quot;_-;_-@_-_요약자료_20090831 3 2" xfId="5294"/>
    <cellStyle name="_-* #,##0_-;-* #,##0_-;_-* &quot;-&quot;_-;_-@_-_요약자료_20090831 3 2 2" xfId="5295"/>
    <cellStyle name="_-* #,##0_-;-* #,##0_-;_-* &quot;-&quot;_-;_-@_-_요약자료_20090831 3 2 2 2" xfId="23939"/>
    <cellStyle name="_-* #,##0_-;-* #,##0_-;_-* &quot;-&quot;_-;_-@_-_요약자료_20090831 3 2 2 2 2" xfId="31119"/>
    <cellStyle name="_-* #,##0_-;-* #,##0_-;_-* &quot;-&quot;_-;_-@_-_요약자료_20090831 3 2 2 3" xfId="23940"/>
    <cellStyle name="_-* #,##0_-;-* #,##0_-;_-* &quot;-&quot;_-;_-@_-_요약자료_20090831 3 2 2 3 2" xfId="31120"/>
    <cellStyle name="_-* #,##0_-;-* #,##0_-;_-* &quot;-&quot;_-;_-@_-_요약자료_20090831 3 2 2 4" xfId="23941"/>
    <cellStyle name="_-* #,##0_-;-* #,##0_-;_-* &quot;-&quot;_-;_-@_-_요약자료_20090831 3 2 2 4 2" xfId="31121"/>
    <cellStyle name="_-* #,##0_-;-* #,##0_-;_-* &quot;-&quot;_-;_-@_-_요약자료_20090831 3 2 2 5" xfId="23942"/>
    <cellStyle name="_-* #,##0_-;-* #,##0_-;_-* &quot;-&quot;_-;_-@_-_요약자료_20090831 3 2 2 5 2" xfId="31122"/>
    <cellStyle name="_-* #,##0_-;-* #,##0_-;_-* &quot;-&quot;_-;_-@_-_요약자료_20090831 3 2 2 6" xfId="27914"/>
    <cellStyle name="_-* #,##0_-;-* #,##0_-;_-* &quot;-&quot;_-;_-@_-_요약자료_20090831 3 2 3" xfId="23943"/>
    <cellStyle name="_-* #,##0_-;-* #,##0_-;_-* &quot;-&quot;_-;_-@_-_요약자료_20090831 3 2 3 2" xfId="23944"/>
    <cellStyle name="_-* #,##0_-;-* #,##0_-;_-* &quot;-&quot;_-;_-@_-_요약자료_20090831 3 2 3 2 2" xfId="31124"/>
    <cellStyle name="_-* #,##0_-;-* #,##0_-;_-* &quot;-&quot;_-;_-@_-_요약자료_20090831 3 2 3 3" xfId="31123"/>
    <cellStyle name="_-* #,##0_-;-* #,##0_-;_-* &quot;-&quot;_-;_-@_-_요약자료_20090831 3 2 4" xfId="23945"/>
    <cellStyle name="_-* #,##0_-;-* #,##0_-;_-* &quot;-&quot;_-;_-@_-_요약자료_20090831 3 2 4 2" xfId="31125"/>
    <cellStyle name="_-* #,##0_-;-* #,##0_-;_-* &quot;-&quot;_-;_-@_-_요약자료_20090831 3 2 5" xfId="23946"/>
    <cellStyle name="_-* #,##0_-;-* #,##0_-;_-* &quot;-&quot;_-;_-@_-_요약자료_20090831 3 2 5 2" xfId="31126"/>
    <cellStyle name="_-* #,##0_-;-* #,##0_-;_-* &quot;-&quot;_-;_-@_-_요약자료_20090831 3 2 6" xfId="23947"/>
    <cellStyle name="_-* #,##0_-;-* #,##0_-;_-* &quot;-&quot;_-;_-@_-_요약자료_20090831 3 2 6 2" xfId="31127"/>
    <cellStyle name="_-* #,##0_-;-* #,##0_-;_-* &quot;-&quot;_-;_-@_-_요약자료_20090831 3 2 7" xfId="23948"/>
    <cellStyle name="_-* #,##0_-;-* #,##0_-;_-* &quot;-&quot;_-;_-@_-_요약자료_20090831 3 2 7 2" xfId="31128"/>
    <cellStyle name="_-* #,##0_-;-* #,##0_-;_-* &quot;-&quot;_-;_-@_-_요약자료_20090831 3 2 8" xfId="27913"/>
    <cellStyle name="_-* #,##0_-;-* #,##0_-;_-* &quot;-&quot;_-;_-@_-_요약자료_20090831 3 3" xfId="5296"/>
    <cellStyle name="_-* #,##0_-;-* #,##0_-;_-* &quot;-&quot;_-;_-@_-_요약자료_20090831 3 3 2" xfId="5297"/>
    <cellStyle name="_-* #,##0_-;-* #,##0_-;_-* &quot;-&quot;_-;_-@_-_요약자료_20090831 3 3 2 2" xfId="23949"/>
    <cellStyle name="_-* #,##0_-;-* #,##0_-;_-* &quot;-&quot;_-;_-@_-_요약자료_20090831 3 3 2 2 2" xfId="31129"/>
    <cellStyle name="_-* #,##0_-;-* #,##0_-;_-* &quot;-&quot;_-;_-@_-_요약자료_20090831 3 3 2 3" xfId="23950"/>
    <cellStyle name="_-* #,##0_-;-* #,##0_-;_-* &quot;-&quot;_-;_-@_-_요약자료_20090831 3 3 2 3 2" xfId="31130"/>
    <cellStyle name="_-* #,##0_-;-* #,##0_-;_-* &quot;-&quot;_-;_-@_-_요약자료_20090831 3 3 2 4" xfId="23951"/>
    <cellStyle name="_-* #,##0_-;-* #,##0_-;_-* &quot;-&quot;_-;_-@_-_요약자료_20090831 3 3 2 4 2" xfId="31131"/>
    <cellStyle name="_-* #,##0_-;-* #,##0_-;_-* &quot;-&quot;_-;_-@_-_요약자료_20090831 3 3 2 5" xfId="23952"/>
    <cellStyle name="_-* #,##0_-;-* #,##0_-;_-* &quot;-&quot;_-;_-@_-_요약자료_20090831 3 3 2 5 2" xfId="31132"/>
    <cellStyle name="_-* #,##0_-;-* #,##0_-;_-* &quot;-&quot;_-;_-@_-_요약자료_20090831 3 3 2 6" xfId="27916"/>
    <cellStyle name="_-* #,##0_-;-* #,##0_-;_-* &quot;-&quot;_-;_-@_-_요약자료_20090831 3 3 3" xfId="23953"/>
    <cellStyle name="_-* #,##0_-;-* #,##0_-;_-* &quot;-&quot;_-;_-@_-_요약자료_20090831 3 3 3 2" xfId="23954"/>
    <cellStyle name="_-* #,##0_-;-* #,##0_-;_-* &quot;-&quot;_-;_-@_-_요약자료_20090831 3 3 3 2 2" xfId="31134"/>
    <cellStyle name="_-* #,##0_-;-* #,##0_-;_-* &quot;-&quot;_-;_-@_-_요약자료_20090831 3 3 3 3" xfId="31133"/>
    <cellStyle name="_-* #,##0_-;-* #,##0_-;_-* &quot;-&quot;_-;_-@_-_요약자료_20090831 3 3 4" xfId="23955"/>
    <cellStyle name="_-* #,##0_-;-* #,##0_-;_-* &quot;-&quot;_-;_-@_-_요약자료_20090831 3 3 4 2" xfId="31135"/>
    <cellStyle name="_-* #,##0_-;-* #,##0_-;_-* &quot;-&quot;_-;_-@_-_요약자료_20090831 3 3 5" xfId="23956"/>
    <cellStyle name="_-* #,##0_-;-* #,##0_-;_-* &quot;-&quot;_-;_-@_-_요약자료_20090831 3 3 5 2" xfId="31136"/>
    <cellStyle name="_-* #,##0_-;-* #,##0_-;_-* &quot;-&quot;_-;_-@_-_요약자료_20090831 3 3 6" xfId="23957"/>
    <cellStyle name="_-* #,##0_-;-* #,##0_-;_-* &quot;-&quot;_-;_-@_-_요약자료_20090831 3 3 6 2" xfId="31137"/>
    <cellStyle name="_-* #,##0_-;-* #,##0_-;_-* &quot;-&quot;_-;_-@_-_요약자료_20090831 3 3 7" xfId="23958"/>
    <cellStyle name="_-* #,##0_-;-* #,##0_-;_-* &quot;-&quot;_-;_-@_-_요약자료_20090831 3 3 7 2" xfId="31138"/>
    <cellStyle name="_-* #,##0_-;-* #,##0_-;_-* &quot;-&quot;_-;_-@_-_요약자료_20090831 3 3 8" xfId="27915"/>
    <cellStyle name="_-* #,##0_-;-* #,##0_-;_-* &quot;-&quot;_-;_-@_-_요약자료_20090831 3 4" xfId="5298"/>
    <cellStyle name="_-* #,##0_-;-* #,##0_-;_-* &quot;-&quot;_-;_-@_-_요약자료_20090831 3 4 2" xfId="5299"/>
    <cellStyle name="_-* #,##0_-;-* #,##0_-;_-* &quot;-&quot;_-;_-@_-_요약자료_20090831 3 4 2 2" xfId="23959"/>
    <cellStyle name="_-* #,##0_-;-* #,##0_-;_-* &quot;-&quot;_-;_-@_-_요약자료_20090831 3 4 2 2 2" xfId="31139"/>
    <cellStyle name="_-* #,##0_-;-* #,##0_-;_-* &quot;-&quot;_-;_-@_-_요약자료_20090831 3 4 2 3" xfId="23960"/>
    <cellStyle name="_-* #,##0_-;-* #,##0_-;_-* &quot;-&quot;_-;_-@_-_요약자료_20090831 3 4 2 3 2" xfId="31140"/>
    <cellStyle name="_-* #,##0_-;-* #,##0_-;_-* &quot;-&quot;_-;_-@_-_요약자료_20090831 3 4 2 4" xfId="23961"/>
    <cellStyle name="_-* #,##0_-;-* #,##0_-;_-* &quot;-&quot;_-;_-@_-_요약자료_20090831 3 4 2 4 2" xfId="31141"/>
    <cellStyle name="_-* #,##0_-;-* #,##0_-;_-* &quot;-&quot;_-;_-@_-_요약자료_20090831 3 4 2 5" xfId="23962"/>
    <cellStyle name="_-* #,##0_-;-* #,##0_-;_-* &quot;-&quot;_-;_-@_-_요약자료_20090831 3 4 2 5 2" xfId="31142"/>
    <cellStyle name="_-* #,##0_-;-* #,##0_-;_-* &quot;-&quot;_-;_-@_-_요약자료_20090831 3 4 2 6" xfId="27918"/>
    <cellStyle name="_-* #,##0_-;-* #,##0_-;_-* &quot;-&quot;_-;_-@_-_요약자료_20090831 3 4 3" xfId="23963"/>
    <cellStyle name="_-* #,##0_-;-* #,##0_-;_-* &quot;-&quot;_-;_-@_-_요약자료_20090831 3 4 3 2" xfId="23964"/>
    <cellStyle name="_-* #,##0_-;-* #,##0_-;_-* &quot;-&quot;_-;_-@_-_요약자료_20090831 3 4 3 2 2" xfId="31144"/>
    <cellStyle name="_-* #,##0_-;-* #,##0_-;_-* &quot;-&quot;_-;_-@_-_요약자료_20090831 3 4 3 3" xfId="31143"/>
    <cellStyle name="_-* #,##0_-;-* #,##0_-;_-* &quot;-&quot;_-;_-@_-_요약자료_20090831 3 4 4" xfId="23965"/>
    <cellStyle name="_-* #,##0_-;-* #,##0_-;_-* &quot;-&quot;_-;_-@_-_요약자료_20090831 3 4 4 2" xfId="31145"/>
    <cellStyle name="_-* #,##0_-;-* #,##0_-;_-* &quot;-&quot;_-;_-@_-_요약자료_20090831 3 4 5" xfId="23966"/>
    <cellStyle name="_-* #,##0_-;-* #,##0_-;_-* &quot;-&quot;_-;_-@_-_요약자료_20090831 3 4 5 2" xfId="31146"/>
    <cellStyle name="_-* #,##0_-;-* #,##0_-;_-* &quot;-&quot;_-;_-@_-_요약자료_20090831 3 4 6" xfId="23967"/>
    <cellStyle name="_-* #,##0_-;-* #,##0_-;_-* &quot;-&quot;_-;_-@_-_요약자료_20090831 3 4 6 2" xfId="31147"/>
    <cellStyle name="_-* #,##0_-;-* #,##0_-;_-* &quot;-&quot;_-;_-@_-_요약자료_20090831 3 4 7" xfId="23968"/>
    <cellStyle name="_-* #,##0_-;-* #,##0_-;_-* &quot;-&quot;_-;_-@_-_요약자료_20090831 3 4 7 2" xfId="31148"/>
    <cellStyle name="_-* #,##0_-;-* #,##0_-;_-* &quot;-&quot;_-;_-@_-_요약자료_20090831 3 4 8" xfId="27917"/>
    <cellStyle name="_-* #,##0_-;-* #,##0_-;_-* &quot;-&quot;_-;_-@_-_요약자료_20090831 3 5" xfId="5300"/>
    <cellStyle name="_-* #,##0_-;-* #,##0_-;_-* &quot;-&quot;_-;_-@_-_요약자료_20090831 3 5 2" xfId="23969"/>
    <cellStyle name="_-* #,##0_-;-* #,##0_-;_-* &quot;-&quot;_-;_-@_-_요약자료_20090831 3 5 2 2" xfId="31149"/>
    <cellStyle name="_-* #,##0_-;-* #,##0_-;_-* &quot;-&quot;_-;_-@_-_요약자료_20090831 3 5 3" xfId="23970"/>
    <cellStyle name="_-* #,##0_-;-* #,##0_-;_-* &quot;-&quot;_-;_-@_-_요약자료_20090831 3 5 3 2" xfId="31150"/>
    <cellStyle name="_-* #,##0_-;-* #,##0_-;_-* &quot;-&quot;_-;_-@_-_요약자료_20090831 3 5 4" xfId="23971"/>
    <cellStyle name="_-* #,##0_-;-* #,##0_-;_-* &quot;-&quot;_-;_-@_-_요약자료_20090831 3 5 4 2" xfId="31151"/>
    <cellStyle name="_-* #,##0_-;-* #,##0_-;_-* &quot;-&quot;_-;_-@_-_요약자료_20090831 3 5 5" xfId="23972"/>
    <cellStyle name="_-* #,##0_-;-* #,##0_-;_-* &quot;-&quot;_-;_-@_-_요약자료_20090831 3 5 5 2" xfId="31152"/>
    <cellStyle name="_-* #,##0_-;-* #,##0_-;_-* &quot;-&quot;_-;_-@_-_요약자료_20090831 3 5 6" xfId="27919"/>
    <cellStyle name="_-* #,##0_-;-* #,##0_-;_-* &quot;-&quot;_-;_-@_-_요약자료_20090831 3 6" xfId="23973"/>
    <cellStyle name="_-* #,##0_-;-* #,##0_-;_-* &quot;-&quot;_-;_-@_-_요약자료_20090831 3 6 2" xfId="23974"/>
    <cellStyle name="_-* #,##0_-;-* #,##0_-;_-* &quot;-&quot;_-;_-@_-_요약자료_20090831 3 6 2 2" xfId="31154"/>
    <cellStyle name="_-* #,##0_-;-* #,##0_-;_-* &quot;-&quot;_-;_-@_-_요약자료_20090831 3 6 3" xfId="31153"/>
    <cellStyle name="_-* #,##0_-;-* #,##0_-;_-* &quot;-&quot;_-;_-@_-_요약자료_20090831 3 7" xfId="23975"/>
    <cellStyle name="_-* #,##0_-;-* #,##0_-;_-* &quot;-&quot;_-;_-@_-_요약자료_20090831 3 7 2" xfId="31155"/>
    <cellStyle name="_-* #,##0_-;-* #,##0_-;_-* &quot;-&quot;_-;_-@_-_요약자료_20090831 3 8" xfId="23976"/>
    <cellStyle name="_-* #,##0_-;-* #,##0_-;_-* &quot;-&quot;_-;_-@_-_요약자료_20090831 3 8 2" xfId="31156"/>
    <cellStyle name="_-* #,##0_-;-* #,##0_-;_-* &quot;-&quot;_-;_-@_-_요약자료_20090831 3 9" xfId="23977"/>
    <cellStyle name="_-* #,##0_-;-* #,##0_-;_-* &quot;-&quot;_-;_-@_-_요약자료_20090831 3 9 2" xfId="31157"/>
    <cellStyle name="_-* #,##0_-;-* #,##0_-;_-* &quot;-&quot;_-;_-@_-_요약자료_20090831 4" xfId="5301"/>
    <cellStyle name="_-* #,##0_-;-* #,##0_-;_-* &quot;-&quot;_-;_-@_-_요약자료_20090831 4 2" xfId="5302"/>
    <cellStyle name="_-* #,##0_-;-* #,##0_-;_-* &quot;-&quot;_-;_-@_-_요약자료_20090831 4 2 2" xfId="5303"/>
    <cellStyle name="_-* #,##0_-;-* #,##0_-;_-* &quot;-&quot;_-;_-@_-_요약자료_20090831 4 2 2 2" xfId="23978"/>
    <cellStyle name="_-* #,##0_-;-* #,##0_-;_-* &quot;-&quot;_-;_-@_-_요약자료_20090831 4 2 2 2 2" xfId="31158"/>
    <cellStyle name="_-* #,##0_-;-* #,##0_-;_-* &quot;-&quot;_-;_-@_-_요약자료_20090831 4 2 2 3" xfId="27922"/>
    <cellStyle name="_-* #,##0_-;-* #,##0_-;_-* &quot;-&quot;_-;_-@_-_요약자료_20090831 4 2 3" xfId="23979"/>
    <cellStyle name="_-* #,##0_-;-* #,##0_-;_-* &quot;-&quot;_-;_-@_-_요약자료_20090831 4 2 3 2" xfId="31159"/>
    <cellStyle name="_-* #,##0_-;-* #,##0_-;_-* &quot;-&quot;_-;_-@_-_요약자료_20090831 4 2 4" xfId="23980"/>
    <cellStyle name="_-* #,##0_-;-* #,##0_-;_-* &quot;-&quot;_-;_-@_-_요약자료_20090831 4 2 4 2" xfId="31160"/>
    <cellStyle name="_-* #,##0_-;-* #,##0_-;_-* &quot;-&quot;_-;_-@_-_요약자료_20090831 4 2 5" xfId="23981"/>
    <cellStyle name="_-* #,##0_-;-* #,##0_-;_-* &quot;-&quot;_-;_-@_-_요약자료_20090831 4 2 5 2" xfId="31161"/>
    <cellStyle name="_-* #,##0_-;-* #,##0_-;_-* &quot;-&quot;_-;_-@_-_요약자료_20090831 4 2 6" xfId="27921"/>
    <cellStyle name="_-* #,##0_-;-* #,##0_-;_-* &quot;-&quot;_-;_-@_-_요약자료_20090831 4 3" xfId="5304"/>
    <cellStyle name="_-* #,##0_-;-* #,##0_-;_-* &quot;-&quot;_-;_-@_-_요약자료_20090831 4 3 2" xfId="5305"/>
    <cellStyle name="_-* #,##0_-;-* #,##0_-;_-* &quot;-&quot;_-;_-@_-_요약자료_20090831 4 3 2 2" xfId="23982"/>
    <cellStyle name="_-* #,##0_-;-* #,##0_-;_-* &quot;-&quot;_-;_-@_-_요약자료_20090831 4 3 2 2 2" xfId="31162"/>
    <cellStyle name="_-* #,##0_-;-* #,##0_-;_-* &quot;-&quot;_-;_-@_-_요약자료_20090831 4 3 2 3" xfId="27924"/>
    <cellStyle name="_-* #,##0_-;-* #,##0_-;_-* &quot;-&quot;_-;_-@_-_요약자료_20090831 4 3 3" xfId="23983"/>
    <cellStyle name="_-* #,##0_-;-* #,##0_-;_-* &quot;-&quot;_-;_-@_-_요약자료_20090831 4 3 3 2" xfId="31163"/>
    <cellStyle name="_-* #,##0_-;-* #,##0_-;_-* &quot;-&quot;_-;_-@_-_요약자료_20090831 4 3 4" xfId="27923"/>
    <cellStyle name="_-* #,##0_-;-* #,##0_-;_-* &quot;-&quot;_-;_-@_-_요약자료_20090831 4 4" xfId="5306"/>
    <cellStyle name="_-* #,##0_-;-* #,##0_-;_-* &quot;-&quot;_-;_-@_-_요약자료_20090831 4 4 2" xfId="5307"/>
    <cellStyle name="_-* #,##0_-;-* #,##0_-;_-* &quot;-&quot;_-;_-@_-_요약자료_20090831 4 4 2 2" xfId="23984"/>
    <cellStyle name="_-* #,##0_-;-* #,##0_-;_-* &quot;-&quot;_-;_-@_-_요약자료_20090831 4 4 2 2 2" xfId="31164"/>
    <cellStyle name="_-* #,##0_-;-* #,##0_-;_-* &quot;-&quot;_-;_-@_-_요약자료_20090831 4 4 2 3" xfId="27926"/>
    <cellStyle name="_-* #,##0_-;-* #,##0_-;_-* &quot;-&quot;_-;_-@_-_요약자료_20090831 4 4 3" xfId="23985"/>
    <cellStyle name="_-* #,##0_-;-* #,##0_-;_-* &quot;-&quot;_-;_-@_-_요약자료_20090831 4 4 3 2" xfId="31165"/>
    <cellStyle name="_-* #,##0_-;-* #,##0_-;_-* &quot;-&quot;_-;_-@_-_요약자료_20090831 4 4 4" xfId="27925"/>
    <cellStyle name="_-* #,##0_-;-* #,##0_-;_-* &quot;-&quot;_-;_-@_-_요약자료_20090831 4 5" xfId="5308"/>
    <cellStyle name="_-* #,##0_-;-* #,##0_-;_-* &quot;-&quot;_-;_-@_-_요약자료_20090831 4 5 2" xfId="23986"/>
    <cellStyle name="_-* #,##0_-;-* #,##0_-;_-* &quot;-&quot;_-;_-@_-_요약자료_20090831 4 5 2 2" xfId="31166"/>
    <cellStyle name="_-* #,##0_-;-* #,##0_-;_-* &quot;-&quot;_-;_-@_-_요약자료_20090831 4 5 3" xfId="27927"/>
    <cellStyle name="_-* #,##0_-;-* #,##0_-;_-* &quot;-&quot;_-;_-@_-_요약자료_20090831 4 6" xfId="23987"/>
    <cellStyle name="_-* #,##0_-;-* #,##0_-;_-* &quot;-&quot;_-;_-@_-_요약자료_20090831 4 6 2" xfId="31167"/>
    <cellStyle name="_-* #,##0_-;-* #,##0_-;_-* &quot;-&quot;_-;_-@_-_요약자료_20090831 4 7" xfId="23988"/>
    <cellStyle name="_-* #,##0_-;-* #,##0_-;_-* &quot;-&quot;_-;_-@_-_요약자료_20090831 4 7 2" xfId="31168"/>
    <cellStyle name="_-* #,##0_-;-* #,##0_-;_-* &quot;-&quot;_-;_-@_-_요약자료_20090831 4 8" xfId="27920"/>
    <cellStyle name="_-* #,##0_-;-* #,##0_-;_-* &quot;-&quot;_-;_-@_-_요약자료_20090831 5" xfId="5309"/>
    <cellStyle name="_-* #,##0_-;-* #,##0_-;_-* &quot;-&quot;_-;_-@_-_요약자료_20090831 5 2" xfId="5310"/>
    <cellStyle name="_-* #,##0_-;-* #,##0_-;_-* &quot;-&quot;_-;_-@_-_요약자료_20090831 5 2 2" xfId="5311"/>
    <cellStyle name="_-* #,##0_-;-* #,##0_-;_-* &quot;-&quot;_-;_-@_-_요약자료_20090831 5 2 2 2" xfId="23989"/>
    <cellStyle name="_-* #,##0_-;-* #,##0_-;_-* &quot;-&quot;_-;_-@_-_요약자료_20090831 5 2 2 2 2" xfId="31169"/>
    <cellStyle name="_-* #,##0_-;-* #,##0_-;_-* &quot;-&quot;_-;_-@_-_요약자료_20090831 5 2 2 3" xfId="27930"/>
    <cellStyle name="_-* #,##0_-;-* #,##0_-;_-* &quot;-&quot;_-;_-@_-_요약자료_20090831 5 2 3" xfId="23990"/>
    <cellStyle name="_-* #,##0_-;-* #,##0_-;_-* &quot;-&quot;_-;_-@_-_요약자료_20090831 5 2 3 2" xfId="31170"/>
    <cellStyle name="_-* #,##0_-;-* #,##0_-;_-* &quot;-&quot;_-;_-@_-_요약자료_20090831 5 2 4" xfId="23991"/>
    <cellStyle name="_-* #,##0_-;-* #,##0_-;_-* &quot;-&quot;_-;_-@_-_요약자료_20090831 5 2 4 2" xfId="31171"/>
    <cellStyle name="_-* #,##0_-;-* #,##0_-;_-* &quot;-&quot;_-;_-@_-_요약자료_20090831 5 2 5" xfId="23992"/>
    <cellStyle name="_-* #,##0_-;-* #,##0_-;_-* &quot;-&quot;_-;_-@_-_요약자료_20090831 5 2 5 2" xfId="31172"/>
    <cellStyle name="_-* #,##0_-;-* #,##0_-;_-* &quot;-&quot;_-;_-@_-_요약자료_20090831 5 2 6" xfId="27929"/>
    <cellStyle name="_-* #,##0_-;-* #,##0_-;_-* &quot;-&quot;_-;_-@_-_요약자료_20090831 5 3" xfId="5312"/>
    <cellStyle name="_-* #,##0_-;-* #,##0_-;_-* &quot;-&quot;_-;_-@_-_요약자료_20090831 5 3 2" xfId="5313"/>
    <cellStyle name="_-* #,##0_-;-* #,##0_-;_-* &quot;-&quot;_-;_-@_-_요약자료_20090831 5 3 2 2" xfId="23993"/>
    <cellStyle name="_-* #,##0_-;-* #,##0_-;_-* &quot;-&quot;_-;_-@_-_요약자료_20090831 5 3 2 2 2" xfId="31173"/>
    <cellStyle name="_-* #,##0_-;-* #,##0_-;_-* &quot;-&quot;_-;_-@_-_요약자료_20090831 5 3 2 3" xfId="27932"/>
    <cellStyle name="_-* #,##0_-;-* #,##0_-;_-* &quot;-&quot;_-;_-@_-_요약자료_20090831 5 3 3" xfId="23994"/>
    <cellStyle name="_-* #,##0_-;-* #,##0_-;_-* &quot;-&quot;_-;_-@_-_요약자료_20090831 5 3 3 2" xfId="31174"/>
    <cellStyle name="_-* #,##0_-;-* #,##0_-;_-* &quot;-&quot;_-;_-@_-_요약자료_20090831 5 3 4" xfId="27931"/>
    <cellStyle name="_-* #,##0_-;-* #,##0_-;_-* &quot;-&quot;_-;_-@_-_요약자료_20090831 5 4" xfId="5314"/>
    <cellStyle name="_-* #,##0_-;-* #,##0_-;_-* &quot;-&quot;_-;_-@_-_요약자료_20090831 5 4 2" xfId="23995"/>
    <cellStyle name="_-* #,##0_-;-* #,##0_-;_-* &quot;-&quot;_-;_-@_-_요약자료_20090831 5 4 2 2" xfId="31175"/>
    <cellStyle name="_-* #,##0_-;-* #,##0_-;_-* &quot;-&quot;_-;_-@_-_요약자료_20090831 5 4 3" xfId="27933"/>
    <cellStyle name="_-* #,##0_-;-* #,##0_-;_-* &quot;-&quot;_-;_-@_-_요약자료_20090831 5 5" xfId="23996"/>
    <cellStyle name="_-* #,##0_-;-* #,##0_-;_-* &quot;-&quot;_-;_-@_-_요약자료_20090831 5 5 2" xfId="31176"/>
    <cellStyle name="_-* #,##0_-;-* #,##0_-;_-* &quot;-&quot;_-;_-@_-_요약자료_20090831 5 6" xfId="23997"/>
    <cellStyle name="_-* #,##0_-;-* #,##0_-;_-* &quot;-&quot;_-;_-@_-_요약자료_20090831 5 6 2" xfId="31177"/>
    <cellStyle name="_-* #,##0_-;-* #,##0_-;_-* &quot;-&quot;_-;_-@_-_요약자료_20090831 5 7" xfId="23998"/>
    <cellStyle name="_-* #,##0_-;-* #,##0_-;_-* &quot;-&quot;_-;_-@_-_요약자료_20090831 5 7 2" xfId="31178"/>
    <cellStyle name="_-* #,##0_-;-* #,##0_-;_-* &quot;-&quot;_-;_-@_-_요약자료_20090831 5 8" xfId="27928"/>
    <cellStyle name="_-* #,##0_-;-* #,##0_-;_-* &quot;-&quot;_-;_-@_-_요약자료_20090831 6" xfId="5315"/>
    <cellStyle name="_-* #,##0_-;-* #,##0_-;_-* &quot;-&quot;_-;_-@_-_요약자료_20090831 6 2" xfId="5316"/>
    <cellStyle name="_-* #,##0_-;-* #,##0_-;_-* &quot;-&quot;_-;_-@_-_요약자료_20090831 6 2 2" xfId="23999"/>
    <cellStyle name="_-* #,##0_-;-* #,##0_-;_-* &quot;-&quot;_-;_-@_-_요약자료_20090831 6 2 2 2" xfId="31179"/>
    <cellStyle name="_-* #,##0_-;-* #,##0_-;_-* &quot;-&quot;_-;_-@_-_요약자료_20090831 6 2 3" xfId="24000"/>
    <cellStyle name="_-* #,##0_-;-* #,##0_-;_-* &quot;-&quot;_-;_-@_-_요약자료_20090831 6 2 3 2" xfId="31180"/>
    <cellStyle name="_-* #,##0_-;-* #,##0_-;_-* &quot;-&quot;_-;_-@_-_요약자료_20090831 6 2 4" xfId="24001"/>
    <cellStyle name="_-* #,##0_-;-* #,##0_-;_-* &quot;-&quot;_-;_-@_-_요약자료_20090831 6 2 4 2" xfId="31181"/>
    <cellStyle name="_-* #,##0_-;-* #,##0_-;_-* &quot;-&quot;_-;_-@_-_요약자료_20090831 6 2 5" xfId="24002"/>
    <cellStyle name="_-* #,##0_-;-* #,##0_-;_-* &quot;-&quot;_-;_-@_-_요약자료_20090831 6 2 5 2" xfId="31182"/>
    <cellStyle name="_-* #,##0_-;-* #,##0_-;_-* &quot;-&quot;_-;_-@_-_요약자료_20090831 6 2 6" xfId="27935"/>
    <cellStyle name="_-* #,##0_-;-* #,##0_-;_-* &quot;-&quot;_-;_-@_-_요약자료_20090831 6 3" xfId="24003"/>
    <cellStyle name="_-* #,##0_-;-* #,##0_-;_-* &quot;-&quot;_-;_-@_-_요약자료_20090831 6 3 2" xfId="24004"/>
    <cellStyle name="_-* #,##0_-;-* #,##0_-;_-* &quot;-&quot;_-;_-@_-_요약자료_20090831 6 3 2 2" xfId="31184"/>
    <cellStyle name="_-* #,##0_-;-* #,##0_-;_-* &quot;-&quot;_-;_-@_-_요약자료_20090831 6 3 3" xfId="31183"/>
    <cellStyle name="_-* #,##0_-;-* #,##0_-;_-* &quot;-&quot;_-;_-@_-_요약자료_20090831 6 4" xfId="24005"/>
    <cellStyle name="_-* #,##0_-;-* #,##0_-;_-* &quot;-&quot;_-;_-@_-_요약자료_20090831 6 4 2" xfId="31185"/>
    <cellStyle name="_-* #,##0_-;-* #,##0_-;_-* &quot;-&quot;_-;_-@_-_요약자료_20090831 6 5" xfId="24006"/>
    <cellStyle name="_-* #,##0_-;-* #,##0_-;_-* &quot;-&quot;_-;_-@_-_요약자료_20090831 6 5 2" xfId="31186"/>
    <cellStyle name="_-* #,##0_-;-* #,##0_-;_-* &quot;-&quot;_-;_-@_-_요약자료_20090831 6 6" xfId="24007"/>
    <cellStyle name="_-* #,##0_-;-* #,##0_-;_-* &quot;-&quot;_-;_-@_-_요약자료_20090831 6 6 2" xfId="31187"/>
    <cellStyle name="_-* #,##0_-;-* #,##0_-;_-* &quot;-&quot;_-;_-@_-_요약자료_20090831 6 7" xfId="24008"/>
    <cellStyle name="_-* #,##0_-;-* #,##0_-;_-* &quot;-&quot;_-;_-@_-_요약자료_20090831 6 7 2" xfId="31188"/>
    <cellStyle name="_-* #,##0_-;-* #,##0_-;_-* &quot;-&quot;_-;_-@_-_요약자료_20090831 6 8" xfId="27934"/>
    <cellStyle name="_-* #,##0_-;-* #,##0_-;_-* &quot;-&quot;_-;_-@_-_요약자료_20090831 7" xfId="5317"/>
    <cellStyle name="_-* #,##0_-;-* #,##0_-;_-* &quot;-&quot;_-;_-@_-_요약자료_20090831 7 2" xfId="5318"/>
    <cellStyle name="_-* #,##0_-;-* #,##0_-;_-* &quot;-&quot;_-;_-@_-_요약자료_20090831 7 2 2" xfId="24009"/>
    <cellStyle name="_-* #,##0_-;-* #,##0_-;_-* &quot;-&quot;_-;_-@_-_요약자료_20090831 7 2 2 2" xfId="31189"/>
    <cellStyle name="_-* #,##0_-;-* #,##0_-;_-* &quot;-&quot;_-;_-@_-_요약자료_20090831 7 2 3" xfId="27937"/>
    <cellStyle name="_-* #,##0_-;-* #,##0_-;_-* &quot;-&quot;_-;_-@_-_요약자료_20090831 7 3" xfId="24010"/>
    <cellStyle name="_-* #,##0_-;-* #,##0_-;_-* &quot;-&quot;_-;_-@_-_요약자료_20090831 7 3 2" xfId="31190"/>
    <cellStyle name="_-* #,##0_-;-* #,##0_-;_-* &quot;-&quot;_-;_-@_-_요약자료_20090831 7 4" xfId="24011"/>
    <cellStyle name="_-* #,##0_-;-* #,##0_-;_-* &quot;-&quot;_-;_-@_-_요약자료_20090831 7 4 2" xfId="31191"/>
    <cellStyle name="_-* #,##0_-;-* #,##0_-;_-* &quot;-&quot;_-;_-@_-_요약자료_20090831 7 5" xfId="24012"/>
    <cellStyle name="_-* #,##0_-;-* #,##0_-;_-* &quot;-&quot;_-;_-@_-_요약자료_20090831 7 5 2" xfId="31192"/>
    <cellStyle name="_-* #,##0_-;-* #,##0_-;_-* &quot;-&quot;_-;_-@_-_요약자료_20090831 7 6" xfId="27936"/>
    <cellStyle name="_-* #,##0_-;-* #,##0_-;_-* &quot;-&quot;_-;_-@_-_요약자료_20090831 8" xfId="5319"/>
    <cellStyle name="_-* #,##0_-;-* #,##0_-;_-* &quot;-&quot;_-;_-@_-_요약자료_20090831 8 2" xfId="5320"/>
    <cellStyle name="_-* #,##0_-;-* #,##0_-;_-* &quot;-&quot;_-;_-@_-_요약자료_20090831 8 2 2" xfId="24013"/>
    <cellStyle name="_-* #,##0_-;-* #,##0_-;_-* &quot;-&quot;_-;_-@_-_요약자료_20090831 8 2 2 2" xfId="31193"/>
    <cellStyle name="_-* #,##0_-;-* #,##0_-;_-* &quot;-&quot;_-;_-@_-_요약자료_20090831 8 2 3" xfId="27939"/>
    <cellStyle name="_-* #,##0_-;-* #,##0_-;_-* &quot;-&quot;_-;_-@_-_요약자료_20090831 8 3" xfId="24014"/>
    <cellStyle name="_-* #,##0_-;-* #,##0_-;_-* &quot;-&quot;_-;_-@_-_요약자료_20090831 8 3 2" xfId="31194"/>
    <cellStyle name="_-* #,##0_-;-* #,##0_-;_-* &quot;-&quot;_-;_-@_-_요약자료_20090831 8 4" xfId="24015"/>
    <cellStyle name="_-* #,##0_-;-* #,##0_-;_-* &quot;-&quot;_-;_-@_-_요약자료_20090831 8 4 2" xfId="31195"/>
    <cellStyle name="_-* #,##0_-;-* #,##0_-;_-* &quot;-&quot;_-;_-@_-_요약자료_20090831 8 5" xfId="24016"/>
    <cellStyle name="_-* #,##0_-;-* #,##0_-;_-* &quot;-&quot;_-;_-@_-_요약자료_20090831 8 5 2" xfId="31196"/>
    <cellStyle name="_-* #,##0_-;-* #,##0_-;_-* &quot;-&quot;_-;_-@_-_요약자료_20090831 8 6" xfId="27938"/>
    <cellStyle name="_-* #,##0_-;-* #,##0_-;_-* &quot;-&quot;_-;_-@_-_요약자료_20090831 9" xfId="5321"/>
    <cellStyle name="_-* #,##0_-;-* #,##0_-;_-* &quot;-&quot;_-;_-@_-_요약자료_20090831 9 2" xfId="24017"/>
    <cellStyle name="_-* #,##0_-;-* #,##0_-;_-* &quot;-&quot;_-;_-@_-_요약자료_20090831 9 2 2" xfId="31197"/>
    <cellStyle name="_-* #,##0_-;-* #,##0_-;_-* &quot;-&quot;_-;_-@_-_요약자료_20090831 9 3" xfId="24018"/>
    <cellStyle name="_-* #,##0_-;-* #,##0_-;_-* &quot;-&quot;_-;_-@_-_요약자료_20090831 9 3 2" xfId="31198"/>
    <cellStyle name="_-* #,##0_-;-* #,##0_-;_-* &quot;-&quot;_-;_-@_-_요약자료_20090831 9 4" xfId="24019"/>
    <cellStyle name="_-* #,##0_-;-* #,##0_-;_-* &quot;-&quot;_-;_-@_-_요약자료_20090831 9 4 2" xfId="31199"/>
    <cellStyle name="_-* #,##0_-;-* #,##0_-;_-* &quot;-&quot;_-;_-@_-_요약자료_20090831 9 5" xfId="27940"/>
    <cellStyle name="_-* #,##0_-;-* #,##0_-;_-* &quot;-&quot;_-;_-@_-_요약자료_20090831_1211 충당금,건전성 현황_작업" xfId="5322"/>
    <cellStyle name="_-* #,##0_-;-* #,##0_-;_-* &quot;-&quot;_-;_-@_-_요약자료_20090831_1211 충당금,건전성 현황_작업 2" xfId="24020"/>
    <cellStyle name="_-* #,##0_-;-* #,##0_-;_-* &quot;-&quot;_-;_-@_-_요약자료_20090831_1211 충당금,건전성 현황_작업 2 2" xfId="31200"/>
    <cellStyle name="_-* #,##0_-;-* #,##0_-;_-* &quot;-&quot;_-;_-@_-_요약자료_20090831_1211 충당금,건전성 현황_작업 3" xfId="27941"/>
    <cellStyle name="_-* #,##0_-;-* #,##0_-;_-* &quot;-&quot;_-;_-@_-_요약자료_20090831_Hana 2011-1 Program_Data Disk_Pool B_v2(v5-1더밸류-이교민)" xfId="5323"/>
    <cellStyle name="_-* #,##0_-;-* #,##0_-;_-* &quot;-&quot;_-;_-@_-_요약자료_20090831_Hana 2011-1 Program_Data Disk_Pool B_v2(v5-1더밸류-이교민) 2" xfId="24021"/>
    <cellStyle name="_-* #,##0_-;-* #,##0_-;_-* &quot;-&quot;_-;_-@_-_요약자료_20090831_Hana 2011-1 Program_Data Disk_Pool B_v2(v5-1더밸류-이교민) 2 2" xfId="31201"/>
    <cellStyle name="_-* #,##0_-;-* #,##0_-;_-* &quot;-&quot;_-;_-@_-_요약자료_20090831_Hana 2011-1 Program_Data Disk_Pool B_v2(v5-1더밸류-이교민) 3" xfId="24022"/>
    <cellStyle name="_-* #,##0_-;-* #,##0_-;_-* &quot;-&quot;_-;_-@_-_요약자료_20090831_Hana 2011-1 Program_Data Disk_Pool B_v2(v5-1더밸류-이교민) 3 2" xfId="31202"/>
    <cellStyle name="_-* #,##0_-;-* #,##0_-;_-* &quot;-&quot;_-;_-@_-_요약자료_20090831_Hana 2011-1 Program_Data Disk_Pool B_v2(v5-1더밸류-이교민) 4" xfId="24023"/>
    <cellStyle name="_-* #,##0_-;-* #,##0_-;_-* &quot;-&quot;_-;_-@_-_요약자료_20090831_Hana 2011-1 Program_Data Disk_Pool B_v2(v5-1더밸류-이교민) 4 2" xfId="31203"/>
    <cellStyle name="_-* #,##0_-;-* #,##0_-;_-* &quot;-&quot;_-;_-@_-_요약자료_20090831_Hana 2011-1 Program_Data Disk_Pool B_v2(v5-1더밸류-이교민) 5" xfId="27942"/>
    <cellStyle name="_-* #,##0_-;-* #,##0_-;_-* &quot;-&quot;_-;_-@_-_요약자료_20090831_Hana 2011-1 Program_Data Disk_Pool B_v2(v5-1더밸류-이교민)_SHB 2011-2 Program_Data Disk_Pool C,B_v1(v2더밸류_이교민)" xfId="5324"/>
    <cellStyle name="_-* #,##0_-;-* #,##0_-;_-* &quot;-&quot;_-;_-@_-_요약자료_20090831_Hana 2011-1 Program_Data Disk_Pool B_v2(v5-1더밸류-이교민)_SHB 2011-2 Program_Data Disk_Pool C,B_v1(v2더밸류_이교민) 2" xfId="24024"/>
    <cellStyle name="_-* #,##0_-;-* #,##0_-;_-* &quot;-&quot;_-;_-@_-_요약자료_20090831_Hana 2011-1 Program_Data Disk_Pool B_v2(v5-1더밸류-이교민)_SHB 2011-2 Program_Data Disk_Pool C,B_v1(v2더밸류_이교민) 2 2" xfId="31204"/>
    <cellStyle name="_-* #,##0_-;-* #,##0_-;_-* &quot;-&quot;_-;_-@_-_요약자료_20090831_Hana 2011-1 Program_Data Disk_Pool B_v2(v5-1더밸류-이교민)_SHB 2011-2 Program_Data Disk_Pool C,B_v1(v2더밸류_이교민) 3" xfId="24025"/>
    <cellStyle name="_-* #,##0_-;-* #,##0_-;_-* &quot;-&quot;_-;_-@_-_요약자료_20090831_Hana 2011-1 Program_Data Disk_Pool B_v2(v5-1더밸류-이교민)_SHB 2011-2 Program_Data Disk_Pool C,B_v1(v2더밸류_이교민) 3 2" xfId="31205"/>
    <cellStyle name="_-* #,##0_-;-* #,##0_-;_-* &quot;-&quot;_-;_-@_-_요약자료_20090831_Hana 2011-1 Program_Data Disk_Pool B_v2(v5-1더밸류-이교민)_SHB 2011-2 Program_Data Disk_Pool C,B_v1(v2더밸류_이교민) 4" xfId="24026"/>
    <cellStyle name="_-* #,##0_-;-* #,##0_-;_-* &quot;-&quot;_-;_-@_-_요약자료_20090831_Hana 2011-1 Program_Data Disk_Pool B_v2(v5-1더밸류-이교민)_SHB 2011-2 Program_Data Disk_Pool C,B_v1(v2더밸류_이교민) 4 2" xfId="31206"/>
    <cellStyle name="_-* #,##0_-;-* #,##0_-;_-* &quot;-&quot;_-;_-@_-_요약자료_20090831_Hana 2011-1 Program_Data Disk_Pool B_v2(v5-1더밸류-이교민)_SHB 2011-2 Program_Data Disk_Pool C,B_v1(v2더밸류_이교민) 5" xfId="27943"/>
    <cellStyle name="_-* #,##0_-;-* #,##0_-;_-* &quot;-&quot;_-;_-@_-_요약자료_20090831_Hana 2011-1 Program_Data Disk_Pool B_v2(v5-1더밸류-이교민)_차주명관리_20110726_v1" xfId="5325"/>
    <cellStyle name="_-* #,##0_-;-* #,##0_-;_-* &quot;-&quot;_-;_-@_-_요약자료_20090831_Hana 2011-1 Program_Data Disk_Pool B_v2(v5-1더밸류-이교민)_차주명관리_20110726_v1 2" xfId="24027"/>
    <cellStyle name="_-* #,##0_-;-* #,##0_-;_-* &quot;-&quot;_-;_-@_-_요약자료_20090831_Hana 2011-1 Program_Data Disk_Pool B_v2(v5-1더밸류-이교민)_차주명관리_20110726_v1 2 2" xfId="31207"/>
    <cellStyle name="_-* #,##0_-;-* #,##0_-;_-* &quot;-&quot;_-;_-@_-_요약자료_20090831_Hana 2011-1 Program_Data Disk_Pool B_v2(v5-1더밸류-이교민)_차주명관리_20110726_v1 3" xfId="24028"/>
    <cellStyle name="_-* #,##0_-;-* #,##0_-;_-* &quot;-&quot;_-;_-@_-_요약자료_20090831_Hana 2011-1 Program_Data Disk_Pool B_v2(v5-1더밸류-이교민)_차주명관리_20110726_v1 3 2" xfId="31208"/>
    <cellStyle name="_-* #,##0_-;-* #,##0_-;_-* &quot;-&quot;_-;_-@_-_요약자료_20090831_Hana 2011-1 Program_Data Disk_Pool B_v2(v5-1더밸류-이교민)_차주명관리_20110726_v1 4" xfId="24029"/>
    <cellStyle name="_-* #,##0_-;-* #,##0_-;_-* &quot;-&quot;_-;_-@_-_요약자료_20090831_Hana 2011-1 Program_Data Disk_Pool B_v2(v5-1더밸류-이교민)_차주명관리_20110726_v1 4 2" xfId="31209"/>
    <cellStyle name="_-* #,##0_-;-* #,##0_-;_-* &quot;-&quot;_-;_-@_-_요약자료_20090831_Hana 2011-1 Program_Data Disk_Pool B_v2(v5-1더밸류-이교민)_차주명관리_20110726_v1 5" xfId="27944"/>
    <cellStyle name="_-* #,##0_-;-* #,##0_-;_-* &quot;-&quot;_-;_-@_-_요약자료_20090831_SHB_2011-3_담보sheet(더밸류_v6이교민)" xfId="5326"/>
    <cellStyle name="_-* #,##0_-;-* #,##0_-;_-* &quot;-&quot;_-;_-@_-_요약자료_20090831_SHB_2011-3_담보sheet(더밸류_v6이교민) 2" xfId="24030"/>
    <cellStyle name="_-* #,##0_-;-* #,##0_-;_-* &quot;-&quot;_-;_-@_-_요약자료_20090831_SHB_2011-3_담보sheet(더밸류_v6이교민) 2 2" xfId="31210"/>
    <cellStyle name="_-* #,##0_-;-* #,##0_-;_-* &quot;-&quot;_-;_-@_-_요약자료_20090831_SHB_2011-3_담보sheet(더밸류_v6이교민) 3" xfId="24031"/>
    <cellStyle name="_-* #,##0_-;-* #,##0_-;_-* &quot;-&quot;_-;_-@_-_요약자료_20090831_SHB_2011-3_담보sheet(더밸류_v6이교민) 3 2" xfId="31211"/>
    <cellStyle name="_-* #,##0_-;-* #,##0_-;_-* &quot;-&quot;_-;_-@_-_요약자료_20090831_SHB_2011-3_담보sheet(더밸류_v6이교민) 4" xfId="24032"/>
    <cellStyle name="_-* #,##0_-;-* #,##0_-;_-* &quot;-&quot;_-;_-@_-_요약자료_20090831_SHB_2011-3_담보sheet(더밸류_v6이교민) 4 2" xfId="31212"/>
    <cellStyle name="_-* #,##0_-;-* #,##0_-;_-* &quot;-&quot;_-;_-@_-_요약자료_20090831_SHB_2011-3_담보sheet(더밸류_v6이교민) 5" xfId="27945"/>
    <cellStyle name="_-* #,##0_-;-* #,##0_-;_-* &quot;-&quot;_-;_-@_-_요약자료_20090831_SHB_2011-3_담보sheet(더밸류_v6이교민)_차주명관리_20110726_v1" xfId="5327"/>
    <cellStyle name="_-* #,##0_-;-* #,##0_-;_-* &quot;-&quot;_-;_-@_-_요약자료_20090831_SHB_2011-3_담보sheet(더밸류_v6이교민)_차주명관리_20110726_v1 2" xfId="24033"/>
    <cellStyle name="_-* #,##0_-;-* #,##0_-;_-* &quot;-&quot;_-;_-@_-_요약자료_20090831_SHB_2011-3_담보sheet(더밸류_v6이교민)_차주명관리_20110726_v1 2 2" xfId="31213"/>
    <cellStyle name="_-* #,##0_-;-* #,##0_-;_-* &quot;-&quot;_-;_-@_-_요약자료_20090831_SHB_2011-3_담보sheet(더밸류_v6이교민)_차주명관리_20110726_v1 3" xfId="24034"/>
    <cellStyle name="_-* #,##0_-;-* #,##0_-;_-* &quot;-&quot;_-;_-@_-_요약자료_20090831_SHB_2011-3_담보sheet(더밸류_v6이교민)_차주명관리_20110726_v1 3 2" xfId="31214"/>
    <cellStyle name="_-* #,##0_-;-* #,##0_-;_-* &quot;-&quot;_-;_-@_-_요약자료_20090831_SHB_2011-3_담보sheet(더밸류_v6이교민)_차주명관리_20110726_v1 4" xfId="24035"/>
    <cellStyle name="_-* #,##0_-;-* #,##0_-;_-* &quot;-&quot;_-;_-@_-_요약자료_20090831_SHB_2011-3_담보sheet(더밸류_v6이교민)_차주명관리_20110726_v1 4 2" xfId="31215"/>
    <cellStyle name="_-* #,##0_-;-* #,##0_-;_-* &quot;-&quot;_-;_-@_-_요약자료_20090831_SHB_2011-3_담보sheet(더밸류_v6이교민)_차주명관리_20110726_v1 5" xfId="27946"/>
    <cellStyle name="_-* #,##0_-;-* #,##0_-;_-* &quot;-&quot;_-;_-@_-_요약자료_20090831_Sheet1" xfId="5328"/>
    <cellStyle name="_-* #,##0_-;-* #,##0_-;_-* &quot;-&quot;_-;_-@_-_요약자료_20090831_Sheet1 2" xfId="24036"/>
    <cellStyle name="_-* #,##0_-;-* #,##0_-;_-* &quot;-&quot;_-;_-@_-_요약자료_20090831_Sheet1 2 2" xfId="31216"/>
    <cellStyle name="_-* #,##0_-;-* #,##0_-;_-* &quot;-&quot;_-;_-@_-_요약자료_20090831_Sheet1 3" xfId="27947"/>
    <cellStyle name="_-* #,##0_-;-* #,##0_-;_-* &quot;-&quot;_-;_-@_-_요약자료_20090831_권리분석_v1(최초)-4" xfId="5329"/>
    <cellStyle name="_-* #,##0_-;-* #,##0_-;_-* &quot;-&quot;_-;_-@_-_요약자료_20090831_권리분석_v1(최초)-4 2" xfId="24037"/>
    <cellStyle name="_-* #,##0_-;-* #,##0_-;_-* &quot;-&quot;_-;_-@_-_요약자료_20090831_권리분석_v1(최초)-4 2 2" xfId="31217"/>
    <cellStyle name="_-* #,##0_-;-* #,##0_-;_-* &quot;-&quot;_-;_-@_-_요약자료_20090831_권리분석_v1(최초)-4 3" xfId="24038"/>
    <cellStyle name="_-* #,##0_-;-* #,##0_-;_-* &quot;-&quot;_-;_-@_-_요약자료_20090831_권리분석_v1(최초)-4 3 2" xfId="31218"/>
    <cellStyle name="_-* #,##0_-;-* #,##0_-;_-* &quot;-&quot;_-;_-@_-_요약자료_20090831_권리분석_v1(최초)-4 4" xfId="24039"/>
    <cellStyle name="_-* #,##0_-;-* #,##0_-;_-* &quot;-&quot;_-;_-@_-_요약자료_20090831_권리분석_v1(최초)-4 4 2" xfId="31219"/>
    <cellStyle name="_-* #,##0_-;-* #,##0_-;_-* &quot;-&quot;_-;_-@_-_요약자료_20090831_권리분석_v1(최초)-4 5" xfId="27948"/>
    <cellStyle name="_-* #,##0_-;-* #,##0_-;_-* &quot;-&quot;_-;_-@_-_재무지원부충당금" xfId="46"/>
    <cellStyle name="_-* #,##0_-;-* #,##0_-;_-* &quot;-&quot;_-;_-@_-_재무지원부충당금 10" xfId="24040"/>
    <cellStyle name="_-* #,##0_-;-* #,##0_-;_-* &quot;-&quot;_-;_-@_-_재무지원부충당금 10 2" xfId="31220"/>
    <cellStyle name="_-* #,##0_-;-* #,##0_-;_-* &quot;-&quot;_-;_-@_-_재무지원부충당금 11" xfId="24041"/>
    <cellStyle name="_-* #,##0_-;-* #,##0_-;_-* &quot;-&quot;_-;_-@_-_재무지원부충당금 11 2" xfId="31221"/>
    <cellStyle name="_-* #,##0_-;-* #,##0_-;_-* &quot;-&quot;_-;_-@_-_재무지원부충당금 12" xfId="27610"/>
    <cellStyle name="_-* #,##0_-;-* #,##0_-;_-* &quot;-&quot;_-;_-@_-_재무지원부충당금 2" xfId="5330"/>
    <cellStyle name="_-* #,##0_-;-* #,##0_-;_-* &quot;-&quot;_-;_-@_-_재무지원부충당금 2 10" xfId="27949"/>
    <cellStyle name="_-* #,##0_-;-* #,##0_-;_-* &quot;-&quot;_-;_-@_-_재무지원부충당금 2 2" xfId="5331"/>
    <cellStyle name="_-* #,##0_-;-* #,##0_-;_-* &quot;-&quot;_-;_-@_-_재무지원부충당금 2 2 2" xfId="5332"/>
    <cellStyle name="_-* #,##0_-;-* #,##0_-;_-* &quot;-&quot;_-;_-@_-_재무지원부충당금 2 2 2 2" xfId="5333"/>
    <cellStyle name="_-* #,##0_-;-* #,##0_-;_-* &quot;-&quot;_-;_-@_-_재무지원부충당금 2 2 2 2 2" xfId="24042"/>
    <cellStyle name="_-* #,##0_-;-* #,##0_-;_-* &quot;-&quot;_-;_-@_-_재무지원부충당금 2 2 2 2 2 2" xfId="31222"/>
    <cellStyle name="_-* #,##0_-;-* #,##0_-;_-* &quot;-&quot;_-;_-@_-_재무지원부충당금 2 2 2 2 3" xfId="27952"/>
    <cellStyle name="_-* #,##0_-;-* #,##0_-;_-* &quot;-&quot;_-;_-@_-_재무지원부충당금 2 2 2 3" xfId="24043"/>
    <cellStyle name="_-* #,##0_-;-* #,##0_-;_-* &quot;-&quot;_-;_-@_-_재무지원부충당금 2 2 2 3 2" xfId="31223"/>
    <cellStyle name="_-* #,##0_-;-* #,##0_-;_-* &quot;-&quot;_-;_-@_-_재무지원부충당금 2 2 2 4" xfId="24044"/>
    <cellStyle name="_-* #,##0_-;-* #,##0_-;_-* &quot;-&quot;_-;_-@_-_재무지원부충당금 2 2 2 4 2" xfId="31224"/>
    <cellStyle name="_-* #,##0_-;-* #,##0_-;_-* &quot;-&quot;_-;_-@_-_재무지원부충당금 2 2 2 5" xfId="24045"/>
    <cellStyle name="_-* #,##0_-;-* #,##0_-;_-* &quot;-&quot;_-;_-@_-_재무지원부충당금 2 2 2 5 2" xfId="31225"/>
    <cellStyle name="_-* #,##0_-;-* #,##0_-;_-* &quot;-&quot;_-;_-@_-_재무지원부충당금 2 2 2 6" xfId="27951"/>
    <cellStyle name="_-* #,##0_-;-* #,##0_-;_-* &quot;-&quot;_-;_-@_-_재무지원부충당금 2 2 3" xfId="5334"/>
    <cellStyle name="_-* #,##0_-;-* #,##0_-;_-* &quot;-&quot;_-;_-@_-_재무지원부충당금 2 2 3 2" xfId="5335"/>
    <cellStyle name="_-* #,##0_-;-* #,##0_-;_-* &quot;-&quot;_-;_-@_-_재무지원부충당금 2 2 3 2 2" xfId="24046"/>
    <cellStyle name="_-* #,##0_-;-* #,##0_-;_-* &quot;-&quot;_-;_-@_-_재무지원부충당금 2 2 3 2 2 2" xfId="31226"/>
    <cellStyle name="_-* #,##0_-;-* #,##0_-;_-* &quot;-&quot;_-;_-@_-_재무지원부충당금 2 2 3 2 3" xfId="27954"/>
    <cellStyle name="_-* #,##0_-;-* #,##0_-;_-* &quot;-&quot;_-;_-@_-_재무지원부충당금 2 2 3 3" xfId="24047"/>
    <cellStyle name="_-* #,##0_-;-* #,##0_-;_-* &quot;-&quot;_-;_-@_-_재무지원부충당금 2 2 3 3 2" xfId="31227"/>
    <cellStyle name="_-* #,##0_-;-* #,##0_-;_-* &quot;-&quot;_-;_-@_-_재무지원부충당금 2 2 3 4" xfId="27953"/>
    <cellStyle name="_-* #,##0_-;-* #,##0_-;_-* &quot;-&quot;_-;_-@_-_재무지원부충당금 2 2 4" xfId="5336"/>
    <cellStyle name="_-* #,##0_-;-* #,##0_-;_-* &quot;-&quot;_-;_-@_-_재무지원부충당금 2 2 4 2" xfId="5337"/>
    <cellStyle name="_-* #,##0_-;-* #,##0_-;_-* &quot;-&quot;_-;_-@_-_재무지원부충당금 2 2 4 2 2" xfId="24048"/>
    <cellStyle name="_-* #,##0_-;-* #,##0_-;_-* &quot;-&quot;_-;_-@_-_재무지원부충당금 2 2 4 2 2 2" xfId="31228"/>
    <cellStyle name="_-* #,##0_-;-* #,##0_-;_-* &quot;-&quot;_-;_-@_-_재무지원부충당금 2 2 4 2 3" xfId="27956"/>
    <cellStyle name="_-* #,##0_-;-* #,##0_-;_-* &quot;-&quot;_-;_-@_-_재무지원부충당금 2 2 4 3" xfId="24049"/>
    <cellStyle name="_-* #,##0_-;-* #,##0_-;_-* &quot;-&quot;_-;_-@_-_재무지원부충당금 2 2 4 3 2" xfId="31229"/>
    <cellStyle name="_-* #,##0_-;-* #,##0_-;_-* &quot;-&quot;_-;_-@_-_재무지원부충당금 2 2 4 4" xfId="27955"/>
    <cellStyle name="_-* #,##0_-;-* #,##0_-;_-* &quot;-&quot;_-;_-@_-_재무지원부충당금 2 2 5" xfId="5338"/>
    <cellStyle name="_-* #,##0_-;-* #,##0_-;_-* &quot;-&quot;_-;_-@_-_재무지원부충당금 2 2 5 2" xfId="24050"/>
    <cellStyle name="_-* #,##0_-;-* #,##0_-;_-* &quot;-&quot;_-;_-@_-_재무지원부충당금 2 2 5 2 2" xfId="31230"/>
    <cellStyle name="_-* #,##0_-;-* #,##0_-;_-* &quot;-&quot;_-;_-@_-_재무지원부충당금 2 2 5 3" xfId="27957"/>
    <cellStyle name="_-* #,##0_-;-* #,##0_-;_-* &quot;-&quot;_-;_-@_-_재무지원부충당금 2 2 6" xfId="24051"/>
    <cellStyle name="_-* #,##0_-;-* #,##0_-;_-* &quot;-&quot;_-;_-@_-_재무지원부충당금 2 2 6 2" xfId="31231"/>
    <cellStyle name="_-* #,##0_-;-* #,##0_-;_-* &quot;-&quot;_-;_-@_-_재무지원부충당금 2 2 7" xfId="24052"/>
    <cellStyle name="_-* #,##0_-;-* #,##0_-;_-* &quot;-&quot;_-;_-@_-_재무지원부충당금 2 2 7 2" xfId="31232"/>
    <cellStyle name="_-* #,##0_-;-* #,##0_-;_-* &quot;-&quot;_-;_-@_-_재무지원부충당금 2 2 8" xfId="27950"/>
    <cellStyle name="_-* #,##0_-;-* #,##0_-;_-* &quot;-&quot;_-;_-@_-_재무지원부충당금 2 3" xfId="5339"/>
    <cellStyle name="_-* #,##0_-;-* #,##0_-;_-* &quot;-&quot;_-;_-@_-_재무지원부충당금 2 3 2" xfId="5340"/>
    <cellStyle name="_-* #,##0_-;-* #,##0_-;_-* &quot;-&quot;_-;_-@_-_재무지원부충당금 2 3 2 2" xfId="5341"/>
    <cellStyle name="_-* #,##0_-;-* #,##0_-;_-* &quot;-&quot;_-;_-@_-_재무지원부충당금 2 3 2 2 2" xfId="24053"/>
    <cellStyle name="_-* #,##0_-;-* #,##0_-;_-* &quot;-&quot;_-;_-@_-_재무지원부충당금 2 3 2 2 2 2" xfId="31233"/>
    <cellStyle name="_-* #,##0_-;-* #,##0_-;_-* &quot;-&quot;_-;_-@_-_재무지원부충당금 2 3 2 2 3" xfId="27960"/>
    <cellStyle name="_-* #,##0_-;-* #,##0_-;_-* &quot;-&quot;_-;_-@_-_재무지원부충당금 2 3 2 3" xfId="24054"/>
    <cellStyle name="_-* #,##0_-;-* #,##0_-;_-* &quot;-&quot;_-;_-@_-_재무지원부충당금 2 3 2 3 2" xfId="31234"/>
    <cellStyle name="_-* #,##0_-;-* #,##0_-;_-* &quot;-&quot;_-;_-@_-_재무지원부충당금 2 3 2 4" xfId="24055"/>
    <cellStyle name="_-* #,##0_-;-* #,##0_-;_-* &quot;-&quot;_-;_-@_-_재무지원부충당금 2 3 2 4 2" xfId="31235"/>
    <cellStyle name="_-* #,##0_-;-* #,##0_-;_-* &quot;-&quot;_-;_-@_-_재무지원부충당금 2 3 2 5" xfId="24056"/>
    <cellStyle name="_-* #,##0_-;-* #,##0_-;_-* &quot;-&quot;_-;_-@_-_재무지원부충당금 2 3 2 5 2" xfId="31236"/>
    <cellStyle name="_-* #,##0_-;-* #,##0_-;_-* &quot;-&quot;_-;_-@_-_재무지원부충당금 2 3 2 6" xfId="27959"/>
    <cellStyle name="_-* #,##0_-;-* #,##0_-;_-* &quot;-&quot;_-;_-@_-_재무지원부충당금 2 3 3" xfId="5342"/>
    <cellStyle name="_-* #,##0_-;-* #,##0_-;_-* &quot;-&quot;_-;_-@_-_재무지원부충당금 2 3 3 2" xfId="5343"/>
    <cellStyle name="_-* #,##0_-;-* #,##0_-;_-* &quot;-&quot;_-;_-@_-_재무지원부충당금 2 3 3 2 2" xfId="24057"/>
    <cellStyle name="_-* #,##0_-;-* #,##0_-;_-* &quot;-&quot;_-;_-@_-_재무지원부충당금 2 3 3 2 2 2" xfId="31237"/>
    <cellStyle name="_-* #,##0_-;-* #,##0_-;_-* &quot;-&quot;_-;_-@_-_재무지원부충당금 2 3 3 2 3" xfId="27962"/>
    <cellStyle name="_-* #,##0_-;-* #,##0_-;_-* &quot;-&quot;_-;_-@_-_재무지원부충당금 2 3 3 3" xfId="24058"/>
    <cellStyle name="_-* #,##0_-;-* #,##0_-;_-* &quot;-&quot;_-;_-@_-_재무지원부충당금 2 3 3 3 2" xfId="31238"/>
    <cellStyle name="_-* #,##0_-;-* #,##0_-;_-* &quot;-&quot;_-;_-@_-_재무지원부충당금 2 3 3 4" xfId="27961"/>
    <cellStyle name="_-* #,##0_-;-* #,##0_-;_-* &quot;-&quot;_-;_-@_-_재무지원부충당금 2 3 4" xfId="5344"/>
    <cellStyle name="_-* #,##0_-;-* #,##0_-;_-* &quot;-&quot;_-;_-@_-_재무지원부충당금 2 3 4 2" xfId="5345"/>
    <cellStyle name="_-* #,##0_-;-* #,##0_-;_-* &quot;-&quot;_-;_-@_-_재무지원부충당금 2 3 4 2 2" xfId="24059"/>
    <cellStyle name="_-* #,##0_-;-* #,##0_-;_-* &quot;-&quot;_-;_-@_-_재무지원부충당금 2 3 4 2 2 2" xfId="31239"/>
    <cellStyle name="_-* #,##0_-;-* #,##0_-;_-* &quot;-&quot;_-;_-@_-_재무지원부충당금 2 3 4 2 3" xfId="27964"/>
    <cellStyle name="_-* #,##0_-;-* #,##0_-;_-* &quot;-&quot;_-;_-@_-_재무지원부충당금 2 3 4 3" xfId="24060"/>
    <cellStyle name="_-* #,##0_-;-* #,##0_-;_-* &quot;-&quot;_-;_-@_-_재무지원부충당금 2 3 4 3 2" xfId="31240"/>
    <cellStyle name="_-* #,##0_-;-* #,##0_-;_-* &quot;-&quot;_-;_-@_-_재무지원부충당금 2 3 4 4" xfId="27963"/>
    <cellStyle name="_-* #,##0_-;-* #,##0_-;_-* &quot;-&quot;_-;_-@_-_재무지원부충당금 2 3 5" xfId="5346"/>
    <cellStyle name="_-* #,##0_-;-* #,##0_-;_-* &quot;-&quot;_-;_-@_-_재무지원부충당금 2 3 5 2" xfId="24061"/>
    <cellStyle name="_-* #,##0_-;-* #,##0_-;_-* &quot;-&quot;_-;_-@_-_재무지원부충당금 2 3 5 2 2" xfId="31241"/>
    <cellStyle name="_-* #,##0_-;-* #,##0_-;_-* &quot;-&quot;_-;_-@_-_재무지원부충당금 2 3 5 3" xfId="27965"/>
    <cellStyle name="_-* #,##0_-;-* #,##0_-;_-* &quot;-&quot;_-;_-@_-_재무지원부충당금 2 3 6" xfId="24062"/>
    <cellStyle name="_-* #,##0_-;-* #,##0_-;_-* &quot;-&quot;_-;_-@_-_재무지원부충당금 2 3 6 2" xfId="31242"/>
    <cellStyle name="_-* #,##0_-;-* #,##0_-;_-* &quot;-&quot;_-;_-@_-_재무지원부충당금 2 3 7" xfId="24063"/>
    <cellStyle name="_-* #,##0_-;-* #,##0_-;_-* &quot;-&quot;_-;_-@_-_재무지원부충당금 2 3 7 2" xfId="31243"/>
    <cellStyle name="_-* #,##0_-;-* #,##0_-;_-* &quot;-&quot;_-;_-@_-_재무지원부충당금 2 3 8" xfId="27958"/>
    <cellStyle name="_-* #,##0_-;-* #,##0_-;_-* &quot;-&quot;_-;_-@_-_재무지원부충당금 2 4" xfId="5347"/>
    <cellStyle name="_-* #,##0_-;-* #,##0_-;_-* &quot;-&quot;_-;_-@_-_재무지원부충당금 2 4 2" xfId="5348"/>
    <cellStyle name="_-* #,##0_-;-* #,##0_-;_-* &quot;-&quot;_-;_-@_-_재무지원부충당금 2 4 2 2" xfId="5349"/>
    <cellStyle name="_-* #,##0_-;-* #,##0_-;_-* &quot;-&quot;_-;_-@_-_재무지원부충당금 2 4 2 2 2" xfId="24064"/>
    <cellStyle name="_-* #,##0_-;-* #,##0_-;_-* &quot;-&quot;_-;_-@_-_재무지원부충당금 2 4 2 2 2 2" xfId="31244"/>
    <cellStyle name="_-* #,##0_-;-* #,##0_-;_-* &quot;-&quot;_-;_-@_-_재무지원부충당금 2 4 2 2 3" xfId="27968"/>
    <cellStyle name="_-* #,##0_-;-* #,##0_-;_-* &quot;-&quot;_-;_-@_-_재무지원부충당금 2 4 2 3" xfId="24065"/>
    <cellStyle name="_-* #,##0_-;-* #,##0_-;_-* &quot;-&quot;_-;_-@_-_재무지원부충당금 2 4 2 3 2" xfId="31245"/>
    <cellStyle name="_-* #,##0_-;-* #,##0_-;_-* &quot;-&quot;_-;_-@_-_재무지원부충당금 2 4 2 4" xfId="24066"/>
    <cellStyle name="_-* #,##0_-;-* #,##0_-;_-* &quot;-&quot;_-;_-@_-_재무지원부충당금 2 4 2 4 2" xfId="31246"/>
    <cellStyle name="_-* #,##0_-;-* #,##0_-;_-* &quot;-&quot;_-;_-@_-_재무지원부충당금 2 4 2 5" xfId="24067"/>
    <cellStyle name="_-* #,##0_-;-* #,##0_-;_-* &quot;-&quot;_-;_-@_-_재무지원부충당금 2 4 2 5 2" xfId="31247"/>
    <cellStyle name="_-* #,##0_-;-* #,##0_-;_-* &quot;-&quot;_-;_-@_-_재무지원부충당금 2 4 2 6" xfId="27967"/>
    <cellStyle name="_-* #,##0_-;-* #,##0_-;_-* &quot;-&quot;_-;_-@_-_재무지원부충당금 2 4 3" xfId="5350"/>
    <cellStyle name="_-* #,##0_-;-* #,##0_-;_-* &quot;-&quot;_-;_-@_-_재무지원부충당금 2 4 3 2" xfId="5351"/>
    <cellStyle name="_-* #,##0_-;-* #,##0_-;_-* &quot;-&quot;_-;_-@_-_재무지원부충당금 2 4 3 2 2" xfId="24068"/>
    <cellStyle name="_-* #,##0_-;-* #,##0_-;_-* &quot;-&quot;_-;_-@_-_재무지원부충당금 2 4 3 2 2 2" xfId="31248"/>
    <cellStyle name="_-* #,##0_-;-* #,##0_-;_-* &quot;-&quot;_-;_-@_-_재무지원부충당금 2 4 3 2 3" xfId="27970"/>
    <cellStyle name="_-* #,##0_-;-* #,##0_-;_-* &quot;-&quot;_-;_-@_-_재무지원부충당금 2 4 3 3" xfId="24069"/>
    <cellStyle name="_-* #,##0_-;-* #,##0_-;_-* &quot;-&quot;_-;_-@_-_재무지원부충당금 2 4 3 3 2" xfId="31249"/>
    <cellStyle name="_-* #,##0_-;-* #,##0_-;_-* &quot;-&quot;_-;_-@_-_재무지원부충당금 2 4 3 4" xfId="27969"/>
    <cellStyle name="_-* #,##0_-;-* #,##0_-;_-* &quot;-&quot;_-;_-@_-_재무지원부충당금 2 4 4" xfId="5352"/>
    <cellStyle name="_-* #,##0_-;-* #,##0_-;_-* &quot;-&quot;_-;_-@_-_재무지원부충당금 2 4 4 2" xfId="24070"/>
    <cellStyle name="_-* #,##0_-;-* #,##0_-;_-* &quot;-&quot;_-;_-@_-_재무지원부충당금 2 4 4 2 2" xfId="31250"/>
    <cellStyle name="_-* #,##0_-;-* #,##0_-;_-* &quot;-&quot;_-;_-@_-_재무지원부충당금 2 4 4 3" xfId="27971"/>
    <cellStyle name="_-* #,##0_-;-* #,##0_-;_-* &quot;-&quot;_-;_-@_-_재무지원부충당금 2 4 5" xfId="24071"/>
    <cellStyle name="_-* #,##0_-;-* #,##0_-;_-* &quot;-&quot;_-;_-@_-_재무지원부충당금 2 4 5 2" xfId="31251"/>
    <cellStyle name="_-* #,##0_-;-* #,##0_-;_-* &quot;-&quot;_-;_-@_-_재무지원부충당금 2 4 6" xfId="24072"/>
    <cellStyle name="_-* #,##0_-;-* #,##0_-;_-* &quot;-&quot;_-;_-@_-_재무지원부충당금 2 4 6 2" xfId="31252"/>
    <cellStyle name="_-* #,##0_-;-* #,##0_-;_-* &quot;-&quot;_-;_-@_-_재무지원부충당금 2 4 7" xfId="24073"/>
    <cellStyle name="_-* #,##0_-;-* #,##0_-;_-* &quot;-&quot;_-;_-@_-_재무지원부충당금 2 4 7 2" xfId="31253"/>
    <cellStyle name="_-* #,##0_-;-* #,##0_-;_-* &quot;-&quot;_-;_-@_-_재무지원부충당금 2 4 8" xfId="27966"/>
    <cellStyle name="_-* #,##0_-;-* #,##0_-;_-* &quot;-&quot;_-;_-@_-_재무지원부충당금 2 5" xfId="5353"/>
    <cellStyle name="_-* #,##0_-;-* #,##0_-;_-* &quot;-&quot;_-;_-@_-_재무지원부충당금 2 5 2" xfId="5354"/>
    <cellStyle name="_-* #,##0_-;-* #,##0_-;_-* &quot;-&quot;_-;_-@_-_재무지원부충당금 2 5 2 2" xfId="24074"/>
    <cellStyle name="_-* #,##0_-;-* #,##0_-;_-* &quot;-&quot;_-;_-@_-_재무지원부충당금 2 5 2 2 2" xfId="31254"/>
    <cellStyle name="_-* #,##0_-;-* #,##0_-;_-* &quot;-&quot;_-;_-@_-_재무지원부충당금 2 5 2 3" xfId="27973"/>
    <cellStyle name="_-* #,##0_-;-* #,##0_-;_-* &quot;-&quot;_-;_-@_-_재무지원부충당금 2 5 3" xfId="5355"/>
    <cellStyle name="_-* #,##0_-;-* #,##0_-;_-* &quot;-&quot;_-;_-@_-_재무지원부충당금 2 5 3 2" xfId="24075"/>
    <cellStyle name="_-* #,##0_-;-* #,##0_-;_-* &quot;-&quot;_-;_-@_-_재무지원부충당금 2 5 3 2 2" xfId="31255"/>
    <cellStyle name="_-* #,##0_-;-* #,##0_-;_-* &quot;-&quot;_-;_-@_-_재무지원부충당금 2 5 3 3" xfId="27974"/>
    <cellStyle name="_-* #,##0_-;-* #,##0_-;_-* &quot;-&quot;_-;_-@_-_재무지원부충당금 2 5 4" xfId="24076"/>
    <cellStyle name="_-* #,##0_-;-* #,##0_-;_-* &quot;-&quot;_-;_-@_-_재무지원부충당금 2 5 4 2" xfId="31256"/>
    <cellStyle name="_-* #,##0_-;-* #,##0_-;_-* &quot;-&quot;_-;_-@_-_재무지원부충당금 2 5 5" xfId="24077"/>
    <cellStyle name="_-* #,##0_-;-* #,##0_-;_-* &quot;-&quot;_-;_-@_-_재무지원부충당금 2 5 5 2" xfId="31257"/>
    <cellStyle name="_-* #,##0_-;-* #,##0_-;_-* &quot;-&quot;_-;_-@_-_재무지원부충당금 2 5 6" xfId="27972"/>
    <cellStyle name="_-* #,##0_-;-* #,##0_-;_-* &quot;-&quot;_-;_-@_-_재무지원부충당금 2 6" xfId="5356"/>
    <cellStyle name="_-* #,##0_-;-* #,##0_-;_-* &quot;-&quot;_-;_-@_-_재무지원부충당금 2 6 2" xfId="5357"/>
    <cellStyle name="_-* #,##0_-;-* #,##0_-;_-* &quot;-&quot;_-;_-@_-_재무지원부충당금 2 6 2 2" xfId="24078"/>
    <cellStyle name="_-* #,##0_-;-* #,##0_-;_-* &quot;-&quot;_-;_-@_-_재무지원부충당금 2 6 2 2 2" xfId="31258"/>
    <cellStyle name="_-* #,##0_-;-* #,##0_-;_-* &quot;-&quot;_-;_-@_-_재무지원부충당금 2 6 2 3" xfId="27976"/>
    <cellStyle name="_-* #,##0_-;-* #,##0_-;_-* &quot;-&quot;_-;_-@_-_재무지원부충당금 2 6 3" xfId="5358"/>
    <cellStyle name="_-* #,##0_-;-* #,##0_-;_-* &quot;-&quot;_-;_-@_-_재무지원부충당금 2 6 3 2" xfId="24079"/>
    <cellStyle name="_-* #,##0_-;-* #,##0_-;_-* &quot;-&quot;_-;_-@_-_재무지원부충당금 2 6 3 2 2" xfId="31259"/>
    <cellStyle name="_-* #,##0_-;-* #,##0_-;_-* &quot;-&quot;_-;_-@_-_재무지원부충당금 2 6 3 3" xfId="27977"/>
    <cellStyle name="_-* #,##0_-;-* #,##0_-;_-* &quot;-&quot;_-;_-@_-_재무지원부충당금 2 6 4" xfId="24080"/>
    <cellStyle name="_-* #,##0_-;-* #,##0_-;_-* &quot;-&quot;_-;_-@_-_재무지원부충당금 2 6 4 2" xfId="31260"/>
    <cellStyle name="_-* #,##0_-;-* #,##0_-;_-* &quot;-&quot;_-;_-@_-_재무지원부충당금 2 6 5" xfId="27975"/>
    <cellStyle name="_-* #,##0_-;-* #,##0_-;_-* &quot;-&quot;_-;_-@_-_재무지원부충당금 2 7" xfId="5359"/>
    <cellStyle name="_-* #,##0_-;-* #,##0_-;_-* &quot;-&quot;_-;_-@_-_재무지원부충당금 2 7 2" xfId="5360"/>
    <cellStyle name="_-* #,##0_-;-* #,##0_-;_-* &quot;-&quot;_-;_-@_-_재무지원부충당금 2 7 2 2" xfId="24081"/>
    <cellStyle name="_-* #,##0_-;-* #,##0_-;_-* &quot;-&quot;_-;_-@_-_재무지원부충당금 2 7 2 2 2" xfId="31261"/>
    <cellStyle name="_-* #,##0_-;-* #,##0_-;_-* &quot;-&quot;_-;_-@_-_재무지원부충당금 2 7 2 3" xfId="27979"/>
    <cellStyle name="_-* #,##0_-;-* #,##0_-;_-* &quot;-&quot;_-;_-@_-_재무지원부충당금 2 7 3" xfId="24082"/>
    <cellStyle name="_-* #,##0_-;-* #,##0_-;_-* &quot;-&quot;_-;_-@_-_재무지원부충당금 2 7 3 2" xfId="31262"/>
    <cellStyle name="_-* #,##0_-;-* #,##0_-;_-* &quot;-&quot;_-;_-@_-_재무지원부충당금 2 7 4" xfId="27978"/>
    <cellStyle name="_-* #,##0_-;-* #,##0_-;_-* &quot;-&quot;_-;_-@_-_재무지원부충당금 2 8" xfId="5361"/>
    <cellStyle name="_-* #,##0_-;-* #,##0_-;_-* &quot;-&quot;_-;_-@_-_재무지원부충당금 2 8 2" xfId="24083"/>
    <cellStyle name="_-* #,##0_-;-* #,##0_-;_-* &quot;-&quot;_-;_-@_-_재무지원부충당금 2 8 2 2" xfId="31263"/>
    <cellStyle name="_-* #,##0_-;-* #,##0_-;_-* &quot;-&quot;_-;_-@_-_재무지원부충당금 2 8 3" xfId="27980"/>
    <cellStyle name="_-* #,##0_-;-* #,##0_-;_-* &quot;-&quot;_-;_-@_-_재무지원부충당금 2 9" xfId="24084"/>
    <cellStyle name="_-* #,##0_-;-* #,##0_-;_-* &quot;-&quot;_-;_-@_-_재무지원부충당금 2 9 2" xfId="31264"/>
    <cellStyle name="_-* #,##0_-;-* #,##0_-;_-* &quot;-&quot;_-;_-@_-_재무지원부충당금 3" xfId="5362"/>
    <cellStyle name="_-* #,##0_-;-* #,##0_-;_-* &quot;-&quot;_-;_-@_-_재무지원부충당금 3 10" xfId="24085"/>
    <cellStyle name="_-* #,##0_-;-* #,##0_-;_-* &quot;-&quot;_-;_-@_-_재무지원부충당금 3 10 2" xfId="31265"/>
    <cellStyle name="_-* #,##0_-;-* #,##0_-;_-* &quot;-&quot;_-;_-@_-_재무지원부충당금 3 11" xfId="27981"/>
    <cellStyle name="_-* #,##0_-;-* #,##0_-;_-* &quot;-&quot;_-;_-@_-_재무지원부충당금 3 2" xfId="5363"/>
    <cellStyle name="_-* #,##0_-;-* #,##0_-;_-* &quot;-&quot;_-;_-@_-_재무지원부충당금 3 2 2" xfId="5364"/>
    <cellStyle name="_-* #,##0_-;-* #,##0_-;_-* &quot;-&quot;_-;_-@_-_재무지원부충당금 3 2 2 2" xfId="24086"/>
    <cellStyle name="_-* #,##0_-;-* #,##0_-;_-* &quot;-&quot;_-;_-@_-_재무지원부충당금 3 2 2 2 2" xfId="31266"/>
    <cellStyle name="_-* #,##0_-;-* #,##0_-;_-* &quot;-&quot;_-;_-@_-_재무지원부충당금 3 2 2 3" xfId="24087"/>
    <cellStyle name="_-* #,##0_-;-* #,##0_-;_-* &quot;-&quot;_-;_-@_-_재무지원부충당금 3 2 2 3 2" xfId="31267"/>
    <cellStyle name="_-* #,##0_-;-* #,##0_-;_-* &quot;-&quot;_-;_-@_-_재무지원부충당금 3 2 2 4" xfId="24088"/>
    <cellStyle name="_-* #,##0_-;-* #,##0_-;_-* &quot;-&quot;_-;_-@_-_재무지원부충당금 3 2 2 4 2" xfId="31268"/>
    <cellStyle name="_-* #,##0_-;-* #,##0_-;_-* &quot;-&quot;_-;_-@_-_재무지원부충당금 3 2 2 5" xfId="24089"/>
    <cellStyle name="_-* #,##0_-;-* #,##0_-;_-* &quot;-&quot;_-;_-@_-_재무지원부충당금 3 2 2 5 2" xfId="31269"/>
    <cellStyle name="_-* #,##0_-;-* #,##0_-;_-* &quot;-&quot;_-;_-@_-_재무지원부충당금 3 2 2 6" xfId="27983"/>
    <cellStyle name="_-* #,##0_-;-* #,##0_-;_-* &quot;-&quot;_-;_-@_-_재무지원부충당금 3 2 3" xfId="24090"/>
    <cellStyle name="_-* #,##0_-;-* #,##0_-;_-* &quot;-&quot;_-;_-@_-_재무지원부충당금 3 2 3 2" xfId="24091"/>
    <cellStyle name="_-* #,##0_-;-* #,##0_-;_-* &quot;-&quot;_-;_-@_-_재무지원부충당금 3 2 3 2 2" xfId="31271"/>
    <cellStyle name="_-* #,##0_-;-* #,##0_-;_-* &quot;-&quot;_-;_-@_-_재무지원부충당금 3 2 3 3" xfId="31270"/>
    <cellStyle name="_-* #,##0_-;-* #,##0_-;_-* &quot;-&quot;_-;_-@_-_재무지원부충당금 3 2 4" xfId="24092"/>
    <cellStyle name="_-* #,##0_-;-* #,##0_-;_-* &quot;-&quot;_-;_-@_-_재무지원부충당금 3 2 4 2" xfId="31272"/>
    <cellStyle name="_-* #,##0_-;-* #,##0_-;_-* &quot;-&quot;_-;_-@_-_재무지원부충당금 3 2 5" xfId="24093"/>
    <cellStyle name="_-* #,##0_-;-* #,##0_-;_-* &quot;-&quot;_-;_-@_-_재무지원부충당금 3 2 5 2" xfId="31273"/>
    <cellStyle name="_-* #,##0_-;-* #,##0_-;_-* &quot;-&quot;_-;_-@_-_재무지원부충당금 3 2 6" xfId="24094"/>
    <cellStyle name="_-* #,##0_-;-* #,##0_-;_-* &quot;-&quot;_-;_-@_-_재무지원부충당금 3 2 6 2" xfId="31274"/>
    <cellStyle name="_-* #,##0_-;-* #,##0_-;_-* &quot;-&quot;_-;_-@_-_재무지원부충당금 3 2 7" xfId="24095"/>
    <cellStyle name="_-* #,##0_-;-* #,##0_-;_-* &quot;-&quot;_-;_-@_-_재무지원부충당금 3 2 7 2" xfId="31275"/>
    <cellStyle name="_-* #,##0_-;-* #,##0_-;_-* &quot;-&quot;_-;_-@_-_재무지원부충당금 3 2 8" xfId="27982"/>
    <cellStyle name="_-* #,##0_-;-* #,##0_-;_-* &quot;-&quot;_-;_-@_-_재무지원부충당금 3 3" xfId="5365"/>
    <cellStyle name="_-* #,##0_-;-* #,##0_-;_-* &quot;-&quot;_-;_-@_-_재무지원부충당금 3 3 2" xfId="5366"/>
    <cellStyle name="_-* #,##0_-;-* #,##0_-;_-* &quot;-&quot;_-;_-@_-_재무지원부충당금 3 3 2 2" xfId="24096"/>
    <cellStyle name="_-* #,##0_-;-* #,##0_-;_-* &quot;-&quot;_-;_-@_-_재무지원부충당금 3 3 2 2 2" xfId="31276"/>
    <cellStyle name="_-* #,##0_-;-* #,##0_-;_-* &quot;-&quot;_-;_-@_-_재무지원부충당금 3 3 2 3" xfId="24097"/>
    <cellStyle name="_-* #,##0_-;-* #,##0_-;_-* &quot;-&quot;_-;_-@_-_재무지원부충당금 3 3 2 3 2" xfId="31277"/>
    <cellStyle name="_-* #,##0_-;-* #,##0_-;_-* &quot;-&quot;_-;_-@_-_재무지원부충당금 3 3 2 4" xfId="24098"/>
    <cellStyle name="_-* #,##0_-;-* #,##0_-;_-* &quot;-&quot;_-;_-@_-_재무지원부충당금 3 3 2 4 2" xfId="31278"/>
    <cellStyle name="_-* #,##0_-;-* #,##0_-;_-* &quot;-&quot;_-;_-@_-_재무지원부충당금 3 3 2 5" xfId="24099"/>
    <cellStyle name="_-* #,##0_-;-* #,##0_-;_-* &quot;-&quot;_-;_-@_-_재무지원부충당금 3 3 2 5 2" xfId="31279"/>
    <cellStyle name="_-* #,##0_-;-* #,##0_-;_-* &quot;-&quot;_-;_-@_-_재무지원부충당금 3 3 2 6" xfId="27985"/>
    <cellStyle name="_-* #,##0_-;-* #,##0_-;_-* &quot;-&quot;_-;_-@_-_재무지원부충당금 3 3 3" xfId="24100"/>
    <cellStyle name="_-* #,##0_-;-* #,##0_-;_-* &quot;-&quot;_-;_-@_-_재무지원부충당금 3 3 3 2" xfId="24101"/>
    <cellStyle name="_-* #,##0_-;-* #,##0_-;_-* &quot;-&quot;_-;_-@_-_재무지원부충당금 3 3 3 2 2" xfId="31281"/>
    <cellStyle name="_-* #,##0_-;-* #,##0_-;_-* &quot;-&quot;_-;_-@_-_재무지원부충당금 3 3 3 3" xfId="31280"/>
    <cellStyle name="_-* #,##0_-;-* #,##0_-;_-* &quot;-&quot;_-;_-@_-_재무지원부충당금 3 3 4" xfId="24102"/>
    <cellStyle name="_-* #,##0_-;-* #,##0_-;_-* &quot;-&quot;_-;_-@_-_재무지원부충당금 3 3 4 2" xfId="31282"/>
    <cellStyle name="_-* #,##0_-;-* #,##0_-;_-* &quot;-&quot;_-;_-@_-_재무지원부충당금 3 3 5" xfId="24103"/>
    <cellStyle name="_-* #,##0_-;-* #,##0_-;_-* &quot;-&quot;_-;_-@_-_재무지원부충당금 3 3 5 2" xfId="31283"/>
    <cellStyle name="_-* #,##0_-;-* #,##0_-;_-* &quot;-&quot;_-;_-@_-_재무지원부충당금 3 3 6" xfId="24104"/>
    <cellStyle name="_-* #,##0_-;-* #,##0_-;_-* &quot;-&quot;_-;_-@_-_재무지원부충당금 3 3 6 2" xfId="31284"/>
    <cellStyle name="_-* #,##0_-;-* #,##0_-;_-* &quot;-&quot;_-;_-@_-_재무지원부충당금 3 3 7" xfId="24105"/>
    <cellStyle name="_-* #,##0_-;-* #,##0_-;_-* &quot;-&quot;_-;_-@_-_재무지원부충당금 3 3 7 2" xfId="31285"/>
    <cellStyle name="_-* #,##0_-;-* #,##0_-;_-* &quot;-&quot;_-;_-@_-_재무지원부충당금 3 3 8" xfId="27984"/>
    <cellStyle name="_-* #,##0_-;-* #,##0_-;_-* &quot;-&quot;_-;_-@_-_재무지원부충당금 3 4" xfId="5367"/>
    <cellStyle name="_-* #,##0_-;-* #,##0_-;_-* &quot;-&quot;_-;_-@_-_재무지원부충당금 3 4 2" xfId="5368"/>
    <cellStyle name="_-* #,##0_-;-* #,##0_-;_-* &quot;-&quot;_-;_-@_-_재무지원부충당금 3 4 2 2" xfId="24106"/>
    <cellStyle name="_-* #,##0_-;-* #,##0_-;_-* &quot;-&quot;_-;_-@_-_재무지원부충당금 3 4 2 2 2" xfId="31286"/>
    <cellStyle name="_-* #,##0_-;-* #,##0_-;_-* &quot;-&quot;_-;_-@_-_재무지원부충당금 3 4 2 3" xfId="24107"/>
    <cellStyle name="_-* #,##0_-;-* #,##0_-;_-* &quot;-&quot;_-;_-@_-_재무지원부충당금 3 4 2 3 2" xfId="31287"/>
    <cellStyle name="_-* #,##0_-;-* #,##0_-;_-* &quot;-&quot;_-;_-@_-_재무지원부충당금 3 4 2 4" xfId="24108"/>
    <cellStyle name="_-* #,##0_-;-* #,##0_-;_-* &quot;-&quot;_-;_-@_-_재무지원부충당금 3 4 2 4 2" xfId="31288"/>
    <cellStyle name="_-* #,##0_-;-* #,##0_-;_-* &quot;-&quot;_-;_-@_-_재무지원부충당금 3 4 2 5" xfId="24109"/>
    <cellStyle name="_-* #,##0_-;-* #,##0_-;_-* &quot;-&quot;_-;_-@_-_재무지원부충당금 3 4 2 5 2" xfId="31289"/>
    <cellStyle name="_-* #,##0_-;-* #,##0_-;_-* &quot;-&quot;_-;_-@_-_재무지원부충당금 3 4 2 6" xfId="27987"/>
    <cellStyle name="_-* #,##0_-;-* #,##0_-;_-* &quot;-&quot;_-;_-@_-_재무지원부충당금 3 4 3" xfId="24110"/>
    <cellStyle name="_-* #,##0_-;-* #,##0_-;_-* &quot;-&quot;_-;_-@_-_재무지원부충당금 3 4 3 2" xfId="24111"/>
    <cellStyle name="_-* #,##0_-;-* #,##0_-;_-* &quot;-&quot;_-;_-@_-_재무지원부충당금 3 4 3 2 2" xfId="31291"/>
    <cellStyle name="_-* #,##0_-;-* #,##0_-;_-* &quot;-&quot;_-;_-@_-_재무지원부충당금 3 4 3 3" xfId="31290"/>
    <cellStyle name="_-* #,##0_-;-* #,##0_-;_-* &quot;-&quot;_-;_-@_-_재무지원부충당금 3 4 4" xfId="24112"/>
    <cellStyle name="_-* #,##0_-;-* #,##0_-;_-* &quot;-&quot;_-;_-@_-_재무지원부충당금 3 4 4 2" xfId="31292"/>
    <cellStyle name="_-* #,##0_-;-* #,##0_-;_-* &quot;-&quot;_-;_-@_-_재무지원부충당금 3 4 5" xfId="24113"/>
    <cellStyle name="_-* #,##0_-;-* #,##0_-;_-* &quot;-&quot;_-;_-@_-_재무지원부충당금 3 4 5 2" xfId="31293"/>
    <cellStyle name="_-* #,##0_-;-* #,##0_-;_-* &quot;-&quot;_-;_-@_-_재무지원부충당금 3 4 6" xfId="24114"/>
    <cellStyle name="_-* #,##0_-;-* #,##0_-;_-* &quot;-&quot;_-;_-@_-_재무지원부충당금 3 4 6 2" xfId="31294"/>
    <cellStyle name="_-* #,##0_-;-* #,##0_-;_-* &quot;-&quot;_-;_-@_-_재무지원부충당금 3 4 7" xfId="24115"/>
    <cellStyle name="_-* #,##0_-;-* #,##0_-;_-* &quot;-&quot;_-;_-@_-_재무지원부충당금 3 4 7 2" xfId="31295"/>
    <cellStyle name="_-* #,##0_-;-* #,##0_-;_-* &quot;-&quot;_-;_-@_-_재무지원부충당금 3 4 8" xfId="27986"/>
    <cellStyle name="_-* #,##0_-;-* #,##0_-;_-* &quot;-&quot;_-;_-@_-_재무지원부충당금 3 5" xfId="5369"/>
    <cellStyle name="_-* #,##0_-;-* #,##0_-;_-* &quot;-&quot;_-;_-@_-_재무지원부충당금 3 5 2" xfId="24116"/>
    <cellStyle name="_-* #,##0_-;-* #,##0_-;_-* &quot;-&quot;_-;_-@_-_재무지원부충당금 3 5 2 2" xfId="31296"/>
    <cellStyle name="_-* #,##0_-;-* #,##0_-;_-* &quot;-&quot;_-;_-@_-_재무지원부충당금 3 5 3" xfId="24117"/>
    <cellStyle name="_-* #,##0_-;-* #,##0_-;_-* &quot;-&quot;_-;_-@_-_재무지원부충당금 3 5 3 2" xfId="31297"/>
    <cellStyle name="_-* #,##0_-;-* #,##0_-;_-* &quot;-&quot;_-;_-@_-_재무지원부충당금 3 5 4" xfId="24118"/>
    <cellStyle name="_-* #,##0_-;-* #,##0_-;_-* &quot;-&quot;_-;_-@_-_재무지원부충당금 3 5 4 2" xfId="31298"/>
    <cellStyle name="_-* #,##0_-;-* #,##0_-;_-* &quot;-&quot;_-;_-@_-_재무지원부충당금 3 5 5" xfId="24119"/>
    <cellStyle name="_-* #,##0_-;-* #,##0_-;_-* &quot;-&quot;_-;_-@_-_재무지원부충당금 3 5 5 2" xfId="31299"/>
    <cellStyle name="_-* #,##0_-;-* #,##0_-;_-* &quot;-&quot;_-;_-@_-_재무지원부충당금 3 5 6" xfId="27988"/>
    <cellStyle name="_-* #,##0_-;-* #,##0_-;_-* &quot;-&quot;_-;_-@_-_재무지원부충당금 3 6" xfId="24120"/>
    <cellStyle name="_-* #,##0_-;-* #,##0_-;_-* &quot;-&quot;_-;_-@_-_재무지원부충당금 3 6 2" xfId="24121"/>
    <cellStyle name="_-* #,##0_-;-* #,##0_-;_-* &quot;-&quot;_-;_-@_-_재무지원부충당금 3 6 2 2" xfId="31301"/>
    <cellStyle name="_-* #,##0_-;-* #,##0_-;_-* &quot;-&quot;_-;_-@_-_재무지원부충당금 3 6 3" xfId="31300"/>
    <cellStyle name="_-* #,##0_-;-* #,##0_-;_-* &quot;-&quot;_-;_-@_-_재무지원부충당금 3 7" xfId="24122"/>
    <cellStyle name="_-* #,##0_-;-* #,##0_-;_-* &quot;-&quot;_-;_-@_-_재무지원부충당금 3 7 2" xfId="31302"/>
    <cellStyle name="_-* #,##0_-;-* #,##0_-;_-* &quot;-&quot;_-;_-@_-_재무지원부충당금 3 8" xfId="24123"/>
    <cellStyle name="_-* #,##0_-;-* #,##0_-;_-* &quot;-&quot;_-;_-@_-_재무지원부충당금 3 8 2" xfId="31303"/>
    <cellStyle name="_-* #,##0_-;-* #,##0_-;_-* &quot;-&quot;_-;_-@_-_재무지원부충당금 3 9" xfId="24124"/>
    <cellStyle name="_-* #,##0_-;-* #,##0_-;_-* &quot;-&quot;_-;_-@_-_재무지원부충당금 3 9 2" xfId="31304"/>
    <cellStyle name="_-* #,##0_-;-* #,##0_-;_-* &quot;-&quot;_-;_-@_-_재무지원부충당금 4" xfId="5370"/>
    <cellStyle name="_-* #,##0_-;-* #,##0_-;_-* &quot;-&quot;_-;_-@_-_재무지원부충당금 4 2" xfId="5371"/>
    <cellStyle name="_-* #,##0_-;-* #,##0_-;_-* &quot;-&quot;_-;_-@_-_재무지원부충당금 4 2 2" xfId="5372"/>
    <cellStyle name="_-* #,##0_-;-* #,##0_-;_-* &quot;-&quot;_-;_-@_-_재무지원부충당금 4 2 2 2" xfId="24125"/>
    <cellStyle name="_-* #,##0_-;-* #,##0_-;_-* &quot;-&quot;_-;_-@_-_재무지원부충당금 4 2 2 2 2" xfId="31305"/>
    <cellStyle name="_-* #,##0_-;-* #,##0_-;_-* &quot;-&quot;_-;_-@_-_재무지원부충당금 4 2 2 3" xfId="27991"/>
    <cellStyle name="_-* #,##0_-;-* #,##0_-;_-* &quot;-&quot;_-;_-@_-_재무지원부충당금 4 2 3" xfId="24126"/>
    <cellStyle name="_-* #,##0_-;-* #,##0_-;_-* &quot;-&quot;_-;_-@_-_재무지원부충당금 4 2 3 2" xfId="31306"/>
    <cellStyle name="_-* #,##0_-;-* #,##0_-;_-* &quot;-&quot;_-;_-@_-_재무지원부충당금 4 2 4" xfId="24127"/>
    <cellStyle name="_-* #,##0_-;-* #,##0_-;_-* &quot;-&quot;_-;_-@_-_재무지원부충당금 4 2 4 2" xfId="31307"/>
    <cellStyle name="_-* #,##0_-;-* #,##0_-;_-* &quot;-&quot;_-;_-@_-_재무지원부충당금 4 2 5" xfId="24128"/>
    <cellStyle name="_-* #,##0_-;-* #,##0_-;_-* &quot;-&quot;_-;_-@_-_재무지원부충당금 4 2 5 2" xfId="31308"/>
    <cellStyle name="_-* #,##0_-;-* #,##0_-;_-* &quot;-&quot;_-;_-@_-_재무지원부충당금 4 2 6" xfId="27990"/>
    <cellStyle name="_-* #,##0_-;-* #,##0_-;_-* &quot;-&quot;_-;_-@_-_재무지원부충당금 4 3" xfId="5373"/>
    <cellStyle name="_-* #,##0_-;-* #,##0_-;_-* &quot;-&quot;_-;_-@_-_재무지원부충당금 4 3 2" xfId="5374"/>
    <cellStyle name="_-* #,##0_-;-* #,##0_-;_-* &quot;-&quot;_-;_-@_-_재무지원부충당금 4 3 2 2" xfId="24129"/>
    <cellStyle name="_-* #,##0_-;-* #,##0_-;_-* &quot;-&quot;_-;_-@_-_재무지원부충당금 4 3 2 2 2" xfId="31309"/>
    <cellStyle name="_-* #,##0_-;-* #,##0_-;_-* &quot;-&quot;_-;_-@_-_재무지원부충당금 4 3 2 3" xfId="27993"/>
    <cellStyle name="_-* #,##0_-;-* #,##0_-;_-* &quot;-&quot;_-;_-@_-_재무지원부충당금 4 3 3" xfId="24130"/>
    <cellStyle name="_-* #,##0_-;-* #,##0_-;_-* &quot;-&quot;_-;_-@_-_재무지원부충당금 4 3 3 2" xfId="31310"/>
    <cellStyle name="_-* #,##0_-;-* #,##0_-;_-* &quot;-&quot;_-;_-@_-_재무지원부충당금 4 3 4" xfId="27992"/>
    <cellStyle name="_-* #,##0_-;-* #,##0_-;_-* &quot;-&quot;_-;_-@_-_재무지원부충당금 4 4" xfId="5375"/>
    <cellStyle name="_-* #,##0_-;-* #,##0_-;_-* &quot;-&quot;_-;_-@_-_재무지원부충당금 4 4 2" xfId="5376"/>
    <cellStyle name="_-* #,##0_-;-* #,##0_-;_-* &quot;-&quot;_-;_-@_-_재무지원부충당금 4 4 2 2" xfId="24131"/>
    <cellStyle name="_-* #,##0_-;-* #,##0_-;_-* &quot;-&quot;_-;_-@_-_재무지원부충당금 4 4 2 2 2" xfId="31311"/>
    <cellStyle name="_-* #,##0_-;-* #,##0_-;_-* &quot;-&quot;_-;_-@_-_재무지원부충당금 4 4 2 3" xfId="27995"/>
    <cellStyle name="_-* #,##0_-;-* #,##0_-;_-* &quot;-&quot;_-;_-@_-_재무지원부충당금 4 4 3" xfId="24132"/>
    <cellStyle name="_-* #,##0_-;-* #,##0_-;_-* &quot;-&quot;_-;_-@_-_재무지원부충당금 4 4 3 2" xfId="31312"/>
    <cellStyle name="_-* #,##0_-;-* #,##0_-;_-* &quot;-&quot;_-;_-@_-_재무지원부충당금 4 4 4" xfId="27994"/>
    <cellStyle name="_-* #,##0_-;-* #,##0_-;_-* &quot;-&quot;_-;_-@_-_재무지원부충당금 4 5" xfId="5377"/>
    <cellStyle name="_-* #,##0_-;-* #,##0_-;_-* &quot;-&quot;_-;_-@_-_재무지원부충당금 4 5 2" xfId="24133"/>
    <cellStyle name="_-* #,##0_-;-* #,##0_-;_-* &quot;-&quot;_-;_-@_-_재무지원부충당금 4 5 2 2" xfId="31313"/>
    <cellStyle name="_-* #,##0_-;-* #,##0_-;_-* &quot;-&quot;_-;_-@_-_재무지원부충당금 4 5 3" xfId="27996"/>
    <cellStyle name="_-* #,##0_-;-* #,##0_-;_-* &quot;-&quot;_-;_-@_-_재무지원부충당금 4 6" xfId="24134"/>
    <cellStyle name="_-* #,##0_-;-* #,##0_-;_-* &quot;-&quot;_-;_-@_-_재무지원부충당금 4 6 2" xfId="31314"/>
    <cellStyle name="_-* #,##0_-;-* #,##0_-;_-* &quot;-&quot;_-;_-@_-_재무지원부충당금 4 7" xfId="24135"/>
    <cellStyle name="_-* #,##0_-;-* #,##0_-;_-* &quot;-&quot;_-;_-@_-_재무지원부충당금 4 7 2" xfId="31315"/>
    <cellStyle name="_-* #,##0_-;-* #,##0_-;_-* &quot;-&quot;_-;_-@_-_재무지원부충당금 4 8" xfId="27989"/>
    <cellStyle name="_-* #,##0_-;-* #,##0_-;_-* &quot;-&quot;_-;_-@_-_재무지원부충당금 5" xfId="5378"/>
    <cellStyle name="_-* #,##0_-;-* #,##0_-;_-* &quot;-&quot;_-;_-@_-_재무지원부충당금 5 2" xfId="5379"/>
    <cellStyle name="_-* #,##0_-;-* #,##0_-;_-* &quot;-&quot;_-;_-@_-_재무지원부충당금 5 2 2" xfId="5380"/>
    <cellStyle name="_-* #,##0_-;-* #,##0_-;_-* &quot;-&quot;_-;_-@_-_재무지원부충당금 5 2 2 2" xfId="24136"/>
    <cellStyle name="_-* #,##0_-;-* #,##0_-;_-* &quot;-&quot;_-;_-@_-_재무지원부충당금 5 2 2 2 2" xfId="31316"/>
    <cellStyle name="_-* #,##0_-;-* #,##0_-;_-* &quot;-&quot;_-;_-@_-_재무지원부충당금 5 2 2 3" xfId="27999"/>
    <cellStyle name="_-* #,##0_-;-* #,##0_-;_-* &quot;-&quot;_-;_-@_-_재무지원부충당금 5 2 3" xfId="24137"/>
    <cellStyle name="_-* #,##0_-;-* #,##0_-;_-* &quot;-&quot;_-;_-@_-_재무지원부충당금 5 2 3 2" xfId="31317"/>
    <cellStyle name="_-* #,##0_-;-* #,##0_-;_-* &quot;-&quot;_-;_-@_-_재무지원부충당금 5 2 4" xfId="24138"/>
    <cellStyle name="_-* #,##0_-;-* #,##0_-;_-* &quot;-&quot;_-;_-@_-_재무지원부충당금 5 2 4 2" xfId="31318"/>
    <cellStyle name="_-* #,##0_-;-* #,##0_-;_-* &quot;-&quot;_-;_-@_-_재무지원부충당금 5 2 5" xfId="24139"/>
    <cellStyle name="_-* #,##0_-;-* #,##0_-;_-* &quot;-&quot;_-;_-@_-_재무지원부충당금 5 2 5 2" xfId="31319"/>
    <cellStyle name="_-* #,##0_-;-* #,##0_-;_-* &quot;-&quot;_-;_-@_-_재무지원부충당금 5 2 6" xfId="27998"/>
    <cellStyle name="_-* #,##0_-;-* #,##0_-;_-* &quot;-&quot;_-;_-@_-_재무지원부충당금 5 3" xfId="5381"/>
    <cellStyle name="_-* #,##0_-;-* #,##0_-;_-* &quot;-&quot;_-;_-@_-_재무지원부충당금 5 3 2" xfId="5382"/>
    <cellStyle name="_-* #,##0_-;-* #,##0_-;_-* &quot;-&quot;_-;_-@_-_재무지원부충당금 5 3 2 2" xfId="24140"/>
    <cellStyle name="_-* #,##0_-;-* #,##0_-;_-* &quot;-&quot;_-;_-@_-_재무지원부충당금 5 3 2 2 2" xfId="31320"/>
    <cellStyle name="_-* #,##0_-;-* #,##0_-;_-* &quot;-&quot;_-;_-@_-_재무지원부충당금 5 3 2 3" xfId="28001"/>
    <cellStyle name="_-* #,##0_-;-* #,##0_-;_-* &quot;-&quot;_-;_-@_-_재무지원부충당금 5 3 3" xfId="24141"/>
    <cellStyle name="_-* #,##0_-;-* #,##0_-;_-* &quot;-&quot;_-;_-@_-_재무지원부충당금 5 3 3 2" xfId="31321"/>
    <cellStyle name="_-* #,##0_-;-* #,##0_-;_-* &quot;-&quot;_-;_-@_-_재무지원부충당금 5 3 4" xfId="28000"/>
    <cellStyle name="_-* #,##0_-;-* #,##0_-;_-* &quot;-&quot;_-;_-@_-_재무지원부충당금 5 4" xfId="5383"/>
    <cellStyle name="_-* #,##0_-;-* #,##0_-;_-* &quot;-&quot;_-;_-@_-_재무지원부충당금 5 4 2" xfId="24142"/>
    <cellStyle name="_-* #,##0_-;-* #,##0_-;_-* &quot;-&quot;_-;_-@_-_재무지원부충당금 5 4 2 2" xfId="31322"/>
    <cellStyle name="_-* #,##0_-;-* #,##0_-;_-* &quot;-&quot;_-;_-@_-_재무지원부충당금 5 4 3" xfId="28002"/>
    <cellStyle name="_-* #,##0_-;-* #,##0_-;_-* &quot;-&quot;_-;_-@_-_재무지원부충당금 5 5" xfId="24143"/>
    <cellStyle name="_-* #,##0_-;-* #,##0_-;_-* &quot;-&quot;_-;_-@_-_재무지원부충당금 5 5 2" xfId="31323"/>
    <cellStyle name="_-* #,##0_-;-* #,##0_-;_-* &quot;-&quot;_-;_-@_-_재무지원부충당금 5 6" xfId="24144"/>
    <cellStyle name="_-* #,##0_-;-* #,##0_-;_-* &quot;-&quot;_-;_-@_-_재무지원부충당금 5 6 2" xfId="31324"/>
    <cellStyle name="_-* #,##0_-;-* #,##0_-;_-* &quot;-&quot;_-;_-@_-_재무지원부충당금 5 7" xfId="24145"/>
    <cellStyle name="_-* #,##0_-;-* #,##0_-;_-* &quot;-&quot;_-;_-@_-_재무지원부충당금 5 7 2" xfId="31325"/>
    <cellStyle name="_-* #,##0_-;-* #,##0_-;_-* &quot;-&quot;_-;_-@_-_재무지원부충당금 5 8" xfId="27997"/>
    <cellStyle name="_-* #,##0_-;-* #,##0_-;_-* &quot;-&quot;_-;_-@_-_재무지원부충당금 6" xfId="5384"/>
    <cellStyle name="_-* #,##0_-;-* #,##0_-;_-* &quot;-&quot;_-;_-@_-_재무지원부충당금 6 2" xfId="5385"/>
    <cellStyle name="_-* #,##0_-;-* #,##0_-;_-* &quot;-&quot;_-;_-@_-_재무지원부충당금 6 2 2" xfId="24146"/>
    <cellStyle name="_-* #,##0_-;-* #,##0_-;_-* &quot;-&quot;_-;_-@_-_재무지원부충당금 6 2 2 2" xfId="31326"/>
    <cellStyle name="_-* #,##0_-;-* #,##0_-;_-* &quot;-&quot;_-;_-@_-_재무지원부충당금 6 2 3" xfId="24147"/>
    <cellStyle name="_-* #,##0_-;-* #,##0_-;_-* &quot;-&quot;_-;_-@_-_재무지원부충당금 6 2 3 2" xfId="31327"/>
    <cellStyle name="_-* #,##0_-;-* #,##0_-;_-* &quot;-&quot;_-;_-@_-_재무지원부충당금 6 2 4" xfId="24148"/>
    <cellStyle name="_-* #,##0_-;-* #,##0_-;_-* &quot;-&quot;_-;_-@_-_재무지원부충당금 6 2 4 2" xfId="31328"/>
    <cellStyle name="_-* #,##0_-;-* #,##0_-;_-* &quot;-&quot;_-;_-@_-_재무지원부충당금 6 2 5" xfId="24149"/>
    <cellStyle name="_-* #,##0_-;-* #,##0_-;_-* &quot;-&quot;_-;_-@_-_재무지원부충당금 6 2 5 2" xfId="31329"/>
    <cellStyle name="_-* #,##0_-;-* #,##0_-;_-* &quot;-&quot;_-;_-@_-_재무지원부충당금 6 2 6" xfId="28004"/>
    <cellStyle name="_-* #,##0_-;-* #,##0_-;_-* &quot;-&quot;_-;_-@_-_재무지원부충당금 6 3" xfId="24150"/>
    <cellStyle name="_-* #,##0_-;-* #,##0_-;_-* &quot;-&quot;_-;_-@_-_재무지원부충당금 6 3 2" xfId="24151"/>
    <cellStyle name="_-* #,##0_-;-* #,##0_-;_-* &quot;-&quot;_-;_-@_-_재무지원부충당금 6 3 2 2" xfId="31331"/>
    <cellStyle name="_-* #,##0_-;-* #,##0_-;_-* &quot;-&quot;_-;_-@_-_재무지원부충당금 6 3 3" xfId="31330"/>
    <cellStyle name="_-* #,##0_-;-* #,##0_-;_-* &quot;-&quot;_-;_-@_-_재무지원부충당금 6 4" xfId="24152"/>
    <cellStyle name="_-* #,##0_-;-* #,##0_-;_-* &quot;-&quot;_-;_-@_-_재무지원부충당금 6 4 2" xfId="31332"/>
    <cellStyle name="_-* #,##0_-;-* #,##0_-;_-* &quot;-&quot;_-;_-@_-_재무지원부충당금 6 5" xfId="24153"/>
    <cellStyle name="_-* #,##0_-;-* #,##0_-;_-* &quot;-&quot;_-;_-@_-_재무지원부충당금 6 5 2" xfId="31333"/>
    <cellStyle name="_-* #,##0_-;-* #,##0_-;_-* &quot;-&quot;_-;_-@_-_재무지원부충당금 6 6" xfId="24154"/>
    <cellStyle name="_-* #,##0_-;-* #,##0_-;_-* &quot;-&quot;_-;_-@_-_재무지원부충당금 6 6 2" xfId="31334"/>
    <cellStyle name="_-* #,##0_-;-* #,##0_-;_-* &quot;-&quot;_-;_-@_-_재무지원부충당금 6 7" xfId="24155"/>
    <cellStyle name="_-* #,##0_-;-* #,##0_-;_-* &quot;-&quot;_-;_-@_-_재무지원부충당금 6 7 2" xfId="31335"/>
    <cellStyle name="_-* #,##0_-;-* #,##0_-;_-* &quot;-&quot;_-;_-@_-_재무지원부충당금 6 8" xfId="28003"/>
    <cellStyle name="_-* #,##0_-;-* #,##0_-;_-* &quot;-&quot;_-;_-@_-_재무지원부충당금 7" xfId="5386"/>
    <cellStyle name="_-* #,##0_-;-* #,##0_-;_-* &quot;-&quot;_-;_-@_-_재무지원부충당금 7 2" xfId="5387"/>
    <cellStyle name="_-* #,##0_-;-* #,##0_-;_-* &quot;-&quot;_-;_-@_-_재무지원부충당금 7 2 2" xfId="24156"/>
    <cellStyle name="_-* #,##0_-;-* #,##0_-;_-* &quot;-&quot;_-;_-@_-_재무지원부충당금 7 2 2 2" xfId="31336"/>
    <cellStyle name="_-* #,##0_-;-* #,##0_-;_-* &quot;-&quot;_-;_-@_-_재무지원부충당금 7 2 3" xfId="28006"/>
    <cellStyle name="_-* #,##0_-;-* #,##0_-;_-* &quot;-&quot;_-;_-@_-_재무지원부충당금 7 3" xfId="24157"/>
    <cellStyle name="_-* #,##0_-;-* #,##0_-;_-* &quot;-&quot;_-;_-@_-_재무지원부충당금 7 3 2" xfId="31337"/>
    <cellStyle name="_-* #,##0_-;-* #,##0_-;_-* &quot;-&quot;_-;_-@_-_재무지원부충당금 7 4" xfId="24158"/>
    <cellStyle name="_-* #,##0_-;-* #,##0_-;_-* &quot;-&quot;_-;_-@_-_재무지원부충당금 7 4 2" xfId="31338"/>
    <cellStyle name="_-* #,##0_-;-* #,##0_-;_-* &quot;-&quot;_-;_-@_-_재무지원부충당금 7 5" xfId="24159"/>
    <cellStyle name="_-* #,##0_-;-* #,##0_-;_-* &quot;-&quot;_-;_-@_-_재무지원부충당금 7 5 2" xfId="31339"/>
    <cellStyle name="_-* #,##0_-;-* #,##0_-;_-* &quot;-&quot;_-;_-@_-_재무지원부충당금 7 6" xfId="28005"/>
    <cellStyle name="_-* #,##0_-;-* #,##0_-;_-* &quot;-&quot;_-;_-@_-_재무지원부충당금 8" xfId="5388"/>
    <cellStyle name="_-* #,##0_-;-* #,##0_-;_-* &quot;-&quot;_-;_-@_-_재무지원부충당금 8 2" xfId="5389"/>
    <cellStyle name="_-* #,##0_-;-* #,##0_-;_-* &quot;-&quot;_-;_-@_-_재무지원부충당금 8 2 2" xfId="24160"/>
    <cellStyle name="_-* #,##0_-;-* #,##0_-;_-* &quot;-&quot;_-;_-@_-_재무지원부충당금 8 2 2 2" xfId="31340"/>
    <cellStyle name="_-* #,##0_-;-* #,##0_-;_-* &quot;-&quot;_-;_-@_-_재무지원부충당금 8 2 3" xfId="28008"/>
    <cellStyle name="_-* #,##0_-;-* #,##0_-;_-* &quot;-&quot;_-;_-@_-_재무지원부충당금 8 3" xfId="24161"/>
    <cellStyle name="_-* #,##0_-;-* #,##0_-;_-* &quot;-&quot;_-;_-@_-_재무지원부충당금 8 3 2" xfId="31341"/>
    <cellStyle name="_-* #,##0_-;-* #,##0_-;_-* &quot;-&quot;_-;_-@_-_재무지원부충당금 8 4" xfId="24162"/>
    <cellStyle name="_-* #,##0_-;-* #,##0_-;_-* &quot;-&quot;_-;_-@_-_재무지원부충당금 8 4 2" xfId="31342"/>
    <cellStyle name="_-* #,##0_-;-* #,##0_-;_-* &quot;-&quot;_-;_-@_-_재무지원부충당금 8 5" xfId="24163"/>
    <cellStyle name="_-* #,##0_-;-* #,##0_-;_-* &quot;-&quot;_-;_-@_-_재무지원부충당금 8 5 2" xfId="31343"/>
    <cellStyle name="_-* #,##0_-;-* #,##0_-;_-* &quot;-&quot;_-;_-@_-_재무지원부충당금 8 6" xfId="28007"/>
    <cellStyle name="_-* #,##0_-;-* #,##0_-;_-* &quot;-&quot;_-;_-@_-_재무지원부충당금 9" xfId="5390"/>
    <cellStyle name="_-* #,##0_-;-* #,##0_-;_-* &quot;-&quot;_-;_-@_-_재무지원부충당금 9 2" xfId="24164"/>
    <cellStyle name="_-* #,##0_-;-* #,##0_-;_-* &quot;-&quot;_-;_-@_-_재무지원부충당금 9 2 2" xfId="31344"/>
    <cellStyle name="_-* #,##0_-;-* #,##0_-;_-* &quot;-&quot;_-;_-@_-_재무지원부충당금 9 3" xfId="24165"/>
    <cellStyle name="_-* #,##0_-;-* #,##0_-;_-* &quot;-&quot;_-;_-@_-_재무지원부충당금 9 3 2" xfId="31345"/>
    <cellStyle name="_-* #,##0_-;-* #,##0_-;_-* &quot;-&quot;_-;_-@_-_재무지원부충당금 9 4" xfId="24166"/>
    <cellStyle name="_-* #,##0_-;-* #,##0_-;_-* &quot;-&quot;_-;_-@_-_재무지원부충당금 9 4 2" xfId="31346"/>
    <cellStyle name="_-* #,##0_-;-* #,##0_-;_-* &quot;-&quot;_-;_-@_-_재무지원부충당금 9 5" xfId="28009"/>
    <cellStyle name="_-* #,##0_-;-* #,##0_-;_-* &quot;-&quot;_-;_-@_-_재무지원부충당금_1" xfId="47"/>
    <cellStyle name="_-* #,##0_-;-* #,##0_-;_-* &quot;-&quot;_-;_-@_-_재무지원부충당금_1 10" xfId="24167"/>
    <cellStyle name="_-* #,##0_-;-* #,##0_-;_-* &quot;-&quot;_-;_-@_-_재무지원부충당금_1 10 2" xfId="31347"/>
    <cellStyle name="_-* #,##0_-;-* #,##0_-;_-* &quot;-&quot;_-;_-@_-_재무지원부충당금_1 11" xfId="24168"/>
    <cellStyle name="_-* #,##0_-;-* #,##0_-;_-* &quot;-&quot;_-;_-@_-_재무지원부충당금_1 11 2" xfId="31348"/>
    <cellStyle name="_-* #,##0_-;-* #,##0_-;_-* &quot;-&quot;_-;_-@_-_재무지원부충당금_1 12" xfId="27611"/>
    <cellStyle name="_-* #,##0_-;-* #,##0_-;_-* &quot;-&quot;_-;_-@_-_재무지원부충당금_1 2" xfId="5391"/>
    <cellStyle name="_-* #,##0_-;-* #,##0_-;_-* &quot;-&quot;_-;_-@_-_재무지원부충당금_1 2 10" xfId="28010"/>
    <cellStyle name="_-* #,##0_-;-* #,##0_-;_-* &quot;-&quot;_-;_-@_-_재무지원부충당금_1 2 2" xfId="5392"/>
    <cellStyle name="_-* #,##0_-;-* #,##0_-;_-* &quot;-&quot;_-;_-@_-_재무지원부충당금_1 2 2 2" xfId="5393"/>
    <cellStyle name="_-* #,##0_-;-* #,##0_-;_-* &quot;-&quot;_-;_-@_-_재무지원부충당금_1 2 2 2 2" xfId="5394"/>
    <cellStyle name="_-* #,##0_-;-* #,##0_-;_-* &quot;-&quot;_-;_-@_-_재무지원부충당금_1 2 2 2 2 2" xfId="24169"/>
    <cellStyle name="_-* #,##0_-;-* #,##0_-;_-* &quot;-&quot;_-;_-@_-_재무지원부충당금_1 2 2 2 2 2 2" xfId="31349"/>
    <cellStyle name="_-* #,##0_-;-* #,##0_-;_-* &quot;-&quot;_-;_-@_-_재무지원부충당금_1 2 2 2 2 3" xfId="28013"/>
    <cellStyle name="_-* #,##0_-;-* #,##0_-;_-* &quot;-&quot;_-;_-@_-_재무지원부충당금_1 2 2 2 3" xfId="24170"/>
    <cellStyle name="_-* #,##0_-;-* #,##0_-;_-* &quot;-&quot;_-;_-@_-_재무지원부충당금_1 2 2 2 3 2" xfId="31350"/>
    <cellStyle name="_-* #,##0_-;-* #,##0_-;_-* &quot;-&quot;_-;_-@_-_재무지원부충당금_1 2 2 2 4" xfId="24171"/>
    <cellStyle name="_-* #,##0_-;-* #,##0_-;_-* &quot;-&quot;_-;_-@_-_재무지원부충당금_1 2 2 2 4 2" xfId="31351"/>
    <cellStyle name="_-* #,##0_-;-* #,##0_-;_-* &quot;-&quot;_-;_-@_-_재무지원부충당금_1 2 2 2 5" xfId="24172"/>
    <cellStyle name="_-* #,##0_-;-* #,##0_-;_-* &quot;-&quot;_-;_-@_-_재무지원부충당금_1 2 2 2 5 2" xfId="31352"/>
    <cellStyle name="_-* #,##0_-;-* #,##0_-;_-* &quot;-&quot;_-;_-@_-_재무지원부충당금_1 2 2 2 6" xfId="28012"/>
    <cellStyle name="_-* #,##0_-;-* #,##0_-;_-* &quot;-&quot;_-;_-@_-_재무지원부충당금_1 2 2 3" xfId="5395"/>
    <cellStyle name="_-* #,##0_-;-* #,##0_-;_-* &quot;-&quot;_-;_-@_-_재무지원부충당금_1 2 2 3 2" xfId="5396"/>
    <cellStyle name="_-* #,##0_-;-* #,##0_-;_-* &quot;-&quot;_-;_-@_-_재무지원부충당금_1 2 2 3 2 2" xfId="24173"/>
    <cellStyle name="_-* #,##0_-;-* #,##0_-;_-* &quot;-&quot;_-;_-@_-_재무지원부충당금_1 2 2 3 2 2 2" xfId="31353"/>
    <cellStyle name="_-* #,##0_-;-* #,##0_-;_-* &quot;-&quot;_-;_-@_-_재무지원부충당금_1 2 2 3 2 3" xfId="28015"/>
    <cellStyle name="_-* #,##0_-;-* #,##0_-;_-* &quot;-&quot;_-;_-@_-_재무지원부충당금_1 2 2 3 3" xfId="24174"/>
    <cellStyle name="_-* #,##0_-;-* #,##0_-;_-* &quot;-&quot;_-;_-@_-_재무지원부충당금_1 2 2 3 3 2" xfId="31354"/>
    <cellStyle name="_-* #,##0_-;-* #,##0_-;_-* &quot;-&quot;_-;_-@_-_재무지원부충당금_1 2 2 3 4" xfId="28014"/>
    <cellStyle name="_-* #,##0_-;-* #,##0_-;_-* &quot;-&quot;_-;_-@_-_재무지원부충당금_1 2 2 4" xfId="5397"/>
    <cellStyle name="_-* #,##0_-;-* #,##0_-;_-* &quot;-&quot;_-;_-@_-_재무지원부충당금_1 2 2 4 2" xfId="5398"/>
    <cellStyle name="_-* #,##0_-;-* #,##0_-;_-* &quot;-&quot;_-;_-@_-_재무지원부충당금_1 2 2 4 2 2" xfId="24175"/>
    <cellStyle name="_-* #,##0_-;-* #,##0_-;_-* &quot;-&quot;_-;_-@_-_재무지원부충당금_1 2 2 4 2 2 2" xfId="31355"/>
    <cellStyle name="_-* #,##0_-;-* #,##0_-;_-* &quot;-&quot;_-;_-@_-_재무지원부충당금_1 2 2 4 2 3" xfId="28017"/>
    <cellStyle name="_-* #,##0_-;-* #,##0_-;_-* &quot;-&quot;_-;_-@_-_재무지원부충당금_1 2 2 4 3" xfId="24176"/>
    <cellStyle name="_-* #,##0_-;-* #,##0_-;_-* &quot;-&quot;_-;_-@_-_재무지원부충당금_1 2 2 4 3 2" xfId="31356"/>
    <cellStyle name="_-* #,##0_-;-* #,##0_-;_-* &quot;-&quot;_-;_-@_-_재무지원부충당금_1 2 2 4 4" xfId="28016"/>
    <cellStyle name="_-* #,##0_-;-* #,##0_-;_-* &quot;-&quot;_-;_-@_-_재무지원부충당금_1 2 2 5" xfId="5399"/>
    <cellStyle name="_-* #,##0_-;-* #,##0_-;_-* &quot;-&quot;_-;_-@_-_재무지원부충당금_1 2 2 5 2" xfId="24177"/>
    <cellStyle name="_-* #,##0_-;-* #,##0_-;_-* &quot;-&quot;_-;_-@_-_재무지원부충당금_1 2 2 5 2 2" xfId="31357"/>
    <cellStyle name="_-* #,##0_-;-* #,##0_-;_-* &quot;-&quot;_-;_-@_-_재무지원부충당금_1 2 2 5 3" xfId="28018"/>
    <cellStyle name="_-* #,##0_-;-* #,##0_-;_-* &quot;-&quot;_-;_-@_-_재무지원부충당금_1 2 2 6" xfId="24178"/>
    <cellStyle name="_-* #,##0_-;-* #,##0_-;_-* &quot;-&quot;_-;_-@_-_재무지원부충당금_1 2 2 6 2" xfId="31358"/>
    <cellStyle name="_-* #,##0_-;-* #,##0_-;_-* &quot;-&quot;_-;_-@_-_재무지원부충당금_1 2 2 7" xfId="24179"/>
    <cellStyle name="_-* #,##0_-;-* #,##0_-;_-* &quot;-&quot;_-;_-@_-_재무지원부충당금_1 2 2 7 2" xfId="31359"/>
    <cellStyle name="_-* #,##0_-;-* #,##0_-;_-* &quot;-&quot;_-;_-@_-_재무지원부충당금_1 2 2 8" xfId="28011"/>
    <cellStyle name="_-* #,##0_-;-* #,##0_-;_-* &quot;-&quot;_-;_-@_-_재무지원부충당금_1 2 3" xfId="5400"/>
    <cellStyle name="_-* #,##0_-;-* #,##0_-;_-* &quot;-&quot;_-;_-@_-_재무지원부충당금_1 2 3 2" xfId="5401"/>
    <cellStyle name="_-* #,##0_-;-* #,##0_-;_-* &quot;-&quot;_-;_-@_-_재무지원부충당금_1 2 3 2 2" xfId="5402"/>
    <cellStyle name="_-* #,##0_-;-* #,##0_-;_-* &quot;-&quot;_-;_-@_-_재무지원부충당금_1 2 3 2 2 2" xfId="24180"/>
    <cellStyle name="_-* #,##0_-;-* #,##0_-;_-* &quot;-&quot;_-;_-@_-_재무지원부충당금_1 2 3 2 2 2 2" xfId="31360"/>
    <cellStyle name="_-* #,##0_-;-* #,##0_-;_-* &quot;-&quot;_-;_-@_-_재무지원부충당금_1 2 3 2 2 3" xfId="28021"/>
    <cellStyle name="_-* #,##0_-;-* #,##0_-;_-* &quot;-&quot;_-;_-@_-_재무지원부충당금_1 2 3 2 3" xfId="24181"/>
    <cellStyle name="_-* #,##0_-;-* #,##0_-;_-* &quot;-&quot;_-;_-@_-_재무지원부충당금_1 2 3 2 3 2" xfId="31361"/>
    <cellStyle name="_-* #,##0_-;-* #,##0_-;_-* &quot;-&quot;_-;_-@_-_재무지원부충당금_1 2 3 2 4" xfId="24182"/>
    <cellStyle name="_-* #,##0_-;-* #,##0_-;_-* &quot;-&quot;_-;_-@_-_재무지원부충당금_1 2 3 2 4 2" xfId="31362"/>
    <cellStyle name="_-* #,##0_-;-* #,##0_-;_-* &quot;-&quot;_-;_-@_-_재무지원부충당금_1 2 3 2 5" xfId="24183"/>
    <cellStyle name="_-* #,##0_-;-* #,##0_-;_-* &quot;-&quot;_-;_-@_-_재무지원부충당금_1 2 3 2 5 2" xfId="31363"/>
    <cellStyle name="_-* #,##0_-;-* #,##0_-;_-* &quot;-&quot;_-;_-@_-_재무지원부충당금_1 2 3 2 6" xfId="28020"/>
    <cellStyle name="_-* #,##0_-;-* #,##0_-;_-* &quot;-&quot;_-;_-@_-_재무지원부충당금_1 2 3 3" xfId="5403"/>
    <cellStyle name="_-* #,##0_-;-* #,##0_-;_-* &quot;-&quot;_-;_-@_-_재무지원부충당금_1 2 3 3 2" xfId="5404"/>
    <cellStyle name="_-* #,##0_-;-* #,##0_-;_-* &quot;-&quot;_-;_-@_-_재무지원부충당금_1 2 3 3 2 2" xfId="24184"/>
    <cellStyle name="_-* #,##0_-;-* #,##0_-;_-* &quot;-&quot;_-;_-@_-_재무지원부충당금_1 2 3 3 2 2 2" xfId="31364"/>
    <cellStyle name="_-* #,##0_-;-* #,##0_-;_-* &quot;-&quot;_-;_-@_-_재무지원부충당금_1 2 3 3 2 3" xfId="28023"/>
    <cellStyle name="_-* #,##0_-;-* #,##0_-;_-* &quot;-&quot;_-;_-@_-_재무지원부충당금_1 2 3 3 3" xfId="24185"/>
    <cellStyle name="_-* #,##0_-;-* #,##0_-;_-* &quot;-&quot;_-;_-@_-_재무지원부충당금_1 2 3 3 3 2" xfId="31365"/>
    <cellStyle name="_-* #,##0_-;-* #,##0_-;_-* &quot;-&quot;_-;_-@_-_재무지원부충당금_1 2 3 3 4" xfId="28022"/>
    <cellStyle name="_-* #,##0_-;-* #,##0_-;_-* &quot;-&quot;_-;_-@_-_재무지원부충당금_1 2 3 4" xfId="5405"/>
    <cellStyle name="_-* #,##0_-;-* #,##0_-;_-* &quot;-&quot;_-;_-@_-_재무지원부충당금_1 2 3 4 2" xfId="5406"/>
    <cellStyle name="_-* #,##0_-;-* #,##0_-;_-* &quot;-&quot;_-;_-@_-_재무지원부충당금_1 2 3 4 2 2" xfId="24186"/>
    <cellStyle name="_-* #,##0_-;-* #,##0_-;_-* &quot;-&quot;_-;_-@_-_재무지원부충당금_1 2 3 4 2 2 2" xfId="31366"/>
    <cellStyle name="_-* #,##0_-;-* #,##0_-;_-* &quot;-&quot;_-;_-@_-_재무지원부충당금_1 2 3 4 2 3" xfId="28025"/>
    <cellStyle name="_-* #,##0_-;-* #,##0_-;_-* &quot;-&quot;_-;_-@_-_재무지원부충당금_1 2 3 4 3" xfId="24187"/>
    <cellStyle name="_-* #,##0_-;-* #,##0_-;_-* &quot;-&quot;_-;_-@_-_재무지원부충당금_1 2 3 4 3 2" xfId="31367"/>
    <cellStyle name="_-* #,##0_-;-* #,##0_-;_-* &quot;-&quot;_-;_-@_-_재무지원부충당금_1 2 3 4 4" xfId="28024"/>
    <cellStyle name="_-* #,##0_-;-* #,##0_-;_-* &quot;-&quot;_-;_-@_-_재무지원부충당금_1 2 3 5" xfId="5407"/>
    <cellStyle name="_-* #,##0_-;-* #,##0_-;_-* &quot;-&quot;_-;_-@_-_재무지원부충당금_1 2 3 5 2" xfId="24188"/>
    <cellStyle name="_-* #,##0_-;-* #,##0_-;_-* &quot;-&quot;_-;_-@_-_재무지원부충당금_1 2 3 5 2 2" xfId="31368"/>
    <cellStyle name="_-* #,##0_-;-* #,##0_-;_-* &quot;-&quot;_-;_-@_-_재무지원부충당금_1 2 3 5 3" xfId="28026"/>
    <cellStyle name="_-* #,##0_-;-* #,##0_-;_-* &quot;-&quot;_-;_-@_-_재무지원부충당금_1 2 3 6" xfId="24189"/>
    <cellStyle name="_-* #,##0_-;-* #,##0_-;_-* &quot;-&quot;_-;_-@_-_재무지원부충당금_1 2 3 6 2" xfId="31369"/>
    <cellStyle name="_-* #,##0_-;-* #,##0_-;_-* &quot;-&quot;_-;_-@_-_재무지원부충당금_1 2 3 7" xfId="24190"/>
    <cellStyle name="_-* #,##0_-;-* #,##0_-;_-* &quot;-&quot;_-;_-@_-_재무지원부충당금_1 2 3 7 2" xfId="31370"/>
    <cellStyle name="_-* #,##0_-;-* #,##0_-;_-* &quot;-&quot;_-;_-@_-_재무지원부충당금_1 2 3 8" xfId="28019"/>
    <cellStyle name="_-* #,##0_-;-* #,##0_-;_-* &quot;-&quot;_-;_-@_-_재무지원부충당금_1 2 4" xfId="5408"/>
    <cellStyle name="_-* #,##0_-;-* #,##0_-;_-* &quot;-&quot;_-;_-@_-_재무지원부충당금_1 2 4 2" xfId="5409"/>
    <cellStyle name="_-* #,##0_-;-* #,##0_-;_-* &quot;-&quot;_-;_-@_-_재무지원부충당금_1 2 4 2 2" xfId="5410"/>
    <cellStyle name="_-* #,##0_-;-* #,##0_-;_-* &quot;-&quot;_-;_-@_-_재무지원부충당금_1 2 4 2 2 2" xfId="24191"/>
    <cellStyle name="_-* #,##0_-;-* #,##0_-;_-* &quot;-&quot;_-;_-@_-_재무지원부충당금_1 2 4 2 2 2 2" xfId="31371"/>
    <cellStyle name="_-* #,##0_-;-* #,##0_-;_-* &quot;-&quot;_-;_-@_-_재무지원부충당금_1 2 4 2 2 3" xfId="28029"/>
    <cellStyle name="_-* #,##0_-;-* #,##0_-;_-* &quot;-&quot;_-;_-@_-_재무지원부충당금_1 2 4 2 3" xfId="24192"/>
    <cellStyle name="_-* #,##0_-;-* #,##0_-;_-* &quot;-&quot;_-;_-@_-_재무지원부충당금_1 2 4 2 3 2" xfId="31372"/>
    <cellStyle name="_-* #,##0_-;-* #,##0_-;_-* &quot;-&quot;_-;_-@_-_재무지원부충당금_1 2 4 2 4" xfId="24193"/>
    <cellStyle name="_-* #,##0_-;-* #,##0_-;_-* &quot;-&quot;_-;_-@_-_재무지원부충당금_1 2 4 2 4 2" xfId="31373"/>
    <cellStyle name="_-* #,##0_-;-* #,##0_-;_-* &quot;-&quot;_-;_-@_-_재무지원부충당금_1 2 4 2 5" xfId="24194"/>
    <cellStyle name="_-* #,##0_-;-* #,##0_-;_-* &quot;-&quot;_-;_-@_-_재무지원부충당금_1 2 4 2 5 2" xfId="31374"/>
    <cellStyle name="_-* #,##0_-;-* #,##0_-;_-* &quot;-&quot;_-;_-@_-_재무지원부충당금_1 2 4 2 6" xfId="28028"/>
    <cellStyle name="_-* #,##0_-;-* #,##0_-;_-* &quot;-&quot;_-;_-@_-_재무지원부충당금_1 2 4 3" xfId="5411"/>
    <cellStyle name="_-* #,##0_-;-* #,##0_-;_-* &quot;-&quot;_-;_-@_-_재무지원부충당금_1 2 4 3 2" xfId="5412"/>
    <cellStyle name="_-* #,##0_-;-* #,##0_-;_-* &quot;-&quot;_-;_-@_-_재무지원부충당금_1 2 4 3 2 2" xfId="24195"/>
    <cellStyle name="_-* #,##0_-;-* #,##0_-;_-* &quot;-&quot;_-;_-@_-_재무지원부충당금_1 2 4 3 2 2 2" xfId="31375"/>
    <cellStyle name="_-* #,##0_-;-* #,##0_-;_-* &quot;-&quot;_-;_-@_-_재무지원부충당금_1 2 4 3 2 3" xfId="28031"/>
    <cellStyle name="_-* #,##0_-;-* #,##0_-;_-* &quot;-&quot;_-;_-@_-_재무지원부충당금_1 2 4 3 3" xfId="24196"/>
    <cellStyle name="_-* #,##0_-;-* #,##0_-;_-* &quot;-&quot;_-;_-@_-_재무지원부충당금_1 2 4 3 3 2" xfId="31376"/>
    <cellStyle name="_-* #,##0_-;-* #,##0_-;_-* &quot;-&quot;_-;_-@_-_재무지원부충당금_1 2 4 3 4" xfId="28030"/>
    <cellStyle name="_-* #,##0_-;-* #,##0_-;_-* &quot;-&quot;_-;_-@_-_재무지원부충당금_1 2 4 4" xfId="5413"/>
    <cellStyle name="_-* #,##0_-;-* #,##0_-;_-* &quot;-&quot;_-;_-@_-_재무지원부충당금_1 2 4 4 2" xfId="24197"/>
    <cellStyle name="_-* #,##0_-;-* #,##0_-;_-* &quot;-&quot;_-;_-@_-_재무지원부충당금_1 2 4 4 2 2" xfId="31377"/>
    <cellStyle name="_-* #,##0_-;-* #,##0_-;_-* &quot;-&quot;_-;_-@_-_재무지원부충당금_1 2 4 4 3" xfId="28032"/>
    <cellStyle name="_-* #,##0_-;-* #,##0_-;_-* &quot;-&quot;_-;_-@_-_재무지원부충당금_1 2 4 5" xfId="24198"/>
    <cellStyle name="_-* #,##0_-;-* #,##0_-;_-* &quot;-&quot;_-;_-@_-_재무지원부충당금_1 2 4 5 2" xfId="31378"/>
    <cellStyle name="_-* #,##0_-;-* #,##0_-;_-* &quot;-&quot;_-;_-@_-_재무지원부충당금_1 2 4 6" xfId="24199"/>
    <cellStyle name="_-* #,##0_-;-* #,##0_-;_-* &quot;-&quot;_-;_-@_-_재무지원부충당금_1 2 4 6 2" xfId="31379"/>
    <cellStyle name="_-* #,##0_-;-* #,##0_-;_-* &quot;-&quot;_-;_-@_-_재무지원부충당금_1 2 4 7" xfId="24200"/>
    <cellStyle name="_-* #,##0_-;-* #,##0_-;_-* &quot;-&quot;_-;_-@_-_재무지원부충당금_1 2 4 7 2" xfId="31380"/>
    <cellStyle name="_-* #,##0_-;-* #,##0_-;_-* &quot;-&quot;_-;_-@_-_재무지원부충당금_1 2 4 8" xfId="28027"/>
    <cellStyle name="_-* #,##0_-;-* #,##0_-;_-* &quot;-&quot;_-;_-@_-_재무지원부충당금_1 2 5" xfId="5414"/>
    <cellStyle name="_-* #,##0_-;-* #,##0_-;_-* &quot;-&quot;_-;_-@_-_재무지원부충당금_1 2 5 2" xfId="5415"/>
    <cellStyle name="_-* #,##0_-;-* #,##0_-;_-* &quot;-&quot;_-;_-@_-_재무지원부충당금_1 2 5 2 2" xfId="24201"/>
    <cellStyle name="_-* #,##0_-;-* #,##0_-;_-* &quot;-&quot;_-;_-@_-_재무지원부충당금_1 2 5 2 2 2" xfId="31381"/>
    <cellStyle name="_-* #,##0_-;-* #,##0_-;_-* &quot;-&quot;_-;_-@_-_재무지원부충당금_1 2 5 2 3" xfId="28034"/>
    <cellStyle name="_-* #,##0_-;-* #,##0_-;_-* &quot;-&quot;_-;_-@_-_재무지원부충당금_1 2 5 3" xfId="5416"/>
    <cellStyle name="_-* #,##0_-;-* #,##0_-;_-* &quot;-&quot;_-;_-@_-_재무지원부충당금_1 2 5 3 2" xfId="24202"/>
    <cellStyle name="_-* #,##0_-;-* #,##0_-;_-* &quot;-&quot;_-;_-@_-_재무지원부충당금_1 2 5 3 2 2" xfId="31382"/>
    <cellStyle name="_-* #,##0_-;-* #,##0_-;_-* &quot;-&quot;_-;_-@_-_재무지원부충당금_1 2 5 3 3" xfId="28035"/>
    <cellStyle name="_-* #,##0_-;-* #,##0_-;_-* &quot;-&quot;_-;_-@_-_재무지원부충당금_1 2 5 4" xfId="24203"/>
    <cellStyle name="_-* #,##0_-;-* #,##0_-;_-* &quot;-&quot;_-;_-@_-_재무지원부충당금_1 2 5 4 2" xfId="31383"/>
    <cellStyle name="_-* #,##0_-;-* #,##0_-;_-* &quot;-&quot;_-;_-@_-_재무지원부충당금_1 2 5 5" xfId="24204"/>
    <cellStyle name="_-* #,##0_-;-* #,##0_-;_-* &quot;-&quot;_-;_-@_-_재무지원부충당금_1 2 5 5 2" xfId="31384"/>
    <cellStyle name="_-* #,##0_-;-* #,##0_-;_-* &quot;-&quot;_-;_-@_-_재무지원부충당금_1 2 5 6" xfId="28033"/>
    <cellStyle name="_-* #,##0_-;-* #,##0_-;_-* &quot;-&quot;_-;_-@_-_재무지원부충당금_1 2 6" xfId="5417"/>
    <cellStyle name="_-* #,##0_-;-* #,##0_-;_-* &quot;-&quot;_-;_-@_-_재무지원부충당금_1 2 6 2" xfId="5418"/>
    <cellStyle name="_-* #,##0_-;-* #,##0_-;_-* &quot;-&quot;_-;_-@_-_재무지원부충당금_1 2 6 2 2" xfId="24205"/>
    <cellStyle name="_-* #,##0_-;-* #,##0_-;_-* &quot;-&quot;_-;_-@_-_재무지원부충당금_1 2 6 2 2 2" xfId="31385"/>
    <cellStyle name="_-* #,##0_-;-* #,##0_-;_-* &quot;-&quot;_-;_-@_-_재무지원부충당금_1 2 6 2 3" xfId="28037"/>
    <cellStyle name="_-* #,##0_-;-* #,##0_-;_-* &quot;-&quot;_-;_-@_-_재무지원부충당금_1 2 6 3" xfId="5419"/>
    <cellStyle name="_-* #,##0_-;-* #,##0_-;_-* &quot;-&quot;_-;_-@_-_재무지원부충당금_1 2 6 3 2" xfId="24206"/>
    <cellStyle name="_-* #,##0_-;-* #,##0_-;_-* &quot;-&quot;_-;_-@_-_재무지원부충당금_1 2 6 3 2 2" xfId="31386"/>
    <cellStyle name="_-* #,##0_-;-* #,##0_-;_-* &quot;-&quot;_-;_-@_-_재무지원부충당금_1 2 6 3 3" xfId="28038"/>
    <cellStyle name="_-* #,##0_-;-* #,##0_-;_-* &quot;-&quot;_-;_-@_-_재무지원부충당금_1 2 6 4" xfId="24207"/>
    <cellStyle name="_-* #,##0_-;-* #,##0_-;_-* &quot;-&quot;_-;_-@_-_재무지원부충당금_1 2 6 4 2" xfId="31387"/>
    <cellStyle name="_-* #,##0_-;-* #,##0_-;_-* &quot;-&quot;_-;_-@_-_재무지원부충당금_1 2 6 5" xfId="28036"/>
    <cellStyle name="_-* #,##0_-;-* #,##0_-;_-* &quot;-&quot;_-;_-@_-_재무지원부충당금_1 2 7" xfId="5420"/>
    <cellStyle name="_-* #,##0_-;-* #,##0_-;_-* &quot;-&quot;_-;_-@_-_재무지원부충당금_1 2 7 2" xfId="5421"/>
    <cellStyle name="_-* #,##0_-;-* #,##0_-;_-* &quot;-&quot;_-;_-@_-_재무지원부충당금_1 2 7 2 2" xfId="24208"/>
    <cellStyle name="_-* #,##0_-;-* #,##0_-;_-* &quot;-&quot;_-;_-@_-_재무지원부충당금_1 2 7 2 2 2" xfId="31388"/>
    <cellStyle name="_-* #,##0_-;-* #,##0_-;_-* &quot;-&quot;_-;_-@_-_재무지원부충당금_1 2 7 2 3" xfId="28040"/>
    <cellStyle name="_-* #,##0_-;-* #,##0_-;_-* &quot;-&quot;_-;_-@_-_재무지원부충당금_1 2 7 3" xfId="24209"/>
    <cellStyle name="_-* #,##0_-;-* #,##0_-;_-* &quot;-&quot;_-;_-@_-_재무지원부충당금_1 2 7 3 2" xfId="31389"/>
    <cellStyle name="_-* #,##0_-;-* #,##0_-;_-* &quot;-&quot;_-;_-@_-_재무지원부충당금_1 2 7 4" xfId="28039"/>
    <cellStyle name="_-* #,##0_-;-* #,##0_-;_-* &quot;-&quot;_-;_-@_-_재무지원부충당금_1 2 8" xfId="5422"/>
    <cellStyle name="_-* #,##0_-;-* #,##0_-;_-* &quot;-&quot;_-;_-@_-_재무지원부충당금_1 2 8 2" xfId="24210"/>
    <cellStyle name="_-* #,##0_-;-* #,##0_-;_-* &quot;-&quot;_-;_-@_-_재무지원부충당금_1 2 8 2 2" xfId="31390"/>
    <cellStyle name="_-* #,##0_-;-* #,##0_-;_-* &quot;-&quot;_-;_-@_-_재무지원부충당금_1 2 8 3" xfId="28041"/>
    <cellStyle name="_-* #,##0_-;-* #,##0_-;_-* &quot;-&quot;_-;_-@_-_재무지원부충당금_1 2 9" xfId="24211"/>
    <cellStyle name="_-* #,##0_-;-* #,##0_-;_-* &quot;-&quot;_-;_-@_-_재무지원부충당금_1 2 9 2" xfId="31391"/>
    <cellStyle name="_-* #,##0_-;-* #,##0_-;_-* &quot;-&quot;_-;_-@_-_재무지원부충당금_1 3" xfId="5423"/>
    <cellStyle name="_-* #,##0_-;-* #,##0_-;_-* &quot;-&quot;_-;_-@_-_재무지원부충당금_1 3 10" xfId="24212"/>
    <cellStyle name="_-* #,##0_-;-* #,##0_-;_-* &quot;-&quot;_-;_-@_-_재무지원부충당금_1 3 10 2" xfId="31392"/>
    <cellStyle name="_-* #,##0_-;-* #,##0_-;_-* &quot;-&quot;_-;_-@_-_재무지원부충당금_1 3 11" xfId="28042"/>
    <cellStyle name="_-* #,##0_-;-* #,##0_-;_-* &quot;-&quot;_-;_-@_-_재무지원부충당금_1 3 2" xfId="5424"/>
    <cellStyle name="_-* #,##0_-;-* #,##0_-;_-* &quot;-&quot;_-;_-@_-_재무지원부충당금_1 3 2 2" xfId="5425"/>
    <cellStyle name="_-* #,##0_-;-* #,##0_-;_-* &quot;-&quot;_-;_-@_-_재무지원부충당금_1 3 2 2 2" xfId="24213"/>
    <cellStyle name="_-* #,##0_-;-* #,##0_-;_-* &quot;-&quot;_-;_-@_-_재무지원부충당금_1 3 2 2 2 2" xfId="31393"/>
    <cellStyle name="_-* #,##0_-;-* #,##0_-;_-* &quot;-&quot;_-;_-@_-_재무지원부충당금_1 3 2 2 3" xfId="24214"/>
    <cellStyle name="_-* #,##0_-;-* #,##0_-;_-* &quot;-&quot;_-;_-@_-_재무지원부충당금_1 3 2 2 3 2" xfId="31394"/>
    <cellStyle name="_-* #,##0_-;-* #,##0_-;_-* &quot;-&quot;_-;_-@_-_재무지원부충당금_1 3 2 2 4" xfId="24215"/>
    <cellStyle name="_-* #,##0_-;-* #,##0_-;_-* &quot;-&quot;_-;_-@_-_재무지원부충당금_1 3 2 2 4 2" xfId="31395"/>
    <cellStyle name="_-* #,##0_-;-* #,##0_-;_-* &quot;-&quot;_-;_-@_-_재무지원부충당금_1 3 2 2 5" xfId="24216"/>
    <cellStyle name="_-* #,##0_-;-* #,##0_-;_-* &quot;-&quot;_-;_-@_-_재무지원부충당금_1 3 2 2 5 2" xfId="31396"/>
    <cellStyle name="_-* #,##0_-;-* #,##0_-;_-* &quot;-&quot;_-;_-@_-_재무지원부충당금_1 3 2 2 6" xfId="28044"/>
    <cellStyle name="_-* #,##0_-;-* #,##0_-;_-* &quot;-&quot;_-;_-@_-_재무지원부충당금_1 3 2 3" xfId="24217"/>
    <cellStyle name="_-* #,##0_-;-* #,##0_-;_-* &quot;-&quot;_-;_-@_-_재무지원부충당금_1 3 2 3 2" xfId="24218"/>
    <cellStyle name="_-* #,##0_-;-* #,##0_-;_-* &quot;-&quot;_-;_-@_-_재무지원부충당금_1 3 2 3 2 2" xfId="31398"/>
    <cellStyle name="_-* #,##0_-;-* #,##0_-;_-* &quot;-&quot;_-;_-@_-_재무지원부충당금_1 3 2 3 3" xfId="31397"/>
    <cellStyle name="_-* #,##0_-;-* #,##0_-;_-* &quot;-&quot;_-;_-@_-_재무지원부충당금_1 3 2 4" xfId="24219"/>
    <cellStyle name="_-* #,##0_-;-* #,##0_-;_-* &quot;-&quot;_-;_-@_-_재무지원부충당금_1 3 2 4 2" xfId="31399"/>
    <cellStyle name="_-* #,##0_-;-* #,##0_-;_-* &quot;-&quot;_-;_-@_-_재무지원부충당금_1 3 2 5" xfId="24220"/>
    <cellStyle name="_-* #,##0_-;-* #,##0_-;_-* &quot;-&quot;_-;_-@_-_재무지원부충당금_1 3 2 5 2" xfId="31400"/>
    <cellStyle name="_-* #,##0_-;-* #,##0_-;_-* &quot;-&quot;_-;_-@_-_재무지원부충당금_1 3 2 6" xfId="24221"/>
    <cellStyle name="_-* #,##0_-;-* #,##0_-;_-* &quot;-&quot;_-;_-@_-_재무지원부충당금_1 3 2 6 2" xfId="31401"/>
    <cellStyle name="_-* #,##0_-;-* #,##0_-;_-* &quot;-&quot;_-;_-@_-_재무지원부충당금_1 3 2 7" xfId="24222"/>
    <cellStyle name="_-* #,##0_-;-* #,##0_-;_-* &quot;-&quot;_-;_-@_-_재무지원부충당금_1 3 2 7 2" xfId="31402"/>
    <cellStyle name="_-* #,##0_-;-* #,##0_-;_-* &quot;-&quot;_-;_-@_-_재무지원부충당금_1 3 2 8" xfId="28043"/>
    <cellStyle name="_-* #,##0_-;-* #,##0_-;_-* &quot;-&quot;_-;_-@_-_재무지원부충당금_1 3 3" xfId="5426"/>
    <cellStyle name="_-* #,##0_-;-* #,##0_-;_-* &quot;-&quot;_-;_-@_-_재무지원부충당금_1 3 3 2" xfId="5427"/>
    <cellStyle name="_-* #,##0_-;-* #,##0_-;_-* &quot;-&quot;_-;_-@_-_재무지원부충당금_1 3 3 2 2" xfId="24223"/>
    <cellStyle name="_-* #,##0_-;-* #,##0_-;_-* &quot;-&quot;_-;_-@_-_재무지원부충당금_1 3 3 2 2 2" xfId="31403"/>
    <cellStyle name="_-* #,##0_-;-* #,##0_-;_-* &quot;-&quot;_-;_-@_-_재무지원부충당금_1 3 3 2 3" xfId="24224"/>
    <cellStyle name="_-* #,##0_-;-* #,##0_-;_-* &quot;-&quot;_-;_-@_-_재무지원부충당금_1 3 3 2 3 2" xfId="31404"/>
    <cellStyle name="_-* #,##0_-;-* #,##0_-;_-* &quot;-&quot;_-;_-@_-_재무지원부충당금_1 3 3 2 4" xfId="24225"/>
    <cellStyle name="_-* #,##0_-;-* #,##0_-;_-* &quot;-&quot;_-;_-@_-_재무지원부충당금_1 3 3 2 4 2" xfId="31405"/>
    <cellStyle name="_-* #,##0_-;-* #,##0_-;_-* &quot;-&quot;_-;_-@_-_재무지원부충당금_1 3 3 2 5" xfId="24226"/>
    <cellStyle name="_-* #,##0_-;-* #,##0_-;_-* &quot;-&quot;_-;_-@_-_재무지원부충당금_1 3 3 2 5 2" xfId="31406"/>
    <cellStyle name="_-* #,##0_-;-* #,##0_-;_-* &quot;-&quot;_-;_-@_-_재무지원부충당금_1 3 3 2 6" xfId="28046"/>
    <cellStyle name="_-* #,##0_-;-* #,##0_-;_-* &quot;-&quot;_-;_-@_-_재무지원부충당금_1 3 3 3" xfId="24227"/>
    <cellStyle name="_-* #,##0_-;-* #,##0_-;_-* &quot;-&quot;_-;_-@_-_재무지원부충당금_1 3 3 3 2" xfId="24228"/>
    <cellStyle name="_-* #,##0_-;-* #,##0_-;_-* &quot;-&quot;_-;_-@_-_재무지원부충당금_1 3 3 3 2 2" xfId="31408"/>
    <cellStyle name="_-* #,##0_-;-* #,##0_-;_-* &quot;-&quot;_-;_-@_-_재무지원부충당금_1 3 3 3 3" xfId="31407"/>
    <cellStyle name="_-* #,##0_-;-* #,##0_-;_-* &quot;-&quot;_-;_-@_-_재무지원부충당금_1 3 3 4" xfId="24229"/>
    <cellStyle name="_-* #,##0_-;-* #,##0_-;_-* &quot;-&quot;_-;_-@_-_재무지원부충당금_1 3 3 4 2" xfId="31409"/>
    <cellStyle name="_-* #,##0_-;-* #,##0_-;_-* &quot;-&quot;_-;_-@_-_재무지원부충당금_1 3 3 5" xfId="24230"/>
    <cellStyle name="_-* #,##0_-;-* #,##0_-;_-* &quot;-&quot;_-;_-@_-_재무지원부충당금_1 3 3 5 2" xfId="31410"/>
    <cellStyle name="_-* #,##0_-;-* #,##0_-;_-* &quot;-&quot;_-;_-@_-_재무지원부충당금_1 3 3 6" xfId="24231"/>
    <cellStyle name="_-* #,##0_-;-* #,##0_-;_-* &quot;-&quot;_-;_-@_-_재무지원부충당금_1 3 3 6 2" xfId="31411"/>
    <cellStyle name="_-* #,##0_-;-* #,##0_-;_-* &quot;-&quot;_-;_-@_-_재무지원부충당금_1 3 3 7" xfId="24232"/>
    <cellStyle name="_-* #,##0_-;-* #,##0_-;_-* &quot;-&quot;_-;_-@_-_재무지원부충당금_1 3 3 7 2" xfId="31412"/>
    <cellStyle name="_-* #,##0_-;-* #,##0_-;_-* &quot;-&quot;_-;_-@_-_재무지원부충당금_1 3 3 8" xfId="28045"/>
    <cellStyle name="_-* #,##0_-;-* #,##0_-;_-* &quot;-&quot;_-;_-@_-_재무지원부충당금_1 3 4" xfId="5428"/>
    <cellStyle name="_-* #,##0_-;-* #,##0_-;_-* &quot;-&quot;_-;_-@_-_재무지원부충당금_1 3 4 2" xfId="5429"/>
    <cellStyle name="_-* #,##0_-;-* #,##0_-;_-* &quot;-&quot;_-;_-@_-_재무지원부충당금_1 3 4 2 2" xfId="24233"/>
    <cellStyle name="_-* #,##0_-;-* #,##0_-;_-* &quot;-&quot;_-;_-@_-_재무지원부충당금_1 3 4 2 2 2" xfId="31413"/>
    <cellStyle name="_-* #,##0_-;-* #,##0_-;_-* &quot;-&quot;_-;_-@_-_재무지원부충당금_1 3 4 2 3" xfId="24234"/>
    <cellStyle name="_-* #,##0_-;-* #,##0_-;_-* &quot;-&quot;_-;_-@_-_재무지원부충당금_1 3 4 2 3 2" xfId="31414"/>
    <cellStyle name="_-* #,##0_-;-* #,##0_-;_-* &quot;-&quot;_-;_-@_-_재무지원부충당금_1 3 4 2 4" xfId="24235"/>
    <cellStyle name="_-* #,##0_-;-* #,##0_-;_-* &quot;-&quot;_-;_-@_-_재무지원부충당금_1 3 4 2 4 2" xfId="31415"/>
    <cellStyle name="_-* #,##0_-;-* #,##0_-;_-* &quot;-&quot;_-;_-@_-_재무지원부충당금_1 3 4 2 5" xfId="24236"/>
    <cellStyle name="_-* #,##0_-;-* #,##0_-;_-* &quot;-&quot;_-;_-@_-_재무지원부충당금_1 3 4 2 5 2" xfId="31416"/>
    <cellStyle name="_-* #,##0_-;-* #,##0_-;_-* &quot;-&quot;_-;_-@_-_재무지원부충당금_1 3 4 2 6" xfId="28048"/>
    <cellStyle name="_-* #,##0_-;-* #,##0_-;_-* &quot;-&quot;_-;_-@_-_재무지원부충당금_1 3 4 3" xfId="24237"/>
    <cellStyle name="_-* #,##0_-;-* #,##0_-;_-* &quot;-&quot;_-;_-@_-_재무지원부충당금_1 3 4 3 2" xfId="24238"/>
    <cellStyle name="_-* #,##0_-;-* #,##0_-;_-* &quot;-&quot;_-;_-@_-_재무지원부충당금_1 3 4 3 2 2" xfId="31418"/>
    <cellStyle name="_-* #,##0_-;-* #,##0_-;_-* &quot;-&quot;_-;_-@_-_재무지원부충당금_1 3 4 3 3" xfId="31417"/>
    <cellStyle name="_-* #,##0_-;-* #,##0_-;_-* &quot;-&quot;_-;_-@_-_재무지원부충당금_1 3 4 4" xfId="24239"/>
    <cellStyle name="_-* #,##0_-;-* #,##0_-;_-* &quot;-&quot;_-;_-@_-_재무지원부충당금_1 3 4 4 2" xfId="31419"/>
    <cellStyle name="_-* #,##0_-;-* #,##0_-;_-* &quot;-&quot;_-;_-@_-_재무지원부충당금_1 3 4 5" xfId="24240"/>
    <cellStyle name="_-* #,##0_-;-* #,##0_-;_-* &quot;-&quot;_-;_-@_-_재무지원부충당금_1 3 4 5 2" xfId="31420"/>
    <cellStyle name="_-* #,##0_-;-* #,##0_-;_-* &quot;-&quot;_-;_-@_-_재무지원부충당금_1 3 4 6" xfId="24241"/>
    <cellStyle name="_-* #,##0_-;-* #,##0_-;_-* &quot;-&quot;_-;_-@_-_재무지원부충당금_1 3 4 6 2" xfId="31421"/>
    <cellStyle name="_-* #,##0_-;-* #,##0_-;_-* &quot;-&quot;_-;_-@_-_재무지원부충당금_1 3 4 7" xfId="24242"/>
    <cellStyle name="_-* #,##0_-;-* #,##0_-;_-* &quot;-&quot;_-;_-@_-_재무지원부충당금_1 3 4 7 2" xfId="31422"/>
    <cellStyle name="_-* #,##0_-;-* #,##0_-;_-* &quot;-&quot;_-;_-@_-_재무지원부충당금_1 3 4 8" xfId="28047"/>
    <cellStyle name="_-* #,##0_-;-* #,##0_-;_-* &quot;-&quot;_-;_-@_-_재무지원부충당금_1 3 5" xfId="5430"/>
    <cellStyle name="_-* #,##0_-;-* #,##0_-;_-* &quot;-&quot;_-;_-@_-_재무지원부충당금_1 3 5 2" xfId="24243"/>
    <cellStyle name="_-* #,##0_-;-* #,##0_-;_-* &quot;-&quot;_-;_-@_-_재무지원부충당금_1 3 5 2 2" xfId="31423"/>
    <cellStyle name="_-* #,##0_-;-* #,##0_-;_-* &quot;-&quot;_-;_-@_-_재무지원부충당금_1 3 5 3" xfId="24244"/>
    <cellStyle name="_-* #,##0_-;-* #,##0_-;_-* &quot;-&quot;_-;_-@_-_재무지원부충당금_1 3 5 3 2" xfId="31424"/>
    <cellStyle name="_-* #,##0_-;-* #,##0_-;_-* &quot;-&quot;_-;_-@_-_재무지원부충당금_1 3 5 4" xfId="24245"/>
    <cellStyle name="_-* #,##0_-;-* #,##0_-;_-* &quot;-&quot;_-;_-@_-_재무지원부충당금_1 3 5 4 2" xfId="31425"/>
    <cellStyle name="_-* #,##0_-;-* #,##0_-;_-* &quot;-&quot;_-;_-@_-_재무지원부충당금_1 3 5 5" xfId="24246"/>
    <cellStyle name="_-* #,##0_-;-* #,##0_-;_-* &quot;-&quot;_-;_-@_-_재무지원부충당금_1 3 5 5 2" xfId="31426"/>
    <cellStyle name="_-* #,##0_-;-* #,##0_-;_-* &quot;-&quot;_-;_-@_-_재무지원부충당금_1 3 5 6" xfId="28049"/>
    <cellStyle name="_-* #,##0_-;-* #,##0_-;_-* &quot;-&quot;_-;_-@_-_재무지원부충당금_1 3 6" xfId="24247"/>
    <cellStyle name="_-* #,##0_-;-* #,##0_-;_-* &quot;-&quot;_-;_-@_-_재무지원부충당금_1 3 6 2" xfId="24248"/>
    <cellStyle name="_-* #,##0_-;-* #,##0_-;_-* &quot;-&quot;_-;_-@_-_재무지원부충당금_1 3 6 2 2" xfId="31428"/>
    <cellStyle name="_-* #,##0_-;-* #,##0_-;_-* &quot;-&quot;_-;_-@_-_재무지원부충당금_1 3 6 3" xfId="31427"/>
    <cellStyle name="_-* #,##0_-;-* #,##0_-;_-* &quot;-&quot;_-;_-@_-_재무지원부충당금_1 3 7" xfId="24249"/>
    <cellStyle name="_-* #,##0_-;-* #,##0_-;_-* &quot;-&quot;_-;_-@_-_재무지원부충당금_1 3 7 2" xfId="31429"/>
    <cellStyle name="_-* #,##0_-;-* #,##0_-;_-* &quot;-&quot;_-;_-@_-_재무지원부충당금_1 3 8" xfId="24250"/>
    <cellStyle name="_-* #,##0_-;-* #,##0_-;_-* &quot;-&quot;_-;_-@_-_재무지원부충당금_1 3 8 2" xfId="31430"/>
    <cellStyle name="_-* #,##0_-;-* #,##0_-;_-* &quot;-&quot;_-;_-@_-_재무지원부충당금_1 3 9" xfId="24251"/>
    <cellStyle name="_-* #,##0_-;-* #,##0_-;_-* &quot;-&quot;_-;_-@_-_재무지원부충당금_1 3 9 2" xfId="31431"/>
    <cellStyle name="_-* #,##0_-;-* #,##0_-;_-* &quot;-&quot;_-;_-@_-_재무지원부충당금_1 4" xfId="5431"/>
    <cellStyle name="_-* #,##0_-;-* #,##0_-;_-* &quot;-&quot;_-;_-@_-_재무지원부충당금_1 4 2" xfId="5432"/>
    <cellStyle name="_-* #,##0_-;-* #,##0_-;_-* &quot;-&quot;_-;_-@_-_재무지원부충당금_1 4 2 2" xfId="5433"/>
    <cellStyle name="_-* #,##0_-;-* #,##0_-;_-* &quot;-&quot;_-;_-@_-_재무지원부충당금_1 4 2 2 2" xfId="24252"/>
    <cellStyle name="_-* #,##0_-;-* #,##0_-;_-* &quot;-&quot;_-;_-@_-_재무지원부충당금_1 4 2 2 2 2" xfId="31432"/>
    <cellStyle name="_-* #,##0_-;-* #,##0_-;_-* &quot;-&quot;_-;_-@_-_재무지원부충당금_1 4 2 2 3" xfId="28052"/>
    <cellStyle name="_-* #,##0_-;-* #,##0_-;_-* &quot;-&quot;_-;_-@_-_재무지원부충당금_1 4 2 3" xfId="24253"/>
    <cellStyle name="_-* #,##0_-;-* #,##0_-;_-* &quot;-&quot;_-;_-@_-_재무지원부충당금_1 4 2 3 2" xfId="31433"/>
    <cellStyle name="_-* #,##0_-;-* #,##0_-;_-* &quot;-&quot;_-;_-@_-_재무지원부충당금_1 4 2 4" xfId="24254"/>
    <cellStyle name="_-* #,##0_-;-* #,##0_-;_-* &quot;-&quot;_-;_-@_-_재무지원부충당금_1 4 2 4 2" xfId="31434"/>
    <cellStyle name="_-* #,##0_-;-* #,##0_-;_-* &quot;-&quot;_-;_-@_-_재무지원부충당금_1 4 2 5" xfId="24255"/>
    <cellStyle name="_-* #,##0_-;-* #,##0_-;_-* &quot;-&quot;_-;_-@_-_재무지원부충당금_1 4 2 5 2" xfId="31435"/>
    <cellStyle name="_-* #,##0_-;-* #,##0_-;_-* &quot;-&quot;_-;_-@_-_재무지원부충당금_1 4 2 6" xfId="28051"/>
    <cellStyle name="_-* #,##0_-;-* #,##0_-;_-* &quot;-&quot;_-;_-@_-_재무지원부충당금_1 4 3" xfId="5434"/>
    <cellStyle name="_-* #,##0_-;-* #,##0_-;_-* &quot;-&quot;_-;_-@_-_재무지원부충당금_1 4 3 2" xfId="5435"/>
    <cellStyle name="_-* #,##0_-;-* #,##0_-;_-* &quot;-&quot;_-;_-@_-_재무지원부충당금_1 4 3 2 2" xfId="24256"/>
    <cellStyle name="_-* #,##0_-;-* #,##0_-;_-* &quot;-&quot;_-;_-@_-_재무지원부충당금_1 4 3 2 2 2" xfId="31436"/>
    <cellStyle name="_-* #,##0_-;-* #,##0_-;_-* &quot;-&quot;_-;_-@_-_재무지원부충당금_1 4 3 2 3" xfId="28054"/>
    <cellStyle name="_-* #,##0_-;-* #,##0_-;_-* &quot;-&quot;_-;_-@_-_재무지원부충당금_1 4 3 3" xfId="24257"/>
    <cellStyle name="_-* #,##0_-;-* #,##0_-;_-* &quot;-&quot;_-;_-@_-_재무지원부충당금_1 4 3 3 2" xfId="31437"/>
    <cellStyle name="_-* #,##0_-;-* #,##0_-;_-* &quot;-&quot;_-;_-@_-_재무지원부충당금_1 4 3 4" xfId="28053"/>
    <cellStyle name="_-* #,##0_-;-* #,##0_-;_-* &quot;-&quot;_-;_-@_-_재무지원부충당금_1 4 4" xfId="5436"/>
    <cellStyle name="_-* #,##0_-;-* #,##0_-;_-* &quot;-&quot;_-;_-@_-_재무지원부충당금_1 4 4 2" xfId="5437"/>
    <cellStyle name="_-* #,##0_-;-* #,##0_-;_-* &quot;-&quot;_-;_-@_-_재무지원부충당금_1 4 4 2 2" xfId="24258"/>
    <cellStyle name="_-* #,##0_-;-* #,##0_-;_-* &quot;-&quot;_-;_-@_-_재무지원부충당금_1 4 4 2 2 2" xfId="31438"/>
    <cellStyle name="_-* #,##0_-;-* #,##0_-;_-* &quot;-&quot;_-;_-@_-_재무지원부충당금_1 4 4 2 3" xfId="28056"/>
    <cellStyle name="_-* #,##0_-;-* #,##0_-;_-* &quot;-&quot;_-;_-@_-_재무지원부충당금_1 4 4 3" xfId="24259"/>
    <cellStyle name="_-* #,##0_-;-* #,##0_-;_-* &quot;-&quot;_-;_-@_-_재무지원부충당금_1 4 4 3 2" xfId="31439"/>
    <cellStyle name="_-* #,##0_-;-* #,##0_-;_-* &quot;-&quot;_-;_-@_-_재무지원부충당금_1 4 4 4" xfId="28055"/>
    <cellStyle name="_-* #,##0_-;-* #,##0_-;_-* &quot;-&quot;_-;_-@_-_재무지원부충당금_1 4 5" xfId="5438"/>
    <cellStyle name="_-* #,##0_-;-* #,##0_-;_-* &quot;-&quot;_-;_-@_-_재무지원부충당금_1 4 5 2" xfId="24260"/>
    <cellStyle name="_-* #,##0_-;-* #,##0_-;_-* &quot;-&quot;_-;_-@_-_재무지원부충당금_1 4 5 2 2" xfId="31440"/>
    <cellStyle name="_-* #,##0_-;-* #,##0_-;_-* &quot;-&quot;_-;_-@_-_재무지원부충당금_1 4 5 3" xfId="28057"/>
    <cellStyle name="_-* #,##0_-;-* #,##0_-;_-* &quot;-&quot;_-;_-@_-_재무지원부충당금_1 4 6" xfId="24261"/>
    <cellStyle name="_-* #,##0_-;-* #,##0_-;_-* &quot;-&quot;_-;_-@_-_재무지원부충당금_1 4 6 2" xfId="31441"/>
    <cellStyle name="_-* #,##0_-;-* #,##0_-;_-* &quot;-&quot;_-;_-@_-_재무지원부충당금_1 4 7" xfId="24262"/>
    <cellStyle name="_-* #,##0_-;-* #,##0_-;_-* &quot;-&quot;_-;_-@_-_재무지원부충당금_1 4 7 2" xfId="31442"/>
    <cellStyle name="_-* #,##0_-;-* #,##0_-;_-* &quot;-&quot;_-;_-@_-_재무지원부충당금_1 4 8" xfId="28050"/>
    <cellStyle name="_-* #,##0_-;-* #,##0_-;_-* &quot;-&quot;_-;_-@_-_재무지원부충당금_1 5" xfId="5439"/>
    <cellStyle name="_-* #,##0_-;-* #,##0_-;_-* &quot;-&quot;_-;_-@_-_재무지원부충당금_1 5 2" xfId="5440"/>
    <cellStyle name="_-* #,##0_-;-* #,##0_-;_-* &quot;-&quot;_-;_-@_-_재무지원부충당금_1 5 2 2" xfId="5441"/>
    <cellStyle name="_-* #,##0_-;-* #,##0_-;_-* &quot;-&quot;_-;_-@_-_재무지원부충당금_1 5 2 2 2" xfId="24263"/>
    <cellStyle name="_-* #,##0_-;-* #,##0_-;_-* &quot;-&quot;_-;_-@_-_재무지원부충당금_1 5 2 2 2 2" xfId="31443"/>
    <cellStyle name="_-* #,##0_-;-* #,##0_-;_-* &quot;-&quot;_-;_-@_-_재무지원부충당금_1 5 2 2 3" xfId="28060"/>
    <cellStyle name="_-* #,##0_-;-* #,##0_-;_-* &quot;-&quot;_-;_-@_-_재무지원부충당금_1 5 2 3" xfId="24264"/>
    <cellStyle name="_-* #,##0_-;-* #,##0_-;_-* &quot;-&quot;_-;_-@_-_재무지원부충당금_1 5 2 3 2" xfId="31444"/>
    <cellStyle name="_-* #,##0_-;-* #,##0_-;_-* &quot;-&quot;_-;_-@_-_재무지원부충당금_1 5 2 4" xfId="24265"/>
    <cellStyle name="_-* #,##0_-;-* #,##0_-;_-* &quot;-&quot;_-;_-@_-_재무지원부충당금_1 5 2 4 2" xfId="31445"/>
    <cellStyle name="_-* #,##0_-;-* #,##0_-;_-* &quot;-&quot;_-;_-@_-_재무지원부충당금_1 5 2 5" xfId="24266"/>
    <cellStyle name="_-* #,##0_-;-* #,##0_-;_-* &quot;-&quot;_-;_-@_-_재무지원부충당금_1 5 2 5 2" xfId="31446"/>
    <cellStyle name="_-* #,##0_-;-* #,##0_-;_-* &quot;-&quot;_-;_-@_-_재무지원부충당금_1 5 2 6" xfId="28059"/>
    <cellStyle name="_-* #,##0_-;-* #,##0_-;_-* &quot;-&quot;_-;_-@_-_재무지원부충당금_1 5 3" xfId="5442"/>
    <cellStyle name="_-* #,##0_-;-* #,##0_-;_-* &quot;-&quot;_-;_-@_-_재무지원부충당금_1 5 3 2" xfId="5443"/>
    <cellStyle name="_-* #,##0_-;-* #,##0_-;_-* &quot;-&quot;_-;_-@_-_재무지원부충당금_1 5 3 2 2" xfId="24267"/>
    <cellStyle name="_-* #,##0_-;-* #,##0_-;_-* &quot;-&quot;_-;_-@_-_재무지원부충당금_1 5 3 2 2 2" xfId="31447"/>
    <cellStyle name="_-* #,##0_-;-* #,##0_-;_-* &quot;-&quot;_-;_-@_-_재무지원부충당금_1 5 3 2 3" xfId="28062"/>
    <cellStyle name="_-* #,##0_-;-* #,##0_-;_-* &quot;-&quot;_-;_-@_-_재무지원부충당금_1 5 3 3" xfId="24268"/>
    <cellStyle name="_-* #,##0_-;-* #,##0_-;_-* &quot;-&quot;_-;_-@_-_재무지원부충당금_1 5 3 3 2" xfId="31448"/>
    <cellStyle name="_-* #,##0_-;-* #,##0_-;_-* &quot;-&quot;_-;_-@_-_재무지원부충당금_1 5 3 4" xfId="28061"/>
    <cellStyle name="_-* #,##0_-;-* #,##0_-;_-* &quot;-&quot;_-;_-@_-_재무지원부충당금_1 5 4" xfId="5444"/>
    <cellStyle name="_-* #,##0_-;-* #,##0_-;_-* &quot;-&quot;_-;_-@_-_재무지원부충당금_1 5 4 2" xfId="24269"/>
    <cellStyle name="_-* #,##0_-;-* #,##0_-;_-* &quot;-&quot;_-;_-@_-_재무지원부충당금_1 5 4 2 2" xfId="31449"/>
    <cellStyle name="_-* #,##0_-;-* #,##0_-;_-* &quot;-&quot;_-;_-@_-_재무지원부충당금_1 5 4 3" xfId="28063"/>
    <cellStyle name="_-* #,##0_-;-* #,##0_-;_-* &quot;-&quot;_-;_-@_-_재무지원부충당금_1 5 5" xfId="24270"/>
    <cellStyle name="_-* #,##0_-;-* #,##0_-;_-* &quot;-&quot;_-;_-@_-_재무지원부충당금_1 5 5 2" xfId="31450"/>
    <cellStyle name="_-* #,##0_-;-* #,##0_-;_-* &quot;-&quot;_-;_-@_-_재무지원부충당금_1 5 6" xfId="24271"/>
    <cellStyle name="_-* #,##0_-;-* #,##0_-;_-* &quot;-&quot;_-;_-@_-_재무지원부충당금_1 5 6 2" xfId="31451"/>
    <cellStyle name="_-* #,##0_-;-* #,##0_-;_-* &quot;-&quot;_-;_-@_-_재무지원부충당금_1 5 7" xfId="24272"/>
    <cellStyle name="_-* #,##0_-;-* #,##0_-;_-* &quot;-&quot;_-;_-@_-_재무지원부충당금_1 5 7 2" xfId="31452"/>
    <cellStyle name="_-* #,##0_-;-* #,##0_-;_-* &quot;-&quot;_-;_-@_-_재무지원부충당금_1 5 8" xfId="28058"/>
    <cellStyle name="_-* #,##0_-;-* #,##0_-;_-* &quot;-&quot;_-;_-@_-_재무지원부충당금_1 6" xfId="5445"/>
    <cellStyle name="_-* #,##0_-;-* #,##0_-;_-* &quot;-&quot;_-;_-@_-_재무지원부충당금_1 6 2" xfId="5446"/>
    <cellStyle name="_-* #,##0_-;-* #,##0_-;_-* &quot;-&quot;_-;_-@_-_재무지원부충당금_1 6 2 2" xfId="24273"/>
    <cellStyle name="_-* #,##0_-;-* #,##0_-;_-* &quot;-&quot;_-;_-@_-_재무지원부충당금_1 6 2 2 2" xfId="31453"/>
    <cellStyle name="_-* #,##0_-;-* #,##0_-;_-* &quot;-&quot;_-;_-@_-_재무지원부충당금_1 6 2 3" xfId="24274"/>
    <cellStyle name="_-* #,##0_-;-* #,##0_-;_-* &quot;-&quot;_-;_-@_-_재무지원부충당금_1 6 2 3 2" xfId="31454"/>
    <cellStyle name="_-* #,##0_-;-* #,##0_-;_-* &quot;-&quot;_-;_-@_-_재무지원부충당금_1 6 2 4" xfId="24275"/>
    <cellStyle name="_-* #,##0_-;-* #,##0_-;_-* &quot;-&quot;_-;_-@_-_재무지원부충당금_1 6 2 4 2" xfId="31455"/>
    <cellStyle name="_-* #,##0_-;-* #,##0_-;_-* &quot;-&quot;_-;_-@_-_재무지원부충당금_1 6 2 5" xfId="24276"/>
    <cellStyle name="_-* #,##0_-;-* #,##0_-;_-* &quot;-&quot;_-;_-@_-_재무지원부충당금_1 6 2 5 2" xfId="31456"/>
    <cellStyle name="_-* #,##0_-;-* #,##0_-;_-* &quot;-&quot;_-;_-@_-_재무지원부충당금_1 6 2 6" xfId="28065"/>
    <cellStyle name="_-* #,##0_-;-* #,##0_-;_-* &quot;-&quot;_-;_-@_-_재무지원부충당금_1 6 3" xfId="24277"/>
    <cellStyle name="_-* #,##0_-;-* #,##0_-;_-* &quot;-&quot;_-;_-@_-_재무지원부충당금_1 6 3 2" xfId="24278"/>
    <cellStyle name="_-* #,##0_-;-* #,##0_-;_-* &quot;-&quot;_-;_-@_-_재무지원부충당금_1 6 3 2 2" xfId="31458"/>
    <cellStyle name="_-* #,##0_-;-* #,##0_-;_-* &quot;-&quot;_-;_-@_-_재무지원부충당금_1 6 3 3" xfId="31457"/>
    <cellStyle name="_-* #,##0_-;-* #,##0_-;_-* &quot;-&quot;_-;_-@_-_재무지원부충당금_1 6 4" xfId="24279"/>
    <cellStyle name="_-* #,##0_-;-* #,##0_-;_-* &quot;-&quot;_-;_-@_-_재무지원부충당금_1 6 4 2" xfId="31459"/>
    <cellStyle name="_-* #,##0_-;-* #,##0_-;_-* &quot;-&quot;_-;_-@_-_재무지원부충당금_1 6 5" xfId="24280"/>
    <cellStyle name="_-* #,##0_-;-* #,##0_-;_-* &quot;-&quot;_-;_-@_-_재무지원부충당금_1 6 5 2" xfId="31460"/>
    <cellStyle name="_-* #,##0_-;-* #,##0_-;_-* &quot;-&quot;_-;_-@_-_재무지원부충당금_1 6 6" xfId="24281"/>
    <cellStyle name="_-* #,##0_-;-* #,##0_-;_-* &quot;-&quot;_-;_-@_-_재무지원부충당금_1 6 6 2" xfId="31461"/>
    <cellStyle name="_-* #,##0_-;-* #,##0_-;_-* &quot;-&quot;_-;_-@_-_재무지원부충당금_1 6 7" xfId="24282"/>
    <cellStyle name="_-* #,##0_-;-* #,##0_-;_-* &quot;-&quot;_-;_-@_-_재무지원부충당금_1 6 7 2" xfId="31462"/>
    <cellStyle name="_-* #,##0_-;-* #,##0_-;_-* &quot;-&quot;_-;_-@_-_재무지원부충당금_1 6 8" xfId="28064"/>
    <cellStyle name="_-* #,##0_-;-* #,##0_-;_-* &quot;-&quot;_-;_-@_-_재무지원부충당금_1 7" xfId="5447"/>
    <cellStyle name="_-* #,##0_-;-* #,##0_-;_-* &quot;-&quot;_-;_-@_-_재무지원부충당금_1 7 2" xfId="5448"/>
    <cellStyle name="_-* #,##0_-;-* #,##0_-;_-* &quot;-&quot;_-;_-@_-_재무지원부충당금_1 7 2 2" xfId="24283"/>
    <cellStyle name="_-* #,##0_-;-* #,##0_-;_-* &quot;-&quot;_-;_-@_-_재무지원부충당금_1 7 2 2 2" xfId="31463"/>
    <cellStyle name="_-* #,##0_-;-* #,##0_-;_-* &quot;-&quot;_-;_-@_-_재무지원부충당금_1 7 2 3" xfId="28067"/>
    <cellStyle name="_-* #,##0_-;-* #,##0_-;_-* &quot;-&quot;_-;_-@_-_재무지원부충당금_1 7 3" xfId="24284"/>
    <cellStyle name="_-* #,##0_-;-* #,##0_-;_-* &quot;-&quot;_-;_-@_-_재무지원부충당금_1 7 3 2" xfId="31464"/>
    <cellStyle name="_-* #,##0_-;-* #,##0_-;_-* &quot;-&quot;_-;_-@_-_재무지원부충당금_1 7 4" xfId="24285"/>
    <cellStyle name="_-* #,##0_-;-* #,##0_-;_-* &quot;-&quot;_-;_-@_-_재무지원부충당금_1 7 4 2" xfId="31465"/>
    <cellStyle name="_-* #,##0_-;-* #,##0_-;_-* &quot;-&quot;_-;_-@_-_재무지원부충당금_1 7 5" xfId="24286"/>
    <cellStyle name="_-* #,##0_-;-* #,##0_-;_-* &quot;-&quot;_-;_-@_-_재무지원부충당금_1 7 5 2" xfId="31466"/>
    <cellStyle name="_-* #,##0_-;-* #,##0_-;_-* &quot;-&quot;_-;_-@_-_재무지원부충당금_1 7 6" xfId="28066"/>
    <cellStyle name="_-* #,##0_-;-* #,##0_-;_-* &quot;-&quot;_-;_-@_-_재무지원부충당금_1 8" xfId="5449"/>
    <cellStyle name="_-* #,##0_-;-* #,##0_-;_-* &quot;-&quot;_-;_-@_-_재무지원부충당금_1 8 2" xfId="5450"/>
    <cellStyle name="_-* #,##0_-;-* #,##0_-;_-* &quot;-&quot;_-;_-@_-_재무지원부충당금_1 8 2 2" xfId="24287"/>
    <cellStyle name="_-* #,##0_-;-* #,##0_-;_-* &quot;-&quot;_-;_-@_-_재무지원부충당금_1 8 2 2 2" xfId="31467"/>
    <cellStyle name="_-* #,##0_-;-* #,##0_-;_-* &quot;-&quot;_-;_-@_-_재무지원부충당금_1 8 2 3" xfId="28069"/>
    <cellStyle name="_-* #,##0_-;-* #,##0_-;_-* &quot;-&quot;_-;_-@_-_재무지원부충당금_1 8 3" xfId="24288"/>
    <cellStyle name="_-* #,##0_-;-* #,##0_-;_-* &quot;-&quot;_-;_-@_-_재무지원부충당금_1 8 3 2" xfId="31468"/>
    <cellStyle name="_-* #,##0_-;-* #,##0_-;_-* &quot;-&quot;_-;_-@_-_재무지원부충당금_1 8 4" xfId="24289"/>
    <cellStyle name="_-* #,##0_-;-* #,##0_-;_-* &quot;-&quot;_-;_-@_-_재무지원부충당금_1 8 4 2" xfId="31469"/>
    <cellStyle name="_-* #,##0_-;-* #,##0_-;_-* &quot;-&quot;_-;_-@_-_재무지원부충당금_1 8 5" xfId="24290"/>
    <cellStyle name="_-* #,##0_-;-* #,##0_-;_-* &quot;-&quot;_-;_-@_-_재무지원부충당금_1 8 5 2" xfId="31470"/>
    <cellStyle name="_-* #,##0_-;-* #,##0_-;_-* &quot;-&quot;_-;_-@_-_재무지원부충당금_1 8 6" xfId="28068"/>
    <cellStyle name="_-* #,##0_-;-* #,##0_-;_-* &quot;-&quot;_-;_-@_-_재무지원부충당금_1 9" xfId="5451"/>
    <cellStyle name="_-* #,##0_-;-* #,##0_-;_-* &quot;-&quot;_-;_-@_-_재무지원부충당금_1 9 2" xfId="24291"/>
    <cellStyle name="_-* #,##0_-;-* #,##0_-;_-* &quot;-&quot;_-;_-@_-_재무지원부충당금_1 9 2 2" xfId="31471"/>
    <cellStyle name="_-* #,##0_-;-* #,##0_-;_-* &quot;-&quot;_-;_-@_-_재무지원부충당금_1 9 3" xfId="24292"/>
    <cellStyle name="_-* #,##0_-;-* #,##0_-;_-* &quot;-&quot;_-;_-@_-_재무지원부충당금_1 9 3 2" xfId="31472"/>
    <cellStyle name="_-* #,##0_-;-* #,##0_-;_-* &quot;-&quot;_-;_-@_-_재무지원부충당금_1 9 4" xfId="24293"/>
    <cellStyle name="_-* #,##0_-;-* #,##0_-;_-* &quot;-&quot;_-;_-@_-_재무지원부충당금_1 9 4 2" xfId="31473"/>
    <cellStyle name="_-* #,##0_-;-* #,##0_-;_-* &quot;-&quot;_-;_-@_-_재무지원부충당금_1 9 5" xfId="28070"/>
    <cellStyle name="_-* #,##0_-;-* #,##0_-;_-* &quot;-&quot;_-;_-@_-_재무지원부충당금_1_1211 충당금,건전성 현황_작업" xfId="5452"/>
    <cellStyle name="_-* #,##0_-;-* #,##0_-;_-* &quot;-&quot;_-;_-@_-_재무지원부충당금_1_1211 충당금,건전성 현황_작업 2" xfId="24294"/>
    <cellStyle name="_-* #,##0_-;-* #,##0_-;_-* &quot;-&quot;_-;_-@_-_재무지원부충당금_1_1211 충당금,건전성 현황_작업 2 2" xfId="31474"/>
    <cellStyle name="_-* #,##0_-;-* #,##0_-;_-* &quot;-&quot;_-;_-@_-_재무지원부충당금_1_1211 충당금,건전성 현황_작업 3" xfId="28071"/>
    <cellStyle name="_-* #,##0_-;-* #,##0_-;_-* &quot;-&quot;_-;_-@_-_재무지원부충당금_1_Hana 2011-1 Program_Data Disk_Pool B_v2(v5-1더밸류-이교민)" xfId="5453"/>
    <cellStyle name="_-* #,##0_-;-* #,##0_-;_-* &quot;-&quot;_-;_-@_-_재무지원부충당금_1_Hana 2011-1 Program_Data Disk_Pool B_v2(v5-1더밸류-이교민) 2" xfId="24295"/>
    <cellStyle name="_-* #,##0_-;-* #,##0_-;_-* &quot;-&quot;_-;_-@_-_재무지원부충당금_1_Hana 2011-1 Program_Data Disk_Pool B_v2(v5-1더밸류-이교민) 2 2" xfId="31475"/>
    <cellStyle name="_-* #,##0_-;-* #,##0_-;_-* &quot;-&quot;_-;_-@_-_재무지원부충당금_1_Hana 2011-1 Program_Data Disk_Pool B_v2(v5-1더밸류-이교민) 3" xfId="24296"/>
    <cellStyle name="_-* #,##0_-;-* #,##0_-;_-* &quot;-&quot;_-;_-@_-_재무지원부충당금_1_Hana 2011-1 Program_Data Disk_Pool B_v2(v5-1더밸류-이교민) 3 2" xfId="31476"/>
    <cellStyle name="_-* #,##0_-;-* #,##0_-;_-* &quot;-&quot;_-;_-@_-_재무지원부충당금_1_Hana 2011-1 Program_Data Disk_Pool B_v2(v5-1더밸류-이교민) 4" xfId="24297"/>
    <cellStyle name="_-* #,##0_-;-* #,##0_-;_-* &quot;-&quot;_-;_-@_-_재무지원부충당금_1_Hana 2011-1 Program_Data Disk_Pool B_v2(v5-1더밸류-이교민) 4 2" xfId="31477"/>
    <cellStyle name="_-* #,##0_-;-* #,##0_-;_-* &quot;-&quot;_-;_-@_-_재무지원부충당금_1_Hana 2011-1 Program_Data Disk_Pool B_v2(v5-1더밸류-이교민) 5" xfId="28072"/>
    <cellStyle name="_-* #,##0_-;-* #,##0_-;_-* &quot;-&quot;_-;_-@_-_재무지원부충당금_1_Hana 2011-1 Program_Data Disk_Pool B_v2(v5-1더밸류-이교민)_SHB 2011-2 Program_Data Disk_Pool C,B_v1(v2더밸류_이교민)" xfId="5454"/>
    <cellStyle name="_-* #,##0_-;-* #,##0_-;_-* &quot;-&quot;_-;_-@_-_재무지원부충당금_1_Hana 2011-1 Program_Data Disk_Pool B_v2(v5-1더밸류-이교민)_SHB 2011-2 Program_Data Disk_Pool C,B_v1(v2더밸류_이교민) 2" xfId="24298"/>
    <cellStyle name="_-* #,##0_-;-* #,##0_-;_-* &quot;-&quot;_-;_-@_-_재무지원부충당금_1_Hana 2011-1 Program_Data Disk_Pool B_v2(v5-1더밸류-이교민)_SHB 2011-2 Program_Data Disk_Pool C,B_v1(v2더밸류_이교민) 2 2" xfId="31478"/>
    <cellStyle name="_-* #,##0_-;-* #,##0_-;_-* &quot;-&quot;_-;_-@_-_재무지원부충당금_1_Hana 2011-1 Program_Data Disk_Pool B_v2(v5-1더밸류-이교민)_SHB 2011-2 Program_Data Disk_Pool C,B_v1(v2더밸류_이교민) 3" xfId="24299"/>
    <cellStyle name="_-* #,##0_-;-* #,##0_-;_-* &quot;-&quot;_-;_-@_-_재무지원부충당금_1_Hana 2011-1 Program_Data Disk_Pool B_v2(v5-1더밸류-이교민)_SHB 2011-2 Program_Data Disk_Pool C,B_v1(v2더밸류_이교민) 3 2" xfId="31479"/>
    <cellStyle name="_-* #,##0_-;-* #,##0_-;_-* &quot;-&quot;_-;_-@_-_재무지원부충당금_1_Hana 2011-1 Program_Data Disk_Pool B_v2(v5-1더밸류-이교민)_SHB 2011-2 Program_Data Disk_Pool C,B_v1(v2더밸류_이교민) 4" xfId="24300"/>
    <cellStyle name="_-* #,##0_-;-* #,##0_-;_-* &quot;-&quot;_-;_-@_-_재무지원부충당금_1_Hana 2011-1 Program_Data Disk_Pool B_v2(v5-1더밸류-이교민)_SHB 2011-2 Program_Data Disk_Pool C,B_v1(v2더밸류_이교민) 4 2" xfId="31480"/>
    <cellStyle name="_-* #,##0_-;-* #,##0_-;_-* &quot;-&quot;_-;_-@_-_재무지원부충당금_1_Hana 2011-1 Program_Data Disk_Pool B_v2(v5-1더밸류-이교민)_SHB 2011-2 Program_Data Disk_Pool C,B_v1(v2더밸류_이교민) 5" xfId="28073"/>
    <cellStyle name="_-* #,##0_-;-* #,##0_-;_-* &quot;-&quot;_-;_-@_-_재무지원부충당금_1_Hana 2011-1 Program_Data Disk_Pool B_v2(v5-1더밸류-이교민)_차주명관리_20110726_v1" xfId="5455"/>
    <cellStyle name="_-* #,##0_-;-* #,##0_-;_-* &quot;-&quot;_-;_-@_-_재무지원부충당금_1_Hana 2011-1 Program_Data Disk_Pool B_v2(v5-1더밸류-이교민)_차주명관리_20110726_v1 2" xfId="24301"/>
    <cellStyle name="_-* #,##0_-;-* #,##0_-;_-* &quot;-&quot;_-;_-@_-_재무지원부충당금_1_Hana 2011-1 Program_Data Disk_Pool B_v2(v5-1더밸류-이교민)_차주명관리_20110726_v1 2 2" xfId="31481"/>
    <cellStyle name="_-* #,##0_-;-* #,##0_-;_-* &quot;-&quot;_-;_-@_-_재무지원부충당금_1_Hana 2011-1 Program_Data Disk_Pool B_v2(v5-1더밸류-이교민)_차주명관리_20110726_v1 3" xfId="24302"/>
    <cellStyle name="_-* #,##0_-;-* #,##0_-;_-* &quot;-&quot;_-;_-@_-_재무지원부충당금_1_Hana 2011-1 Program_Data Disk_Pool B_v2(v5-1더밸류-이교민)_차주명관리_20110726_v1 3 2" xfId="31482"/>
    <cellStyle name="_-* #,##0_-;-* #,##0_-;_-* &quot;-&quot;_-;_-@_-_재무지원부충당금_1_Hana 2011-1 Program_Data Disk_Pool B_v2(v5-1더밸류-이교민)_차주명관리_20110726_v1 4" xfId="24303"/>
    <cellStyle name="_-* #,##0_-;-* #,##0_-;_-* &quot;-&quot;_-;_-@_-_재무지원부충당금_1_Hana 2011-1 Program_Data Disk_Pool B_v2(v5-1더밸류-이교민)_차주명관리_20110726_v1 4 2" xfId="31483"/>
    <cellStyle name="_-* #,##0_-;-* #,##0_-;_-* &quot;-&quot;_-;_-@_-_재무지원부충당금_1_Hana 2011-1 Program_Data Disk_Pool B_v2(v5-1더밸류-이교민)_차주명관리_20110726_v1 5" xfId="28074"/>
    <cellStyle name="_-* #,##0_-;-* #,##0_-;_-* &quot;-&quot;_-;_-@_-_재무지원부충당금_1_SHB_2011-3_담보sheet(더밸류_v6이교민)" xfId="5456"/>
    <cellStyle name="_-* #,##0_-;-* #,##0_-;_-* &quot;-&quot;_-;_-@_-_재무지원부충당금_1_SHB_2011-3_담보sheet(더밸류_v6이교민) 2" xfId="24304"/>
    <cellStyle name="_-* #,##0_-;-* #,##0_-;_-* &quot;-&quot;_-;_-@_-_재무지원부충당금_1_SHB_2011-3_담보sheet(더밸류_v6이교민) 2 2" xfId="31484"/>
    <cellStyle name="_-* #,##0_-;-* #,##0_-;_-* &quot;-&quot;_-;_-@_-_재무지원부충당금_1_SHB_2011-3_담보sheet(더밸류_v6이교민) 3" xfId="24305"/>
    <cellStyle name="_-* #,##0_-;-* #,##0_-;_-* &quot;-&quot;_-;_-@_-_재무지원부충당금_1_SHB_2011-3_담보sheet(더밸류_v6이교민) 3 2" xfId="31485"/>
    <cellStyle name="_-* #,##0_-;-* #,##0_-;_-* &quot;-&quot;_-;_-@_-_재무지원부충당금_1_SHB_2011-3_담보sheet(더밸류_v6이교민) 4" xfId="24306"/>
    <cellStyle name="_-* #,##0_-;-* #,##0_-;_-* &quot;-&quot;_-;_-@_-_재무지원부충당금_1_SHB_2011-3_담보sheet(더밸류_v6이교민) 4 2" xfId="31486"/>
    <cellStyle name="_-* #,##0_-;-* #,##0_-;_-* &quot;-&quot;_-;_-@_-_재무지원부충당금_1_SHB_2011-3_담보sheet(더밸류_v6이교민) 5" xfId="28075"/>
    <cellStyle name="_-* #,##0_-;-* #,##0_-;_-* &quot;-&quot;_-;_-@_-_재무지원부충당금_1_SHB_2011-3_담보sheet(더밸류_v6이교민)_차주명관리_20110726_v1" xfId="5457"/>
    <cellStyle name="_-* #,##0_-;-* #,##0_-;_-* &quot;-&quot;_-;_-@_-_재무지원부충당금_1_SHB_2011-3_담보sheet(더밸류_v6이교민)_차주명관리_20110726_v1 2" xfId="24307"/>
    <cellStyle name="_-* #,##0_-;-* #,##0_-;_-* &quot;-&quot;_-;_-@_-_재무지원부충당금_1_SHB_2011-3_담보sheet(더밸류_v6이교민)_차주명관리_20110726_v1 2 2" xfId="31487"/>
    <cellStyle name="_-* #,##0_-;-* #,##0_-;_-* &quot;-&quot;_-;_-@_-_재무지원부충당금_1_SHB_2011-3_담보sheet(더밸류_v6이교민)_차주명관리_20110726_v1 3" xfId="24308"/>
    <cellStyle name="_-* #,##0_-;-* #,##0_-;_-* &quot;-&quot;_-;_-@_-_재무지원부충당금_1_SHB_2011-3_담보sheet(더밸류_v6이교민)_차주명관리_20110726_v1 3 2" xfId="31488"/>
    <cellStyle name="_-* #,##0_-;-* #,##0_-;_-* &quot;-&quot;_-;_-@_-_재무지원부충당금_1_SHB_2011-3_담보sheet(더밸류_v6이교민)_차주명관리_20110726_v1 4" xfId="24309"/>
    <cellStyle name="_-* #,##0_-;-* #,##0_-;_-* &quot;-&quot;_-;_-@_-_재무지원부충당금_1_SHB_2011-3_담보sheet(더밸류_v6이교민)_차주명관리_20110726_v1 4 2" xfId="31489"/>
    <cellStyle name="_-* #,##0_-;-* #,##0_-;_-* &quot;-&quot;_-;_-@_-_재무지원부충당금_1_SHB_2011-3_담보sheet(더밸류_v6이교민)_차주명관리_20110726_v1 5" xfId="28076"/>
    <cellStyle name="_-* #,##0_-;-* #,##0_-;_-* &quot;-&quot;_-;_-@_-_재무지원부충당금_1_Sheet1" xfId="5458"/>
    <cellStyle name="_-* #,##0_-;-* #,##0_-;_-* &quot;-&quot;_-;_-@_-_재무지원부충당금_1_Sheet1 2" xfId="24310"/>
    <cellStyle name="_-* #,##0_-;-* #,##0_-;_-* &quot;-&quot;_-;_-@_-_재무지원부충당금_1_Sheet1 2 2" xfId="31490"/>
    <cellStyle name="_-* #,##0_-;-* #,##0_-;_-* &quot;-&quot;_-;_-@_-_재무지원부충당금_1_Sheet1 3" xfId="28077"/>
    <cellStyle name="_-* #,##0_-;-* #,##0_-;_-* &quot;-&quot;_-;_-@_-_재무지원부충당금_1_권리분석_v1(최초)-4" xfId="5459"/>
    <cellStyle name="_-* #,##0_-;-* #,##0_-;_-* &quot;-&quot;_-;_-@_-_재무지원부충당금_1_권리분석_v1(최초)-4 2" xfId="24311"/>
    <cellStyle name="_-* #,##0_-;-* #,##0_-;_-* &quot;-&quot;_-;_-@_-_재무지원부충당금_1_권리분석_v1(최초)-4 2 2" xfId="31491"/>
    <cellStyle name="_-* #,##0_-;-* #,##0_-;_-* &quot;-&quot;_-;_-@_-_재무지원부충당금_1_권리분석_v1(최초)-4 3" xfId="24312"/>
    <cellStyle name="_-* #,##0_-;-* #,##0_-;_-* &quot;-&quot;_-;_-@_-_재무지원부충당금_1_권리분석_v1(최초)-4 3 2" xfId="31492"/>
    <cellStyle name="_-* #,##0_-;-* #,##0_-;_-* &quot;-&quot;_-;_-@_-_재무지원부충당금_1_권리분석_v1(최초)-4 4" xfId="24313"/>
    <cellStyle name="_-* #,##0_-;-* #,##0_-;_-* &quot;-&quot;_-;_-@_-_재무지원부충당금_1_권리분석_v1(최초)-4 4 2" xfId="31493"/>
    <cellStyle name="_-* #,##0_-;-* #,##0_-;_-* &quot;-&quot;_-;_-@_-_재무지원부충당금_1_권리분석_v1(최초)-4 5" xfId="28078"/>
    <cellStyle name="_-* #,##0_-;-* #,##0_-;_-* &quot;-&quot;_-;_-@_-_재무지원부충당금_1_예외적립품의_0910(완료)" xfId="48"/>
    <cellStyle name="_-* #,##0_-;-* #,##0_-;_-* &quot;-&quot;_-;_-@_-_재무지원부충당금_1_예외적립품의_0910(완료) 10" xfId="24314"/>
    <cellStyle name="_-* #,##0_-;-* #,##0_-;_-* &quot;-&quot;_-;_-@_-_재무지원부충당금_1_예외적립품의_0910(완료) 10 2" xfId="31494"/>
    <cellStyle name="_-* #,##0_-;-* #,##0_-;_-* &quot;-&quot;_-;_-@_-_재무지원부충당금_1_예외적립품의_0910(완료) 11" xfId="24315"/>
    <cellStyle name="_-* #,##0_-;-* #,##0_-;_-* &quot;-&quot;_-;_-@_-_재무지원부충당금_1_예외적립품의_0910(완료) 11 2" xfId="31495"/>
    <cellStyle name="_-* #,##0_-;-* #,##0_-;_-* &quot;-&quot;_-;_-@_-_재무지원부충당금_1_예외적립품의_0910(완료) 12" xfId="27612"/>
    <cellStyle name="_-* #,##0_-;-* #,##0_-;_-* &quot;-&quot;_-;_-@_-_재무지원부충당금_1_예외적립품의_0910(완료) 2" xfId="5460"/>
    <cellStyle name="_-* #,##0_-;-* #,##0_-;_-* &quot;-&quot;_-;_-@_-_재무지원부충당금_1_예외적립품의_0910(완료) 2 10" xfId="28079"/>
    <cellStyle name="_-* #,##0_-;-* #,##0_-;_-* &quot;-&quot;_-;_-@_-_재무지원부충당금_1_예외적립품의_0910(완료) 2 2" xfId="5461"/>
    <cellStyle name="_-* #,##0_-;-* #,##0_-;_-* &quot;-&quot;_-;_-@_-_재무지원부충당금_1_예외적립품의_0910(완료) 2 2 2" xfId="5462"/>
    <cellStyle name="_-* #,##0_-;-* #,##0_-;_-* &quot;-&quot;_-;_-@_-_재무지원부충당금_1_예외적립품의_0910(완료) 2 2 2 2" xfId="5463"/>
    <cellStyle name="_-* #,##0_-;-* #,##0_-;_-* &quot;-&quot;_-;_-@_-_재무지원부충당금_1_예외적립품의_0910(완료) 2 2 2 2 2" xfId="24316"/>
    <cellStyle name="_-* #,##0_-;-* #,##0_-;_-* &quot;-&quot;_-;_-@_-_재무지원부충당금_1_예외적립품의_0910(완료) 2 2 2 2 2 2" xfId="31496"/>
    <cellStyle name="_-* #,##0_-;-* #,##0_-;_-* &quot;-&quot;_-;_-@_-_재무지원부충당금_1_예외적립품의_0910(완료) 2 2 2 2 3" xfId="28082"/>
    <cellStyle name="_-* #,##0_-;-* #,##0_-;_-* &quot;-&quot;_-;_-@_-_재무지원부충당금_1_예외적립품의_0910(완료) 2 2 2 3" xfId="24317"/>
    <cellStyle name="_-* #,##0_-;-* #,##0_-;_-* &quot;-&quot;_-;_-@_-_재무지원부충당금_1_예외적립품의_0910(완료) 2 2 2 3 2" xfId="31497"/>
    <cellStyle name="_-* #,##0_-;-* #,##0_-;_-* &quot;-&quot;_-;_-@_-_재무지원부충당금_1_예외적립품의_0910(완료) 2 2 2 4" xfId="24318"/>
    <cellStyle name="_-* #,##0_-;-* #,##0_-;_-* &quot;-&quot;_-;_-@_-_재무지원부충당금_1_예외적립품의_0910(완료) 2 2 2 4 2" xfId="31498"/>
    <cellStyle name="_-* #,##0_-;-* #,##0_-;_-* &quot;-&quot;_-;_-@_-_재무지원부충당금_1_예외적립품의_0910(완료) 2 2 2 5" xfId="24319"/>
    <cellStyle name="_-* #,##0_-;-* #,##0_-;_-* &quot;-&quot;_-;_-@_-_재무지원부충당금_1_예외적립품의_0910(완료) 2 2 2 5 2" xfId="31499"/>
    <cellStyle name="_-* #,##0_-;-* #,##0_-;_-* &quot;-&quot;_-;_-@_-_재무지원부충당금_1_예외적립품의_0910(완료) 2 2 2 6" xfId="28081"/>
    <cellStyle name="_-* #,##0_-;-* #,##0_-;_-* &quot;-&quot;_-;_-@_-_재무지원부충당금_1_예외적립품의_0910(완료) 2 2 3" xfId="5464"/>
    <cellStyle name="_-* #,##0_-;-* #,##0_-;_-* &quot;-&quot;_-;_-@_-_재무지원부충당금_1_예외적립품의_0910(완료) 2 2 3 2" xfId="5465"/>
    <cellStyle name="_-* #,##0_-;-* #,##0_-;_-* &quot;-&quot;_-;_-@_-_재무지원부충당금_1_예외적립품의_0910(완료) 2 2 3 2 2" xfId="24320"/>
    <cellStyle name="_-* #,##0_-;-* #,##0_-;_-* &quot;-&quot;_-;_-@_-_재무지원부충당금_1_예외적립품의_0910(완료) 2 2 3 2 2 2" xfId="31500"/>
    <cellStyle name="_-* #,##0_-;-* #,##0_-;_-* &quot;-&quot;_-;_-@_-_재무지원부충당금_1_예외적립품의_0910(완료) 2 2 3 2 3" xfId="28084"/>
    <cellStyle name="_-* #,##0_-;-* #,##0_-;_-* &quot;-&quot;_-;_-@_-_재무지원부충당금_1_예외적립품의_0910(완료) 2 2 3 3" xfId="24321"/>
    <cellStyle name="_-* #,##0_-;-* #,##0_-;_-* &quot;-&quot;_-;_-@_-_재무지원부충당금_1_예외적립품의_0910(완료) 2 2 3 3 2" xfId="31501"/>
    <cellStyle name="_-* #,##0_-;-* #,##0_-;_-* &quot;-&quot;_-;_-@_-_재무지원부충당금_1_예외적립품의_0910(완료) 2 2 3 4" xfId="28083"/>
    <cellStyle name="_-* #,##0_-;-* #,##0_-;_-* &quot;-&quot;_-;_-@_-_재무지원부충당금_1_예외적립품의_0910(완료) 2 2 4" xfId="5466"/>
    <cellStyle name="_-* #,##0_-;-* #,##0_-;_-* &quot;-&quot;_-;_-@_-_재무지원부충당금_1_예외적립품의_0910(완료) 2 2 4 2" xfId="5467"/>
    <cellStyle name="_-* #,##0_-;-* #,##0_-;_-* &quot;-&quot;_-;_-@_-_재무지원부충당금_1_예외적립품의_0910(완료) 2 2 4 2 2" xfId="24322"/>
    <cellStyle name="_-* #,##0_-;-* #,##0_-;_-* &quot;-&quot;_-;_-@_-_재무지원부충당금_1_예외적립품의_0910(완료) 2 2 4 2 2 2" xfId="31502"/>
    <cellStyle name="_-* #,##0_-;-* #,##0_-;_-* &quot;-&quot;_-;_-@_-_재무지원부충당금_1_예외적립품의_0910(완료) 2 2 4 2 3" xfId="28086"/>
    <cellStyle name="_-* #,##0_-;-* #,##0_-;_-* &quot;-&quot;_-;_-@_-_재무지원부충당금_1_예외적립품의_0910(완료) 2 2 4 3" xfId="24323"/>
    <cellStyle name="_-* #,##0_-;-* #,##0_-;_-* &quot;-&quot;_-;_-@_-_재무지원부충당금_1_예외적립품의_0910(완료) 2 2 4 3 2" xfId="31503"/>
    <cellStyle name="_-* #,##0_-;-* #,##0_-;_-* &quot;-&quot;_-;_-@_-_재무지원부충당금_1_예외적립품의_0910(완료) 2 2 4 4" xfId="28085"/>
    <cellStyle name="_-* #,##0_-;-* #,##0_-;_-* &quot;-&quot;_-;_-@_-_재무지원부충당금_1_예외적립품의_0910(완료) 2 2 5" xfId="5468"/>
    <cellStyle name="_-* #,##0_-;-* #,##0_-;_-* &quot;-&quot;_-;_-@_-_재무지원부충당금_1_예외적립품의_0910(완료) 2 2 5 2" xfId="24324"/>
    <cellStyle name="_-* #,##0_-;-* #,##0_-;_-* &quot;-&quot;_-;_-@_-_재무지원부충당금_1_예외적립품의_0910(완료) 2 2 5 2 2" xfId="31504"/>
    <cellStyle name="_-* #,##0_-;-* #,##0_-;_-* &quot;-&quot;_-;_-@_-_재무지원부충당금_1_예외적립품의_0910(완료) 2 2 5 3" xfId="28087"/>
    <cellStyle name="_-* #,##0_-;-* #,##0_-;_-* &quot;-&quot;_-;_-@_-_재무지원부충당금_1_예외적립품의_0910(완료) 2 2 6" xfId="24325"/>
    <cellStyle name="_-* #,##0_-;-* #,##0_-;_-* &quot;-&quot;_-;_-@_-_재무지원부충당금_1_예외적립품의_0910(완료) 2 2 6 2" xfId="31505"/>
    <cellStyle name="_-* #,##0_-;-* #,##0_-;_-* &quot;-&quot;_-;_-@_-_재무지원부충당금_1_예외적립품의_0910(완료) 2 2 7" xfId="24326"/>
    <cellStyle name="_-* #,##0_-;-* #,##0_-;_-* &quot;-&quot;_-;_-@_-_재무지원부충당금_1_예외적립품의_0910(완료) 2 2 7 2" xfId="31506"/>
    <cellStyle name="_-* #,##0_-;-* #,##0_-;_-* &quot;-&quot;_-;_-@_-_재무지원부충당금_1_예외적립품의_0910(완료) 2 2 8" xfId="28080"/>
    <cellStyle name="_-* #,##0_-;-* #,##0_-;_-* &quot;-&quot;_-;_-@_-_재무지원부충당금_1_예외적립품의_0910(완료) 2 3" xfId="5469"/>
    <cellStyle name="_-* #,##0_-;-* #,##0_-;_-* &quot;-&quot;_-;_-@_-_재무지원부충당금_1_예외적립품의_0910(완료) 2 3 2" xfId="5470"/>
    <cellStyle name="_-* #,##0_-;-* #,##0_-;_-* &quot;-&quot;_-;_-@_-_재무지원부충당금_1_예외적립품의_0910(완료) 2 3 2 2" xfId="5471"/>
    <cellStyle name="_-* #,##0_-;-* #,##0_-;_-* &quot;-&quot;_-;_-@_-_재무지원부충당금_1_예외적립품의_0910(완료) 2 3 2 2 2" xfId="24327"/>
    <cellStyle name="_-* #,##0_-;-* #,##0_-;_-* &quot;-&quot;_-;_-@_-_재무지원부충당금_1_예외적립품의_0910(완료) 2 3 2 2 2 2" xfId="31507"/>
    <cellStyle name="_-* #,##0_-;-* #,##0_-;_-* &quot;-&quot;_-;_-@_-_재무지원부충당금_1_예외적립품의_0910(완료) 2 3 2 2 3" xfId="28090"/>
    <cellStyle name="_-* #,##0_-;-* #,##0_-;_-* &quot;-&quot;_-;_-@_-_재무지원부충당금_1_예외적립품의_0910(완료) 2 3 2 3" xfId="24328"/>
    <cellStyle name="_-* #,##0_-;-* #,##0_-;_-* &quot;-&quot;_-;_-@_-_재무지원부충당금_1_예외적립품의_0910(완료) 2 3 2 3 2" xfId="31508"/>
    <cellStyle name="_-* #,##0_-;-* #,##0_-;_-* &quot;-&quot;_-;_-@_-_재무지원부충당금_1_예외적립품의_0910(완료) 2 3 2 4" xfId="24329"/>
    <cellStyle name="_-* #,##0_-;-* #,##0_-;_-* &quot;-&quot;_-;_-@_-_재무지원부충당금_1_예외적립품의_0910(완료) 2 3 2 4 2" xfId="31509"/>
    <cellStyle name="_-* #,##0_-;-* #,##0_-;_-* &quot;-&quot;_-;_-@_-_재무지원부충당금_1_예외적립품의_0910(완료) 2 3 2 5" xfId="24330"/>
    <cellStyle name="_-* #,##0_-;-* #,##0_-;_-* &quot;-&quot;_-;_-@_-_재무지원부충당금_1_예외적립품의_0910(완료) 2 3 2 5 2" xfId="31510"/>
    <cellStyle name="_-* #,##0_-;-* #,##0_-;_-* &quot;-&quot;_-;_-@_-_재무지원부충당금_1_예외적립품의_0910(완료) 2 3 2 6" xfId="28089"/>
    <cellStyle name="_-* #,##0_-;-* #,##0_-;_-* &quot;-&quot;_-;_-@_-_재무지원부충당금_1_예외적립품의_0910(완료) 2 3 3" xfId="5472"/>
    <cellStyle name="_-* #,##0_-;-* #,##0_-;_-* &quot;-&quot;_-;_-@_-_재무지원부충당금_1_예외적립품의_0910(완료) 2 3 3 2" xfId="5473"/>
    <cellStyle name="_-* #,##0_-;-* #,##0_-;_-* &quot;-&quot;_-;_-@_-_재무지원부충당금_1_예외적립품의_0910(완료) 2 3 3 2 2" xfId="24331"/>
    <cellStyle name="_-* #,##0_-;-* #,##0_-;_-* &quot;-&quot;_-;_-@_-_재무지원부충당금_1_예외적립품의_0910(완료) 2 3 3 2 2 2" xfId="31511"/>
    <cellStyle name="_-* #,##0_-;-* #,##0_-;_-* &quot;-&quot;_-;_-@_-_재무지원부충당금_1_예외적립품의_0910(완료) 2 3 3 2 3" xfId="28092"/>
    <cellStyle name="_-* #,##0_-;-* #,##0_-;_-* &quot;-&quot;_-;_-@_-_재무지원부충당금_1_예외적립품의_0910(완료) 2 3 3 3" xfId="24332"/>
    <cellStyle name="_-* #,##0_-;-* #,##0_-;_-* &quot;-&quot;_-;_-@_-_재무지원부충당금_1_예외적립품의_0910(완료) 2 3 3 3 2" xfId="31512"/>
    <cellStyle name="_-* #,##0_-;-* #,##0_-;_-* &quot;-&quot;_-;_-@_-_재무지원부충당금_1_예외적립품의_0910(완료) 2 3 3 4" xfId="28091"/>
    <cellStyle name="_-* #,##0_-;-* #,##0_-;_-* &quot;-&quot;_-;_-@_-_재무지원부충당금_1_예외적립품의_0910(완료) 2 3 4" xfId="5474"/>
    <cellStyle name="_-* #,##0_-;-* #,##0_-;_-* &quot;-&quot;_-;_-@_-_재무지원부충당금_1_예외적립품의_0910(완료) 2 3 4 2" xfId="5475"/>
    <cellStyle name="_-* #,##0_-;-* #,##0_-;_-* &quot;-&quot;_-;_-@_-_재무지원부충당금_1_예외적립품의_0910(완료) 2 3 4 2 2" xfId="24333"/>
    <cellStyle name="_-* #,##0_-;-* #,##0_-;_-* &quot;-&quot;_-;_-@_-_재무지원부충당금_1_예외적립품의_0910(완료) 2 3 4 2 2 2" xfId="31513"/>
    <cellStyle name="_-* #,##0_-;-* #,##0_-;_-* &quot;-&quot;_-;_-@_-_재무지원부충당금_1_예외적립품의_0910(완료) 2 3 4 2 3" xfId="28094"/>
    <cellStyle name="_-* #,##0_-;-* #,##0_-;_-* &quot;-&quot;_-;_-@_-_재무지원부충당금_1_예외적립품의_0910(완료) 2 3 4 3" xfId="24334"/>
    <cellStyle name="_-* #,##0_-;-* #,##0_-;_-* &quot;-&quot;_-;_-@_-_재무지원부충당금_1_예외적립품의_0910(완료) 2 3 4 3 2" xfId="31514"/>
    <cellStyle name="_-* #,##0_-;-* #,##0_-;_-* &quot;-&quot;_-;_-@_-_재무지원부충당금_1_예외적립품의_0910(완료) 2 3 4 4" xfId="28093"/>
    <cellStyle name="_-* #,##0_-;-* #,##0_-;_-* &quot;-&quot;_-;_-@_-_재무지원부충당금_1_예외적립품의_0910(완료) 2 3 5" xfId="5476"/>
    <cellStyle name="_-* #,##0_-;-* #,##0_-;_-* &quot;-&quot;_-;_-@_-_재무지원부충당금_1_예외적립품의_0910(완료) 2 3 5 2" xfId="24335"/>
    <cellStyle name="_-* #,##0_-;-* #,##0_-;_-* &quot;-&quot;_-;_-@_-_재무지원부충당금_1_예외적립품의_0910(완료) 2 3 5 2 2" xfId="31515"/>
    <cellStyle name="_-* #,##0_-;-* #,##0_-;_-* &quot;-&quot;_-;_-@_-_재무지원부충당금_1_예외적립품의_0910(완료) 2 3 5 3" xfId="28095"/>
    <cellStyle name="_-* #,##0_-;-* #,##0_-;_-* &quot;-&quot;_-;_-@_-_재무지원부충당금_1_예외적립품의_0910(완료) 2 3 6" xfId="24336"/>
    <cellStyle name="_-* #,##0_-;-* #,##0_-;_-* &quot;-&quot;_-;_-@_-_재무지원부충당금_1_예외적립품의_0910(완료) 2 3 6 2" xfId="31516"/>
    <cellStyle name="_-* #,##0_-;-* #,##0_-;_-* &quot;-&quot;_-;_-@_-_재무지원부충당금_1_예외적립품의_0910(완료) 2 3 7" xfId="24337"/>
    <cellStyle name="_-* #,##0_-;-* #,##0_-;_-* &quot;-&quot;_-;_-@_-_재무지원부충당금_1_예외적립품의_0910(완료) 2 3 7 2" xfId="31517"/>
    <cellStyle name="_-* #,##0_-;-* #,##0_-;_-* &quot;-&quot;_-;_-@_-_재무지원부충당금_1_예외적립품의_0910(완료) 2 3 8" xfId="28088"/>
    <cellStyle name="_-* #,##0_-;-* #,##0_-;_-* &quot;-&quot;_-;_-@_-_재무지원부충당금_1_예외적립품의_0910(완료) 2 4" xfId="5477"/>
    <cellStyle name="_-* #,##0_-;-* #,##0_-;_-* &quot;-&quot;_-;_-@_-_재무지원부충당금_1_예외적립품의_0910(완료) 2 4 2" xfId="5478"/>
    <cellStyle name="_-* #,##0_-;-* #,##0_-;_-* &quot;-&quot;_-;_-@_-_재무지원부충당금_1_예외적립품의_0910(완료) 2 4 2 2" xfId="5479"/>
    <cellStyle name="_-* #,##0_-;-* #,##0_-;_-* &quot;-&quot;_-;_-@_-_재무지원부충당금_1_예외적립품의_0910(완료) 2 4 2 2 2" xfId="24338"/>
    <cellStyle name="_-* #,##0_-;-* #,##0_-;_-* &quot;-&quot;_-;_-@_-_재무지원부충당금_1_예외적립품의_0910(완료) 2 4 2 2 2 2" xfId="31518"/>
    <cellStyle name="_-* #,##0_-;-* #,##0_-;_-* &quot;-&quot;_-;_-@_-_재무지원부충당금_1_예외적립품의_0910(완료) 2 4 2 2 3" xfId="28098"/>
    <cellStyle name="_-* #,##0_-;-* #,##0_-;_-* &quot;-&quot;_-;_-@_-_재무지원부충당금_1_예외적립품의_0910(완료) 2 4 2 3" xfId="24339"/>
    <cellStyle name="_-* #,##0_-;-* #,##0_-;_-* &quot;-&quot;_-;_-@_-_재무지원부충당금_1_예외적립품의_0910(완료) 2 4 2 3 2" xfId="31519"/>
    <cellStyle name="_-* #,##0_-;-* #,##0_-;_-* &quot;-&quot;_-;_-@_-_재무지원부충당금_1_예외적립품의_0910(완료) 2 4 2 4" xfId="24340"/>
    <cellStyle name="_-* #,##0_-;-* #,##0_-;_-* &quot;-&quot;_-;_-@_-_재무지원부충당금_1_예외적립품의_0910(완료) 2 4 2 4 2" xfId="31520"/>
    <cellStyle name="_-* #,##0_-;-* #,##0_-;_-* &quot;-&quot;_-;_-@_-_재무지원부충당금_1_예외적립품의_0910(완료) 2 4 2 5" xfId="24341"/>
    <cellStyle name="_-* #,##0_-;-* #,##0_-;_-* &quot;-&quot;_-;_-@_-_재무지원부충당금_1_예외적립품의_0910(완료) 2 4 2 5 2" xfId="31521"/>
    <cellStyle name="_-* #,##0_-;-* #,##0_-;_-* &quot;-&quot;_-;_-@_-_재무지원부충당금_1_예외적립품의_0910(완료) 2 4 2 6" xfId="28097"/>
    <cellStyle name="_-* #,##0_-;-* #,##0_-;_-* &quot;-&quot;_-;_-@_-_재무지원부충당금_1_예외적립품의_0910(완료) 2 4 3" xfId="5480"/>
    <cellStyle name="_-* #,##0_-;-* #,##0_-;_-* &quot;-&quot;_-;_-@_-_재무지원부충당금_1_예외적립품의_0910(완료) 2 4 3 2" xfId="5481"/>
    <cellStyle name="_-* #,##0_-;-* #,##0_-;_-* &quot;-&quot;_-;_-@_-_재무지원부충당금_1_예외적립품의_0910(완료) 2 4 3 2 2" xfId="24342"/>
    <cellStyle name="_-* #,##0_-;-* #,##0_-;_-* &quot;-&quot;_-;_-@_-_재무지원부충당금_1_예외적립품의_0910(완료) 2 4 3 2 2 2" xfId="31522"/>
    <cellStyle name="_-* #,##0_-;-* #,##0_-;_-* &quot;-&quot;_-;_-@_-_재무지원부충당금_1_예외적립품의_0910(완료) 2 4 3 2 3" xfId="28100"/>
    <cellStyle name="_-* #,##0_-;-* #,##0_-;_-* &quot;-&quot;_-;_-@_-_재무지원부충당금_1_예외적립품의_0910(완료) 2 4 3 3" xfId="24343"/>
    <cellStyle name="_-* #,##0_-;-* #,##0_-;_-* &quot;-&quot;_-;_-@_-_재무지원부충당금_1_예외적립품의_0910(완료) 2 4 3 3 2" xfId="31523"/>
    <cellStyle name="_-* #,##0_-;-* #,##0_-;_-* &quot;-&quot;_-;_-@_-_재무지원부충당금_1_예외적립품의_0910(완료) 2 4 3 4" xfId="28099"/>
    <cellStyle name="_-* #,##0_-;-* #,##0_-;_-* &quot;-&quot;_-;_-@_-_재무지원부충당금_1_예외적립품의_0910(완료) 2 4 4" xfId="5482"/>
    <cellStyle name="_-* #,##0_-;-* #,##0_-;_-* &quot;-&quot;_-;_-@_-_재무지원부충당금_1_예외적립품의_0910(완료) 2 4 4 2" xfId="24344"/>
    <cellStyle name="_-* #,##0_-;-* #,##0_-;_-* &quot;-&quot;_-;_-@_-_재무지원부충당금_1_예외적립품의_0910(완료) 2 4 4 2 2" xfId="31524"/>
    <cellStyle name="_-* #,##0_-;-* #,##0_-;_-* &quot;-&quot;_-;_-@_-_재무지원부충당금_1_예외적립품의_0910(완료) 2 4 4 3" xfId="28101"/>
    <cellStyle name="_-* #,##0_-;-* #,##0_-;_-* &quot;-&quot;_-;_-@_-_재무지원부충당금_1_예외적립품의_0910(완료) 2 4 5" xfId="24345"/>
    <cellStyle name="_-* #,##0_-;-* #,##0_-;_-* &quot;-&quot;_-;_-@_-_재무지원부충당금_1_예외적립품의_0910(완료) 2 4 5 2" xfId="31525"/>
    <cellStyle name="_-* #,##0_-;-* #,##0_-;_-* &quot;-&quot;_-;_-@_-_재무지원부충당금_1_예외적립품의_0910(완료) 2 4 6" xfId="24346"/>
    <cellStyle name="_-* #,##0_-;-* #,##0_-;_-* &quot;-&quot;_-;_-@_-_재무지원부충당금_1_예외적립품의_0910(완료) 2 4 6 2" xfId="31526"/>
    <cellStyle name="_-* #,##0_-;-* #,##0_-;_-* &quot;-&quot;_-;_-@_-_재무지원부충당금_1_예외적립품의_0910(완료) 2 4 7" xfId="24347"/>
    <cellStyle name="_-* #,##0_-;-* #,##0_-;_-* &quot;-&quot;_-;_-@_-_재무지원부충당금_1_예외적립품의_0910(완료) 2 4 7 2" xfId="31527"/>
    <cellStyle name="_-* #,##0_-;-* #,##0_-;_-* &quot;-&quot;_-;_-@_-_재무지원부충당금_1_예외적립품의_0910(완료) 2 4 8" xfId="28096"/>
    <cellStyle name="_-* #,##0_-;-* #,##0_-;_-* &quot;-&quot;_-;_-@_-_재무지원부충당금_1_예외적립품의_0910(완료) 2 5" xfId="5483"/>
    <cellStyle name="_-* #,##0_-;-* #,##0_-;_-* &quot;-&quot;_-;_-@_-_재무지원부충당금_1_예외적립품의_0910(완료) 2 5 2" xfId="5484"/>
    <cellStyle name="_-* #,##0_-;-* #,##0_-;_-* &quot;-&quot;_-;_-@_-_재무지원부충당금_1_예외적립품의_0910(완료) 2 5 2 2" xfId="24348"/>
    <cellStyle name="_-* #,##0_-;-* #,##0_-;_-* &quot;-&quot;_-;_-@_-_재무지원부충당금_1_예외적립품의_0910(완료) 2 5 2 2 2" xfId="31528"/>
    <cellStyle name="_-* #,##0_-;-* #,##0_-;_-* &quot;-&quot;_-;_-@_-_재무지원부충당금_1_예외적립품의_0910(완료) 2 5 2 3" xfId="28103"/>
    <cellStyle name="_-* #,##0_-;-* #,##0_-;_-* &quot;-&quot;_-;_-@_-_재무지원부충당금_1_예외적립품의_0910(완료) 2 5 3" xfId="5485"/>
    <cellStyle name="_-* #,##0_-;-* #,##0_-;_-* &quot;-&quot;_-;_-@_-_재무지원부충당금_1_예외적립품의_0910(완료) 2 5 3 2" xfId="24349"/>
    <cellStyle name="_-* #,##0_-;-* #,##0_-;_-* &quot;-&quot;_-;_-@_-_재무지원부충당금_1_예외적립품의_0910(완료) 2 5 3 2 2" xfId="31529"/>
    <cellStyle name="_-* #,##0_-;-* #,##0_-;_-* &quot;-&quot;_-;_-@_-_재무지원부충당금_1_예외적립품의_0910(완료) 2 5 3 3" xfId="28104"/>
    <cellStyle name="_-* #,##0_-;-* #,##0_-;_-* &quot;-&quot;_-;_-@_-_재무지원부충당금_1_예외적립품의_0910(완료) 2 5 4" xfId="24350"/>
    <cellStyle name="_-* #,##0_-;-* #,##0_-;_-* &quot;-&quot;_-;_-@_-_재무지원부충당금_1_예외적립품의_0910(완료) 2 5 4 2" xfId="31530"/>
    <cellStyle name="_-* #,##0_-;-* #,##0_-;_-* &quot;-&quot;_-;_-@_-_재무지원부충당금_1_예외적립품의_0910(완료) 2 5 5" xfId="24351"/>
    <cellStyle name="_-* #,##0_-;-* #,##0_-;_-* &quot;-&quot;_-;_-@_-_재무지원부충당금_1_예외적립품의_0910(완료) 2 5 5 2" xfId="31531"/>
    <cellStyle name="_-* #,##0_-;-* #,##0_-;_-* &quot;-&quot;_-;_-@_-_재무지원부충당금_1_예외적립품의_0910(완료) 2 5 6" xfId="28102"/>
    <cellStyle name="_-* #,##0_-;-* #,##0_-;_-* &quot;-&quot;_-;_-@_-_재무지원부충당금_1_예외적립품의_0910(완료) 2 6" xfId="5486"/>
    <cellStyle name="_-* #,##0_-;-* #,##0_-;_-* &quot;-&quot;_-;_-@_-_재무지원부충당금_1_예외적립품의_0910(완료) 2 6 2" xfId="5487"/>
    <cellStyle name="_-* #,##0_-;-* #,##0_-;_-* &quot;-&quot;_-;_-@_-_재무지원부충당금_1_예외적립품의_0910(완료) 2 6 2 2" xfId="24352"/>
    <cellStyle name="_-* #,##0_-;-* #,##0_-;_-* &quot;-&quot;_-;_-@_-_재무지원부충당금_1_예외적립품의_0910(완료) 2 6 2 2 2" xfId="31532"/>
    <cellStyle name="_-* #,##0_-;-* #,##0_-;_-* &quot;-&quot;_-;_-@_-_재무지원부충당금_1_예외적립품의_0910(완료) 2 6 2 3" xfId="28106"/>
    <cellStyle name="_-* #,##0_-;-* #,##0_-;_-* &quot;-&quot;_-;_-@_-_재무지원부충당금_1_예외적립품의_0910(완료) 2 6 3" xfId="5488"/>
    <cellStyle name="_-* #,##0_-;-* #,##0_-;_-* &quot;-&quot;_-;_-@_-_재무지원부충당금_1_예외적립품의_0910(완료) 2 6 3 2" xfId="24353"/>
    <cellStyle name="_-* #,##0_-;-* #,##0_-;_-* &quot;-&quot;_-;_-@_-_재무지원부충당금_1_예외적립품의_0910(완료) 2 6 3 2 2" xfId="31533"/>
    <cellStyle name="_-* #,##0_-;-* #,##0_-;_-* &quot;-&quot;_-;_-@_-_재무지원부충당금_1_예외적립품의_0910(완료) 2 6 3 3" xfId="28107"/>
    <cellStyle name="_-* #,##0_-;-* #,##0_-;_-* &quot;-&quot;_-;_-@_-_재무지원부충당금_1_예외적립품의_0910(완료) 2 6 4" xfId="24354"/>
    <cellStyle name="_-* #,##0_-;-* #,##0_-;_-* &quot;-&quot;_-;_-@_-_재무지원부충당금_1_예외적립품의_0910(완료) 2 6 4 2" xfId="31534"/>
    <cellStyle name="_-* #,##0_-;-* #,##0_-;_-* &quot;-&quot;_-;_-@_-_재무지원부충당금_1_예외적립품의_0910(완료) 2 6 5" xfId="28105"/>
    <cellStyle name="_-* #,##0_-;-* #,##0_-;_-* &quot;-&quot;_-;_-@_-_재무지원부충당금_1_예외적립품의_0910(완료) 2 7" xfId="5489"/>
    <cellStyle name="_-* #,##0_-;-* #,##0_-;_-* &quot;-&quot;_-;_-@_-_재무지원부충당금_1_예외적립품의_0910(완료) 2 7 2" xfId="5490"/>
    <cellStyle name="_-* #,##0_-;-* #,##0_-;_-* &quot;-&quot;_-;_-@_-_재무지원부충당금_1_예외적립품의_0910(완료) 2 7 2 2" xfId="24355"/>
    <cellStyle name="_-* #,##0_-;-* #,##0_-;_-* &quot;-&quot;_-;_-@_-_재무지원부충당금_1_예외적립품의_0910(완료) 2 7 2 2 2" xfId="31535"/>
    <cellStyle name="_-* #,##0_-;-* #,##0_-;_-* &quot;-&quot;_-;_-@_-_재무지원부충당금_1_예외적립품의_0910(완료) 2 7 2 3" xfId="28109"/>
    <cellStyle name="_-* #,##0_-;-* #,##0_-;_-* &quot;-&quot;_-;_-@_-_재무지원부충당금_1_예외적립품의_0910(완료) 2 7 3" xfId="24356"/>
    <cellStyle name="_-* #,##0_-;-* #,##0_-;_-* &quot;-&quot;_-;_-@_-_재무지원부충당금_1_예외적립품의_0910(완료) 2 7 3 2" xfId="31536"/>
    <cellStyle name="_-* #,##0_-;-* #,##0_-;_-* &quot;-&quot;_-;_-@_-_재무지원부충당금_1_예외적립품의_0910(완료) 2 7 4" xfId="28108"/>
    <cellStyle name="_-* #,##0_-;-* #,##0_-;_-* &quot;-&quot;_-;_-@_-_재무지원부충당금_1_예외적립품의_0910(완료) 2 8" xfId="5491"/>
    <cellStyle name="_-* #,##0_-;-* #,##0_-;_-* &quot;-&quot;_-;_-@_-_재무지원부충당금_1_예외적립품의_0910(완료) 2 8 2" xfId="24357"/>
    <cellStyle name="_-* #,##0_-;-* #,##0_-;_-* &quot;-&quot;_-;_-@_-_재무지원부충당금_1_예외적립품의_0910(완료) 2 8 2 2" xfId="31537"/>
    <cellStyle name="_-* #,##0_-;-* #,##0_-;_-* &quot;-&quot;_-;_-@_-_재무지원부충당금_1_예외적립품의_0910(완료) 2 8 3" xfId="28110"/>
    <cellStyle name="_-* #,##0_-;-* #,##0_-;_-* &quot;-&quot;_-;_-@_-_재무지원부충당금_1_예외적립품의_0910(완료) 2 9" xfId="24358"/>
    <cellStyle name="_-* #,##0_-;-* #,##0_-;_-* &quot;-&quot;_-;_-@_-_재무지원부충당금_1_예외적립품의_0910(완료) 2 9 2" xfId="31538"/>
    <cellStyle name="_-* #,##0_-;-* #,##0_-;_-* &quot;-&quot;_-;_-@_-_재무지원부충당금_1_예외적립품의_0910(완료) 3" xfId="5492"/>
    <cellStyle name="_-* #,##0_-;-* #,##0_-;_-* &quot;-&quot;_-;_-@_-_재무지원부충당금_1_예외적립품의_0910(완료) 3 10" xfId="24359"/>
    <cellStyle name="_-* #,##0_-;-* #,##0_-;_-* &quot;-&quot;_-;_-@_-_재무지원부충당금_1_예외적립품의_0910(완료) 3 10 2" xfId="31539"/>
    <cellStyle name="_-* #,##0_-;-* #,##0_-;_-* &quot;-&quot;_-;_-@_-_재무지원부충당금_1_예외적립품의_0910(완료) 3 11" xfId="28111"/>
    <cellStyle name="_-* #,##0_-;-* #,##0_-;_-* &quot;-&quot;_-;_-@_-_재무지원부충당금_1_예외적립품의_0910(완료) 3 2" xfId="5493"/>
    <cellStyle name="_-* #,##0_-;-* #,##0_-;_-* &quot;-&quot;_-;_-@_-_재무지원부충당금_1_예외적립품의_0910(완료) 3 2 2" xfId="5494"/>
    <cellStyle name="_-* #,##0_-;-* #,##0_-;_-* &quot;-&quot;_-;_-@_-_재무지원부충당금_1_예외적립품의_0910(완료) 3 2 2 2" xfId="24360"/>
    <cellStyle name="_-* #,##0_-;-* #,##0_-;_-* &quot;-&quot;_-;_-@_-_재무지원부충당금_1_예외적립품의_0910(완료) 3 2 2 2 2" xfId="31540"/>
    <cellStyle name="_-* #,##0_-;-* #,##0_-;_-* &quot;-&quot;_-;_-@_-_재무지원부충당금_1_예외적립품의_0910(완료) 3 2 2 3" xfId="24361"/>
    <cellStyle name="_-* #,##0_-;-* #,##0_-;_-* &quot;-&quot;_-;_-@_-_재무지원부충당금_1_예외적립품의_0910(완료) 3 2 2 3 2" xfId="31541"/>
    <cellStyle name="_-* #,##0_-;-* #,##0_-;_-* &quot;-&quot;_-;_-@_-_재무지원부충당금_1_예외적립품의_0910(완료) 3 2 2 4" xfId="24362"/>
    <cellStyle name="_-* #,##0_-;-* #,##0_-;_-* &quot;-&quot;_-;_-@_-_재무지원부충당금_1_예외적립품의_0910(완료) 3 2 2 4 2" xfId="31542"/>
    <cellStyle name="_-* #,##0_-;-* #,##0_-;_-* &quot;-&quot;_-;_-@_-_재무지원부충당금_1_예외적립품의_0910(완료) 3 2 2 5" xfId="24363"/>
    <cellStyle name="_-* #,##0_-;-* #,##0_-;_-* &quot;-&quot;_-;_-@_-_재무지원부충당금_1_예외적립품의_0910(완료) 3 2 2 5 2" xfId="31543"/>
    <cellStyle name="_-* #,##0_-;-* #,##0_-;_-* &quot;-&quot;_-;_-@_-_재무지원부충당금_1_예외적립품의_0910(완료) 3 2 2 6" xfId="28113"/>
    <cellStyle name="_-* #,##0_-;-* #,##0_-;_-* &quot;-&quot;_-;_-@_-_재무지원부충당금_1_예외적립품의_0910(완료) 3 2 3" xfId="24364"/>
    <cellStyle name="_-* #,##0_-;-* #,##0_-;_-* &quot;-&quot;_-;_-@_-_재무지원부충당금_1_예외적립품의_0910(완료) 3 2 3 2" xfId="24365"/>
    <cellStyle name="_-* #,##0_-;-* #,##0_-;_-* &quot;-&quot;_-;_-@_-_재무지원부충당금_1_예외적립품의_0910(완료) 3 2 3 2 2" xfId="31545"/>
    <cellStyle name="_-* #,##0_-;-* #,##0_-;_-* &quot;-&quot;_-;_-@_-_재무지원부충당금_1_예외적립품의_0910(완료) 3 2 3 3" xfId="31544"/>
    <cellStyle name="_-* #,##0_-;-* #,##0_-;_-* &quot;-&quot;_-;_-@_-_재무지원부충당금_1_예외적립품의_0910(완료) 3 2 4" xfId="24366"/>
    <cellStyle name="_-* #,##0_-;-* #,##0_-;_-* &quot;-&quot;_-;_-@_-_재무지원부충당금_1_예외적립품의_0910(완료) 3 2 4 2" xfId="31546"/>
    <cellStyle name="_-* #,##0_-;-* #,##0_-;_-* &quot;-&quot;_-;_-@_-_재무지원부충당금_1_예외적립품의_0910(완료) 3 2 5" xfId="24367"/>
    <cellStyle name="_-* #,##0_-;-* #,##0_-;_-* &quot;-&quot;_-;_-@_-_재무지원부충당금_1_예외적립품의_0910(완료) 3 2 5 2" xfId="31547"/>
    <cellStyle name="_-* #,##0_-;-* #,##0_-;_-* &quot;-&quot;_-;_-@_-_재무지원부충당금_1_예외적립품의_0910(완료) 3 2 6" xfId="24368"/>
    <cellStyle name="_-* #,##0_-;-* #,##0_-;_-* &quot;-&quot;_-;_-@_-_재무지원부충당금_1_예외적립품의_0910(완료) 3 2 6 2" xfId="31548"/>
    <cellStyle name="_-* #,##0_-;-* #,##0_-;_-* &quot;-&quot;_-;_-@_-_재무지원부충당금_1_예외적립품의_0910(완료) 3 2 7" xfId="24369"/>
    <cellStyle name="_-* #,##0_-;-* #,##0_-;_-* &quot;-&quot;_-;_-@_-_재무지원부충당금_1_예외적립품의_0910(완료) 3 2 7 2" xfId="31549"/>
    <cellStyle name="_-* #,##0_-;-* #,##0_-;_-* &quot;-&quot;_-;_-@_-_재무지원부충당금_1_예외적립품의_0910(완료) 3 2 8" xfId="28112"/>
    <cellStyle name="_-* #,##0_-;-* #,##0_-;_-* &quot;-&quot;_-;_-@_-_재무지원부충당금_1_예외적립품의_0910(완료) 3 3" xfId="5495"/>
    <cellStyle name="_-* #,##0_-;-* #,##0_-;_-* &quot;-&quot;_-;_-@_-_재무지원부충당금_1_예외적립품의_0910(완료) 3 3 2" xfId="5496"/>
    <cellStyle name="_-* #,##0_-;-* #,##0_-;_-* &quot;-&quot;_-;_-@_-_재무지원부충당금_1_예외적립품의_0910(완료) 3 3 2 2" xfId="24370"/>
    <cellStyle name="_-* #,##0_-;-* #,##0_-;_-* &quot;-&quot;_-;_-@_-_재무지원부충당금_1_예외적립품의_0910(완료) 3 3 2 2 2" xfId="31550"/>
    <cellStyle name="_-* #,##0_-;-* #,##0_-;_-* &quot;-&quot;_-;_-@_-_재무지원부충당금_1_예외적립품의_0910(완료) 3 3 2 3" xfId="24371"/>
    <cellStyle name="_-* #,##0_-;-* #,##0_-;_-* &quot;-&quot;_-;_-@_-_재무지원부충당금_1_예외적립품의_0910(완료) 3 3 2 3 2" xfId="31551"/>
    <cellStyle name="_-* #,##0_-;-* #,##0_-;_-* &quot;-&quot;_-;_-@_-_재무지원부충당금_1_예외적립품의_0910(완료) 3 3 2 4" xfId="24372"/>
    <cellStyle name="_-* #,##0_-;-* #,##0_-;_-* &quot;-&quot;_-;_-@_-_재무지원부충당금_1_예외적립품의_0910(완료) 3 3 2 4 2" xfId="31552"/>
    <cellStyle name="_-* #,##0_-;-* #,##0_-;_-* &quot;-&quot;_-;_-@_-_재무지원부충당금_1_예외적립품의_0910(완료) 3 3 2 5" xfId="24373"/>
    <cellStyle name="_-* #,##0_-;-* #,##0_-;_-* &quot;-&quot;_-;_-@_-_재무지원부충당금_1_예외적립품의_0910(완료) 3 3 2 5 2" xfId="31553"/>
    <cellStyle name="_-* #,##0_-;-* #,##0_-;_-* &quot;-&quot;_-;_-@_-_재무지원부충당금_1_예외적립품의_0910(완료) 3 3 2 6" xfId="28115"/>
    <cellStyle name="_-* #,##0_-;-* #,##0_-;_-* &quot;-&quot;_-;_-@_-_재무지원부충당금_1_예외적립품의_0910(완료) 3 3 3" xfId="24374"/>
    <cellStyle name="_-* #,##0_-;-* #,##0_-;_-* &quot;-&quot;_-;_-@_-_재무지원부충당금_1_예외적립품의_0910(완료) 3 3 3 2" xfId="24375"/>
    <cellStyle name="_-* #,##0_-;-* #,##0_-;_-* &quot;-&quot;_-;_-@_-_재무지원부충당금_1_예외적립품의_0910(완료) 3 3 3 2 2" xfId="31555"/>
    <cellStyle name="_-* #,##0_-;-* #,##0_-;_-* &quot;-&quot;_-;_-@_-_재무지원부충당금_1_예외적립품의_0910(완료) 3 3 3 3" xfId="31554"/>
    <cellStyle name="_-* #,##0_-;-* #,##0_-;_-* &quot;-&quot;_-;_-@_-_재무지원부충당금_1_예외적립품의_0910(완료) 3 3 4" xfId="24376"/>
    <cellStyle name="_-* #,##0_-;-* #,##0_-;_-* &quot;-&quot;_-;_-@_-_재무지원부충당금_1_예외적립품의_0910(완료) 3 3 4 2" xfId="31556"/>
    <cellStyle name="_-* #,##0_-;-* #,##0_-;_-* &quot;-&quot;_-;_-@_-_재무지원부충당금_1_예외적립품의_0910(완료) 3 3 5" xfId="24377"/>
    <cellStyle name="_-* #,##0_-;-* #,##0_-;_-* &quot;-&quot;_-;_-@_-_재무지원부충당금_1_예외적립품의_0910(완료) 3 3 5 2" xfId="31557"/>
    <cellStyle name="_-* #,##0_-;-* #,##0_-;_-* &quot;-&quot;_-;_-@_-_재무지원부충당금_1_예외적립품의_0910(완료) 3 3 6" xfId="24378"/>
    <cellStyle name="_-* #,##0_-;-* #,##0_-;_-* &quot;-&quot;_-;_-@_-_재무지원부충당금_1_예외적립품의_0910(완료) 3 3 6 2" xfId="31558"/>
    <cellStyle name="_-* #,##0_-;-* #,##0_-;_-* &quot;-&quot;_-;_-@_-_재무지원부충당금_1_예외적립품의_0910(완료) 3 3 7" xfId="24379"/>
    <cellStyle name="_-* #,##0_-;-* #,##0_-;_-* &quot;-&quot;_-;_-@_-_재무지원부충당금_1_예외적립품의_0910(완료) 3 3 7 2" xfId="31559"/>
    <cellStyle name="_-* #,##0_-;-* #,##0_-;_-* &quot;-&quot;_-;_-@_-_재무지원부충당금_1_예외적립품의_0910(완료) 3 3 8" xfId="28114"/>
    <cellStyle name="_-* #,##0_-;-* #,##0_-;_-* &quot;-&quot;_-;_-@_-_재무지원부충당금_1_예외적립품의_0910(완료) 3 4" xfId="5497"/>
    <cellStyle name="_-* #,##0_-;-* #,##0_-;_-* &quot;-&quot;_-;_-@_-_재무지원부충당금_1_예외적립품의_0910(완료) 3 4 2" xfId="5498"/>
    <cellStyle name="_-* #,##0_-;-* #,##0_-;_-* &quot;-&quot;_-;_-@_-_재무지원부충당금_1_예외적립품의_0910(완료) 3 4 2 2" xfId="24380"/>
    <cellStyle name="_-* #,##0_-;-* #,##0_-;_-* &quot;-&quot;_-;_-@_-_재무지원부충당금_1_예외적립품의_0910(완료) 3 4 2 2 2" xfId="31560"/>
    <cellStyle name="_-* #,##0_-;-* #,##0_-;_-* &quot;-&quot;_-;_-@_-_재무지원부충당금_1_예외적립품의_0910(완료) 3 4 2 3" xfId="24381"/>
    <cellStyle name="_-* #,##0_-;-* #,##0_-;_-* &quot;-&quot;_-;_-@_-_재무지원부충당금_1_예외적립품의_0910(완료) 3 4 2 3 2" xfId="31561"/>
    <cellStyle name="_-* #,##0_-;-* #,##0_-;_-* &quot;-&quot;_-;_-@_-_재무지원부충당금_1_예외적립품의_0910(완료) 3 4 2 4" xfId="24382"/>
    <cellStyle name="_-* #,##0_-;-* #,##0_-;_-* &quot;-&quot;_-;_-@_-_재무지원부충당금_1_예외적립품의_0910(완료) 3 4 2 4 2" xfId="31562"/>
    <cellStyle name="_-* #,##0_-;-* #,##0_-;_-* &quot;-&quot;_-;_-@_-_재무지원부충당금_1_예외적립품의_0910(완료) 3 4 2 5" xfId="24383"/>
    <cellStyle name="_-* #,##0_-;-* #,##0_-;_-* &quot;-&quot;_-;_-@_-_재무지원부충당금_1_예외적립품의_0910(완료) 3 4 2 5 2" xfId="31563"/>
    <cellStyle name="_-* #,##0_-;-* #,##0_-;_-* &quot;-&quot;_-;_-@_-_재무지원부충당금_1_예외적립품의_0910(완료) 3 4 2 6" xfId="28117"/>
    <cellStyle name="_-* #,##0_-;-* #,##0_-;_-* &quot;-&quot;_-;_-@_-_재무지원부충당금_1_예외적립품의_0910(완료) 3 4 3" xfId="24384"/>
    <cellStyle name="_-* #,##0_-;-* #,##0_-;_-* &quot;-&quot;_-;_-@_-_재무지원부충당금_1_예외적립품의_0910(완료) 3 4 3 2" xfId="24385"/>
    <cellStyle name="_-* #,##0_-;-* #,##0_-;_-* &quot;-&quot;_-;_-@_-_재무지원부충당금_1_예외적립품의_0910(완료) 3 4 3 2 2" xfId="31565"/>
    <cellStyle name="_-* #,##0_-;-* #,##0_-;_-* &quot;-&quot;_-;_-@_-_재무지원부충당금_1_예외적립품의_0910(완료) 3 4 3 3" xfId="31564"/>
    <cellStyle name="_-* #,##0_-;-* #,##0_-;_-* &quot;-&quot;_-;_-@_-_재무지원부충당금_1_예외적립품의_0910(완료) 3 4 4" xfId="24386"/>
    <cellStyle name="_-* #,##0_-;-* #,##0_-;_-* &quot;-&quot;_-;_-@_-_재무지원부충당금_1_예외적립품의_0910(완료) 3 4 4 2" xfId="31566"/>
    <cellStyle name="_-* #,##0_-;-* #,##0_-;_-* &quot;-&quot;_-;_-@_-_재무지원부충당금_1_예외적립품의_0910(완료) 3 4 5" xfId="24387"/>
    <cellStyle name="_-* #,##0_-;-* #,##0_-;_-* &quot;-&quot;_-;_-@_-_재무지원부충당금_1_예외적립품의_0910(완료) 3 4 5 2" xfId="31567"/>
    <cellStyle name="_-* #,##0_-;-* #,##0_-;_-* &quot;-&quot;_-;_-@_-_재무지원부충당금_1_예외적립품의_0910(완료) 3 4 6" xfId="24388"/>
    <cellStyle name="_-* #,##0_-;-* #,##0_-;_-* &quot;-&quot;_-;_-@_-_재무지원부충당금_1_예외적립품의_0910(완료) 3 4 6 2" xfId="31568"/>
    <cellStyle name="_-* #,##0_-;-* #,##0_-;_-* &quot;-&quot;_-;_-@_-_재무지원부충당금_1_예외적립품의_0910(완료) 3 4 7" xfId="24389"/>
    <cellStyle name="_-* #,##0_-;-* #,##0_-;_-* &quot;-&quot;_-;_-@_-_재무지원부충당금_1_예외적립품의_0910(완료) 3 4 7 2" xfId="31569"/>
    <cellStyle name="_-* #,##0_-;-* #,##0_-;_-* &quot;-&quot;_-;_-@_-_재무지원부충당금_1_예외적립품의_0910(완료) 3 4 8" xfId="28116"/>
    <cellStyle name="_-* #,##0_-;-* #,##0_-;_-* &quot;-&quot;_-;_-@_-_재무지원부충당금_1_예외적립품의_0910(완료) 3 5" xfId="5499"/>
    <cellStyle name="_-* #,##0_-;-* #,##0_-;_-* &quot;-&quot;_-;_-@_-_재무지원부충당금_1_예외적립품의_0910(완료) 3 5 2" xfId="24390"/>
    <cellStyle name="_-* #,##0_-;-* #,##0_-;_-* &quot;-&quot;_-;_-@_-_재무지원부충당금_1_예외적립품의_0910(완료) 3 5 2 2" xfId="31570"/>
    <cellStyle name="_-* #,##0_-;-* #,##0_-;_-* &quot;-&quot;_-;_-@_-_재무지원부충당금_1_예외적립품의_0910(완료) 3 5 3" xfId="24391"/>
    <cellStyle name="_-* #,##0_-;-* #,##0_-;_-* &quot;-&quot;_-;_-@_-_재무지원부충당금_1_예외적립품의_0910(완료) 3 5 3 2" xfId="31571"/>
    <cellStyle name="_-* #,##0_-;-* #,##0_-;_-* &quot;-&quot;_-;_-@_-_재무지원부충당금_1_예외적립품의_0910(완료) 3 5 4" xfId="24392"/>
    <cellStyle name="_-* #,##0_-;-* #,##0_-;_-* &quot;-&quot;_-;_-@_-_재무지원부충당금_1_예외적립품의_0910(완료) 3 5 4 2" xfId="31572"/>
    <cellStyle name="_-* #,##0_-;-* #,##0_-;_-* &quot;-&quot;_-;_-@_-_재무지원부충당금_1_예외적립품의_0910(완료) 3 5 5" xfId="24393"/>
    <cellStyle name="_-* #,##0_-;-* #,##0_-;_-* &quot;-&quot;_-;_-@_-_재무지원부충당금_1_예외적립품의_0910(완료) 3 5 5 2" xfId="31573"/>
    <cellStyle name="_-* #,##0_-;-* #,##0_-;_-* &quot;-&quot;_-;_-@_-_재무지원부충당금_1_예외적립품의_0910(완료) 3 5 6" xfId="28118"/>
    <cellStyle name="_-* #,##0_-;-* #,##0_-;_-* &quot;-&quot;_-;_-@_-_재무지원부충당금_1_예외적립품의_0910(완료) 3 6" xfId="24394"/>
    <cellStyle name="_-* #,##0_-;-* #,##0_-;_-* &quot;-&quot;_-;_-@_-_재무지원부충당금_1_예외적립품의_0910(완료) 3 6 2" xfId="24395"/>
    <cellStyle name="_-* #,##0_-;-* #,##0_-;_-* &quot;-&quot;_-;_-@_-_재무지원부충당금_1_예외적립품의_0910(완료) 3 6 2 2" xfId="31575"/>
    <cellStyle name="_-* #,##0_-;-* #,##0_-;_-* &quot;-&quot;_-;_-@_-_재무지원부충당금_1_예외적립품의_0910(완료) 3 6 3" xfId="31574"/>
    <cellStyle name="_-* #,##0_-;-* #,##0_-;_-* &quot;-&quot;_-;_-@_-_재무지원부충당금_1_예외적립품의_0910(완료) 3 7" xfId="24396"/>
    <cellStyle name="_-* #,##0_-;-* #,##0_-;_-* &quot;-&quot;_-;_-@_-_재무지원부충당금_1_예외적립품의_0910(완료) 3 7 2" xfId="31576"/>
    <cellStyle name="_-* #,##0_-;-* #,##0_-;_-* &quot;-&quot;_-;_-@_-_재무지원부충당금_1_예외적립품의_0910(완료) 3 8" xfId="24397"/>
    <cellStyle name="_-* #,##0_-;-* #,##0_-;_-* &quot;-&quot;_-;_-@_-_재무지원부충당금_1_예외적립품의_0910(완료) 3 8 2" xfId="31577"/>
    <cellStyle name="_-* #,##0_-;-* #,##0_-;_-* &quot;-&quot;_-;_-@_-_재무지원부충당금_1_예외적립품의_0910(완료) 3 9" xfId="24398"/>
    <cellStyle name="_-* #,##0_-;-* #,##0_-;_-* &quot;-&quot;_-;_-@_-_재무지원부충당금_1_예외적립품의_0910(완료) 3 9 2" xfId="31578"/>
    <cellStyle name="_-* #,##0_-;-* #,##0_-;_-* &quot;-&quot;_-;_-@_-_재무지원부충당금_1_예외적립품의_0910(완료) 4" xfId="5500"/>
    <cellStyle name="_-* #,##0_-;-* #,##0_-;_-* &quot;-&quot;_-;_-@_-_재무지원부충당금_1_예외적립품의_0910(완료) 4 2" xfId="5501"/>
    <cellStyle name="_-* #,##0_-;-* #,##0_-;_-* &quot;-&quot;_-;_-@_-_재무지원부충당금_1_예외적립품의_0910(완료) 4 2 2" xfId="5502"/>
    <cellStyle name="_-* #,##0_-;-* #,##0_-;_-* &quot;-&quot;_-;_-@_-_재무지원부충당금_1_예외적립품의_0910(완료) 4 2 2 2" xfId="24399"/>
    <cellStyle name="_-* #,##0_-;-* #,##0_-;_-* &quot;-&quot;_-;_-@_-_재무지원부충당금_1_예외적립품의_0910(완료) 4 2 2 2 2" xfId="31579"/>
    <cellStyle name="_-* #,##0_-;-* #,##0_-;_-* &quot;-&quot;_-;_-@_-_재무지원부충당금_1_예외적립품의_0910(완료) 4 2 2 3" xfId="28121"/>
    <cellStyle name="_-* #,##0_-;-* #,##0_-;_-* &quot;-&quot;_-;_-@_-_재무지원부충당금_1_예외적립품의_0910(완료) 4 2 3" xfId="24400"/>
    <cellStyle name="_-* #,##0_-;-* #,##0_-;_-* &quot;-&quot;_-;_-@_-_재무지원부충당금_1_예외적립품의_0910(완료) 4 2 3 2" xfId="31580"/>
    <cellStyle name="_-* #,##0_-;-* #,##0_-;_-* &quot;-&quot;_-;_-@_-_재무지원부충당금_1_예외적립품의_0910(완료) 4 2 4" xfId="24401"/>
    <cellStyle name="_-* #,##0_-;-* #,##0_-;_-* &quot;-&quot;_-;_-@_-_재무지원부충당금_1_예외적립품의_0910(완료) 4 2 4 2" xfId="31581"/>
    <cellStyle name="_-* #,##0_-;-* #,##0_-;_-* &quot;-&quot;_-;_-@_-_재무지원부충당금_1_예외적립품의_0910(완료) 4 2 5" xfId="24402"/>
    <cellStyle name="_-* #,##0_-;-* #,##0_-;_-* &quot;-&quot;_-;_-@_-_재무지원부충당금_1_예외적립품의_0910(완료) 4 2 5 2" xfId="31582"/>
    <cellStyle name="_-* #,##0_-;-* #,##0_-;_-* &quot;-&quot;_-;_-@_-_재무지원부충당금_1_예외적립품의_0910(완료) 4 2 6" xfId="28120"/>
    <cellStyle name="_-* #,##0_-;-* #,##0_-;_-* &quot;-&quot;_-;_-@_-_재무지원부충당금_1_예외적립품의_0910(완료) 4 3" xfId="5503"/>
    <cellStyle name="_-* #,##0_-;-* #,##0_-;_-* &quot;-&quot;_-;_-@_-_재무지원부충당금_1_예외적립품의_0910(완료) 4 3 2" xfId="5504"/>
    <cellStyle name="_-* #,##0_-;-* #,##0_-;_-* &quot;-&quot;_-;_-@_-_재무지원부충당금_1_예외적립품의_0910(완료) 4 3 2 2" xfId="24403"/>
    <cellStyle name="_-* #,##0_-;-* #,##0_-;_-* &quot;-&quot;_-;_-@_-_재무지원부충당금_1_예외적립품의_0910(완료) 4 3 2 2 2" xfId="31583"/>
    <cellStyle name="_-* #,##0_-;-* #,##0_-;_-* &quot;-&quot;_-;_-@_-_재무지원부충당금_1_예외적립품의_0910(완료) 4 3 2 3" xfId="28123"/>
    <cellStyle name="_-* #,##0_-;-* #,##0_-;_-* &quot;-&quot;_-;_-@_-_재무지원부충당금_1_예외적립품의_0910(완료) 4 3 3" xfId="24404"/>
    <cellStyle name="_-* #,##0_-;-* #,##0_-;_-* &quot;-&quot;_-;_-@_-_재무지원부충당금_1_예외적립품의_0910(완료) 4 3 3 2" xfId="31584"/>
    <cellStyle name="_-* #,##0_-;-* #,##0_-;_-* &quot;-&quot;_-;_-@_-_재무지원부충당금_1_예외적립품의_0910(완료) 4 3 4" xfId="28122"/>
    <cellStyle name="_-* #,##0_-;-* #,##0_-;_-* &quot;-&quot;_-;_-@_-_재무지원부충당금_1_예외적립품의_0910(완료) 4 4" xfId="5505"/>
    <cellStyle name="_-* #,##0_-;-* #,##0_-;_-* &quot;-&quot;_-;_-@_-_재무지원부충당금_1_예외적립품의_0910(완료) 4 4 2" xfId="5506"/>
    <cellStyle name="_-* #,##0_-;-* #,##0_-;_-* &quot;-&quot;_-;_-@_-_재무지원부충당금_1_예외적립품의_0910(완료) 4 4 2 2" xfId="24405"/>
    <cellStyle name="_-* #,##0_-;-* #,##0_-;_-* &quot;-&quot;_-;_-@_-_재무지원부충당금_1_예외적립품의_0910(완료) 4 4 2 2 2" xfId="31585"/>
    <cellStyle name="_-* #,##0_-;-* #,##0_-;_-* &quot;-&quot;_-;_-@_-_재무지원부충당금_1_예외적립품의_0910(완료) 4 4 2 3" xfId="28125"/>
    <cellStyle name="_-* #,##0_-;-* #,##0_-;_-* &quot;-&quot;_-;_-@_-_재무지원부충당금_1_예외적립품의_0910(완료) 4 4 3" xfId="24406"/>
    <cellStyle name="_-* #,##0_-;-* #,##0_-;_-* &quot;-&quot;_-;_-@_-_재무지원부충당금_1_예외적립품의_0910(완료) 4 4 3 2" xfId="31586"/>
    <cellStyle name="_-* #,##0_-;-* #,##0_-;_-* &quot;-&quot;_-;_-@_-_재무지원부충당금_1_예외적립품의_0910(완료) 4 4 4" xfId="28124"/>
    <cellStyle name="_-* #,##0_-;-* #,##0_-;_-* &quot;-&quot;_-;_-@_-_재무지원부충당금_1_예외적립품의_0910(완료) 4 5" xfId="5507"/>
    <cellStyle name="_-* #,##0_-;-* #,##0_-;_-* &quot;-&quot;_-;_-@_-_재무지원부충당금_1_예외적립품의_0910(완료) 4 5 2" xfId="24407"/>
    <cellStyle name="_-* #,##0_-;-* #,##0_-;_-* &quot;-&quot;_-;_-@_-_재무지원부충당금_1_예외적립품의_0910(완료) 4 5 2 2" xfId="31587"/>
    <cellStyle name="_-* #,##0_-;-* #,##0_-;_-* &quot;-&quot;_-;_-@_-_재무지원부충당금_1_예외적립품의_0910(완료) 4 5 3" xfId="28126"/>
    <cellStyle name="_-* #,##0_-;-* #,##0_-;_-* &quot;-&quot;_-;_-@_-_재무지원부충당금_1_예외적립품의_0910(완료) 4 6" xfId="24408"/>
    <cellStyle name="_-* #,##0_-;-* #,##0_-;_-* &quot;-&quot;_-;_-@_-_재무지원부충당금_1_예외적립품의_0910(완료) 4 6 2" xfId="31588"/>
    <cellStyle name="_-* #,##0_-;-* #,##0_-;_-* &quot;-&quot;_-;_-@_-_재무지원부충당금_1_예외적립품의_0910(완료) 4 7" xfId="24409"/>
    <cellStyle name="_-* #,##0_-;-* #,##0_-;_-* &quot;-&quot;_-;_-@_-_재무지원부충당금_1_예외적립품의_0910(완료) 4 7 2" xfId="31589"/>
    <cellStyle name="_-* #,##0_-;-* #,##0_-;_-* &quot;-&quot;_-;_-@_-_재무지원부충당금_1_예외적립품의_0910(완료) 4 8" xfId="28119"/>
    <cellStyle name="_-* #,##0_-;-* #,##0_-;_-* &quot;-&quot;_-;_-@_-_재무지원부충당금_1_예외적립품의_0910(완료) 5" xfId="5508"/>
    <cellStyle name="_-* #,##0_-;-* #,##0_-;_-* &quot;-&quot;_-;_-@_-_재무지원부충당금_1_예외적립품의_0910(완료) 5 2" xfId="5509"/>
    <cellStyle name="_-* #,##0_-;-* #,##0_-;_-* &quot;-&quot;_-;_-@_-_재무지원부충당금_1_예외적립품의_0910(완료) 5 2 2" xfId="5510"/>
    <cellStyle name="_-* #,##0_-;-* #,##0_-;_-* &quot;-&quot;_-;_-@_-_재무지원부충당금_1_예외적립품의_0910(완료) 5 2 2 2" xfId="24410"/>
    <cellStyle name="_-* #,##0_-;-* #,##0_-;_-* &quot;-&quot;_-;_-@_-_재무지원부충당금_1_예외적립품의_0910(완료) 5 2 2 2 2" xfId="31590"/>
    <cellStyle name="_-* #,##0_-;-* #,##0_-;_-* &quot;-&quot;_-;_-@_-_재무지원부충당금_1_예외적립품의_0910(완료) 5 2 2 3" xfId="28129"/>
    <cellStyle name="_-* #,##0_-;-* #,##0_-;_-* &quot;-&quot;_-;_-@_-_재무지원부충당금_1_예외적립품의_0910(완료) 5 2 3" xfId="24411"/>
    <cellStyle name="_-* #,##0_-;-* #,##0_-;_-* &quot;-&quot;_-;_-@_-_재무지원부충당금_1_예외적립품의_0910(완료) 5 2 3 2" xfId="31591"/>
    <cellStyle name="_-* #,##0_-;-* #,##0_-;_-* &quot;-&quot;_-;_-@_-_재무지원부충당금_1_예외적립품의_0910(완료) 5 2 4" xfId="24412"/>
    <cellStyle name="_-* #,##0_-;-* #,##0_-;_-* &quot;-&quot;_-;_-@_-_재무지원부충당금_1_예외적립품의_0910(완료) 5 2 4 2" xfId="31592"/>
    <cellStyle name="_-* #,##0_-;-* #,##0_-;_-* &quot;-&quot;_-;_-@_-_재무지원부충당금_1_예외적립품의_0910(완료) 5 2 5" xfId="24413"/>
    <cellStyle name="_-* #,##0_-;-* #,##0_-;_-* &quot;-&quot;_-;_-@_-_재무지원부충당금_1_예외적립품의_0910(완료) 5 2 5 2" xfId="31593"/>
    <cellStyle name="_-* #,##0_-;-* #,##0_-;_-* &quot;-&quot;_-;_-@_-_재무지원부충당금_1_예외적립품의_0910(완료) 5 2 6" xfId="28128"/>
    <cellStyle name="_-* #,##0_-;-* #,##0_-;_-* &quot;-&quot;_-;_-@_-_재무지원부충당금_1_예외적립품의_0910(완료) 5 3" xfId="5511"/>
    <cellStyle name="_-* #,##0_-;-* #,##0_-;_-* &quot;-&quot;_-;_-@_-_재무지원부충당금_1_예외적립품의_0910(완료) 5 3 2" xfId="5512"/>
    <cellStyle name="_-* #,##0_-;-* #,##0_-;_-* &quot;-&quot;_-;_-@_-_재무지원부충당금_1_예외적립품의_0910(완료) 5 3 2 2" xfId="24414"/>
    <cellStyle name="_-* #,##0_-;-* #,##0_-;_-* &quot;-&quot;_-;_-@_-_재무지원부충당금_1_예외적립품의_0910(완료) 5 3 2 2 2" xfId="31594"/>
    <cellStyle name="_-* #,##0_-;-* #,##0_-;_-* &quot;-&quot;_-;_-@_-_재무지원부충당금_1_예외적립품의_0910(완료) 5 3 2 3" xfId="28131"/>
    <cellStyle name="_-* #,##0_-;-* #,##0_-;_-* &quot;-&quot;_-;_-@_-_재무지원부충당금_1_예외적립품의_0910(완료) 5 3 3" xfId="24415"/>
    <cellStyle name="_-* #,##0_-;-* #,##0_-;_-* &quot;-&quot;_-;_-@_-_재무지원부충당금_1_예외적립품의_0910(완료) 5 3 3 2" xfId="31595"/>
    <cellStyle name="_-* #,##0_-;-* #,##0_-;_-* &quot;-&quot;_-;_-@_-_재무지원부충당금_1_예외적립품의_0910(완료) 5 3 4" xfId="28130"/>
    <cellStyle name="_-* #,##0_-;-* #,##0_-;_-* &quot;-&quot;_-;_-@_-_재무지원부충당금_1_예외적립품의_0910(완료) 5 4" xfId="5513"/>
    <cellStyle name="_-* #,##0_-;-* #,##0_-;_-* &quot;-&quot;_-;_-@_-_재무지원부충당금_1_예외적립품의_0910(완료) 5 4 2" xfId="24416"/>
    <cellStyle name="_-* #,##0_-;-* #,##0_-;_-* &quot;-&quot;_-;_-@_-_재무지원부충당금_1_예외적립품의_0910(완료) 5 4 2 2" xfId="31596"/>
    <cellStyle name="_-* #,##0_-;-* #,##0_-;_-* &quot;-&quot;_-;_-@_-_재무지원부충당금_1_예외적립품의_0910(완료) 5 4 3" xfId="28132"/>
    <cellStyle name="_-* #,##0_-;-* #,##0_-;_-* &quot;-&quot;_-;_-@_-_재무지원부충당금_1_예외적립품의_0910(완료) 5 5" xfId="24417"/>
    <cellStyle name="_-* #,##0_-;-* #,##0_-;_-* &quot;-&quot;_-;_-@_-_재무지원부충당금_1_예외적립품의_0910(완료) 5 5 2" xfId="31597"/>
    <cellStyle name="_-* #,##0_-;-* #,##0_-;_-* &quot;-&quot;_-;_-@_-_재무지원부충당금_1_예외적립품의_0910(완료) 5 6" xfId="24418"/>
    <cellStyle name="_-* #,##0_-;-* #,##0_-;_-* &quot;-&quot;_-;_-@_-_재무지원부충당금_1_예외적립품의_0910(완료) 5 6 2" xfId="31598"/>
    <cellStyle name="_-* #,##0_-;-* #,##0_-;_-* &quot;-&quot;_-;_-@_-_재무지원부충당금_1_예외적립품의_0910(완료) 5 7" xfId="24419"/>
    <cellStyle name="_-* #,##0_-;-* #,##0_-;_-* &quot;-&quot;_-;_-@_-_재무지원부충당금_1_예외적립품의_0910(완료) 5 7 2" xfId="31599"/>
    <cellStyle name="_-* #,##0_-;-* #,##0_-;_-* &quot;-&quot;_-;_-@_-_재무지원부충당금_1_예외적립품의_0910(완료) 5 8" xfId="28127"/>
    <cellStyle name="_-* #,##0_-;-* #,##0_-;_-* &quot;-&quot;_-;_-@_-_재무지원부충당금_1_예외적립품의_0910(완료) 6" xfId="5514"/>
    <cellStyle name="_-* #,##0_-;-* #,##0_-;_-* &quot;-&quot;_-;_-@_-_재무지원부충당금_1_예외적립품의_0910(완료) 6 2" xfId="5515"/>
    <cellStyle name="_-* #,##0_-;-* #,##0_-;_-* &quot;-&quot;_-;_-@_-_재무지원부충당금_1_예외적립품의_0910(완료) 6 2 2" xfId="24420"/>
    <cellStyle name="_-* #,##0_-;-* #,##0_-;_-* &quot;-&quot;_-;_-@_-_재무지원부충당금_1_예외적립품의_0910(완료) 6 2 2 2" xfId="31600"/>
    <cellStyle name="_-* #,##0_-;-* #,##0_-;_-* &quot;-&quot;_-;_-@_-_재무지원부충당금_1_예외적립품의_0910(완료) 6 2 3" xfId="24421"/>
    <cellStyle name="_-* #,##0_-;-* #,##0_-;_-* &quot;-&quot;_-;_-@_-_재무지원부충당금_1_예외적립품의_0910(완료) 6 2 3 2" xfId="31601"/>
    <cellStyle name="_-* #,##0_-;-* #,##0_-;_-* &quot;-&quot;_-;_-@_-_재무지원부충당금_1_예외적립품의_0910(완료) 6 2 4" xfId="24422"/>
    <cellStyle name="_-* #,##0_-;-* #,##0_-;_-* &quot;-&quot;_-;_-@_-_재무지원부충당금_1_예외적립품의_0910(완료) 6 2 4 2" xfId="31602"/>
    <cellStyle name="_-* #,##0_-;-* #,##0_-;_-* &quot;-&quot;_-;_-@_-_재무지원부충당금_1_예외적립품의_0910(완료) 6 2 5" xfId="24423"/>
    <cellStyle name="_-* #,##0_-;-* #,##0_-;_-* &quot;-&quot;_-;_-@_-_재무지원부충당금_1_예외적립품의_0910(완료) 6 2 5 2" xfId="31603"/>
    <cellStyle name="_-* #,##0_-;-* #,##0_-;_-* &quot;-&quot;_-;_-@_-_재무지원부충당금_1_예외적립품의_0910(완료) 6 2 6" xfId="28134"/>
    <cellStyle name="_-* #,##0_-;-* #,##0_-;_-* &quot;-&quot;_-;_-@_-_재무지원부충당금_1_예외적립품의_0910(완료) 6 3" xfId="24424"/>
    <cellStyle name="_-* #,##0_-;-* #,##0_-;_-* &quot;-&quot;_-;_-@_-_재무지원부충당금_1_예외적립품의_0910(완료) 6 3 2" xfId="24425"/>
    <cellStyle name="_-* #,##0_-;-* #,##0_-;_-* &quot;-&quot;_-;_-@_-_재무지원부충당금_1_예외적립품의_0910(완료) 6 3 2 2" xfId="31605"/>
    <cellStyle name="_-* #,##0_-;-* #,##0_-;_-* &quot;-&quot;_-;_-@_-_재무지원부충당금_1_예외적립품의_0910(완료) 6 3 3" xfId="31604"/>
    <cellStyle name="_-* #,##0_-;-* #,##0_-;_-* &quot;-&quot;_-;_-@_-_재무지원부충당금_1_예외적립품의_0910(완료) 6 4" xfId="24426"/>
    <cellStyle name="_-* #,##0_-;-* #,##0_-;_-* &quot;-&quot;_-;_-@_-_재무지원부충당금_1_예외적립품의_0910(완료) 6 4 2" xfId="31606"/>
    <cellStyle name="_-* #,##0_-;-* #,##0_-;_-* &quot;-&quot;_-;_-@_-_재무지원부충당금_1_예외적립품의_0910(완료) 6 5" xfId="24427"/>
    <cellStyle name="_-* #,##0_-;-* #,##0_-;_-* &quot;-&quot;_-;_-@_-_재무지원부충당금_1_예외적립품의_0910(완료) 6 5 2" xfId="31607"/>
    <cellStyle name="_-* #,##0_-;-* #,##0_-;_-* &quot;-&quot;_-;_-@_-_재무지원부충당금_1_예외적립품의_0910(완료) 6 6" xfId="24428"/>
    <cellStyle name="_-* #,##0_-;-* #,##0_-;_-* &quot;-&quot;_-;_-@_-_재무지원부충당금_1_예외적립품의_0910(완료) 6 6 2" xfId="31608"/>
    <cellStyle name="_-* #,##0_-;-* #,##0_-;_-* &quot;-&quot;_-;_-@_-_재무지원부충당금_1_예외적립품의_0910(완료) 6 7" xfId="24429"/>
    <cellStyle name="_-* #,##0_-;-* #,##0_-;_-* &quot;-&quot;_-;_-@_-_재무지원부충당금_1_예외적립품의_0910(완료) 6 7 2" xfId="31609"/>
    <cellStyle name="_-* #,##0_-;-* #,##0_-;_-* &quot;-&quot;_-;_-@_-_재무지원부충당금_1_예외적립품의_0910(완료) 6 8" xfId="28133"/>
    <cellStyle name="_-* #,##0_-;-* #,##0_-;_-* &quot;-&quot;_-;_-@_-_재무지원부충당금_1_예외적립품의_0910(완료) 7" xfId="5516"/>
    <cellStyle name="_-* #,##0_-;-* #,##0_-;_-* &quot;-&quot;_-;_-@_-_재무지원부충당금_1_예외적립품의_0910(완료) 7 2" xfId="5517"/>
    <cellStyle name="_-* #,##0_-;-* #,##0_-;_-* &quot;-&quot;_-;_-@_-_재무지원부충당금_1_예외적립품의_0910(완료) 7 2 2" xfId="24430"/>
    <cellStyle name="_-* #,##0_-;-* #,##0_-;_-* &quot;-&quot;_-;_-@_-_재무지원부충당금_1_예외적립품의_0910(완료) 7 2 2 2" xfId="31610"/>
    <cellStyle name="_-* #,##0_-;-* #,##0_-;_-* &quot;-&quot;_-;_-@_-_재무지원부충당금_1_예외적립품의_0910(완료) 7 2 3" xfId="28136"/>
    <cellStyle name="_-* #,##0_-;-* #,##0_-;_-* &quot;-&quot;_-;_-@_-_재무지원부충당금_1_예외적립품의_0910(완료) 7 3" xfId="24431"/>
    <cellStyle name="_-* #,##0_-;-* #,##0_-;_-* &quot;-&quot;_-;_-@_-_재무지원부충당금_1_예외적립품의_0910(완료) 7 3 2" xfId="31611"/>
    <cellStyle name="_-* #,##0_-;-* #,##0_-;_-* &quot;-&quot;_-;_-@_-_재무지원부충당금_1_예외적립품의_0910(완료) 7 4" xfId="24432"/>
    <cellStyle name="_-* #,##0_-;-* #,##0_-;_-* &quot;-&quot;_-;_-@_-_재무지원부충당금_1_예외적립품의_0910(완료) 7 4 2" xfId="31612"/>
    <cellStyle name="_-* #,##0_-;-* #,##0_-;_-* &quot;-&quot;_-;_-@_-_재무지원부충당금_1_예외적립품의_0910(완료) 7 5" xfId="24433"/>
    <cellStyle name="_-* #,##0_-;-* #,##0_-;_-* &quot;-&quot;_-;_-@_-_재무지원부충당금_1_예외적립품의_0910(완료) 7 5 2" xfId="31613"/>
    <cellStyle name="_-* #,##0_-;-* #,##0_-;_-* &quot;-&quot;_-;_-@_-_재무지원부충당금_1_예외적립품의_0910(완료) 7 6" xfId="28135"/>
    <cellStyle name="_-* #,##0_-;-* #,##0_-;_-* &quot;-&quot;_-;_-@_-_재무지원부충당금_1_예외적립품의_0910(완료) 8" xfId="5518"/>
    <cellStyle name="_-* #,##0_-;-* #,##0_-;_-* &quot;-&quot;_-;_-@_-_재무지원부충당금_1_예외적립품의_0910(완료) 8 2" xfId="5519"/>
    <cellStyle name="_-* #,##0_-;-* #,##0_-;_-* &quot;-&quot;_-;_-@_-_재무지원부충당금_1_예외적립품의_0910(완료) 8 2 2" xfId="24434"/>
    <cellStyle name="_-* #,##0_-;-* #,##0_-;_-* &quot;-&quot;_-;_-@_-_재무지원부충당금_1_예외적립품의_0910(완료) 8 2 2 2" xfId="31614"/>
    <cellStyle name="_-* #,##0_-;-* #,##0_-;_-* &quot;-&quot;_-;_-@_-_재무지원부충당금_1_예외적립품의_0910(완료) 8 2 3" xfId="28138"/>
    <cellStyle name="_-* #,##0_-;-* #,##0_-;_-* &quot;-&quot;_-;_-@_-_재무지원부충당금_1_예외적립품의_0910(완료) 8 3" xfId="24435"/>
    <cellStyle name="_-* #,##0_-;-* #,##0_-;_-* &quot;-&quot;_-;_-@_-_재무지원부충당금_1_예외적립품의_0910(완료) 8 3 2" xfId="31615"/>
    <cellStyle name="_-* #,##0_-;-* #,##0_-;_-* &quot;-&quot;_-;_-@_-_재무지원부충당금_1_예외적립품의_0910(완료) 8 4" xfId="24436"/>
    <cellStyle name="_-* #,##0_-;-* #,##0_-;_-* &quot;-&quot;_-;_-@_-_재무지원부충당금_1_예외적립품의_0910(완료) 8 4 2" xfId="31616"/>
    <cellStyle name="_-* #,##0_-;-* #,##0_-;_-* &quot;-&quot;_-;_-@_-_재무지원부충당금_1_예외적립품의_0910(완료) 8 5" xfId="24437"/>
    <cellStyle name="_-* #,##0_-;-* #,##0_-;_-* &quot;-&quot;_-;_-@_-_재무지원부충당금_1_예외적립품의_0910(완료) 8 5 2" xfId="31617"/>
    <cellStyle name="_-* #,##0_-;-* #,##0_-;_-* &quot;-&quot;_-;_-@_-_재무지원부충당금_1_예외적립품의_0910(완료) 8 6" xfId="28137"/>
    <cellStyle name="_-* #,##0_-;-* #,##0_-;_-* &quot;-&quot;_-;_-@_-_재무지원부충당금_1_예외적립품의_0910(완료) 9" xfId="5520"/>
    <cellStyle name="_-* #,##0_-;-* #,##0_-;_-* &quot;-&quot;_-;_-@_-_재무지원부충당금_1_예외적립품의_0910(완료) 9 2" xfId="24438"/>
    <cellStyle name="_-* #,##0_-;-* #,##0_-;_-* &quot;-&quot;_-;_-@_-_재무지원부충당금_1_예외적립품의_0910(완료) 9 2 2" xfId="31618"/>
    <cellStyle name="_-* #,##0_-;-* #,##0_-;_-* &quot;-&quot;_-;_-@_-_재무지원부충당금_1_예외적립품의_0910(완료) 9 3" xfId="24439"/>
    <cellStyle name="_-* #,##0_-;-* #,##0_-;_-* &quot;-&quot;_-;_-@_-_재무지원부충당금_1_예외적립품의_0910(완료) 9 3 2" xfId="31619"/>
    <cellStyle name="_-* #,##0_-;-* #,##0_-;_-* &quot;-&quot;_-;_-@_-_재무지원부충당금_1_예외적립품의_0910(완료) 9 4" xfId="24440"/>
    <cellStyle name="_-* #,##0_-;-* #,##0_-;_-* &quot;-&quot;_-;_-@_-_재무지원부충당금_1_예외적립품의_0910(완료) 9 4 2" xfId="31620"/>
    <cellStyle name="_-* #,##0_-;-* #,##0_-;_-* &quot;-&quot;_-;_-@_-_재무지원부충당금_1_예외적립품의_0910(완료) 9 5" xfId="28139"/>
    <cellStyle name="_-* #,##0_-;-* #,##0_-;_-* &quot;-&quot;_-;_-@_-_재무지원부충당금_1_예외적립품의_0910(완료)_1211 충당금,건전성 현황_작업" xfId="5521"/>
    <cellStyle name="_-* #,##0_-;-* #,##0_-;_-* &quot;-&quot;_-;_-@_-_재무지원부충당금_1_예외적립품의_0910(완료)_1211 충당금,건전성 현황_작업 2" xfId="24441"/>
    <cellStyle name="_-* #,##0_-;-* #,##0_-;_-* &quot;-&quot;_-;_-@_-_재무지원부충당금_1_예외적립품의_0910(완료)_1211 충당금,건전성 현황_작업 2 2" xfId="31621"/>
    <cellStyle name="_-* #,##0_-;-* #,##0_-;_-* &quot;-&quot;_-;_-@_-_재무지원부충당금_1_예외적립품의_0910(완료)_1211 충당금,건전성 현황_작업 3" xfId="28140"/>
    <cellStyle name="_-* #,##0_-;-* #,##0_-;_-* &quot;-&quot;_-;_-@_-_재무지원부충당금_1_예외적립품의_0910(완료)_Hana 2011-1 Program_Data Disk_Pool B_v2(v5-1더밸류-이교민)" xfId="5522"/>
    <cellStyle name="_-* #,##0_-;-* #,##0_-;_-* &quot;-&quot;_-;_-@_-_재무지원부충당금_1_예외적립품의_0910(완료)_Hana 2011-1 Program_Data Disk_Pool B_v2(v5-1더밸류-이교민) 2" xfId="24442"/>
    <cellStyle name="_-* #,##0_-;-* #,##0_-;_-* &quot;-&quot;_-;_-@_-_재무지원부충당금_1_예외적립품의_0910(완료)_Hana 2011-1 Program_Data Disk_Pool B_v2(v5-1더밸류-이교민) 2 2" xfId="31622"/>
    <cellStyle name="_-* #,##0_-;-* #,##0_-;_-* &quot;-&quot;_-;_-@_-_재무지원부충당금_1_예외적립품의_0910(완료)_Hana 2011-1 Program_Data Disk_Pool B_v2(v5-1더밸류-이교민) 3" xfId="24443"/>
    <cellStyle name="_-* #,##0_-;-* #,##0_-;_-* &quot;-&quot;_-;_-@_-_재무지원부충당금_1_예외적립품의_0910(완료)_Hana 2011-1 Program_Data Disk_Pool B_v2(v5-1더밸류-이교민) 3 2" xfId="31623"/>
    <cellStyle name="_-* #,##0_-;-* #,##0_-;_-* &quot;-&quot;_-;_-@_-_재무지원부충당금_1_예외적립품의_0910(완료)_Hana 2011-1 Program_Data Disk_Pool B_v2(v5-1더밸류-이교민) 4" xfId="24444"/>
    <cellStyle name="_-* #,##0_-;-* #,##0_-;_-* &quot;-&quot;_-;_-@_-_재무지원부충당금_1_예외적립품의_0910(완료)_Hana 2011-1 Program_Data Disk_Pool B_v2(v5-1더밸류-이교민) 4 2" xfId="31624"/>
    <cellStyle name="_-* #,##0_-;-* #,##0_-;_-* &quot;-&quot;_-;_-@_-_재무지원부충당금_1_예외적립품의_0910(완료)_Hana 2011-1 Program_Data Disk_Pool B_v2(v5-1더밸류-이교민) 5" xfId="28141"/>
    <cellStyle name="_-* #,##0_-;-* #,##0_-;_-* &quot;-&quot;_-;_-@_-_재무지원부충당금_1_예외적립품의_0910(완료)_Hana 2011-1 Program_Data Disk_Pool B_v2(v5-1더밸류-이교민)_SHB 2011-2 Program_Data Disk_Pool C,B_v1(v2더밸류_이교민)" xfId="5523"/>
    <cellStyle name="_-* #,##0_-;-* #,##0_-;_-* &quot;-&quot;_-;_-@_-_재무지원부충당금_1_예외적립품의_0910(완료)_Hana 2011-1 Program_Data Disk_Pool B_v2(v5-1더밸류-이교민)_SHB 2011-2 Program_Data Disk_Pool C,B_v1(v2더밸류_이교민) 2" xfId="24445"/>
    <cellStyle name="_-* #,##0_-;-* #,##0_-;_-* &quot;-&quot;_-;_-@_-_재무지원부충당금_1_예외적립품의_0910(완료)_Hana 2011-1 Program_Data Disk_Pool B_v2(v5-1더밸류-이교민)_SHB 2011-2 Program_Data Disk_Pool C,B_v1(v2더밸류_이교민) 2 2" xfId="31625"/>
    <cellStyle name="_-* #,##0_-;-* #,##0_-;_-* &quot;-&quot;_-;_-@_-_재무지원부충당금_1_예외적립품의_0910(완료)_Hana 2011-1 Program_Data Disk_Pool B_v2(v5-1더밸류-이교민)_SHB 2011-2 Program_Data Disk_Pool C,B_v1(v2더밸류_이교민) 3" xfId="24446"/>
    <cellStyle name="_-* #,##0_-;-* #,##0_-;_-* &quot;-&quot;_-;_-@_-_재무지원부충당금_1_예외적립품의_0910(완료)_Hana 2011-1 Program_Data Disk_Pool B_v2(v5-1더밸류-이교민)_SHB 2011-2 Program_Data Disk_Pool C,B_v1(v2더밸류_이교민) 3 2" xfId="31626"/>
    <cellStyle name="_-* #,##0_-;-* #,##0_-;_-* &quot;-&quot;_-;_-@_-_재무지원부충당금_1_예외적립품의_0910(완료)_Hana 2011-1 Program_Data Disk_Pool B_v2(v5-1더밸류-이교민)_SHB 2011-2 Program_Data Disk_Pool C,B_v1(v2더밸류_이교민) 4" xfId="24447"/>
    <cellStyle name="_-* #,##0_-;-* #,##0_-;_-* &quot;-&quot;_-;_-@_-_재무지원부충당금_1_예외적립품의_0910(완료)_Hana 2011-1 Program_Data Disk_Pool B_v2(v5-1더밸류-이교민)_SHB 2011-2 Program_Data Disk_Pool C,B_v1(v2더밸류_이교민) 4 2" xfId="31627"/>
    <cellStyle name="_-* #,##0_-;-* #,##0_-;_-* &quot;-&quot;_-;_-@_-_재무지원부충당금_1_예외적립품의_0910(완료)_Hana 2011-1 Program_Data Disk_Pool B_v2(v5-1더밸류-이교민)_SHB 2011-2 Program_Data Disk_Pool C,B_v1(v2더밸류_이교민) 5" xfId="28142"/>
    <cellStyle name="_-* #,##0_-;-* #,##0_-;_-* &quot;-&quot;_-;_-@_-_재무지원부충당금_1_예외적립품의_0910(완료)_Hana 2011-1 Program_Data Disk_Pool B_v2(v5-1더밸류-이교민)_차주명관리_20110726_v1" xfId="5524"/>
    <cellStyle name="_-* #,##0_-;-* #,##0_-;_-* &quot;-&quot;_-;_-@_-_재무지원부충당금_1_예외적립품의_0910(완료)_Hana 2011-1 Program_Data Disk_Pool B_v2(v5-1더밸류-이교민)_차주명관리_20110726_v1 2" xfId="24448"/>
    <cellStyle name="_-* #,##0_-;-* #,##0_-;_-* &quot;-&quot;_-;_-@_-_재무지원부충당금_1_예외적립품의_0910(완료)_Hana 2011-1 Program_Data Disk_Pool B_v2(v5-1더밸류-이교민)_차주명관리_20110726_v1 2 2" xfId="31628"/>
    <cellStyle name="_-* #,##0_-;-* #,##0_-;_-* &quot;-&quot;_-;_-@_-_재무지원부충당금_1_예외적립품의_0910(완료)_Hana 2011-1 Program_Data Disk_Pool B_v2(v5-1더밸류-이교민)_차주명관리_20110726_v1 3" xfId="24449"/>
    <cellStyle name="_-* #,##0_-;-* #,##0_-;_-* &quot;-&quot;_-;_-@_-_재무지원부충당금_1_예외적립품의_0910(완료)_Hana 2011-1 Program_Data Disk_Pool B_v2(v5-1더밸류-이교민)_차주명관리_20110726_v1 3 2" xfId="31629"/>
    <cellStyle name="_-* #,##0_-;-* #,##0_-;_-* &quot;-&quot;_-;_-@_-_재무지원부충당금_1_예외적립품의_0910(완료)_Hana 2011-1 Program_Data Disk_Pool B_v2(v5-1더밸류-이교민)_차주명관리_20110726_v1 4" xfId="24450"/>
    <cellStyle name="_-* #,##0_-;-* #,##0_-;_-* &quot;-&quot;_-;_-@_-_재무지원부충당금_1_예외적립품의_0910(완료)_Hana 2011-1 Program_Data Disk_Pool B_v2(v5-1더밸류-이교민)_차주명관리_20110726_v1 4 2" xfId="31630"/>
    <cellStyle name="_-* #,##0_-;-* #,##0_-;_-* &quot;-&quot;_-;_-@_-_재무지원부충당금_1_예외적립품의_0910(완료)_Hana 2011-1 Program_Data Disk_Pool B_v2(v5-1더밸류-이교민)_차주명관리_20110726_v1 5" xfId="28143"/>
    <cellStyle name="_-* #,##0_-;-* #,##0_-;_-* &quot;-&quot;_-;_-@_-_재무지원부충당금_1_예외적립품의_0910(완료)_SHB_2011-3_담보sheet(더밸류_v6이교민)" xfId="5525"/>
    <cellStyle name="_-* #,##0_-;-* #,##0_-;_-* &quot;-&quot;_-;_-@_-_재무지원부충당금_1_예외적립품의_0910(완료)_SHB_2011-3_담보sheet(더밸류_v6이교민) 2" xfId="24451"/>
    <cellStyle name="_-* #,##0_-;-* #,##0_-;_-* &quot;-&quot;_-;_-@_-_재무지원부충당금_1_예외적립품의_0910(완료)_SHB_2011-3_담보sheet(더밸류_v6이교민) 2 2" xfId="31631"/>
    <cellStyle name="_-* #,##0_-;-* #,##0_-;_-* &quot;-&quot;_-;_-@_-_재무지원부충당금_1_예외적립품의_0910(완료)_SHB_2011-3_담보sheet(더밸류_v6이교민) 3" xfId="24452"/>
    <cellStyle name="_-* #,##0_-;-* #,##0_-;_-* &quot;-&quot;_-;_-@_-_재무지원부충당금_1_예외적립품의_0910(완료)_SHB_2011-3_담보sheet(더밸류_v6이교민) 3 2" xfId="31632"/>
    <cellStyle name="_-* #,##0_-;-* #,##0_-;_-* &quot;-&quot;_-;_-@_-_재무지원부충당금_1_예외적립품의_0910(완료)_SHB_2011-3_담보sheet(더밸류_v6이교민) 4" xfId="24453"/>
    <cellStyle name="_-* #,##0_-;-* #,##0_-;_-* &quot;-&quot;_-;_-@_-_재무지원부충당금_1_예외적립품의_0910(완료)_SHB_2011-3_담보sheet(더밸류_v6이교민) 4 2" xfId="31633"/>
    <cellStyle name="_-* #,##0_-;-* #,##0_-;_-* &quot;-&quot;_-;_-@_-_재무지원부충당금_1_예외적립품의_0910(완료)_SHB_2011-3_담보sheet(더밸류_v6이교민) 5" xfId="28144"/>
    <cellStyle name="_-* #,##0_-;-* #,##0_-;_-* &quot;-&quot;_-;_-@_-_재무지원부충당금_1_예외적립품의_0910(완료)_SHB_2011-3_담보sheet(더밸류_v6이교민)_차주명관리_20110726_v1" xfId="5526"/>
    <cellStyle name="_-* #,##0_-;-* #,##0_-;_-* &quot;-&quot;_-;_-@_-_재무지원부충당금_1_예외적립품의_0910(완료)_SHB_2011-3_담보sheet(더밸류_v6이교민)_차주명관리_20110726_v1 2" xfId="24454"/>
    <cellStyle name="_-* #,##0_-;-* #,##0_-;_-* &quot;-&quot;_-;_-@_-_재무지원부충당금_1_예외적립품의_0910(완료)_SHB_2011-3_담보sheet(더밸류_v6이교민)_차주명관리_20110726_v1 2 2" xfId="31634"/>
    <cellStyle name="_-* #,##0_-;-* #,##0_-;_-* &quot;-&quot;_-;_-@_-_재무지원부충당금_1_예외적립품의_0910(완료)_SHB_2011-3_담보sheet(더밸류_v6이교민)_차주명관리_20110726_v1 3" xfId="24455"/>
    <cellStyle name="_-* #,##0_-;-* #,##0_-;_-* &quot;-&quot;_-;_-@_-_재무지원부충당금_1_예외적립품의_0910(완료)_SHB_2011-3_담보sheet(더밸류_v6이교민)_차주명관리_20110726_v1 3 2" xfId="31635"/>
    <cellStyle name="_-* #,##0_-;-* #,##0_-;_-* &quot;-&quot;_-;_-@_-_재무지원부충당금_1_예외적립품의_0910(완료)_SHB_2011-3_담보sheet(더밸류_v6이교민)_차주명관리_20110726_v1 4" xfId="24456"/>
    <cellStyle name="_-* #,##0_-;-* #,##0_-;_-* &quot;-&quot;_-;_-@_-_재무지원부충당금_1_예외적립품의_0910(완료)_SHB_2011-3_담보sheet(더밸류_v6이교민)_차주명관리_20110726_v1 4 2" xfId="31636"/>
    <cellStyle name="_-* #,##0_-;-* #,##0_-;_-* &quot;-&quot;_-;_-@_-_재무지원부충당금_1_예외적립품의_0910(완료)_SHB_2011-3_담보sheet(더밸류_v6이교민)_차주명관리_20110726_v1 5" xfId="28145"/>
    <cellStyle name="_-* #,##0_-;-* #,##0_-;_-* &quot;-&quot;_-;_-@_-_재무지원부충당금_1_예외적립품의_0910(완료)_Sheet1" xfId="5527"/>
    <cellStyle name="_-* #,##0_-;-* #,##0_-;_-* &quot;-&quot;_-;_-@_-_재무지원부충당금_1_예외적립품의_0910(완료)_Sheet1 2" xfId="24457"/>
    <cellStyle name="_-* #,##0_-;-* #,##0_-;_-* &quot;-&quot;_-;_-@_-_재무지원부충당금_1_예외적립품의_0910(완료)_Sheet1 2 2" xfId="31637"/>
    <cellStyle name="_-* #,##0_-;-* #,##0_-;_-* &quot;-&quot;_-;_-@_-_재무지원부충당금_1_예외적립품의_0910(완료)_Sheet1 3" xfId="28146"/>
    <cellStyle name="_-* #,##0_-;-* #,##0_-;_-* &quot;-&quot;_-;_-@_-_재무지원부충당금_1_예외적립품의_0910(완료)_권리분석_v1(최초)-4" xfId="5528"/>
    <cellStyle name="_-* #,##0_-;-* #,##0_-;_-* &quot;-&quot;_-;_-@_-_재무지원부충당금_1_예외적립품의_0910(완료)_권리분석_v1(최초)-4 2" xfId="24458"/>
    <cellStyle name="_-* #,##0_-;-* #,##0_-;_-* &quot;-&quot;_-;_-@_-_재무지원부충당금_1_예외적립품의_0910(완료)_권리분석_v1(최초)-4 2 2" xfId="31638"/>
    <cellStyle name="_-* #,##0_-;-* #,##0_-;_-* &quot;-&quot;_-;_-@_-_재무지원부충당금_1_예외적립품의_0910(완료)_권리분석_v1(최초)-4 3" xfId="24459"/>
    <cellStyle name="_-* #,##0_-;-* #,##0_-;_-* &quot;-&quot;_-;_-@_-_재무지원부충당금_1_예외적립품의_0910(완료)_권리분석_v1(최초)-4 3 2" xfId="31639"/>
    <cellStyle name="_-* #,##0_-;-* #,##0_-;_-* &quot;-&quot;_-;_-@_-_재무지원부충당금_1_예외적립품의_0910(완료)_권리분석_v1(최초)-4 4" xfId="24460"/>
    <cellStyle name="_-* #,##0_-;-* #,##0_-;_-* &quot;-&quot;_-;_-@_-_재무지원부충당금_1_예외적립품의_0910(완료)_권리분석_v1(최초)-4 4 2" xfId="31640"/>
    <cellStyle name="_-* #,##0_-;-* #,##0_-;_-* &quot;-&quot;_-;_-@_-_재무지원부충당금_1_예외적립품의_0910(완료)_권리분석_v1(최초)-4 5" xfId="28147"/>
    <cellStyle name="_-* #,##0_-;-* #,##0_-;_-* &quot;-&quot;_-;_-@_-_재무지원부충당금_1_추가적립업체명세(완료)V_3황동인대리님" xfId="49"/>
    <cellStyle name="_-* #,##0_-;-* #,##0_-;_-* &quot;-&quot;_-;_-@_-_재무지원부충당금_1_추가적립업체명세(완료)V_3황동인대리님 10" xfId="24461"/>
    <cellStyle name="_-* #,##0_-;-* #,##0_-;_-* &quot;-&quot;_-;_-@_-_재무지원부충당금_1_추가적립업체명세(완료)V_3황동인대리님 10 2" xfId="31641"/>
    <cellStyle name="_-* #,##0_-;-* #,##0_-;_-* &quot;-&quot;_-;_-@_-_재무지원부충당금_1_추가적립업체명세(완료)V_3황동인대리님 11" xfId="24462"/>
    <cellStyle name="_-* #,##0_-;-* #,##0_-;_-* &quot;-&quot;_-;_-@_-_재무지원부충당금_1_추가적립업체명세(완료)V_3황동인대리님 11 2" xfId="31642"/>
    <cellStyle name="_-* #,##0_-;-* #,##0_-;_-* &quot;-&quot;_-;_-@_-_재무지원부충당금_1_추가적립업체명세(완료)V_3황동인대리님 12" xfId="27613"/>
    <cellStyle name="_-* #,##0_-;-* #,##0_-;_-* &quot;-&quot;_-;_-@_-_재무지원부충당금_1_추가적립업체명세(완료)V_3황동인대리님 2" xfId="5529"/>
    <cellStyle name="_-* #,##0_-;-* #,##0_-;_-* &quot;-&quot;_-;_-@_-_재무지원부충당금_1_추가적립업체명세(완료)V_3황동인대리님 2 10" xfId="28148"/>
    <cellStyle name="_-* #,##0_-;-* #,##0_-;_-* &quot;-&quot;_-;_-@_-_재무지원부충당금_1_추가적립업체명세(완료)V_3황동인대리님 2 2" xfId="5530"/>
    <cellStyle name="_-* #,##0_-;-* #,##0_-;_-* &quot;-&quot;_-;_-@_-_재무지원부충당금_1_추가적립업체명세(완료)V_3황동인대리님 2 2 2" xfId="5531"/>
    <cellStyle name="_-* #,##0_-;-* #,##0_-;_-* &quot;-&quot;_-;_-@_-_재무지원부충당금_1_추가적립업체명세(완료)V_3황동인대리님 2 2 2 2" xfId="5532"/>
    <cellStyle name="_-* #,##0_-;-* #,##0_-;_-* &quot;-&quot;_-;_-@_-_재무지원부충당금_1_추가적립업체명세(완료)V_3황동인대리님 2 2 2 2 2" xfId="24463"/>
    <cellStyle name="_-* #,##0_-;-* #,##0_-;_-* &quot;-&quot;_-;_-@_-_재무지원부충당금_1_추가적립업체명세(완료)V_3황동인대리님 2 2 2 2 2 2" xfId="31643"/>
    <cellStyle name="_-* #,##0_-;-* #,##0_-;_-* &quot;-&quot;_-;_-@_-_재무지원부충당금_1_추가적립업체명세(완료)V_3황동인대리님 2 2 2 2 3" xfId="28151"/>
    <cellStyle name="_-* #,##0_-;-* #,##0_-;_-* &quot;-&quot;_-;_-@_-_재무지원부충당금_1_추가적립업체명세(완료)V_3황동인대리님 2 2 2 3" xfId="24464"/>
    <cellStyle name="_-* #,##0_-;-* #,##0_-;_-* &quot;-&quot;_-;_-@_-_재무지원부충당금_1_추가적립업체명세(완료)V_3황동인대리님 2 2 2 3 2" xfId="31644"/>
    <cellStyle name="_-* #,##0_-;-* #,##0_-;_-* &quot;-&quot;_-;_-@_-_재무지원부충당금_1_추가적립업체명세(완료)V_3황동인대리님 2 2 2 4" xfId="24465"/>
    <cellStyle name="_-* #,##0_-;-* #,##0_-;_-* &quot;-&quot;_-;_-@_-_재무지원부충당금_1_추가적립업체명세(완료)V_3황동인대리님 2 2 2 4 2" xfId="31645"/>
    <cellStyle name="_-* #,##0_-;-* #,##0_-;_-* &quot;-&quot;_-;_-@_-_재무지원부충당금_1_추가적립업체명세(완료)V_3황동인대리님 2 2 2 5" xfId="24466"/>
    <cellStyle name="_-* #,##0_-;-* #,##0_-;_-* &quot;-&quot;_-;_-@_-_재무지원부충당금_1_추가적립업체명세(완료)V_3황동인대리님 2 2 2 5 2" xfId="31646"/>
    <cellStyle name="_-* #,##0_-;-* #,##0_-;_-* &quot;-&quot;_-;_-@_-_재무지원부충당금_1_추가적립업체명세(완료)V_3황동인대리님 2 2 2 6" xfId="28150"/>
    <cellStyle name="_-* #,##0_-;-* #,##0_-;_-* &quot;-&quot;_-;_-@_-_재무지원부충당금_1_추가적립업체명세(완료)V_3황동인대리님 2 2 3" xfId="5533"/>
    <cellStyle name="_-* #,##0_-;-* #,##0_-;_-* &quot;-&quot;_-;_-@_-_재무지원부충당금_1_추가적립업체명세(완료)V_3황동인대리님 2 2 3 2" xfId="5534"/>
    <cellStyle name="_-* #,##0_-;-* #,##0_-;_-* &quot;-&quot;_-;_-@_-_재무지원부충당금_1_추가적립업체명세(완료)V_3황동인대리님 2 2 3 2 2" xfId="24467"/>
    <cellStyle name="_-* #,##0_-;-* #,##0_-;_-* &quot;-&quot;_-;_-@_-_재무지원부충당금_1_추가적립업체명세(완료)V_3황동인대리님 2 2 3 2 2 2" xfId="31647"/>
    <cellStyle name="_-* #,##0_-;-* #,##0_-;_-* &quot;-&quot;_-;_-@_-_재무지원부충당금_1_추가적립업체명세(완료)V_3황동인대리님 2 2 3 2 3" xfId="28153"/>
    <cellStyle name="_-* #,##0_-;-* #,##0_-;_-* &quot;-&quot;_-;_-@_-_재무지원부충당금_1_추가적립업체명세(완료)V_3황동인대리님 2 2 3 3" xfId="24468"/>
    <cellStyle name="_-* #,##0_-;-* #,##0_-;_-* &quot;-&quot;_-;_-@_-_재무지원부충당금_1_추가적립업체명세(완료)V_3황동인대리님 2 2 3 3 2" xfId="31648"/>
    <cellStyle name="_-* #,##0_-;-* #,##0_-;_-* &quot;-&quot;_-;_-@_-_재무지원부충당금_1_추가적립업체명세(완료)V_3황동인대리님 2 2 3 4" xfId="28152"/>
    <cellStyle name="_-* #,##0_-;-* #,##0_-;_-* &quot;-&quot;_-;_-@_-_재무지원부충당금_1_추가적립업체명세(완료)V_3황동인대리님 2 2 4" xfId="5535"/>
    <cellStyle name="_-* #,##0_-;-* #,##0_-;_-* &quot;-&quot;_-;_-@_-_재무지원부충당금_1_추가적립업체명세(완료)V_3황동인대리님 2 2 4 2" xfId="5536"/>
    <cellStyle name="_-* #,##0_-;-* #,##0_-;_-* &quot;-&quot;_-;_-@_-_재무지원부충당금_1_추가적립업체명세(완료)V_3황동인대리님 2 2 4 2 2" xfId="24469"/>
    <cellStyle name="_-* #,##0_-;-* #,##0_-;_-* &quot;-&quot;_-;_-@_-_재무지원부충당금_1_추가적립업체명세(완료)V_3황동인대리님 2 2 4 2 2 2" xfId="31649"/>
    <cellStyle name="_-* #,##0_-;-* #,##0_-;_-* &quot;-&quot;_-;_-@_-_재무지원부충당금_1_추가적립업체명세(완료)V_3황동인대리님 2 2 4 2 3" xfId="28155"/>
    <cellStyle name="_-* #,##0_-;-* #,##0_-;_-* &quot;-&quot;_-;_-@_-_재무지원부충당금_1_추가적립업체명세(완료)V_3황동인대리님 2 2 4 3" xfId="24470"/>
    <cellStyle name="_-* #,##0_-;-* #,##0_-;_-* &quot;-&quot;_-;_-@_-_재무지원부충당금_1_추가적립업체명세(완료)V_3황동인대리님 2 2 4 3 2" xfId="31650"/>
    <cellStyle name="_-* #,##0_-;-* #,##0_-;_-* &quot;-&quot;_-;_-@_-_재무지원부충당금_1_추가적립업체명세(완료)V_3황동인대리님 2 2 4 4" xfId="28154"/>
    <cellStyle name="_-* #,##0_-;-* #,##0_-;_-* &quot;-&quot;_-;_-@_-_재무지원부충당금_1_추가적립업체명세(완료)V_3황동인대리님 2 2 5" xfId="5537"/>
    <cellStyle name="_-* #,##0_-;-* #,##0_-;_-* &quot;-&quot;_-;_-@_-_재무지원부충당금_1_추가적립업체명세(완료)V_3황동인대리님 2 2 5 2" xfId="24471"/>
    <cellStyle name="_-* #,##0_-;-* #,##0_-;_-* &quot;-&quot;_-;_-@_-_재무지원부충당금_1_추가적립업체명세(완료)V_3황동인대리님 2 2 5 2 2" xfId="31651"/>
    <cellStyle name="_-* #,##0_-;-* #,##0_-;_-* &quot;-&quot;_-;_-@_-_재무지원부충당금_1_추가적립업체명세(완료)V_3황동인대리님 2 2 5 3" xfId="28156"/>
    <cellStyle name="_-* #,##0_-;-* #,##0_-;_-* &quot;-&quot;_-;_-@_-_재무지원부충당금_1_추가적립업체명세(완료)V_3황동인대리님 2 2 6" xfId="24472"/>
    <cellStyle name="_-* #,##0_-;-* #,##0_-;_-* &quot;-&quot;_-;_-@_-_재무지원부충당금_1_추가적립업체명세(완료)V_3황동인대리님 2 2 6 2" xfId="31652"/>
    <cellStyle name="_-* #,##0_-;-* #,##0_-;_-* &quot;-&quot;_-;_-@_-_재무지원부충당금_1_추가적립업체명세(완료)V_3황동인대리님 2 2 7" xfId="24473"/>
    <cellStyle name="_-* #,##0_-;-* #,##0_-;_-* &quot;-&quot;_-;_-@_-_재무지원부충당금_1_추가적립업체명세(완료)V_3황동인대리님 2 2 7 2" xfId="31653"/>
    <cellStyle name="_-* #,##0_-;-* #,##0_-;_-* &quot;-&quot;_-;_-@_-_재무지원부충당금_1_추가적립업체명세(완료)V_3황동인대리님 2 2 8" xfId="28149"/>
    <cellStyle name="_-* #,##0_-;-* #,##0_-;_-* &quot;-&quot;_-;_-@_-_재무지원부충당금_1_추가적립업체명세(완료)V_3황동인대리님 2 3" xfId="5538"/>
    <cellStyle name="_-* #,##0_-;-* #,##0_-;_-* &quot;-&quot;_-;_-@_-_재무지원부충당금_1_추가적립업체명세(완료)V_3황동인대리님 2 3 2" xfId="5539"/>
    <cellStyle name="_-* #,##0_-;-* #,##0_-;_-* &quot;-&quot;_-;_-@_-_재무지원부충당금_1_추가적립업체명세(완료)V_3황동인대리님 2 3 2 2" xfId="5540"/>
    <cellStyle name="_-* #,##0_-;-* #,##0_-;_-* &quot;-&quot;_-;_-@_-_재무지원부충당금_1_추가적립업체명세(완료)V_3황동인대리님 2 3 2 2 2" xfId="24474"/>
    <cellStyle name="_-* #,##0_-;-* #,##0_-;_-* &quot;-&quot;_-;_-@_-_재무지원부충당금_1_추가적립업체명세(완료)V_3황동인대리님 2 3 2 2 2 2" xfId="31654"/>
    <cellStyle name="_-* #,##0_-;-* #,##0_-;_-* &quot;-&quot;_-;_-@_-_재무지원부충당금_1_추가적립업체명세(완료)V_3황동인대리님 2 3 2 2 3" xfId="28159"/>
    <cellStyle name="_-* #,##0_-;-* #,##0_-;_-* &quot;-&quot;_-;_-@_-_재무지원부충당금_1_추가적립업체명세(완료)V_3황동인대리님 2 3 2 3" xfId="24475"/>
    <cellStyle name="_-* #,##0_-;-* #,##0_-;_-* &quot;-&quot;_-;_-@_-_재무지원부충당금_1_추가적립업체명세(완료)V_3황동인대리님 2 3 2 3 2" xfId="31655"/>
    <cellStyle name="_-* #,##0_-;-* #,##0_-;_-* &quot;-&quot;_-;_-@_-_재무지원부충당금_1_추가적립업체명세(완료)V_3황동인대리님 2 3 2 4" xfId="24476"/>
    <cellStyle name="_-* #,##0_-;-* #,##0_-;_-* &quot;-&quot;_-;_-@_-_재무지원부충당금_1_추가적립업체명세(완료)V_3황동인대리님 2 3 2 4 2" xfId="31656"/>
    <cellStyle name="_-* #,##0_-;-* #,##0_-;_-* &quot;-&quot;_-;_-@_-_재무지원부충당금_1_추가적립업체명세(완료)V_3황동인대리님 2 3 2 5" xfId="24477"/>
    <cellStyle name="_-* #,##0_-;-* #,##0_-;_-* &quot;-&quot;_-;_-@_-_재무지원부충당금_1_추가적립업체명세(완료)V_3황동인대리님 2 3 2 5 2" xfId="31657"/>
    <cellStyle name="_-* #,##0_-;-* #,##0_-;_-* &quot;-&quot;_-;_-@_-_재무지원부충당금_1_추가적립업체명세(완료)V_3황동인대리님 2 3 2 6" xfId="28158"/>
    <cellStyle name="_-* #,##0_-;-* #,##0_-;_-* &quot;-&quot;_-;_-@_-_재무지원부충당금_1_추가적립업체명세(완료)V_3황동인대리님 2 3 3" xfId="5541"/>
    <cellStyle name="_-* #,##0_-;-* #,##0_-;_-* &quot;-&quot;_-;_-@_-_재무지원부충당금_1_추가적립업체명세(완료)V_3황동인대리님 2 3 3 2" xfId="5542"/>
    <cellStyle name="_-* #,##0_-;-* #,##0_-;_-* &quot;-&quot;_-;_-@_-_재무지원부충당금_1_추가적립업체명세(완료)V_3황동인대리님 2 3 3 2 2" xfId="24478"/>
    <cellStyle name="_-* #,##0_-;-* #,##0_-;_-* &quot;-&quot;_-;_-@_-_재무지원부충당금_1_추가적립업체명세(완료)V_3황동인대리님 2 3 3 2 2 2" xfId="31658"/>
    <cellStyle name="_-* #,##0_-;-* #,##0_-;_-* &quot;-&quot;_-;_-@_-_재무지원부충당금_1_추가적립업체명세(완료)V_3황동인대리님 2 3 3 2 3" xfId="28161"/>
    <cellStyle name="_-* #,##0_-;-* #,##0_-;_-* &quot;-&quot;_-;_-@_-_재무지원부충당금_1_추가적립업체명세(완료)V_3황동인대리님 2 3 3 3" xfId="24479"/>
    <cellStyle name="_-* #,##0_-;-* #,##0_-;_-* &quot;-&quot;_-;_-@_-_재무지원부충당금_1_추가적립업체명세(완료)V_3황동인대리님 2 3 3 3 2" xfId="31659"/>
    <cellStyle name="_-* #,##0_-;-* #,##0_-;_-* &quot;-&quot;_-;_-@_-_재무지원부충당금_1_추가적립업체명세(완료)V_3황동인대리님 2 3 3 4" xfId="28160"/>
    <cellStyle name="_-* #,##0_-;-* #,##0_-;_-* &quot;-&quot;_-;_-@_-_재무지원부충당금_1_추가적립업체명세(완료)V_3황동인대리님 2 3 4" xfId="5543"/>
    <cellStyle name="_-* #,##0_-;-* #,##0_-;_-* &quot;-&quot;_-;_-@_-_재무지원부충당금_1_추가적립업체명세(완료)V_3황동인대리님 2 3 4 2" xfId="5544"/>
    <cellStyle name="_-* #,##0_-;-* #,##0_-;_-* &quot;-&quot;_-;_-@_-_재무지원부충당금_1_추가적립업체명세(완료)V_3황동인대리님 2 3 4 2 2" xfId="24480"/>
    <cellStyle name="_-* #,##0_-;-* #,##0_-;_-* &quot;-&quot;_-;_-@_-_재무지원부충당금_1_추가적립업체명세(완료)V_3황동인대리님 2 3 4 2 2 2" xfId="31660"/>
    <cellStyle name="_-* #,##0_-;-* #,##0_-;_-* &quot;-&quot;_-;_-@_-_재무지원부충당금_1_추가적립업체명세(완료)V_3황동인대리님 2 3 4 2 3" xfId="28163"/>
    <cellStyle name="_-* #,##0_-;-* #,##0_-;_-* &quot;-&quot;_-;_-@_-_재무지원부충당금_1_추가적립업체명세(완료)V_3황동인대리님 2 3 4 3" xfId="24481"/>
    <cellStyle name="_-* #,##0_-;-* #,##0_-;_-* &quot;-&quot;_-;_-@_-_재무지원부충당금_1_추가적립업체명세(완료)V_3황동인대리님 2 3 4 3 2" xfId="31661"/>
    <cellStyle name="_-* #,##0_-;-* #,##0_-;_-* &quot;-&quot;_-;_-@_-_재무지원부충당금_1_추가적립업체명세(완료)V_3황동인대리님 2 3 4 4" xfId="28162"/>
    <cellStyle name="_-* #,##0_-;-* #,##0_-;_-* &quot;-&quot;_-;_-@_-_재무지원부충당금_1_추가적립업체명세(완료)V_3황동인대리님 2 3 5" xfId="5545"/>
    <cellStyle name="_-* #,##0_-;-* #,##0_-;_-* &quot;-&quot;_-;_-@_-_재무지원부충당금_1_추가적립업체명세(완료)V_3황동인대리님 2 3 5 2" xfId="24482"/>
    <cellStyle name="_-* #,##0_-;-* #,##0_-;_-* &quot;-&quot;_-;_-@_-_재무지원부충당금_1_추가적립업체명세(완료)V_3황동인대리님 2 3 5 2 2" xfId="31662"/>
    <cellStyle name="_-* #,##0_-;-* #,##0_-;_-* &quot;-&quot;_-;_-@_-_재무지원부충당금_1_추가적립업체명세(완료)V_3황동인대리님 2 3 5 3" xfId="28164"/>
    <cellStyle name="_-* #,##0_-;-* #,##0_-;_-* &quot;-&quot;_-;_-@_-_재무지원부충당금_1_추가적립업체명세(완료)V_3황동인대리님 2 3 6" xfId="24483"/>
    <cellStyle name="_-* #,##0_-;-* #,##0_-;_-* &quot;-&quot;_-;_-@_-_재무지원부충당금_1_추가적립업체명세(완료)V_3황동인대리님 2 3 6 2" xfId="31663"/>
    <cellStyle name="_-* #,##0_-;-* #,##0_-;_-* &quot;-&quot;_-;_-@_-_재무지원부충당금_1_추가적립업체명세(완료)V_3황동인대리님 2 3 7" xfId="24484"/>
    <cellStyle name="_-* #,##0_-;-* #,##0_-;_-* &quot;-&quot;_-;_-@_-_재무지원부충당금_1_추가적립업체명세(완료)V_3황동인대리님 2 3 7 2" xfId="31664"/>
    <cellStyle name="_-* #,##0_-;-* #,##0_-;_-* &quot;-&quot;_-;_-@_-_재무지원부충당금_1_추가적립업체명세(완료)V_3황동인대리님 2 3 8" xfId="28157"/>
    <cellStyle name="_-* #,##0_-;-* #,##0_-;_-* &quot;-&quot;_-;_-@_-_재무지원부충당금_1_추가적립업체명세(완료)V_3황동인대리님 2 4" xfId="5546"/>
    <cellStyle name="_-* #,##0_-;-* #,##0_-;_-* &quot;-&quot;_-;_-@_-_재무지원부충당금_1_추가적립업체명세(완료)V_3황동인대리님 2 4 2" xfId="5547"/>
    <cellStyle name="_-* #,##0_-;-* #,##0_-;_-* &quot;-&quot;_-;_-@_-_재무지원부충당금_1_추가적립업체명세(완료)V_3황동인대리님 2 4 2 2" xfId="5548"/>
    <cellStyle name="_-* #,##0_-;-* #,##0_-;_-* &quot;-&quot;_-;_-@_-_재무지원부충당금_1_추가적립업체명세(완료)V_3황동인대리님 2 4 2 2 2" xfId="24485"/>
    <cellStyle name="_-* #,##0_-;-* #,##0_-;_-* &quot;-&quot;_-;_-@_-_재무지원부충당금_1_추가적립업체명세(완료)V_3황동인대리님 2 4 2 2 2 2" xfId="31665"/>
    <cellStyle name="_-* #,##0_-;-* #,##0_-;_-* &quot;-&quot;_-;_-@_-_재무지원부충당금_1_추가적립업체명세(완료)V_3황동인대리님 2 4 2 2 3" xfId="28167"/>
    <cellStyle name="_-* #,##0_-;-* #,##0_-;_-* &quot;-&quot;_-;_-@_-_재무지원부충당금_1_추가적립업체명세(완료)V_3황동인대리님 2 4 2 3" xfId="24486"/>
    <cellStyle name="_-* #,##0_-;-* #,##0_-;_-* &quot;-&quot;_-;_-@_-_재무지원부충당금_1_추가적립업체명세(완료)V_3황동인대리님 2 4 2 3 2" xfId="31666"/>
    <cellStyle name="_-* #,##0_-;-* #,##0_-;_-* &quot;-&quot;_-;_-@_-_재무지원부충당금_1_추가적립업체명세(완료)V_3황동인대리님 2 4 2 4" xfId="24487"/>
    <cellStyle name="_-* #,##0_-;-* #,##0_-;_-* &quot;-&quot;_-;_-@_-_재무지원부충당금_1_추가적립업체명세(완료)V_3황동인대리님 2 4 2 4 2" xfId="31667"/>
    <cellStyle name="_-* #,##0_-;-* #,##0_-;_-* &quot;-&quot;_-;_-@_-_재무지원부충당금_1_추가적립업체명세(완료)V_3황동인대리님 2 4 2 5" xfId="24488"/>
    <cellStyle name="_-* #,##0_-;-* #,##0_-;_-* &quot;-&quot;_-;_-@_-_재무지원부충당금_1_추가적립업체명세(완료)V_3황동인대리님 2 4 2 5 2" xfId="31668"/>
    <cellStyle name="_-* #,##0_-;-* #,##0_-;_-* &quot;-&quot;_-;_-@_-_재무지원부충당금_1_추가적립업체명세(완료)V_3황동인대리님 2 4 2 6" xfId="28166"/>
    <cellStyle name="_-* #,##0_-;-* #,##0_-;_-* &quot;-&quot;_-;_-@_-_재무지원부충당금_1_추가적립업체명세(완료)V_3황동인대리님 2 4 3" xfId="5549"/>
    <cellStyle name="_-* #,##0_-;-* #,##0_-;_-* &quot;-&quot;_-;_-@_-_재무지원부충당금_1_추가적립업체명세(완료)V_3황동인대리님 2 4 3 2" xfId="5550"/>
    <cellStyle name="_-* #,##0_-;-* #,##0_-;_-* &quot;-&quot;_-;_-@_-_재무지원부충당금_1_추가적립업체명세(완료)V_3황동인대리님 2 4 3 2 2" xfId="24489"/>
    <cellStyle name="_-* #,##0_-;-* #,##0_-;_-* &quot;-&quot;_-;_-@_-_재무지원부충당금_1_추가적립업체명세(완료)V_3황동인대리님 2 4 3 2 2 2" xfId="31669"/>
    <cellStyle name="_-* #,##0_-;-* #,##0_-;_-* &quot;-&quot;_-;_-@_-_재무지원부충당금_1_추가적립업체명세(완료)V_3황동인대리님 2 4 3 2 3" xfId="28169"/>
    <cellStyle name="_-* #,##0_-;-* #,##0_-;_-* &quot;-&quot;_-;_-@_-_재무지원부충당금_1_추가적립업체명세(완료)V_3황동인대리님 2 4 3 3" xfId="24490"/>
    <cellStyle name="_-* #,##0_-;-* #,##0_-;_-* &quot;-&quot;_-;_-@_-_재무지원부충당금_1_추가적립업체명세(완료)V_3황동인대리님 2 4 3 3 2" xfId="31670"/>
    <cellStyle name="_-* #,##0_-;-* #,##0_-;_-* &quot;-&quot;_-;_-@_-_재무지원부충당금_1_추가적립업체명세(완료)V_3황동인대리님 2 4 3 4" xfId="28168"/>
    <cellStyle name="_-* #,##0_-;-* #,##0_-;_-* &quot;-&quot;_-;_-@_-_재무지원부충당금_1_추가적립업체명세(완료)V_3황동인대리님 2 4 4" xfId="5551"/>
    <cellStyle name="_-* #,##0_-;-* #,##0_-;_-* &quot;-&quot;_-;_-@_-_재무지원부충당금_1_추가적립업체명세(완료)V_3황동인대리님 2 4 4 2" xfId="24491"/>
    <cellStyle name="_-* #,##0_-;-* #,##0_-;_-* &quot;-&quot;_-;_-@_-_재무지원부충당금_1_추가적립업체명세(완료)V_3황동인대리님 2 4 4 2 2" xfId="31671"/>
    <cellStyle name="_-* #,##0_-;-* #,##0_-;_-* &quot;-&quot;_-;_-@_-_재무지원부충당금_1_추가적립업체명세(완료)V_3황동인대리님 2 4 4 3" xfId="28170"/>
    <cellStyle name="_-* #,##0_-;-* #,##0_-;_-* &quot;-&quot;_-;_-@_-_재무지원부충당금_1_추가적립업체명세(완료)V_3황동인대리님 2 4 5" xfId="24492"/>
    <cellStyle name="_-* #,##0_-;-* #,##0_-;_-* &quot;-&quot;_-;_-@_-_재무지원부충당금_1_추가적립업체명세(완료)V_3황동인대리님 2 4 5 2" xfId="31672"/>
    <cellStyle name="_-* #,##0_-;-* #,##0_-;_-* &quot;-&quot;_-;_-@_-_재무지원부충당금_1_추가적립업체명세(완료)V_3황동인대리님 2 4 6" xfId="24493"/>
    <cellStyle name="_-* #,##0_-;-* #,##0_-;_-* &quot;-&quot;_-;_-@_-_재무지원부충당금_1_추가적립업체명세(완료)V_3황동인대리님 2 4 6 2" xfId="31673"/>
    <cellStyle name="_-* #,##0_-;-* #,##0_-;_-* &quot;-&quot;_-;_-@_-_재무지원부충당금_1_추가적립업체명세(완료)V_3황동인대리님 2 4 7" xfId="24494"/>
    <cellStyle name="_-* #,##0_-;-* #,##0_-;_-* &quot;-&quot;_-;_-@_-_재무지원부충당금_1_추가적립업체명세(완료)V_3황동인대리님 2 4 7 2" xfId="31674"/>
    <cellStyle name="_-* #,##0_-;-* #,##0_-;_-* &quot;-&quot;_-;_-@_-_재무지원부충당금_1_추가적립업체명세(완료)V_3황동인대리님 2 4 8" xfId="28165"/>
    <cellStyle name="_-* #,##0_-;-* #,##0_-;_-* &quot;-&quot;_-;_-@_-_재무지원부충당금_1_추가적립업체명세(완료)V_3황동인대리님 2 5" xfId="5552"/>
    <cellStyle name="_-* #,##0_-;-* #,##0_-;_-* &quot;-&quot;_-;_-@_-_재무지원부충당금_1_추가적립업체명세(완료)V_3황동인대리님 2 5 2" xfId="5553"/>
    <cellStyle name="_-* #,##0_-;-* #,##0_-;_-* &quot;-&quot;_-;_-@_-_재무지원부충당금_1_추가적립업체명세(완료)V_3황동인대리님 2 5 2 2" xfId="24495"/>
    <cellStyle name="_-* #,##0_-;-* #,##0_-;_-* &quot;-&quot;_-;_-@_-_재무지원부충당금_1_추가적립업체명세(완료)V_3황동인대리님 2 5 2 2 2" xfId="31675"/>
    <cellStyle name="_-* #,##0_-;-* #,##0_-;_-* &quot;-&quot;_-;_-@_-_재무지원부충당금_1_추가적립업체명세(완료)V_3황동인대리님 2 5 2 3" xfId="28172"/>
    <cellStyle name="_-* #,##0_-;-* #,##0_-;_-* &quot;-&quot;_-;_-@_-_재무지원부충당금_1_추가적립업체명세(완료)V_3황동인대리님 2 5 3" xfId="5554"/>
    <cellStyle name="_-* #,##0_-;-* #,##0_-;_-* &quot;-&quot;_-;_-@_-_재무지원부충당금_1_추가적립업체명세(완료)V_3황동인대리님 2 5 3 2" xfId="24496"/>
    <cellStyle name="_-* #,##0_-;-* #,##0_-;_-* &quot;-&quot;_-;_-@_-_재무지원부충당금_1_추가적립업체명세(완료)V_3황동인대리님 2 5 3 2 2" xfId="31676"/>
    <cellStyle name="_-* #,##0_-;-* #,##0_-;_-* &quot;-&quot;_-;_-@_-_재무지원부충당금_1_추가적립업체명세(완료)V_3황동인대리님 2 5 3 3" xfId="28173"/>
    <cellStyle name="_-* #,##0_-;-* #,##0_-;_-* &quot;-&quot;_-;_-@_-_재무지원부충당금_1_추가적립업체명세(완료)V_3황동인대리님 2 5 4" xfId="24497"/>
    <cellStyle name="_-* #,##0_-;-* #,##0_-;_-* &quot;-&quot;_-;_-@_-_재무지원부충당금_1_추가적립업체명세(완료)V_3황동인대리님 2 5 4 2" xfId="31677"/>
    <cellStyle name="_-* #,##0_-;-* #,##0_-;_-* &quot;-&quot;_-;_-@_-_재무지원부충당금_1_추가적립업체명세(완료)V_3황동인대리님 2 5 5" xfId="24498"/>
    <cellStyle name="_-* #,##0_-;-* #,##0_-;_-* &quot;-&quot;_-;_-@_-_재무지원부충당금_1_추가적립업체명세(완료)V_3황동인대리님 2 5 5 2" xfId="31678"/>
    <cellStyle name="_-* #,##0_-;-* #,##0_-;_-* &quot;-&quot;_-;_-@_-_재무지원부충당금_1_추가적립업체명세(완료)V_3황동인대리님 2 5 6" xfId="28171"/>
    <cellStyle name="_-* #,##0_-;-* #,##0_-;_-* &quot;-&quot;_-;_-@_-_재무지원부충당금_1_추가적립업체명세(완료)V_3황동인대리님 2 6" xfId="5555"/>
    <cellStyle name="_-* #,##0_-;-* #,##0_-;_-* &quot;-&quot;_-;_-@_-_재무지원부충당금_1_추가적립업체명세(완료)V_3황동인대리님 2 6 2" xfId="5556"/>
    <cellStyle name="_-* #,##0_-;-* #,##0_-;_-* &quot;-&quot;_-;_-@_-_재무지원부충당금_1_추가적립업체명세(완료)V_3황동인대리님 2 6 2 2" xfId="24499"/>
    <cellStyle name="_-* #,##0_-;-* #,##0_-;_-* &quot;-&quot;_-;_-@_-_재무지원부충당금_1_추가적립업체명세(완료)V_3황동인대리님 2 6 2 2 2" xfId="31679"/>
    <cellStyle name="_-* #,##0_-;-* #,##0_-;_-* &quot;-&quot;_-;_-@_-_재무지원부충당금_1_추가적립업체명세(완료)V_3황동인대리님 2 6 2 3" xfId="28175"/>
    <cellStyle name="_-* #,##0_-;-* #,##0_-;_-* &quot;-&quot;_-;_-@_-_재무지원부충당금_1_추가적립업체명세(완료)V_3황동인대리님 2 6 3" xfId="5557"/>
    <cellStyle name="_-* #,##0_-;-* #,##0_-;_-* &quot;-&quot;_-;_-@_-_재무지원부충당금_1_추가적립업체명세(완료)V_3황동인대리님 2 6 3 2" xfId="24500"/>
    <cellStyle name="_-* #,##0_-;-* #,##0_-;_-* &quot;-&quot;_-;_-@_-_재무지원부충당금_1_추가적립업체명세(완료)V_3황동인대리님 2 6 3 2 2" xfId="31680"/>
    <cellStyle name="_-* #,##0_-;-* #,##0_-;_-* &quot;-&quot;_-;_-@_-_재무지원부충당금_1_추가적립업체명세(완료)V_3황동인대리님 2 6 3 3" xfId="28176"/>
    <cellStyle name="_-* #,##0_-;-* #,##0_-;_-* &quot;-&quot;_-;_-@_-_재무지원부충당금_1_추가적립업체명세(완료)V_3황동인대리님 2 6 4" xfId="24501"/>
    <cellStyle name="_-* #,##0_-;-* #,##0_-;_-* &quot;-&quot;_-;_-@_-_재무지원부충당금_1_추가적립업체명세(완료)V_3황동인대리님 2 6 4 2" xfId="31681"/>
    <cellStyle name="_-* #,##0_-;-* #,##0_-;_-* &quot;-&quot;_-;_-@_-_재무지원부충당금_1_추가적립업체명세(완료)V_3황동인대리님 2 6 5" xfId="28174"/>
    <cellStyle name="_-* #,##0_-;-* #,##0_-;_-* &quot;-&quot;_-;_-@_-_재무지원부충당금_1_추가적립업체명세(완료)V_3황동인대리님 2 7" xfId="5558"/>
    <cellStyle name="_-* #,##0_-;-* #,##0_-;_-* &quot;-&quot;_-;_-@_-_재무지원부충당금_1_추가적립업체명세(완료)V_3황동인대리님 2 7 2" xfId="5559"/>
    <cellStyle name="_-* #,##0_-;-* #,##0_-;_-* &quot;-&quot;_-;_-@_-_재무지원부충당금_1_추가적립업체명세(완료)V_3황동인대리님 2 7 2 2" xfId="24502"/>
    <cellStyle name="_-* #,##0_-;-* #,##0_-;_-* &quot;-&quot;_-;_-@_-_재무지원부충당금_1_추가적립업체명세(완료)V_3황동인대리님 2 7 2 2 2" xfId="31682"/>
    <cellStyle name="_-* #,##0_-;-* #,##0_-;_-* &quot;-&quot;_-;_-@_-_재무지원부충당금_1_추가적립업체명세(완료)V_3황동인대리님 2 7 2 3" xfId="28178"/>
    <cellStyle name="_-* #,##0_-;-* #,##0_-;_-* &quot;-&quot;_-;_-@_-_재무지원부충당금_1_추가적립업체명세(완료)V_3황동인대리님 2 7 3" xfId="24503"/>
    <cellStyle name="_-* #,##0_-;-* #,##0_-;_-* &quot;-&quot;_-;_-@_-_재무지원부충당금_1_추가적립업체명세(완료)V_3황동인대리님 2 7 3 2" xfId="31683"/>
    <cellStyle name="_-* #,##0_-;-* #,##0_-;_-* &quot;-&quot;_-;_-@_-_재무지원부충당금_1_추가적립업체명세(완료)V_3황동인대리님 2 7 4" xfId="28177"/>
    <cellStyle name="_-* #,##0_-;-* #,##0_-;_-* &quot;-&quot;_-;_-@_-_재무지원부충당금_1_추가적립업체명세(완료)V_3황동인대리님 2 8" xfId="5560"/>
    <cellStyle name="_-* #,##0_-;-* #,##0_-;_-* &quot;-&quot;_-;_-@_-_재무지원부충당금_1_추가적립업체명세(완료)V_3황동인대리님 2 8 2" xfId="24504"/>
    <cellStyle name="_-* #,##0_-;-* #,##0_-;_-* &quot;-&quot;_-;_-@_-_재무지원부충당금_1_추가적립업체명세(완료)V_3황동인대리님 2 8 2 2" xfId="31684"/>
    <cellStyle name="_-* #,##0_-;-* #,##0_-;_-* &quot;-&quot;_-;_-@_-_재무지원부충당금_1_추가적립업체명세(완료)V_3황동인대리님 2 8 3" xfId="28179"/>
    <cellStyle name="_-* #,##0_-;-* #,##0_-;_-* &quot;-&quot;_-;_-@_-_재무지원부충당금_1_추가적립업체명세(완료)V_3황동인대리님 2 9" xfId="24505"/>
    <cellStyle name="_-* #,##0_-;-* #,##0_-;_-* &quot;-&quot;_-;_-@_-_재무지원부충당금_1_추가적립업체명세(완료)V_3황동인대리님 2 9 2" xfId="31685"/>
    <cellStyle name="_-* #,##0_-;-* #,##0_-;_-* &quot;-&quot;_-;_-@_-_재무지원부충당금_1_추가적립업체명세(완료)V_3황동인대리님 3" xfId="5561"/>
    <cellStyle name="_-* #,##0_-;-* #,##0_-;_-* &quot;-&quot;_-;_-@_-_재무지원부충당금_1_추가적립업체명세(완료)V_3황동인대리님 3 10" xfId="24506"/>
    <cellStyle name="_-* #,##0_-;-* #,##0_-;_-* &quot;-&quot;_-;_-@_-_재무지원부충당금_1_추가적립업체명세(완료)V_3황동인대리님 3 10 2" xfId="31686"/>
    <cellStyle name="_-* #,##0_-;-* #,##0_-;_-* &quot;-&quot;_-;_-@_-_재무지원부충당금_1_추가적립업체명세(완료)V_3황동인대리님 3 11" xfId="28180"/>
    <cellStyle name="_-* #,##0_-;-* #,##0_-;_-* &quot;-&quot;_-;_-@_-_재무지원부충당금_1_추가적립업체명세(완료)V_3황동인대리님 3 2" xfId="5562"/>
    <cellStyle name="_-* #,##0_-;-* #,##0_-;_-* &quot;-&quot;_-;_-@_-_재무지원부충당금_1_추가적립업체명세(완료)V_3황동인대리님 3 2 2" xfId="5563"/>
    <cellStyle name="_-* #,##0_-;-* #,##0_-;_-* &quot;-&quot;_-;_-@_-_재무지원부충당금_1_추가적립업체명세(완료)V_3황동인대리님 3 2 2 2" xfId="24507"/>
    <cellStyle name="_-* #,##0_-;-* #,##0_-;_-* &quot;-&quot;_-;_-@_-_재무지원부충당금_1_추가적립업체명세(완료)V_3황동인대리님 3 2 2 2 2" xfId="31687"/>
    <cellStyle name="_-* #,##0_-;-* #,##0_-;_-* &quot;-&quot;_-;_-@_-_재무지원부충당금_1_추가적립업체명세(완료)V_3황동인대리님 3 2 2 3" xfId="24508"/>
    <cellStyle name="_-* #,##0_-;-* #,##0_-;_-* &quot;-&quot;_-;_-@_-_재무지원부충당금_1_추가적립업체명세(완료)V_3황동인대리님 3 2 2 3 2" xfId="31688"/>
    <cellStyle name="_-* #,##0_-;-* #,##0_-;_-* &quot;-&quot;_-;_-@_-_재무지원부충당금_1_추가적립업체명세(완료)V_3황동인대리님 3 2 2 4" xfId="24509"/>
    <cellStyle name="_-* #,##0_-;-* #,##0_-;_-* &quot;-&quot;_-;_-@_-_재무지원부충당금_1_추가적립업체명세(완료)V_3황동인대리님 3 2 2 4 2" xfId="31689"/>
    <cellStyle name="_-* #,##0_-;-* #,##0_-;_-* &quot;-&quot;_-;_-@_-_재무지원부충당금_1_추가적립업체명세(완료)V_3황동인대리님 3 2 2 5" xfId="24510"/>
    <cellStyle name="_-* #,##0_-;-* #,##0_-;_-* &quot;-&quot;_-;_-@_-_재무지원부충당금_1_추가적립업체명세(완료)V_3황동인대리님 3 2 2 5 2" xfId="31690"/>
    <cellStyle name="_-* #,##0_-;-* #,##0_-;_-* &quot;-&quot;_-;_-@_-_재무지원부충당금_1_추가적립업체명세(완료)V_3황동인대리님 3 2 2 6" xfId="28182"/>
    <cellStyle name="_-* #,##0_-;-* #,##0_-;_-* &quot;-&quot;_-;_-@_-_재무지원부충당금_1_추가적립업체명세(완료)V_3황동인대리님 3 2 3" xfId="24511"/>
    <cellStyle name="_-* #,##0_-;-* #,##0_-;_-* &quot;-&quot;_-;_-@_-_재무지원부충당금_1_추가적립업체명세(완료)V_3황동인대리님 3 2 3 2" xfId="24512"/>
    <cellStyle name="_-* #,##0_-;-* #,##0_-;_-* &quot;-&quot;_-;_-@_-_재무지원부충당금_1_추가적립업체명세(완료)V_3황동인대리님 3 2 3 2 2" xfId="31692"/>
    <cellStyle name="_-* #,##0_-;-* #,##0_-;_-* &quot;-&quot;_-;_-@_-_재무지원부충당금_1_추가적립업체명세(완료)V_3황동인대리님 3 2 3 3" xfId="31691"/>
    <cellStyle name="_-* #,##0_-;-* #,##0_-;_-* &quot;-&quot;_-;_-@_-_재무지원부충당금_1_추가적립업체명세(완료)V_3황동인대리님 3 2 4" xfId="24513"/>
    <cellStyle name="_-* #,##0_-;-* #,##0_-;_-* &quot;-&quot;_-;_-@_-_재무지원부충당금_1_추가적립업체명세(완료)V_3황동인대리님 3 2 4 2" xfId="31693"/>
    <cellStyle name="_-* #,##0_-;-* #,##0_-;_-* &quot;-&quot;_-;_-@_-_재무지원부충당금_1_추가적립업체명세(완료)V_3황동인대리님 3 2 5" xfId="24514"/>
    <cellStyle name="_-* #,##0_-;-* #,##0_-;_-* &quot;-&quot;_-;_-@_-_재무지원부충당금_1_추가적립업체명세(완료)V_3황동인대리님 3 2 5 2" xfId="31694"/>
    <cellStyle name="_-* #,##0_-;-* #,##0_-;_-* &quot;-&quot;_-;_-@_-_재무지원부충당금_1_추가적립업체명세(완료)V_3황동인대리님 3 2 6" xfId="24515"/>
    <cellStyle name="_-* #,##0_-;-* #,##0_-;_-* &quot;-&quot;_-;_-@_-_재무지원부충당금_1_추가적립업체명세(완료)V_3황동인대리님 3 2 6 2" xfId="31695"/>
    <cellStyle name="_-* #,##0_-;-* #,##0_-;_-* &quot;-&quot;_-;_-@_-_재무지원부충당금_1_추가적립업체명세(완료)V_3황동인대리님 3 2 7" xfId="24516"/>
    <cellStyle name="_-* #,##0_-;-* #,##0_-;_-* &quot;-&quot;_-;_-@_-_재무지원부충당금_1_추가적립업체명세(완료)V_3황동인대리님 3 2 7 2" xfId="31696"/>
    <cellStyle name="_-* #,##0_-;-* #,##0_-;_-* &quot;-&quot;_-;_-@_-_재무지원부충당금_1_추가적립업체명세(완료)V_3황동인대리님 3 2 8" xfId="28181"/>
    <cellStyle name="_-* #,##0_-;-* #,##0_-;_-* &quot;-&quot;_-;_-@_-_재무지원부충당금_1_추가적립업체명세(완료)V_3황동인대리님 3 3" xfId="5564"/>
    <cellStyle name="_-* #,##0_-;-* #,##0_-;_-* &quot;-&quot;_-;_-@_-_재무지원부충당금_1_추가적립업체명세(완료)V_3황동인대리님 3 3 2" xfId="5565"/>
    <cellStyle name="_-* #,##0_-;-* #,##0_-;_-* &quot;-&quot;_-;_-@_-_재무지원부충당금_1_추가적립업체명세(완료)V_3황동인대리님 3 3 2 2" xfId="24517"/>
    <cellStyle name="_-* #,##0_-;-* #,##0_-;_-* &quot;-&quot;_-;_-@_-_재무지원부충당금_1_추가적립업체명세(완료)V_3황동인대리님 3 3 2 2 2" xfId="31697"/>
    <cellStyle name="_-* #,##0_-;-* #,##0_-;_-* &quot;-&quot;_-;_-@_-_재무지원부충당금_1_추가적립업체명세(완료)V_3황동인대리님 3 3 2 3" xfId="24518"/>
    <cellStyle name="_-* #,##0_-;-* #,##0_-;_-* &quot;-&quot;_-;_-@_-_재무지원부충당금_1_추가적립업체명세(완료)V_3황동인대리님 3 3 2 3 2" xfId="31698"/>
    <cellStyle name="_-* #,##0_-;-* #,##0_-;_-* &quot;-&quot;_-;_-@_-_재무지원부충당금_1_추가적립업체명세(완료)V_3황동인대리님 3 3 2 4" xfId="24519"/>
    <cellStyle name="_-* #,##0_-;-* #,##0_-;_-* &quot;-&quot;_-;_-@_-_재무지원부충당금_1_추가적립업체명세(완료)V_3황동인대리님 3 3 2 4 2" xfId="31699"/>
    <cellStyle name="_-* #,##0_-;-* #,##0_-;_-* &quot;-&quot;_-;_-@_-_재무지원부충당금_1_추가적립업체명세(완료)V_3황동인대리님 3 3 2 5" xfId="24520"/>
    <cellStyle name="_-* #,##0_-;-* #,##0_-;_-* &quot;-&quot;_-;_-@_-_재무지원부충당금_1_추가적립업체명세(완료)V_3황동인대리님 3 3 2 5 2" xfId="31700"/>
    <cellStyle name="_-* #,##0_-;-* #,##0_-;_-* &quot;-&quot;_-;_-@_-_재무지원부충당금_1_추가적립업체명세(완료)V_3황동인대리님 3 3 2 6" xfId="28184"/>
    <cellStyle name="_-* #,##0_-;-* #,##0_-;_-* &quot;-&quot;_-;_-@_-_재무지원부충당금_1_추가적립업체명세(완료)V_3황동인대리님 3 3 3" xfId="24521"/>
    <cellStyle name="_-* #,##0_-;-* #,##0_-;_-* &quot;-&quot;_-;_-@_-_재무지원부충당금_1_추가적립업체명세(완료)V_3황동인대리님 3 3 3 2" xfId="24522"/>
    <cellStyle name="_-* #,##0_-;-* #,##0_-;_-* &quot;-&quot;_-;_-@_-_재무지원부충당금_1_추가적립업체명세(완료)V_3황동인대리님 3 3 3 2 2" xfId="31702"/>
    <cellStyle name="_-* #,##0_-;-* #,##0_-;_-* &quot;-&quot;_-;_-@_-_재무지원부충당금_1_추가적립업체명세(완료)V_3황동인대리님 3 3 3 3" xfId="31701"/>
    <cellStyle name="_-* #,##0_-;-* #,##0_-;_-* &quot;-&quot;_-;_-@_-_재무지원부충당금_1_추가적립업체명세(완료)V_3황동인대리님 3 3 4" xfId="24523"/>
    <cellStyle name="_-* #,##0_-;-* #,##0_-;_-* &quot;-&quot;_-;_-@_-_재무지원부충당금_1_추가적립업체명세(완료)V_3황동인대리님 3 3 4 2" xfId="31703"/>
    <cellStyle name="_-* #,##0_-;-* #,##0_-;_-* &quot;-&quot;_-;_-@_-_재무지원부충당금_1_추가적립업체명세(완료)V_3황동인대리님 3 3 5" xfId="24524"/>
    <cellStyle name="_-* #,##0_-;-* #,##0_-;_-* &quot;-&quot;_-;_-@_-_재무지원부충당금_1_추가적립업체명세(완료)V_3황동인대리님 3 3 5 2" xfId="31704"/>
    <cellStyle name="_-* #,##0_-;-* #,##0_-;_-* &quot;-&quot;_-;_-@_-_재무지원부충당금_1_추가적립업체명세(완료)V_3황동인대리님 3 3 6" xfId="24525"/>
    <cellStyle name="_-* #,##0_-;-* #,##0_-;_-* &quot;-&quot;_-;_-@_-_재무지원부충당금_1_추가적립업체명세(완료)V_3황동인대리님 3 3 6 2" xfId="31705"/>
    <cellStyle name="_-* #,##0_-;-* #,##0_-;_-* &quot;-&quot;_-;_-@_-_재무지원부충당금_1_추가적립업체명세(완료)V_3황동인대리님 3 3 7" xfId="24526"/>
    <cellStyle name="_-* #,##0_-;-* #,##0_-;_-* &quot;-&quot;_-;_-@_-_재무지원부충당금_1_추가적립업체명세(완료)V_3황동인대리님 3 3 7 2" xfId="31706"/>
    <cellStyle name="_-* #,##0_-;-* #,##0_-;_-* &quot;-&quot;_-;_-@_-_재무지원부충당금_1_추가적립업체명세(완료)V_3황동인대리님 3 3 8" xfId="28183"/>
    <cellStyle name="_-* #,##0_-;-* #,##0_-;_-* &quot;-&quot;_-;_-@_-_재무지원부충당금_1_추가적립업체명세(완료)V_3황동인대리님 3 4" xfId="5566"/>
    <cellStyle name="_-* #,##0_-;-* #,##0_-;_-* &quot;-&quot;_-;_-@_-_재무지원부충당금_1_추가적립업체명세(완료)V_3황동인대리님 3 4 2" xfId="5567"/>
    <cellStyle name="_-* #,##0_-;-* #,##0_-;_-* &quot;-&quot;_-;_-@_-_재무지원부충당금_1_추가적립업체명세(완료)V_3황동인대리님 3 4 2 2" xfId="24527"/>
    <cellStyle name="_-* #,##0_-;-* #,##0_-;_-* &quot;-&quot;_-;_-@_-_재무지원부충당금_1_추가적립업체명세(완료)V_3황동인대리님 3 4 2 2 2" xfId="31707"/>
    <cellStyle name="_-* #,##0_-;-* #,##0_-;_-* &quot;-&quot;_-;_-@_-_재무지원부충당금_1_추가적립업체명세(완료)V_3황동인대리님 3 4 2 3" xfId="24528"/>
    <cellStyle name="_-* #,##0_-;-* #,##0_-;_-* &quot;-&quot;_-;_-@_-_재무지원부충당금_1_추가적립업체명세(완료)V_3황동인대리님 3 4 2 3 2" xfId="31708"/>
    <cellStyle name="_-* #,##0_-;-* #,##0_-;_-* &quot;-&quot;_-;_-@_-_재무지원부충당금_1_추가적립업체명세(완료)V_3황동인대리님 3 4 2 4" xfId="24529"/>
    <cellStyle name="_-* #,##0_-;-* #,##0_-;_-* &quot;-&quot;_-;_-@_-_재무지원부충당금_1_추가적립업체명세(완료)V_3황동인대리님 3 4 2 4 2" xfId="31709"/>
    <cellStyle name="_-* #,##0_-;-* #,##0_-;_-* &quot;-&quot;_-;_-@_-_재무지원부충당금_1_추가적립업체명세(완료)V_3황동인대리님 3 4 2 5" xfId="24530"/>
    <cellStyle name="_-* #,##0_-;-* #,##0_-;_-* &quot;-&quot;_-;_-@_-_재무지원부충당금_1_추가적립업체명세(완료)V_3황동인대리님 3 4 2 5 2" xfId="31710"/>
    <cellStyle name="_-* #,##0_-;-* #,##0_-;_-* &quot;-&quot;_-;_-@_-_재무지원부충당금_1_추가적립업체명세(완료)V_3황동인대리님 3 4 2 6" xfId="28186"/>
    <cellStyle name="_-* #,##0_-;-* #,##0_-;_-* &quot;-&quot;_-;_-@_-_재무지원부충당금_1_추가적립업체명세(완료)V_3황동인대리님 3 4 3" xfId="24531"/>
    <cellStyle name="_-* #,##0_-;-* #,##0_-;_-* &quot;-&quot;_-;_-@_-_재무지원부충당금_1_추가적립업체명세(완료)V_3황동인대리님 3 4 3 2" xfId="24532"/>
    <cellStyle name="_-* #,##0_-;-* #,##0_-;_-* &quot;-&quot;_-;_-@_-_재무지원부충당금_1_추가적립업체명세(완료)V_3황동인대리님 3 4 3 2 2" xfId="31712"/>
    <cellStyle name="_-* #,##0_-;-* #,##0_-;_-* &quot;-&quot;_-;_-@_-_재무지원부충당금_1_추가적립업체명세(완료)V_3황동인대리님 3 4 3 3" xfId="31711"/>
    <cellStyle name="_-* #,##0_-;-* #,##0_-;_-* &quot;-&quot;_-;_-@_-_재무지원부충당금_1_추가적립업체명세(완료)V_3황동인대리님 3 4 4" xfId="24533"/>
    <cellStyle name="_-* #,##0_-;-* #,##0_-;_-* &quot;-&quot;_-;_-@_-_재무지원부충당금_1_추가적립업체명세(완료)V_3황동인대리님 3 4 4 2" xfId="31713"/>
    <cellStyle name="_-* #,##0_-;-* #,##0_-;_-* &quot;-&quot;_-;_-@_-_재무지원부충당금_1_추가적립업체명세(완료)V_3황동인대리님 3 4 5" xfId="24534"/>
    <cellStyle name="_-* #,##0_-;-* #,##0_-;_-* &quot;-&quot;_-;_-@_-_재무지원부충당금_1_추가적립업체명세(완료)V_3황동인대리님 3 4 5 2" xfId="31714"/>
    <cellStyle name="_-* #,##0_-;-* #,##0_-;_-* &quot;-&quot;_-;_-@_-_재무지원부충당금_1_추가적립업체명세(완료)V_3황동인대리님 3 4 6" xfId="24535"/>
    <cellStyle name="_-* #,##0_-;-* #,##0_-;_-* &quot;-&quot;_-;_-@_-_재무지원부충당금_1_추가적립업체명세(완료)V_3황동인대리님 3 4 6 2" xfId="31715"/>
    <cellStyle name="_-* #,##0_-;-* #,##0_-;_-* &quot;-&quot;_-;_-@_-_재무지원부충당금_1_추가적립업체명세(완료)V_3황동인대리님 3 4 7" xfId="24536"/>
    <cellStyle name="_-* #,##0_-;-* #,##0_-;_-* &quot;-&quot;_-;_-@_-_재무지원부충당금_1_추가적립업체명세(완료)V_3황동인대리님 3 4 7 2" xfId="31716"/>
    <cellStyle name="_-* #,##0_-;-* #,##0_-;_-* &quot;-&quot;_-;_-@_-_재무지원부충당금_1_추가적립업체명세(완료)V_3황동인대리님 3 4 8" xfId="28185"/>
    <cellStyle name="_-* #,##0_-;-* #,##0_-;_-* &quot;-&quot;_-;_-@_-_재무지원부충당금_1_추가적립업체명세(완료)V_3황동인대리님 3 5" xfId="5568"/>
    <cellStyle name="_-* #,##0_-;-* #,##0_-;_-* &quot;-&quot;_-;_-@_-_재무지원부충당금_1_추가적립업체명세(완료)V_3황동인대리님 3 5 2" xfId="24537"/>
    <cellStyle name="_-* #,##0_-;-* #,##0_-;_-* &quot;-&quot;_-;_-@_-_재무지원부충당금_1_추가적립업체명세(완료)V_3황동인대리님 3 5 2 2" xfId="31717"/>
    <cellStyle name="_-* #,##0_-;-* #,##0_-;_-* &quot;-&quot;_-;_-@_-_재무지원부충당금_1_추가적립업체명세(완료)V_3황동인대리님 3 5 3" xfId="24538"/>
    <cellStyle name="_-* #,##0_-;-* #,##0_-;_-* &quot;-&quot;_-;_-@_-_재무지원부충당금_1_추가적립업체명세(완료)V_3황동인대리님 3 5 3 2" xfId="31718"/>
    <cellStyle name="_-* #,##0_-;-* #,##0_-;_-* &quot;-&quot;_-;_-@_-_재무지원부충당금_1_추가적립업체명세(완료)V_3황동인대리님 3 5 4" xfId="24539"/>
    <cellStyle name="_-* #,##0_-;-* #,##0_-;_-* &quot;-&quot;_-;_-@_-_재무지원부충당금_1_추가적립업체명세(완료)V_3황동인대리님 3 5 4 2" xfId="31719"/>
    <cellStyle name="_-* #,##0_-;-* #,##0_-;_-* &quot;-&quot;_-;_-@_-_재무지원부충당금_1_추가적립업체명세(완료)V_3황동인대리님 3 5 5" xfId="24540"/>
    <cellStyle name="_-* #,##0_-;-* #,##0_-;_-* &quot;-&quot;_-;_-@_-_재무지원부충당금_1_추가적립업체명세(완료)V_3황동인대리님 3 5 5 2" xfId="31720"/>
    <cellStyle name="_-* #,##0_-;-* #,##0_-;_-* &quot;-&quot;_-;_-@_-_재무지원부충당금_1_추가적립업체명세(완료)V_3황동인대리님 3 5 6" xfId="28187"/>
    <cellStyle name="_-* #,##0_-;-* #,##0_-;_-* &quot;-&quot;_-;_-@_-_재무지원부충당금_1_추가적립업체명세(완료)V_3황동인대리님 3 6" xfId="24541"/>
    <cellStyle name="_-* #,##0_-;-* #,##0_-;_-* &quot;-&quot;_-;_-@_-_재무지원부충당금_1_추가적립업체명세(완료)V_3황동인대리님 3 6 2" xfId="24542"/>
    <cellStyle name="_-* #,##0_-;-* #,##0_-;_-* &quot;-&quot;_-;_-@_-_재무지원부충당금_1_추가적립업체명세(완료)V_3황동인대리님 3 6 2 2" xfId="31722"/>
    <cellStyle name="_-* #,##0_-;-* #,##0_-;_-* &quot;-&quot;_-;_-@_-_재무지원부충당금_1_추가적립업체명세(완료)V_3황동인대리님 3 6 3" xfId="31721"/>
    <cellStyle name="_-* #,##0_-;-* #,##0_-;_-* &quot;-&quot;_-;_-@_-_재무지원부충당금_1_추가적립업체명세(완료)V_3황동인대리님 3 7" xfId="24543"/>
    <cellStyle name="_-* #,##0_-;-* #,##0_-;_-* &quot;-&quot;_-;_-@_-_재무지원부충당금_1_추가적립업체명세(완료)V_3황동인대리님 3 7 2" xfId="31723"/>
    <cellStyle name="_-* #,##0_-;-* #,##0_-;_-* &quot;-&quot;_-;_-@_-_재무지원부충당금_1_추가적립업체명세(완료)V_3황동인대리님 3 8" xfId="24544"/>
    <cellStyle name="_-* #,##0_-;-* #,##0_-;_-* &quot;-&quot;_-;_-@_-_재무지원부충당금_1_추가적립업체명세(완료)V_3황동인대리님 3 8 2" xfId="31724"/>
    <cellStyle name="_-* #,##0_-;-* #,##0_-;_-* &quot;-&quot;_-;_-@_-_재무지원부충당금_1_추가적립업체명세(완료)V_3황동인대리님 3 9" xfId="24545"/>
    <cellStyle name="_-* #,##0_-;-* #,##0_-;_-* &quot;-&quot;_-;_-@_-_재무지원부충당금_1_추가적립업체명세(완료)V_3황동인대리님 3 9 2" xfId="31725"/>
    <cellStyle name="_-* #,##0_-;-* #,##0_-;_-* &quot;-&quot;_-;_-@_-_재무지원부충당금_1_추가적립업체명세(완료)V_3황동인대리님 4" xfId="5569"/>
    <cellStyle name="_-* #,##0_-;-* #,##0_-;_-* &quot;-&quot;_-;_-@_-_재무지원부충당금_1_추가적립업체명세(완료)V_3황동인대리님 4 2" xfId="5570"/>
    <cellStyle name="_-* #,##0_-;-* #,##0_-;_-* &quot;-&quot;_-;_-@_-_재무지원부충당금_1_추가적립업체명세(완료)V_3황동인대리님 4 2 2" xfId="5571"/>
    <cellStyle name="_-* #,##0_-;-* #,##0_-;_-* &quot;-&quot;_-;_-@_-_재무지원부충당금_1_추가적립업체명세(완료)V_3황동인대리님 4 2 2 2" xfId="24546"/>
    <cellStyle name="_-* #,##0_-;-* #,##0_-;_-* &quot;-&quot;_-;_-@_-_재무지원부충당금_1_추가적립업체명세(완료)V_3황동인대리님 4 2 2 2 2" xfId="31726"/>
    <cellStyle name="_-* #,##0_-;-* #,##0_-;_-* &quot;-&quot;_-;_-@_-_재무지원부충당금_1_추가적립업체명세(완료)V_3황동인대리님 4 2 2 3" xfId="28190"/>
    <cellStyle name="_-* #,##0_-;-* #,##0_-;_-* &quot;-&quot;_-;_-@_-_재무지원부충당금_1_추가적립업체명세(완료)V_3황동인대리님 4 2 3" xfId="24547"/>
    <cellStyle name="_-* #,##0_-;-* #,##0_-;_-* &quot;-&quot;_-;_-@_-_재무지원부충당금_1_추가적립업체명세(완료)V_3황동인대리님 4 2 3 2" xfId="31727"/>
    <cellStyle name="_-* #,##0_-;-* #,##0_-;_-* &quot;-&quot;_-;_-@_-_재무지원부충당금_1_추가적립업체명세(완료)V_3황동인대리님 4 2 4" xfId="24548"/>
    <cellStyle name="_-* #,##0_-;-* #,##0_-;_-* &quot;-&quot;_-;_-@_-_재무지원부충당금_1_추가적립업체명세(완료)V_3황동인대리님 4 2 4 2" xfId="31728"/>
    <cellStyle name="_-* #,##0_-;-* #,##0_-;_-* &quot;-&quot;_-;_-@_-_재무지원부충당금_1_추가적립업체명세(완료)V_3황동인대리님 4 2 5" xfId="24549"/>
    <cellStyle name="_-* #,##0_-;-* #,##0_-;_-* &quot;-&quot;_-;_-@_-_재무지원부충당금_1_추가적립업체명세(완료)V_3황동인대리님 4 2 5 2" xfId="31729"/>
    <cellStyle name="_-* #,##0_-;-* #,##0_-;_-* &quot;-&quot;_-;_-@_-_재무지원부충당금_1_추가적립업체명세(완료)V_3황동인대리님 4 2 6" xfId="28189"/>
    <cellStyle name="_-* #,##0_-;-* #,##0_-;_-* &quot;-&quot;_-;_-@_-_재무지원부충당금_1_추가적립업체명세(완료)V_3황동인대리님 4 3" xfId="5572"/>
    <cellStyle name="_-* #,##0_-;-* #,##0_-;_-* &quot;-&quot;_-;_-@_-_재무지원부충당금_1_추가적립업체명세(완료)V_3황동인대리님 4 3 2" xfId="5573"/>
    <cellStyle name="_-* #,##0_-;-* #,##0_-;_-* &quot;-&quot;_-;_-@_-_재무지원부충당금_1_추가적립업체명세(완료)V_3황동인대리님 4 3 2 2" xfId="24550"/>
    <cellStyle name="_-* #,##0_-;-* #,##0_-;_-* &quot;-&quot;_-;_-@_-_재무지원부충당금_1_추가적립업체명세(완료)V_3황동인대리님 4 3 2 2 2" xfId="31730"/>
    <cellStyle name="_-* #,##0_-;-* #,##0_-;_-* &quot;-&quot;_-;_-@_-_재무지원부충당금_1_추가적립업체명세(완료)V_3황동인대리님 4 3 2 3" xfId="28192"/>
    <cellStyle name="_-* #,##0_-;-* #,##0_-;_-* &quot;-&quot;_-;_-@_-_재무지원부충당금_1_추가적립업체명세(완료)V_3황동인대리님 4 3 3" xfId="24551"/>
    <cellStyle name="_-* #,##0_-;-* #,##0_-;_-* &quot;-&quot;_-;_-@_-_재무지원부충당금_1_추가적립업체명세(완료)V_3황동인대리님 4 3 3 2" xfId="31731"/>
    <cellStyle name="_-* #,##0_-;-* #,##0_-;_-* &quot;-&quot;_-;_-@_-_재무지원부충당금_1_추가적립업체명세(완료)V_3황동인대리님 4 3 4" xfId="28191"/>
    <cellStyle name="_-* #,##0_-;-* #,##0_-;_-* &quot;-&quot;_-;_-@_-_재무지원부충당금_1_추가적립업체명세(완료)V_3황동인대리님 4 4" xfId="5574"/>
    <cellStyle name="_-* #,##0_-;-* #,##0_-;_-* &quot;-&quot;_-;_-@_-_재무지원부충당금_1_추가적립업체명세(완료)V_3황동인대리님 4 4 2" xfId="5575"/>
    <cellStyle name="_-* #,##0_-;-* #,##0_-;_-* &quot;-&quot;_-;_-@_-_재무지원부충당금_1_추가적립업체명세(완료)V_3황동인대리님 4 4 2 2" xfId="24552"/>
    <cellStyle name="_-* #,##0_-;-* #,##0_-;_-* &quot;-&quot;_-;_-@_-_재무지원부충당금_1_추가적립업체명세(완료)V_3황동인대리님 4 4 2 2 2" xfId="31732"/>
    <cellStyle name="_-* #,##0_-;-* #,##0_-;_-* &quot;-&quot;_-;_-@_-_재무지원부충당금_1_추가적립업체명세(완료)V_3황동인대리님 4 4 2 3" xfId="28194"/>
    <cellStyle name="_-* #,##0_-;-* #,##0_-;_-* &quot;-&quot;_-;_-@_-_재무지원부충당금_1_추가적립업체명세(완료)V_3황동인대리님 4 4 3" xfId="24553"/>
    <cellStyle name="_-* #,##0_-;-* #,##0_-;_-* &quot;-&quot;_-;_-@_-_재무지원부충당금_1_추가적립업체명세(완료)V_3황동인대리님 4 4 3 2" xfId="31733"/>
    <cellStyle name="_-* #,##0_-;-* #,##0_-;_-* &quot;-&quot;_-;_-@_-_재무지원부충당금_1_추가적립업체명세(완료)V_3황동인대리님 4 4 4" xfId="28193"/>
    <cellStyle name="_-* #,##0_-;-* #,##0_-;_-* &quot;-&quot;_-;_-@_-_재무지원부충당금_1_추가적립업체명세(완료)V_3황동인대리님 4 5" xfId="5576"/>
    <cellStyle name="_-* #,##0_-;-* #,##0_-;_-* &quot;-&quot;_-;_-@_-_재무지원부충당금_1_추가적립업체명세(완료)V_3황동인대리님 4 5 2" xfId="24554"/>
    <cellStyle name="_-* #,##0_-;-* #,##0_-;_-* &quot;-&quot;_-;_-@_-_재무지원부충당금_1_추가적립업체명세(완료)V_3황동인대리님 4 5 2 2" xfId="31734"/>
    <cellStyle name="_-* #,##0_-;-* #,##0_-;_-* &quot;-&quot;_-;_-@_-_재무지원부충당금_1_추가적립업체명세(완료)V_3황동인대리님 4 5 3" xfId="28195"/>
    <cellStyle name="_-* #,##0_-;-* #,##0_-;_-* &quot;-&quot;_-;_-@_-_재무지원부충당금_1_추가적립업체명세(완료)V_3황동인대리님 4 6" xfId="24555"/>
    <cellStyle name="_-* #,##0_-;-* #,##0_-;_-* &quot;-&quot;_-;_-@_-_재무지원부충당금_1_추가적립업체명세(완료)V_3황동인대리님 4 6 2" xfId="31735"/>
    <cellStyle name="_-* #,##0_-;-* #,##0_-;_-* &quot;-&quot;_-;_-@_-_재무지원부충당금_1_추가적립업체명세(완료)V_3황동인대리님 4 7" xfId="24556"/>
    <cellStyle name="_-* #,##0_-;-* #,##0_-;_-* &quot;-&quot;_-;_-@_-_재무지원부충당금_1_추가적립업체명세(완료)V_3황동인대리님 4 7 2" xfId="31736"/>
    <cellStyle name="_-* #,##0_-;-* #,##0_-;_-* &quot;-&quot;_-;_-@_-_재무지원부충당금_1_추가적립업체명세(완료)V_3황동인대리님 4 8" xfId="28188"/>
    <cellStyle name="_-* #,##0_-;-* #,##0_-;_-* &quot;-&quot;_-;_-@_-_재무지원부충당금_1_추가적립업체명세(완료)V_3황동인대리님 5" xfId="5577"/>
    <cellStyle name="_-* #,##0_-;-* #,##0_-;_-* &quot;-&quot;_-;_-@_-_재무지원부충당금_1_추가적립업체명세(완료)V_3황동인대리님 5 2" xfId="5578"/>
    <cellStyle name="_-* #,##0_-;-* #,##0_-;_-* &quot;-&quot;_-;_-@_-_재무지원부충당금_1_추가적립업체명세(완료)V_3황동인대리님 5 2 2" xfId="5579"/>
    <cellStyle name="_-* #,##0_-;-* #,##0_-;_-* &quot;-&quot;_-;_-@_-_재무지원부충당금_1_추가적립업체명세(완료)V_3황동인대리님 5 2 2 2" xfId="24557"/>
    <cellStyle name="_-* #,##0_-;-* #,##0_-;_-* &quot;-&quot;_-;_-@_-_재무지원부충당금_1_추가적립업체명세(완료)V_3황동인대리님 5 2 2 2 2" xfId="31737"/>
    <cellStyle name="_-* #,##0_-;-* #,##0_-;_-* &quot;-&quot;_-;_-@_-_재무지원부충당금_1_추가적립업체명세(완료)V_3황동인대리님 5 2 2 3" xfId="28198"/>
    <cellStyle name="_-* #,##0_-;-* #,##0_-;_-* &quot;-&quot;_-;_-@_-_재무지원부충당금_1_추가적립업체명세(완료)V_3황동인대리님 5 2 3" xfId="24558"/>
    <cellStyle name="_-* #,##0_-;-* #,##0_-;_-* &quot;-&quot;_-;_-@_-_재무지원부충당금_1_추가적립업체명세(완료)V_3황동인대리님 5 2 3 2" xfId="31738"/>
    <cellStyle name="_-* #,##0_-;-* #,##0_-;_-* &quot;-&quot;_-;_-@_-_재무지원부충당금_1_추가적립업체명세(완료)V_3황동인대리님 5 2 4" xfId="24559"/>
    <cellStyle name="_-* #,##0_-;-* #,##0_-;_-* &quot;-&quot;_-;_-@_-_재무지원부충당금_1_추가적립업체명세(완료)V_3황동인대리님 5 2 4 2" xfId="31739"/>
    <cellStyle name="_-* #,##0_-;-* #,##0_-;_-* &quot;-&quot;_-;_-@_-_재무지원부충당금_1_추가적립업체명세(완료)V_3황동인대리님 5 2 5" xfId="24560"/>
    <cellStyle name="_-* #,##0_-;-* #,##0_-;_-* &quot;-&quot;_-;_-@_-_재무지원부충당금_1_추가적립업체명세(완료)V_3황동인대리님 5 2 5 2" xfId="31740"/>
    <cellStyle name="_-* #,##0_-;-* #,##0_-;_-* &quot;-&quot;_-;_-@_-_재무지원부충당금_1_추가적립업체명세(완료)V_3황동인대리님 5 2 6" xfId="28197"/>
    <cellStyle name="_-* #,##0_-;-* #,##0_-;_-* &quot;-&quot;_-;_-@_-_재무지원부충당금_1_추가적립업체명세(완료)V_3황동인대리님 5 3" xfId="5580"/>
    <cellStyle name="_-* #,##0_-;-* #,##0_-;_-* &quot;-&quot;_-;_-@_-_재무지원부충당금_1_추가적립업체명세(완료)V_3황동인대리님 5 3 2" xfId="5581"/>
    <cellStyle name="_-* #,##0_-;-* #,##0_-;_-* &quot;-&quot;_-;_-@_-_재무지원부충당금_1_추가적립업체명세(완료)V_3황동인대리님 5 3 2 2" xfId="24561"/>
    <cellStyle name="_-* #,##0_-;-* #,##0_-;_-* &quot;-&quot;_-;_-@_-_재무지원부충당금_1_추가적립업체명세(완료)V_3황동인대리님 5 3 2 2 2" xfId="31741"/>
    <cellStyle name="_-* #,##0_-;-* #,##0_-;_-* &quot;-&quot;_-;_-@_-_재무지원부충당금_1_추가적립업체명세(완료)V_3황동인대리님 5 3 2 3" xfId="28200"/>
    <cellStyle name="_-* #,##0_-;-* #,##0_-;_-* &quot;-&quot;_-;_-@_-_재무지원부충당금_1_추가적립업체명세(완료)V_3황동인대리님 5 3 3" xfId="24562"/>
    <cellStyle name="_-* #,##0_-;-* #,##0_-;_-* &quot;-&quot;_-;_-@_-_재무지원부충당금_1_추가적립업체명세(완료)V_3황동인대리님 5 3 3 2" xfId="31742"/>
    <cellStyle name="_-* #,##0_-;-* #,##0_-;_-* &quot;-&quot;_-;_-@_-_재무지원부충당금_1_추가적립업체명세(완료)V_3황동인대리님 5 3 4" xfId="28199"/>
    <cellStyle name="_-* #,##0_-;-* #,##0_-;_-* &quot;-&quot;_-;_-@_-_재무지원부충당금_1_추가적립업체명세(완료)V_3황동인대리님 5 4" xfId="5582"/>
    <cellStyle name="_-* #,##0_-;-* #,##0_-;_-* &quot;-&quot;_-;_-@_-_재무지원부충당금_1_추가적립업체명세(완료)V_3황동인대리님 5 4 2" xfId="24563"/>
    <cellStyle name="_-* #,##0_-;-* #,##0_-;_-* &quot;-&quot;_-;_-@_-_재무지원부충당금_1_추가적립업체명세(완료)V_3황동인대리님 5 4 2 2" xfId="31743"/>
    <cellStyle name="_-* #,##0_-;-* #,##0_-;_-* &quot;-&quot;_-;_-@_-_재무지원부충당금_1_추가적립업체명세(완료)V_3황동인대리님 5 4 3" xfId="28201"/>
    <cellStyle name="_-* #,##0_-;-* #,##0_-;_-* &quot;-&quot;_-;_-@_-_재무지원부충당금_1_추가적립업체명세(완료)V_3황동인대리님 5 5" xfId="24564"/>
    <cellStyle name="_-* #,##0_-;-* #,##0_-;_-* &quot;-&quot;_-;_-@_-_재무지원부충당금_1_추가적립업체명세(완료)V_3황동인대리님 5 5 2" xfId="31744"/>
    <cellStyle name="_-* #,##0_-;-* #,##0_-;_-* &quot;-&quot;_-;_-@_-_재무지원부충당금_1_추가적립업체명세(완료)V_3황동인대리님 5 6" xfId="24565"/>
    <cellStyle name="_-* #,##0_-;-* #,##0_-;_-* &quot;-&quot;_-;_-@_-_재무지원부충당금_1_추가적립업체명세(완료)V_3황동인대리님 5 6 2" xfId="31745"/>
    <cellStyle name="_-* #,##0_-;-* #,##0_-;_-* &quot;-&quot;_-;_-@_-_재무지원부충당금_1_추가적립업체명세(완료)V_3황동인대리님 5 7" xfId="24566"/>
    <cellStyle name="_-* #,##0_-;-* #,##0_-;_-* &quot;-&quot;_-;_-@_-_재무지원부충당금_1_추가적립업체명세(완료)V_3황동인대리님 5 7 2" xfId="31746"/>
    <cellStyle name="_-* #,##0_-;-* #,##0_-;_-* &quot;-&quot;_-;_-@_-_재무지원부충당금_1_추가적립업체명세(완료)V_3황동인대리님 5 8" xfId="28196"/>
    <cellStyle name="_-* #,##0_-;-* #,##0_-;_-* &quot;-&quot;_-;_-@_-_재무지원부충당금_1_추가적립업체명세(완료)V_3황동인대리님 6" xfId="5583"/>
    <cellStyle name="_-* #,##0_-;-* #,##0_-;_-* &quot;-&quot;_-;_-@_-_재무지원부충당금_1_추가적립업체명세(완료)V_3황동인대리님 6 2" xfId="5584"/>
    <cellStyle name="_-* #,##0_-;-* #,##0_-;_-* &quot;-&quot;_-;_-@_-_재무지원부충당금_1_추가적립업체명세(완료)V_3황동인대리님 6 2 2" xfId="24567"/>
    <cellStyle name="_-* #,##0_-;-* #,##0_-;_-* &quot;-&quot;_-;_-@_-_재무지원부충당금_1_추가적립업체명세(완료)V_3황동인대리님 6 2 2 2" xfId="31747"/>
    <cellStyle name="_-* #,##0_-;-* #,##0_-;_-* &quot;-&quot;_-;_-@_-_재무지원부충당금_1_추가적립업체명세(완료)V_3황동인대리님 6 2 3" xfId="24568"/>
    <cellStyle name="_-* #,##0_-;-* #,##0_-;_-* &quot;-&quot;_-;_-@_-_재무지원부충당금_1_추가적립업체명세(완료)V_3황동인대리님 6 2 3 2" xfId="31748"/>
    <cellStyle name="_-* #,##0_-;-* #,##0_-;_-* &quot;-&quot;_-;_-@_-_재무지원부충당금_1_추가적립업체명세(완료)V_3황동인대리님 6 2 4" xfId="24569"/>
    <cellStyle name="_-* #,##0_-;-* #,##0_-;_-* &quot;-&quot;_-;_-@_-_재무지원부충당금_1_추가적립업체명세(완료)V_3황동인대리님 6 2 4 2" xfId="31749"/>
    <cellStyle name="_-* #,##0_-;-* #,##0_-;_-* &quot;-&quot;_-;_-@_-_재무지원부충당금_1_추가적립업체명세(완료)V_3황동인대리님 6 2 5" xfId="24570"/>
    <cellStyle name="_-* #,##0_-;-* #,##0_-;_-* &quot;-&quot;_-;_-@_-_재무지원부충당금_1_추가적립업체명세(완료)V_3황동인대리님 6 2 5 2" xfId="31750"/>
    <cellStyle name="_-* #,##0_-;-* #,##0_-;_-* &quot;-&quot;_-;_-@_-_재무지원부충당금_1_추가적립업체명세(완료)V_3황동인대리님 6 2 6" xfId="28203"/>
    <cellStyle name="_-* #,##0_-;-* #,##0_-;_-* &quot;-&quot;_-;_-@_-_재무지원부충당금_1_추가적립업체명세(완료)V_3황동인대리님 6 3" xfId="24571"/>
    <cellStyle name="_-* #,##0_-;-* #,##0_-;_-* &quot;-&quot;_-;_-@_-_재무지원부충당금_1_추가적립업체명세(완료)V_3황동인대리님 6 3 2" xfId="24572"/>
    <cellStyle name="_-* #,##0_-;-* #,##0_-;_-* &quot;-&quot;_-;_-@_-_재무지원부충당금_1_추가적립업체명세(완료)V_3황동인대리님 6 3 2 2" xfId="31752"/>
    <cellStyle name="_-* #,##0_-;-* #,##0_-;_-* &quot;-&quot;_-;_-@_-_재무지원부충당금_1_추가적립업체명세(완료)V_3황동인대리님 6 3 3" xfId="31751"/>
    <cellStyle name="_-* #,##0_-;-* #,##0_-;_-* &quot;-&quot;_-;_-@_-_재무지원부충당금_1_추가적립업체명세(완료)V_3황동인대리님 6 4" xfId="24573"/>
    <cellStyle name="_-* #,##0_-;-* #,##0_-;_-* &quot;-&quot;_-;_-@_-_재무지원부충당금_1_추가적립업체명세(완료)V_3황동인대리님 6 4 2" xfId="31753"/>
    <cellStyle name="_-* #,##0_-;-* #,##0_-;_-* &quot;-&quot;_-;_-@_-_재무지원부충당금_1_추가적립업체명세(완료)V_3황동인대리님 6 5" xfId="24574"/>
    <cellStyle name="_-* #,##0_-;-* #,##0_-;_-* &quot;-&quot;_-;_-@_-_재무지원부충당금_1_추가적립업체명세(완료)V_3황동인대리님 6 5 2" xfId="31754"/>
    <cellStyle name="_-* #,##0_-;-* #,##0_-;_-* &quot;-&quot;_-;_-@_-_재무지원부충당금_1_추가적립업체명세(완료)V_3황동인대리님 6 6" xfId="24575"/>
    <cellStyle name="_-* #,##0_-;-* #,##0_-;_-* &quot;-&quot;_-;_-@_-_재무지원부충당금_1_추가적립업체명세(완료)V_3황동인대리님 6 6 2" xfId="31755"/>
    <cellStyle name="_-* #,##0_-;-* #,##0_-;_-* &quot;-&quot;_-;_-@_-_재무지원부충당금_1_추가적립업체명세(완료)V_3황동인대리님 6 7" xfId="24576"/>
    <cellStyle name="_-* #,##0_-;-* #,##0_-;_-* &quot;-&quot;_-;_-@_-_재무지원부충당금_1_추가적립업체명세(완료)V_3황동인대리님 6 7 2" xfId="31756"/>
    <cellStyle name="_-* #,##0_-;-* #,##0_-;_-* &quot;-&quot;_-;_-@_-_재무지원부충당금_1_추가적립업체명세(완료)V_3황동인대리님 6 8" xfId="28202"/>
    <cellStyle name="_-* #,##0_-;-* #,##0_-;_-* &quot;-&quot;_-;_-@_-_재무지원부충당금_1_추가적립업체명세(완료)V_3황동인대리님 7" xfId="5585"/>
    <cellStyle name="_-* #,##0_-;-* #,##0_-;_-* &quot;-&quot;_-;_-@_-_재무지원부충당금_1_추가적립업체명세(완료)V_3황동인대리님 7 2" xfId="5586"/>
    <cellStyle name="_-* #,##0_-;-* #,##0_-;_-* &quot;-&quot;_-;_-@_-_재무지원부충당금_1_추가적립업체명세(완료)V_3황동인대리님 7 2 2" xfId="24577"/>
    <cellStyle name="_-* #,##0_-;-* #,##0_-;_-* &quot;-&quot;_-;_-@_-_재무지원부충당금_1_추가적립업체명세(완료)V_3황동인대리님 7 2 2 2" xfId="31757"/>
    <cellStyle name="_-* #,##0_-;-* #,##0_-;_-* &quot;-&quot;_-;_-@_-_재무지원부충당금_1_추가적립업체명세(완료)V_3황동인대리님 7 2 3" xfId="28205"/>
    <cellStyle name="_-* #,##0_-;-* #,##0_-;_-* &quot;-&quot;_-;_-@_-_재무지원부충당금_1_추가적립업체명세(완료)V_3황동인대리님 7 3" xfId="24578"/>
    <cellStyle name="_-* #,##0_-;-* #,##0_-;_-* &quot;-&quot;_-;_-@_-_재무지원부충당금_1_추가적립업체명세(완료)V_3황동인대리님 7 3 2" xfId="31758"/>
    <cellStyle name="_-* #,##0_-;-* #,##0_-;_-* &quot;-&quot;_-;_-@_-_재무지원부충당금_1_추가적립업체명세(완료)V_3황동인대리님 7 4" xfId="24579"/>
    <cellStyle name="_-* #,##0_-;-* #,##0_-;_-* &quot;-&quot;_-;_-@_-_재무지원부충당금_1_추가적립업체명세(완료)V_3황동인대리님 7 4 2" xfId="31759"/>
    <cellStyle name="_-* #,##0_-;-* #,##0_-;_-* &quot;-&quot;_-;_-@_-_재무지원부충당금_1_추가적립업체명세(완료)V_3황동인대리님 7 5" xfId="24580"/>
    <cellStyle name="_-* #,##0_-;-* #,##0_-;_-* &quot;-&quot;_-;_-@_-_재무지원부충당금_1_추가적립업체명세(완료)V_3황동인대리님 7 5 2" xfId="31760"/>
    <cellStyle name="_-* #,##0_-;-* #,##0_-;_-* &quot;-&quot;_-;_-@_-_재무지원부충당금_1_추가적립업체명세(완료)V_3황동인대리님 7 6" xfId="28204"/>
    <cellStyle name="_-* #,##0_-;-* #,##0_-;_-* &quot;-&quot;_-;_-@_-_재무지원부충당금_1_추가적립업체명세(완료)V_3황동인대리님 8" xfId="5587"/>
    <cellStyle name="_-* #,##0_-;-* #,##0_-;_-* &quot;-&quot;_-;_-@_-_재무지원부충당금_1_추가적립업체명세(완료)V_3황동인대리님 8 2" xfId="5588"/>
    <cellStyle name="_-* #,##0_-;-* #,##0_-;_-* &quot;-&quot;_-;_-@_-_재무지원부충당금_1_추가적립업체명세(완료)V_3황동인대리님 8 2 2" xfId="24581"/>
    <cellStyle name="_-* #,##0_-;-* #,##0_-;_-* &quot;-&quot;_-;_-@_-_재무지원부충당금_1_추가적립업체명세(완료)V_3황동인대리님 8 2 2 2" xfId="31761"/>
    <cellStyle name="_-* #,##0_-;-* #,##0_-;_-* &quot;-&quot;_-;_-@_-_재무지원부충당금_1_추가적립업체명세(완료)V_3황동인대리님 8 2 3" xfId="28207"/>
    <cellStyle name="_-* #,##0_-;-* #,##0_-;_-* &quot;-&quot;_-;_-@_-_재무지원부충당금_1_추가적립업체명세(완료)V_3황동인대리님 8 3" xfId="24582"/>
    <cellStyle name="_-* #,##0_-;-* #,##0_-;_-* &quot;-&quot;_-;_-@_-_재무지원부충당금_1_추가적립업체명세(완료)V_3황동인대리님 8 3 2" xfId="31762"/>
    <cellStyle name="_-* #,##0_-;-* #,##0_-;_-* &quot;-&quot;_-;_-@_-_재무지원부충당금_1_추가적립업체명세(완료)V_3황동인대리님 8 4" xfId="24583"/>
    <cellStyle name="_-* #,##0_-;-* #,##0_-;_-* &quot;-&quot;_-;_-@_-_재무지원부충당금_1_추가적립업체명세(완료)V_3황동인대리님 8 4 2" xfId="31763"/>
    <cellStyle name="_-* #,##0_-;-* #,##0_-;_-* &quot;-&quot;_-;_-@_-_재무지원부충당금_1_추가적립업체명세(완료)V_3황동인대리님 8 5" xfId="24584"/>
    <cellStyle name="_-* #,##0_-;-* #,##0_-;_-* &quot;-&quot;_-;_-@_-_재무지원부충당금_1_추가적립업체명세(완료)V_3황동인대리님 8 5 2" xfId="31764"/>
    <cellStyle name="_-* #,##0_-;-* #,##0_-;_-* &quot;-&quot;_-;_-@_-_재무지원부충당금_1_추가적립업체명세(완료)V_3황동인대리님 8 6" xfId="28206"/>
    <cellStyle name="_-* #,##0_-;-* #,##0_-;_-* &quot;-&quot;_-;_-@_-_재무지원부충당금_1_추가적립업체명세(완료)V_3황동인대리님 9" xfId="5589"/>
    <cellStyle name="_-* #,##0_-;-* #,##0_-;_-* &quot;-&quot;_-;_-@_-_재무지원부충당금_1_추가적립업체명세(완료)V_3황동인대리님 9 2" xfId="24585"/>
    <cellStyle name="_-* #,##0_-;-* #,##0_-;_-* &quot;-&quot;_-;_-@_-_재무지원부충당금_1_추가적립업체명세(완료)V_3황동인대리님 9 2 2" xfId="31765"/>
    <cellStyle name="_-* #,##0_-;-* #,##0_-;_-* &quot;-&quot;_-;_-@_-_재무지원부충당금_1_추가적립업체명세(완료)V_3황동인대리님 9 3" xfId="24586"/>
    <cellStyle name="_-* #,##0_-;-* #,##0_-;_-* &quot;-&quot;_-;_-@_-_재무지원부충당금_1_추가적립업체명세(완료)V_3황동인대리님 9 3 2" xfId="31766"/>
    <cellStyle name="_-* #,##0_-;-* #,##0_-;_-* &quot;-&quot;_-;_-@_-_재무지원부충당금_1_추가적립업체명세(완료)V_3황동인대리님 9 4" xfId="24587"/>
    <cellStyle name="_-* #,##0_-;-* #,##0_-;_-* &quot;-&quot;_-;_-@_-_재무지원부충당금_1_추가적립업체명세(완료)V_3황동인대리님 9 4 2" xfId="31767"/>
    <cellStyle name="_-* #,##0_-;-* #,##0_-;_-* &quot;-&quot;_-;_-@_-_재무지원부충당금_1_추가적립업체명세(완료)V_3황동인대리님 9 5" xfId="28208"/>
    <cellStyle name="_-* #,##0_-;-* #,##0_-;_-* &quot;-&quot;_-;_-@_-_재무지원부충당금_1_추가적립업체명세(완료)V_3황동인대리님_1211 충당금,건전성 현황_작업" xfId="5590"/>
    <cellStyle name="_-* #,##0_-;-* #,##0_-;_-* &quot;-&quot;_-;_-@_-_재무지원부충당금_1_추가적립업체명세(완료)V_3황동인대리님_1211 충당금,건전성 현황_작업 2" xfId="24588"/>
    <cellStyle name="_-* #,##0_-;-* #,##0_-;_-* &quot;-&quot;_-;_-@_-_재무지원부충당금_1_추가적립업체명세(완료)V_3황동인대리님_1211 충당금,건전성 현황_작업 2 2" xfId="31768"/>
    <cellStyle name="_-* #,##0_-;-* #,##0_-;_-* &quot;-&quot;_-;_-@_-_재무지원부충당금_1_추가적립업체명세(완료)V_3황동인대리님_1211 충당금,건전성 현황_작업 3" xfId="28209"/>
    <cellStyle name="_-* #,##0_-;-* #,##0_-;_-* &quot;-&quot;_-;_-@_-_재무지원부충당금_1_추가적립업체명세(완료)V_3황동인대리님_Hana 2011-1 Program_Data Disk_Pool B_v2(v5-1더밸류-이교민)" xfId="5591"/>
    <cellStyle name="_-* #,##0_-;-* #,##0_-;_-* &quot;-&quot;_-;_-@_-_재무지원부충당금_1_추가적립업체명세(완료)V_3황동인대리님_Hana 2011-1 Program_Data Disk_Pool B_v2(v5-1더밸류-이교민) 2" xfId="24589"/>
    <cellStyle name="_-* #,##0_-;-* #,##0_-;_-* &quot;-&quot;_-;_-@_-_재무지원부충당금_1_추가적립업체명세(완료)V_3황동인대리님_Hana 2011-1 Program_Data Disk_Pool B_v2(v5-1더밸류-이교민) 2 2" xfId="31769"/>
    <cellStyle name="_-* #,##0_-;-* #,##0_-;_-* &quot;-&quot;_-;_-@_-_재무지원부충당금_1_추가적립업체명세(완료)V_3황동인대리님_Hana 2011-1 Program_Data Disk_Pool B_v2(v5-1더밸류-이교민) 3" xfId="24590"/>
    <cellStyle name="_-* #,##0_-;-* #,##0_-;_-* &quot;-&quot;_-;_-@_-_재무지원부충당금_1_추가적립업체명세(완료)V_3황동인대리님_Hana 2011-1 Program_Data Disk_Pool B_v2(v5-1더밸류-이교민) 3 2" xfId="31770"/>
    <cellStyle name="_-* #,##0_-;-* #,##0_-;_-* &quot;-&quot;_-;_-@_-_재무지원부충당금_1_추가적립업체명세(완료)V_3황동인대리님_Hana 2011-1 Program_Data Disk_Pool B_v2(v5-1더밸류-이교민) 4" xfId="24591"/>
    <cellStyle name="_-* #,##0_-;-* #,##0_-;_-* &quot;-&quot;_-;_-@_-_재무지원부충당금_1_추가적립업체명세(완료)V_3황동인대리님_Hana 2011-1 Program_Data Disk_Pool B_v2(v5-1더밸류-이교민) 4 2" xfId="31771"/>
    <cellStyle name="_-* #,##0_-;-* #,##0_-;_-* &quot;-&quot;_-;_-@_-_재무지원부충당금_1_추가적립업체명세(완료)V_3황동인대리님_Hana 2011-1 Program_Data Disk_Pool B_v2(v5-1더밸류-이교민) 5" xfId="28210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" xfId="5592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" xfId="24592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2" xfId="31772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" xfId="24593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2" xfId="31773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" xfId="24594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2" xfId="31774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5" xfId="28211"/>
    <cellStyle name="_-* #,##0_-;-* #,##0_-;_-* &quot;-&quot;_-;_-@_-_재무지원부충당금_1_추가적립업체명세(완료)V_3황동인대리님_Hana 2011-1 Program_Data Disk_Pool B_v2(v5-1더밸류-이교민)_차주명관리_20110726_v1" xfId="5593"/>
    <cellStyle name="_-* #,##0_-;-* #,##0_-;_-* &quot;-&quot;_-;_-@_-_재무지원부충당금_1_추가적립업체명세(완료)V_3황동인대리님_Hana 2011-1 Program_Data Disk_Pool B_v2(v5-1더밸류-이교민)_차주명관리_20110726_v1 2" xfId="24595"/>
    <cellStyle name="_-* #,##0_-;-* #,##0_-;_-* &quot;-&quot;_-;_-@_-_재무지원부충당금_1_추가적립업체명세(완료)V_3황동인대리님_Hana 2011-1 Program_Data Disk_Pool B_v2(v5-1더밸류-이교민)_차주명관리_20110726_v1 2 2" xfId="31775"/>
    <cellStyle name="_-* #,##0_-;-* #,##0_-;_-* &quot;-&quot;_-;_-@_-_재무지원부충당금_1_추가적립업체명세(완료)V_3황동인대리님_Hana 2011-1 Program_Data Disk_Pool B_v2(v5-1더밸류-이교민)_차주명관리_20110726_v1 3" xfId="24596"/>
    <cellStyle name="_-* #,##0_-;-* #,##0_-;_-* &quot;-&quot;_-;_-@_-_재무지원부충당금_1_추가적립업체명세(완료)V_3황동인대리님_Hana 2011-1 Program_Data Disk_Pool B_v2(v5-1더밸류-이교민)_차주명관리_20110726_v1 3 2" xfId="31776"/>
    <cellStyle name="_-* #,##0_-;-* #,##0_-;_-* &quot;-&quot;_-;_-@_-_재무지원부충당금_1_추가적립업체명세(완료)V_3황동인대리님_Hana 2011-1 Program_Data Disk_Pool B_v2(v5-1더밸류-이교민)_차주명관리_20110726_v1 4" xfId="24597"/>
    <cellStyle name="_-* #,##0_-;-* #,##0_-;_-* &quot;-&quot;_-;_-@_-_재무지원부충당금_1_추가적립업체명세(완료)V_3황동인대리님_Hana 2011-1 Program_Data Disk_Pool B_v2(v5-1더밸류-이교민)_차주명관리_20110726_v1 4 2" xfId="31777"/>
    <cellStyle name="_-* #,##0_-;-* #,##0_-;_-* &quot;-&quot;_-;_-@_-_재무지원부충당금_1_추가적립업체명세(완료)V_3황동인대리님_Hana 2011-1 Program_Data Disk_Pool B_v2(v5-1더밸류-이교민)_차주명관리_20110726_v1 5" xfId="28212"/>
    <cellStyle name="_-* #,##0_-;-* #,##0_-;_-* &quot;-&quot;_-;_-@_-_재무지원부충당금_1_추가적립업체명세(완료)V_3황동인대리님_SHB_2011-3_담보sheet(더밸류_v6이교민)" xfId="5594"/>
    <cellStyle name="_-* #,##0_-;-* #,##0_-;_-* &quot;-&quot;_-;_-@_-_재무지원부충당금_1_추가적립업체명세(완료)V_3황동인대리님_SHB_2011-3_담보sheet(더밸류_v6이교민) 2" xfId="24598"/>
    <cellStyle name="_-* #,##0_-;-* #,##0_-;_-* &quot;-&quot;_-;_-@_-_재무지원부충당금_1_추가적립업체명세(완료)V_3황동인대리님_SHB_2011-3_담보sheet(더밸류_v6이교민) 2 2" xfId="31778"/>
    <cellStyle name="_-* #,##0_-;-* #,##0_-;_-* &quot;-&quot;_-;_-@_-_재무지원부충당금_1_추가적립업체명세(완료)V_3황동인대리님_SHB_2011-3_담보sheet(더밸류_v6이교민) 3" xfId="24599"/>
    <cellStyle name="_-* #,##0_-;-* #,##0_-;_-* &quot;-&quot;_-;_-@_-_재무지원부충당금_1_추가적립업체명세(완료)V_3황동인대리님_SHB_2011-3_담보sheet(더밸류_v6이교민) 3 2" xfId="31779"/>
    <cellStyle name="_-* #,##0_-;-* #,##0_-;_-* &quot;-&quot;_-;_-@_-_재무지원부충당금_1_추가적립업체명세(완료)V_3황동인대리님_SHB_2011-3_담보sheet(더밸류_v6이교민) 4" xfId="24600"/>
    <cellStyle name="_-* #,##0_-;-* #,##0_-;_-* &quot;-&quot;_-;_-@_-_재무지원부충당금_1_추가적립업체명세(완료)V_3황동인대리님_SHB_2011-3_담보sheet(더밸류_v6이교민) 4 2" xfId="31780"/>
    <cellStyle name="_-* #,##0_-;-* #,##0_-;_-* &quot;-&quot;_-;_-@_-_재무지원부충당금_1_추가적립업체명세(완료)V_3황동인대리님_SHB_2011-3_담보sheet(더밸류_v6이교민) 5" xfId="28213"/>
    <cellStyle name="_-* #,##0_-;-* #,##0_-;_-* &quot;-&quot;_-;_-@_-_재무지원부충당금_1_추가적립업체명세(완료)V_3황동인대리님_SHB_2011-3_담보sheet(더밸류_v6이교민)_차주명관리_20110726_v1" xfId="5595"/>
    <cellStyle name="_-* #,##0_-;-* #,##0_-;_-* &quot;-&quot;_-;_-@_-_재무지원부충당금_1_추가적립업체명세(완료)V_3황동인대리님_SHB_2011-3_담보sheet(더밸류_v6이교민)_차주명관리_20110726_v1 2" xfId="24601"/>
    <cellStyle name="_-* #,##0_-;-* #,##0_-;_-* &quot;-&quot;_-;_-@_-_재무지원부충당금_1_추가적립업체명세(완료)V_3황동인대리님_SHB_2011-3_담보sheet(더밸류_v6이교민)_차주명관리_20110726_v1 2 2" xfId="31781"/>
    <cellStyle name="_-* #,##0_-;-* #,##0_-;_-* &quot;-&quot;_-;_-@_-_재무지원부충당금_1_추가적립업체명세(완료)V_3황동인대리님_SHB_2011-3_담보sheet(더밸류_v6이교민)_차주명관리_20110726_v1 3" xfId="24602"/>
    <cellStyle name="_-* #,##0_-;-* #,##0_-;_-* &quot;-&quot;_-;_-@_-_재무지원부충당금_1_추가적립업체명세(완료)V_3황동인대리님_SHB_2011-3_담보sheet(더밸류_v6이교민)_차주명관리_20110726_v1 3 2" xfId="31782"/>
    <cellStyle name="_-* #,##0_-;-* #,##0_-;_-* &quot;-&quot;_-;_-@_-_재무지원부충당금_1_추가적립업체명세(완료)V_3황동인대리님_SHB_2011-3_담보sheet(더밸류_v6이교민)_차주명관리_20110726_v1 4" xfId="24603"/>
    <cellStyle name="_-* #,##0_-;-* #,##0_-;_-* &quot;-&quot;_-;_-@_-_재무지원부충당금_1_추가적립업체명세(완료)V_3황동인대리님_SHB_2011-3_담보sheet(더밸류_v6이교민)_차주명관리_20110726_v1 4 2" xfId="31783"/>
    <cellStyle name="_-* #,##0_-;-* #,##0_-;_-* &quot;-&quot;_-;_-@_-_재무지원부충당금_1_추가적립업체명세(완료)V_3황동인대리님_SHB_2011-3_담보sheet(더밸류_v6이교민)_차주명관리_20110726_v1 5" xfId="28214"/>
    <cellStyle name="_-* #,##0_-;-* #,##0_-;_-* &quot;-&quot;_-;_-@_-_재무지원부충당금_1_추가적립업체명세(완료)V_3황동인대리님_Sheet1" xfId="5596"/>
    <cellStyle name="_-* #,##0_-;-* #,##0_-;_-* &quot;-&quot;_-;_-@_-_재무지원부충당금_1_추가적립업체명세(완료)V_3황동인대리님_Sheet1 2" xfId="24604"/>
    <cellStyle name="_-* #,##0_-;-* #,##0_-;_-* &quot;-&quot;_-;_-@_-_재무지원부충당금_1_추가적립업체명세(완료)V_3황동인대리님_Sheet1 2 2" xfId="31784"/>
    <cellStyle name="_-* #,##0_-;-* #,##0_-;_-* &quot;-&quot;_-;_-@_-_재무지원부충당금_1_추가적립업체명세(완료)V_3황동인대리님_Sheet1 3" xfId="28215"/>
    <cellStyle name="_-* #,##0_-;-* #,##0_-;_-* &quot;-&quot;_-;_-@_-_재무지원부충당금_1_추가적립업체명세(완료)V_3황동인대리님_권리분석_v1(최초)-4" xfId="5597"/>
    <cellStyle name="_-* #,##0_-;-* #,##0_-;_-* &quot;-&quot;_-;_-@_-_재무지원부충당금_1_추가적립업체명세(완료)V_3황동인대리님_권리분석_v1(최초)-4 2" xfId="24605"/>
    <cellStyle name="_-* #,##0_-;-* #,##0_-;_-* &quot;-&quot;_-;_-@_-_재무지원부충당금_1_추가적립업체명세(완료)V_3황동인대리님_권리분석_v1(최초)-4 2 2" xfId="31785"/>
    <cellStyle name="_-* #,##0_-;-* #,##0_-;_-* &quot;-&quot;_-;_-@_-_재무지원부충당금_1_추가적립업체명세(완료)V_3황동인대리님_권리분석_v1(최초)-4 3" xfId="24606"/>
    <cellStyle name="_-* #,##0_-;-* #,##0_-;_-* &quot;-&quot;_-;_-@_-_재무지원부충당금_1_추가적립업체명세(완료)V_3황동인대리님_권리분석_v1(최초)-4 3 2" xfId="31786"/>
    <cellStyle name="_-* #,##0_-;-* #,##0_-;_-* &quot;-&quot;_-;_-@_-_재무지원부충당금_1_추가적립업체명세(완료)V_3황동인대리님_권리분석_v1(최초)-4 4" xfId="24607"/>
    <cellStyle name="_-* #,##0_-;-* #,##0_-;_-* &quot;-&quot;_-;_-@_-_재무지원부충당금_1_추가적립업체명세(완료)V_3황동인대리님_권리분석_v1(최초)-4 4 2" xfId="31787"/>
    <cellStyle name="_-* #,##0_-;-* #,##0_-;_-* &quot;-&quot;_-;_-@_-_재무지원부충당금_1_추가적립업체명세(완료)V_3황동인대리님_권리분석_v1(최초)-4 5" xfId="28216"/>
    <cellStyle name="_-* #,##0_-;-* #,##0_-;_-* &quot;-&quot;_-;_-@_-_재무지원부충당금_1211 충당금,건전성 현황_작업" xfId="5598"/>
    <cellStyle name="_-* #,##0_-;-* #,##0_-;_-* &quot;-&quot;_-;_-@_-_재무지원부충당금_1211 충당금,건전성 현황_작업 2" xfId="24608"/>
    <cellStyle name="_-* #,##0_-;-* #,##0_-;_-* &quot;-&quot;_-;_-@_-_재무지원부충당금_1211 충당금,건전성 현황_작업 2 2" xfId="31788"/>
    <cellStyle name="_-* #,##0_-;-* #,##0_-;_-* &quot;-&quot;_-;_-@_-_재무지원부충당금_1211 충당금,건전성 현황_작업 3" xfId="28217"/>
    <cellStyle name="_-* #,##0_-;-* #,##0_-;_-* &quot;-&quot;_-;_-@_-_재무지원부충당금_Hana 2011-1 Program_Data Disk_Pool B_v2(v5-1더밸류-이교민)" xfId="5599"/>
    <cellStyle name="_-* #,##0_-;-* #,##0_-;_-* &quot;-&quot;_-;_-@_-_재무지원부충당금_Hana 2011-1 Program_Data Disk_Pool B_v2(v5-1더밸류-이교민) 2" xfId="24609"/>
    <cellStyle name="_-* #,##0_-;-* #,##0_-;_-* &quot;-&quot;_-;_-@_-_재무지원부충당금_Hana 2011-1 Program_Data Disk_Pool B_v2(v5-1더밸류-이교민) 2 2" xfId="31789"/>
    <cellStyle name="_-* #,##0_-;-* #,##0_-;_-* &quot;-&quot;_-;_-@_-_재무지원부충당금_Hana 2011-1 Program_Data Disk_Pool B_v2(v5-1더밸류-이교민) 3" xfId="24610"/>
    <cellStyle name="_-* #,##0_-;-* #,##0_-;_-* &quot;-&quot;_-;_-@_-_재무지원부충당금_Hana 2011-1 Program_Data Disk_Pool B_v2(v5-1더밸류-이교민) 3 2" xfId="31790"/>
    <cellStyle name="_-* #,##0_-;-* #,##0_-;_-* &quot;-&quot;_-;_-@_-_재무지원부충당금_Hana 2011-1 Program_Data Disk_Pool B_v2(v5-1더밸류-이교민) 4" xfId="24611"/>
    <cellStyle name="_-* #,##0_-;-* #,##0_-;_-* &quot;-&quot;_-;_-@_-_재무지원부충당금_Hana 2011-1 Program_Data Disk_Pool B_v2(v5-1더밸류-이교민) 4 2" xfId="31791"/>
    <cellStyle name="_-* #,##0_-;-* #,##0_-;_-* &quot;-&quot;_-;_-@_-_재무지원부충당금_Hana 2011-1 Program_Data Disk_Pool B_v2(v5-1더밸류-이교민) 5" xfId="28218"/>
    <cellStyle name="_-* #,##0_-;-* #,##0_-;_-* &quot;-&quot;_-;_-@_-_재무지원부충당금_Hana 2011-1 Program_Data Disk_Pool B_v2(v5-1더밸류-이교민)_SHB 2011-2 Program_Data Disk_Pool C,B_v1(v2더밸류_이교민)" xfId="5600"/>
    <cellStyle name="_-* #,##0_-;-* #,##0_-;_-* &quot;-&quot;_-;_-@_-_재무지원부충당금_Hana 2011-1 Program_Data Disk_Pool B_v2(v5-1더밸류-이교민)_SHB 2011-2 Program_Data Disk_Pool C,B_v1(v2더밸류_이교민) 2" xfId="24612"/>
    <cellStyle name="_-* #,##0_-;-* #,##0_-;_-* &quot;-&quot;_-;_-@_-_재무지원부충당금_Hana 2011-1 Program_Data Disk_Pool B_v2(v5-1더밸류-이교민)_SHB 2011-2 Program_Data Disk_Pool C,B_v1(v2더밸류_이교민) 2 2" xfId="31792"/>
    <cellStyle name="_-* #,##0_-;-* #,##0_-;_-* &quot;-&quot;_-;_-@_-_재무지원부충당금_Hana 2011-1 Program_Data Disk_Pool B_v2(v5-1더밸류-이교민)_SHB 2011-2 Program_Data Disk_Pool C,B_v1(v2더밸류_이교민) 3" xfId="24613"/>
    <cellStyle name="_-* #,##0_-;-* #,##0_-;_-* &quot;-&quot;_-;_-@_-_재무지원부충당금_Hana 2011-1 Program_Data Disk_Pool B_v2(v5-1더밸류-이교민)_SHB 2011-2 Program_Data Disk_Pool C,B_v1(v2더밸류_이교민) 3 2" xfId="31793"/>
    <cellStyle name="_-* #,##0_-;-* #,##0_-;_-* &quot;-&quot;_-;_-@_-_재무지원부충당금_Hana 2011-1 Program_Data Disk_Pool B_v2(v5-1더밸류-이교민)_SHB 2011-2 Program_Data Disk_Pool C,B_v1(v2더밸류_이교민) 4" xfId="24614"/>
    <cellStyle name="_-* #,##0_-;-* #,##0_-;_-* &quot;-&quot;_-;_-@_-_재무지원부충당금_Hana 2011-1 Program_Data Disk_Pool B_v2(v5-1더밸류-이교민)_SHB 2011-2 Program_Data Disk_Pool C,B_v1(v2더밸류_이교민) 4 2" xfId="31794"/>
    <cellStyle name="_-* #,##0_-;-* #,##0_-;_-* &quot;-&quot;_-;_-@_-_재무지원부충당금_Hana 2011-1 Program_Data Disk_Pool B_v2(v5-1더밸류-이교민)_SHB 2011-2 Program_Data Disk_Pool C,B_v1(v2더밸류_이교민) 5" xfId="28219"/>
    <cellStyle name="_-* #,##0_-;-* #,##0_-;_-* &quot;-&quot;_-;_-@_-_재무지원부충당금_Hana 2011-1 Program_Data Disk_Pool B_v2(v5-1더밸류-이교민)_차주명관리_20110726_v1" xfId="5601"/>
    <cellStyle name="_-* #,##0_-;-* #,##0_-;_-* &quot;-&quot;_-;_-@_-_재무지원부충당금_Hana 2011-1 Program_Data Disk_Pool B_v2(v5-1더밸류-이교민)_차주명관리_20110726_v1 2" xfId="24615"/>
    <cellStyle name="_-* #,##0_-;-* #,##0_-;_-* &quot;-&quot;_-;_-@_-_재무지원부충당금_Hana 2011-1 Program_Data Disk_Pool B_v2(v5-1더밸류-이교민)_차주명관리_20110726_v1 2 2" xfId="31795"/>
    <cellStyle name="_-* #,##0_-;-* #,##0_-;_-* &quot;-&quot;_-;_-@_-_재무지원부충당금_Hana 2011-1 Program_Data Disk_Pool B_v2(v5-1더밸류-이교민)_차주명관리_20110726_v1 3" xfId="24616"/>
    <cellStyle name="_-* #,##0_-;-* #,##0_-;_-* &quot;-&quot;_-;_-@_-_재무지원부충당금_Hana 2011-1 Program_Data Disk_Pool B_v2(v5-1더밸류-이교민)_차주명관리_20110726_v1 3 2" xfId="31796"/>
    <cellStyle name="_-* #,##0_-;-* #,##0_-;_-* &quot;-&quot;_-;_-@_-_재무지원부충당금_Hana 2011-1 Program_Data Disk_Pool B_v2(v5-1더밸류-이교민)_차주명관리_20110726_v1 4" xfId="24617"/>
    <cellStyle name="_-* #,##0_-;-* #,##0_-;_-* &quot;-&quot;_-;_-@_-_재무지원부충당금_Hana 2011-1 Program_Data Disk_Pool B_v2(v5-1더밸류-이교민)_차주명관리_20110726_v1 4 2" xfId="31797"/>
    <cellStyle name="_-* #,##0_-;-* #,##0_-;_-* &quot;-&quot;_-;_-@_-_재무지원부충당금_Hana 2011-1 Program_Data Disk_Pool B_v2(v5-1더밸류-이교민)_차주명관리_20110726_v1 5" xfId="28220"/>
    <cellStyle name="_-* #,##0_-;-* #,##0_-;_-* &quot;-&quot;_-;_-@_-_재무지원부충당금_SHB_2011-3_담보sheet(더밸류_v6이교민)" xfId="5602"/>
    <cellStyle name="_-* #,##0_-;-* #,##0_-;_-* &quot;-&quot;_-;_-@_-_재무지원부충당금_SHB_2011-3_담보sheet(더밸류_v6이교민) 2" xfId="24618"/>
    <cellStyle name="_-* #,##0_-;-* #,##0_-;_-* &quot;-&quot;_-;_-@_-_재무지원부충당금_SHB_2011-3_담보sheet(더밸류_v6이교민) 2 2" xfId="31798"/>
    <cellStyle name="_-* #,##0_-;-* #,##0_-;_-* &quot;-&quot;_-;_-@_-_재무지원부충당금_SHB_2011-3_담보sheet(더밸류_v6이교민) 3" xfId="24619"/>
    <cellStyle name="_-* #,##0_-;-* #,##0_-;_-* &quot;-&quot;_-;_-@_-_재무지원부충당금_SHB_2011-3_담보sheet(더밸류_v6이교민) 3 2" xfId="31799"/>
    <cellStyle name="_-* #,##0_-;-* #,##0_-;_-* &quot;-&quot;_-;_-@_-_재무지원부충당금_SHB_2011-3_담보sheet(더밸류_v6이교민) 4" xfId="24620"/>
    <cellStyle name="_-* #,##0_-;-* #,##0_-;_-* &quot;-&quot;_-;_-@_-_재무지원부충당금_SHB_2011-3_담보sheet(더밸류_v6이교민) 4 2" xfId="31800"/>
    <cellStyle name="_-* #,##0_-;-* #,##0_-;_-* &quot;-&quot;_-;_-@_-_재무지원부충당금_SHB_2011-3_담보sheet(더밸류_v6이교민) 5" xfId="28221"/>
    <cellStyle name="_-* #,##0_-;-* #,##0_-;_-* &quot;-&quot;_-;_-@_-_재무지원부충당금_SHB_2011-3_담보sheet(더밸류_v6이교민)_차주명관리_20110726_v1" xfId="5603"/>
    <cellStyle name="_-* #,##0_-;-* #,##0_-;_-* &quot;-&quot;_-;_-@_-_재무지원부충당금_SHB_2011-3_담보sheet(더밸류_v6이교민)_차주명관리_20110726_v1 2" xfId="24621"/>
    <cellStyle name="_-* #,##0_-;-* #,##0_-;_-* &quot;-&quot;_-;_-@_-_재무지원부충당금_SHB_2011-3_담보sheet(더밸류_v6이교민)_차주명관리_20110726_v1 2 2" xfId="31801"/>
    <cellStyle name="_-* #,##0_-;-* #,##0_-;_-* &quot;-&quot;_-;_-@_-_재무지원부충당금_SHB_2011-3_담보sheet(더밸류_v6이교민)_차주명관리_20110726_v1 3" xfId="24622"/>
    <cellStyle name="_-* #,##0_-;-* #,##0_-;_-* &quot;-&quot;_-;_-@_-_재무지원부충당금_SHB_2011-3_담보sheet(더밸류_v6이교민)_차주명관리_20110726_v1 3 2" xfId="31802"/>
    <cellStyle name="_-* #,##0_-;-* #,##0_-;_-* &quot;-&quot;_-;_-@_-_재무지원부충당금_SHB_2011-3_담보sheet(더밸류_v6이교민)_차주명관리_20110726_v1 4" xfId="24623"/>
    <cellStyle name="_-* #,##0_-;-* #,##0_-;_-* &quot;-&quot;_-;_-@_-_재무지원부충당금_SHB_2011-3_담보sheet(더밸류_v6이교민)_차주명관리_20110726_v1 4 2" xfId="31803"/>
    <cellStyle name="_-* #,##0_-;-* #,##0_-;_-* &quot;-&quot;_-;_-@_-_재무지원부충당금_SHB_2011-3_담보sheet(더밸류_v6이교민)_차주명관리_20110726_v1 5" xfId="28222"/>
    <cellStyle name="_-* #,##0_-;-* #,##0_-;_-* &quot;-&quot;_-;_-@_-_재무지원부충당금_Sheet1" xfId="5604"/>
    <cellStyle name="_-* #,##0_-;-* #,##0_-;_-* &quot;-&quot;_-;_-@_-_재무지원부충당금_Sheet1 2" xfId="24624"/>
    <cellStyle name="_-* #,##0_-;-* #,##0_-;_-* &quot;-&quot;_-;_-@_-_재무지원부충당금_Sheet1 2 2" xfId="31804"/>
    <cellStyle name="_-* #,##0_-;-* #,##0_-;_-* &quot;-&quot;_-;_-@_-_재무지원부충당금_Sheet1 3" xfId="28223"/>
    <cellStyle name="_-* #,##0_-;-* #,##0_-;_-* &quot;-&quot;_-;_-@_-_재무지원부충당금_권리분석_v1(최초)-4" xfId="5605"/>
    <cellStyle name="_-* #,##0_-;-* #,##0_-;_-* &quot;-&quot;_-;_-@_-_재무지원부충당금_권리분석_v1(최초)-4 2" xfId="24625"/>
    <cellStyle name="_-* #,##0_-;-* #,##0_-;_-* &quot;-&quot;_-;_-@_-_재무지원부충당금_권리분석_v1(최초)-4 2 2" xfId="31805"/>
    <cellStyle name="_-* #,##0_-;-* #,##0_-;_-* &quot;-&quot;_-;_-@_-_재무지원부충당금_권리분석_v1(최초)-4 3" xfId="24626"/>
    <cellStyle name="_-* #,##0_-;-* #,##0_-;_-* &quot;-&quot;_-;_-@_-_재무지원부충당금_권리분석_v1(최초)-4 3 2" xfId="31806"/>
    <cellStyle name="_-* #,##0_-;-* #,##0_-;_-* &quot;-&quot;_-;_-@_-_재무지원부충당금_권리분석_v1(최초)-4 4" xfId="24627"/>
    <cellStyle name="_-* #,##0_-;-* #,##0_-;_-* &quot;-&quot;_-;_-@_-_재무지원부충당금_권리분석_v1(최초)-4 4 2" xfId="31807"/>
    <cellStyle name="_-* #,##0_-;-* #,##0_-;_-* &quot;-&quot;_-;_-@_-_재무지원부충당금_권리분석_v1(최초)-4 5" xfId="28224"/>
    <cellStyle name="_-* #,##0_-;-* #,##0_-;_-* &quot;-&quot;_-;_-@_-_추가적립명세_0908" xfId="50"/>
    <cellStyle name="_-* #,##0_-;-* #,##0_-;_-* &quot;-&quot;_-;_-@_-_추가적립명세_0908 10" xfId="24628"/>
    <cellStyle name="_-* #,##0_-;-* #,##0_-;_-* &quot;-&quot;_-;_-@_-_추가적립명세_0908 10 2" xfId="31808"/>
    <cellStyle name="_-* #,##0_-;-* #,##0_-;_-* &quot;-&quot;_-;_-@_-_추가적립명세_0908 11" xfId="24629"/>
    <cellStyle name="_-* #,##0_-;-* #,##0_-;_-* &quot;-&quot;_-;_-@_-_추가적립명세_0908 11 2" xfId="31809"/>
    <cellStyle name="_-* #,##0_-;-* #,##0_-;_-* &quot;-&quot;_-;_-@_-_추가적립명세_0908 12" xfId="27614"/>
    <cellStyle name="_-* #,##0_-;-* #,##0_-;_-* &quot;-&quot;_-;_-@_-_추가적립명세_0908 2" xfId="5606"/>
    <cellStyle name="_-* #,##0_-;-* #,##0_-;_-* &quot;-&quot;_-;_-@_-_추가적립명세_0908 2 10" xfId="28225"/>
    <cellStyle name="_-* #,##0_-;-* #,##0_-;_-* &quot;-&quot;_-;_-@_-_추가적립명세_0908 2 2" xfId="5607"/>
    <cellStyle name="_-* #,##0_-;-* #,##0_-;_-* &quot;-&quot;_-;_-@_-_추가적립명세_0908 2 2 2" xfId="5608"/>
    <cellStyle name="_-* #,##0_-;-* #,##0_-;_-* &quot;-&quot;_-;_-@_-_추가적립명세_0908 2 2 2 2" xfId="5609"/>
    <cellStyle name="_-* #,##0_-;-* #,##0_-;_-* &quot;-&quot;_-;_-@_-_추가적립명세_0908 2 2 2 2 2" xfId="24630"/>
    <cellStyle name="_-* #,##0_-;-* #,##0_-;_-* &quot;-&quot;_-;_-@_-_추가적립명세_0908 2 2 2 2 2 2" xfId="31810"/>
    <cellStyle name="_-* #,##0_-;-* #,##0_-;_-* &quot;-&quot;_-;_-@_-_추가적립명세_0908 2 2 2 2 3" xfId="28228"/>
    <cellStyle name="_-* #,##0_-;-* #,##0_-;_-* &quot;-&quot;_-;_-@_-_추가적립명세_0908 2 2 2 3" xfId="24631"/>
    <cellStyle name="_-* #,##0_-;-* #,##0_-;_-* &quot;-&quot;_-;_-@_-_추가적립명세_0908 2 2 2 3 2" xfId="31811"/>
    <cellStyle name="_-* #,##0_-;-* #,##0_-;_-* &quot;-&quot;_-;_-@_-_추가적립명세_0908 2 2 2 4" xfId="24632"/>
    <cellStyle name="_-* #,##0_-;-* #,##0_-;_-* &quot;-&quot;_-;_-@_-_추가적립명세_0908 2 2 2 4 2" xfId="31812"/>
    <cellStyle name="_-* #,##0_-;-* #,##0_-;_-* &quot;-&quot;_-;_-@_-_추가적립명세_0908 2 2 2 5" xfId="24633"/>
    <cellStyle name="_-* #,##0_-;-* #,##0_-;_-* &quot;-&quot;_-;_-@_-_추가적립명세_0908 2 2 2 5 2" xfId="31813"/>
    <cellStyle name="_-* #,##0_-;-* #,##0_-;_-* &quot;-&quot;_-;_-@_-_추가적립명세_0908 2 2 2 6" xfId="28227"/>
    <cellStyle name="_-* #,##0_-;-* #,##0_-;_-* &quot;-&quot;_-;_-@_-_추가적립명세_0908 2 2 3" xfId="5610"/>
    <cellStyle name="_-* #,##0_-;-* #,##0_-;_-* &quot;-&quot;_-;_-@_-_추가적립명세_0908 2 2 3 2" xfId="5611"/>
    <cellStyle name="_-* #,##0_-;-* #,##0_-;_-* &quot;-&quot;_-;_-@_-_추가적립명세_0908 2 2 3 2 2" xfId="24634"/>
    <cellStyle name="_-* #,##0_-;-* #,##0_-;_-* &quot;-&quot;_-;_-@_-_추가적립명세_0908 2 2 3 2 2 2" xfId="31814"/>
    <cellStyle name="_-* #,##0_-;-* #,##0_-;_-* &quot;-&quot;_-;_-@_-_추가적립명세_0908 2 2 3 2 3" xfId="28230"/>
    <cellStyle name="_-* #,##0_-;-* #,##0_-;_-* &quot;-&quot;_-;_-@_-_추가적립명세_0908 2 2 3 3" xfId="24635"/>
    <cellStyle name="_-* #,##0_-;-* #,##0_-;_-* &quot;-&quot;_-;_-@_-_추가적립명세_0908 2 2 3 3 2" xfId="31815"/>
    <cellStyle name="_-* #,##0_-;-* #,##0_-;_-* &quot;-&quot;_-;_-@_-_추가적립명세_0908 2 2 3 4" xfId="28229"/>
    <cellStyle name="_-* #,##0_-;-* #,##0_-;_-* &quot;-&quot;_-;_-@_-_추가적립명세_0908 2 2 4" xfId="5612"/>
    <cellStyle name="_-* #,##0_-;-* #,##0_-;_-* &quot;-&quot;_-;_-@_-_추가적립명세_0908 2 2 4 2" xfId="5613"/>
    <cellStyle name="_-* #,##0_-;-* #,##0_-;_-* &quot;-&quot;_-;_-@_-_추가적립명세_0908 2 2 4 2 2" xfId="24636"/>
    <cellStyle name="_-* #,##0_-;-* #,##0_-;_-* &quot;-&quot;_-;_-@_-_추가적립명세_0908 2 2 4 2 2 2" xfId="31816"/>
    <cellStyle name="_-* #,##0_-;-* #,##0_-;_-* &quot;-&quot;_-;_-@_-_추가적립명세_0908 2 2 4 2 3" xfId="28232"/>
    <cellStyle name="_-* #,##0_-;-* #,##0_-;_-* &quot;-&quot;_-;_-@_-_추가적립명세_0908 2 2 4 3" xfId="24637"/>
    <cellStyle name="_-* #,##0_-;-* #,##0_-;_-* &quot;-&quot;_-;_-@_-_추가적립명세_0908 2 2 4 3 2" xfId="31817"/>
    <cellStyle name="_-* #,##0_-;-* #,##0_-;_-* &quot;-&quot;_-;_-@_-_추가적립명세_0908 2 2 4 4" xfId="28231"/>
    <cellStyle name="_-* #,##0_-;-* #,##0_-;_-* &quot;-&quot;_-;_-@_-_추가적립명세_0908 2 2 5" xfId="5614"/>
    <cellStyle name="_-* #,##0_-;-* #,##0_-;_-* &quot;-&quot;_-;_-@_-_추가적립명세_0908 2 2 5 2" xfId="24638"/>
    <cellStyle name="_-* #,##0_-;-* #,##0_-;_-* &quot;-&quot;_-;_-@_-_추가적립명세_0908 2 2 5 2 2" xfId="31818"/>
    <cellStyle name="_-* #,##0_-;-* #,##0_-;_-* &quot;-&quot;_-;_-@_-_추가적립명세_0908 2 2 5 3" xfId="28233"/>
    <cellStyle name="_-* #,##0_-;-* #,##0_-;_-* &quot;-&quot;_-;_-@_-_추가적립명세_0908 2 2 6" xfId="24639"/>
    <cellStyle name="_-* #,##0_-;-* #,##0_-;_-* &quot;-&quot;_-;_-@_-_추가적립명세_0908 2 2 6 2" xfId="31819"/>
    <cellStyle name="_-* #,##0_-;-* #,##0_-;_-* &quot;-&quot;_-;_-@_-_추가적립명세_0908 2 2 7" xfId="24640"/>
    <cellStyle name="_-* #,##0_-;-* #,##0_-;_-* &quot;-&quot;_-;_-@_-_추가적립명세_0908 2 2 7 2" xfId="31820"/>
    <cellStyle name="_-* #,##0_-;-* #,##0_-;_-* &quot;-&quot;_-;_-@_-_추가적립명세_0908 2 2 8" xfId="28226"/>
    <cellStyle name="_-* #,##0_-;-* #,##0_-;_-* &quot;-&quot;_-;_-@_-_추가적립명세_0908 2 3" xfId="5615"/>
    <cellStyle name="_-* #,##0_-;-* #,##0_-;_-* &quot;-&quot;_-;_-@_-_추가적립명세_0908 2 3 2" xfId="5616"/>
    <cellStyle name="_-* #,##0_-;-* #,##0_-;_-* &quot;-&quot;_-;_-@_-_추가적립명세_0908 2 3 2 2" xfId="5617"/>
    <cellStyle name="_-* #,##0_-;-* #,##0_-;_-* &quot;-&quot;_-;_-@_-_추가적립명세_0908 2 3 2 2 2" xfId="24641"/>
    <cellStyle name="_-* #,##0_-;-* #,##0_-;_-* &quot;-&quot;_-;_-@_-_추가적립명세_0908 2 3 2 2 2 2" xfId="31821"/>
    <cellStyle name="_-* #,##0_-;-* #,##0_-;_-* &quot;-&quot;_-;_-@_-_추가적립명세_0908 2 3 2 2 3" xfId="28236"/>
    <cellStyle name="_-* #,##0_-;-* #,##0_-;_-* &quot;-&quot;_-;_-@_-_추가적립명세_0908 2 3 2 3" xfId="24642"/>
    <cellStyle name="_-* #,##0_-;-* #,##0_-;_-* &quot;-&quot;_-;_-@_-_추가적립명세_0908 2 3 2 3 2" xfId="31822"/>
    <cellStyle name="_-* #,##0_-;-* #,##0_-;_-* &quot;-&quot;_-;_-@_-_추가적립명세_0908 2 3 2 4" xfId="24643"/>
    <cellStyle name="_-* #,##0_-;-* #,##0_-;_-* &quot;-&quot;_-;_-@_-_추가적립명세_0908 2 3 2 4 2" xfId="31823"/>
    <cellStyle name="_-* #,##0_-;-* #,##0_-;_-* &quot;-&quot;_-;_-@_-_추가적립명세_0908 2 3 2 5" xfId="24644"/>
    <cellStyle name="_-* #,##0_-;-* #,##0_-;_-* &quot;-&quot;_-;_-@_-_추가적립명세_0908 2 3 2 5 2" xfId="31824"/>
    <cellStyle name="_-* #,##0_-;-* #,##0_-;_-* &quot;-&quot;_-;_-@_-_추가적립명세_0908 2 3 2 6" xfId="28235"/>
    <cellStyle name="_-* #,##0_-;-* #,##0_-;_-* &quot;-&quot;_-;_-@_-_추가적립명세_0908 2 3 3" xfId="5618"/>
    <cellStyle name="_-* #,##0_-;-* #,##0_-;_-* &quot;-&quot;_-;_-@_-_추가적립명세_0908 2 3 3 2" xfId="5619"/>
    <cellStyle name="_-* #,##0_-;-* #,##0_-;_-* &quot;-&quot;_-;_-@_-_추가적립명세_0908 2 3 3 2 2" xfId="24645"/>
    <cellStyle name="_-* #,##0_-;-* #,##0_-;_-* &quot;-&quot;_-;_-@_-_추가적립명세_0908 2 3 3 2 2 2" xfId="31825"/>
    <cellStyle name="_-* #,##0_-;-* #,##0_-;_-* &quot;-&quot;_-;_-@_-_추가적립명세_0908 2 3 3 2 3" xfId="28238"/>
    <cellStyle name="_-* #,##0_-;-* #,##0_-;_-* &quot;-&quot;_-;_-@_-_추가적립명세_0908 2 3 3 3" xfId="24646"/>
    <cellStyle name="_-* #,##0_-;-* #,##0_-;_-* &quot;-&quot;_-;_-@_-_추가적립명세_0908 2 3 3 3 2" xfId="31826"/>
    <cellStyle name="_-* #,##0_-;-* #,##0_-;_-* &quot;-&quot;_-;_-@_-_추가적립명세_0908 2 3 3 4" xfId="28237"/>
    <cellStyle name="_-* #,##0_-;-* #,##0_-;_-* &quot;-&quot;_-;_-@_-_추가적립명세_0908 2 3 4" xfId="5620"/>
    <cellStyle name="_-* #,##0_-;-* #,##0_-;_-* &quot;-&quot;_-;_-@_-_추가적립명세_0908 2 3 4 2" xfId="5621"/>
    <cellStyle name="_-* #,##0_-;-* #,##0_-;_-* &quot;-&quot;_-;_-@_-_추가적립명세_0908 2 3 4 2 2" xfId="24647"/>
    <cellStyle name="_-* #,##0_-;-* #,##0_-;_-* &quot;-&quot;_-;_-@_-_추가적립명세_0908 2 3 4 2 2 2" xfId="31827"/>
    <cellStyle name="_-* #,##0_-;-* #,##0_-;_-* &quot;-&quot;_-;_-@_-_추가적립명세_0908 2 3 4 2 3" xfId="28240"/>
    <cellStyle name="_-* #,##0_-;-* #,##0_-;_-* &quot;-&quot;_-;_-@_-_추가적립명세_0908 2 3 4 3" xfId="24648"/>
    <cellStyle name="_-* #,##0_-;-* #,##0_-;_-* &quot;-&quot;_-;_-@_-_추가적립명세_0908 2 3 4 3 2" xfId="31828"/>
    <cellStyle name="_-* #,##0_-;-* #,##0_-;_-* &quot;-&quot;_-;_-@_-_추가적립명세_0908 2 3 4 4" xfId="28239"/>
    <cellStyle name="_-* #,##0_-;-* #,##0_-;_-* &quot;-&quot;_-;_-@_-_추가적립명세_0908 2 3 5" xfId="5622"/>
    <cellStyle name="_-* #,##0_-;-* #,##0_-;_-* &quot;-&quot;_-;_-@_-_추가적립명세_0908 2 3 5 2" xfId="24649"/>
    <cellStyle name="_-* #,##0_-;-* #,##0_-;_-* &quot;-&quot;_-;_-@_-_추가적립명세_0908 2 3 5 2 2" xfId="31829"/>
    <cellStyle name="_-* #,##0_-;-* #,##0_-;_-* &quot;-&quot;_-;_-@_-_추가적립명세_0908 2 3 5 3" xfId="28241"/>
    <cellStyle name="_-* #,##0_-;-* #,##0_-;_-* &quot;-&quot;_-;_-@_-_추가적립명세_0908 2 3 6" xfId="24650"/>
    <cellStyle name="_-* #,##0_-;-* #,##0_-;_-* &quot;-&quot;_-;_-@_-_추가적립명세_0908 2 3 6 2" xfId="31830"/>
    <cellStyle name="_-* #,##0_-;-* #,##0_-;_-* &quot;-&quot;_-;_-@_-_추가적립명세_0908 2 3 7" xfId="24651"/>
    <cellStyle name="_-* #,##0_-;-* #,##0_-;_-* &quot;-&quot;_-;_-@_-_추가적립명세_0908 2 3 7 2" xfId="31831"/>
    <cellStyle name="_-* #,##0_-;-* #,##0_-;_-* &quot;-&quot;_-;_-@_-_추가적립명세_0908 2 3 8" xfId="28234"/>
    <cellStyle name="_-* #,##0_-;-* #,##0_-;_-* &quot;-&quot;_-;_-@_-_추가적립명세_0908 2 4" xfId="5623"/>
    <cellStyle name="_-* #,##0_-;-* #,##0_-;_-* &quot;-&quot;_-;_-@_-_추가적립명세_0908 2 4 2" xfId="5624"/>
    <cellStyle name="_-* #,##0_-;-* #,##0_-;_-* &quot;-&quot;_-;_-@_-_추가적립명세_0908 2 4 2 2" xfId="5625"/>
    <cellStyle name="_-* #,##0_-;-* #,##0_-;_-* &quot;-&quot;_-;_-@_-_추가적립명세_0908 2 4 2 2 2" xfId="24652"/>
    <cellStyle name="_-* #,##0_-;-* #,##0_-;_-* &quot;-&quot;_-;_-@_-_추가적립명세_0908 2 4 2 2 2 2" xfId="31832"/>
    <cellStyle name="_-* #,##0_-;-* #,##0_-;_-* &quot;-&quot;_-;_-@_-_추가적립명세_0908 2 4 2 2 3" xfId="28244"/>
    <cellStyle name="_-* #,##0_-;-* #,##0_-;_-* &quot;-&quot;_-;_-@_-_추가적립명세_0908 2 4 2 3" xfId="24653"/>
    <cellStyle name="_-* #,##0_-;-* #,##0_-;_-* &quot;-&quot;_-;_-@_-_추가적립명세_0908 2 4 2 3 2" xfId="31833"/>
    <cellStyle name="_-* #,##0_-;-* #,##0_-;_-* &quot;-&quot;_-;_-@_-_추가적립명세_0908 2 4 2 4" xfId="24654"/>
    <cellStyle name="_-* #,##0_-;-* #,##0_-;_-* &quot;-&quot;_-;_-@_-_추가적립명세_0908 2 4 2 4 2" xfId="31834"/>
    <cellStyle name="_-* #,##0_-;-* #,##0_-;_-* &quot;-&quot;_-;_-@_-_추가적립명세_0908 2 4 2 5" xfId="24655"/>
    <cellStyle name="_-* #,##0_-;-* #,##0_-;_-* &quot;-&quot;_-;_-@_-_추가적립명세_0908 2 4 2 5 2" xfId="31835"/>
    <cellStyle name="_-* #,##0_-;-* #,##0_-;_-* &quot;-&quot;_-;_-@_-_추가적립명세_0908 2 4 2 6" xfId="28243"/>
    <cellStyle name="_-* #,##0_-;-* #,##0_-;_-* &quot;-&quot;_-;_-@_-_추가적립명세_0908 2 4 3" xfId="5626"/>
    <cellStyle name="_-* #,##0_-;-* #,##0_-;_-* &quot;-&quot;_-;_-@_-_추가적립명세_0908 2 4 3 2" xfId="5627"/>
    <cellStyle name="_-* #,##0_-;-* #,##0_-;_-* &quot;-&quot;_-;_-@_-_추가적립명세_0908 2 4 3 2 2" xfId="24656"/>
    <cellStyle name="_-* #,##0_-;-* #,##0_-;_-* &quot;-&quot;_-;_-@_-_추가적립명세_0908 2 4 3 2 2 2" xfId="31836"/>
    <cellStyle name="_-* #,##0_-;-* #,##0_-;_-* &quot;-&quot;_-;_-@_-_추가적립명세_0908 2 4 3 2 3" xfId="28246"/>
    <cellStyle name="_-* #,##0_-;-* #,##0_-;_-* &quot;-&quot;_-;_-@_-_추가적립명세_0908 2 4 3 3" xfId="24657"/>
    <cellStyle name="_-* #,##0_-;-* #,##0_-;_-* &quot;-&quot;_-;_-@_-_추가적립명세_0908 2 4 3 3 2" xfId="31837"/>
    <cellStyle name="_-* #,##0_-;-* #,##0_-;_-* &quot;-&quot;_-;_-@_-_추가적립명세_0908 2 4 3 4" xfId="28245"/>
    <cellStyle name="_-* #,##0_-;-* #,##0_-;_-* &quot;-&quot;_-;_-@_-_추가적립명세_0908 2 4 4" xfId="5628"/>
    <cellStyle name="_-* #,##0_-;-* #,##0_-;_-* &quot;-&quot;_-;_-@_-_추가적립명세_0908 2 4 4 2" xfId="24658"/>
    <cellStyle name="_-* #,##0_-;-* #,##0_-;_-* &quot;-&quot;_-;_-@_-_추가적립명세_0908 2 4 4 2 2" xfId="31838"/>
    <cellStyle name="_-* #,##0_-;-* #,##0_-;_-* &quot;-&quot;_-;_-@_-_추가적립명세_0908 2 4 4 3" xfId="28247"/>
    <cellStyle name="_-* #,##0_-;-* #,##0_-;_-* &quot;-&quot;_-;_-@_-_추가적립명세_0908 2 4 5" xfId="24659"/>
    <cellStyle name="_-* #,##0_-;-* #,##0_-;_-* &quot;-&quot;_-;_-@_-_추가적립명세_0908 2 4 5 2" xfId="31839"/>
    <cellStyle name="_-* #,##0_-;-* #,##0_-;_-* &quot;-&quot;_-;_-@_-_추가적립명세_0908 2 4 6" xfId="24660"/>
    <cellStyle name="_-* #,##0_-;-* #,##0_-;_-* &quot;-&quot;_-;_-@_-_추가적립명세_0908 2 4 6 2" xfId="31840"/>
    <cellStyle name="_-* #,##0_-;-* #,##0_-;_-* &quot;-&quot;_-;_-@_-_추가적립명세_0908 2 4 7" xfId="24661"/>
    <cellStyle name="_-* #,##0_-;-* #,##0_-;_-* &quot;-&quot;_-;_-@_-_추가적립명세_0908 2 4 7 2" xfId="31841"/>
    <cellStyle name="_-* #,##0_-;-* #,##0_-;_-* &quot;-&quot;_-;_-@_-_추가적립명세_0908 2 4 8" xfId="28242"/>
    <cellStyle name="_-* #,##0_-;-* #,##0_-;_-* &quot;-&quot;_-;_-@_-_추가적립명세_0908 2 5" xfId="5629"/>
    <cellStyle name="_-* #,##0_-;-* #,##0_-;_-* &quot;-&quot;_-;_-@_-_추가적립명세_0908 2 5 2" xfId="5630"/>
    <cellStyle name="_-* #,##0_-;-* #,##0_-;_-* &quot;-&quot;_-;_-@_-_추가적립명세_0908 2 5 2 2" xfId="24662"/>
    <cellStyle name="_-* #,##0_-;-* #,##0_-;_-* &quot;-&quot;_-;_-@_-_추가적립명세_0908 2 5 2 2 2" xfId="31842"/>
    <cellStyle name="_-* #,##0_-;-* #,##0_-;_-* &quot;-&quot;_-;_-@_-_추가적립명세_0908 2 5 2 3" xfId="28249"/>
    <cellStyle name="_-* #,##0_-;-* #,##0_-;_-* &quot;-&quot;_-;_-@_-_추가적립명세_0908 2 5 3" xfId="5631"/>
    <cellStyle name="_-* #,##0_-;-* #,##0_-;_-* &quot;-&quot;_-;_-@_-_추가적립명세_0908 2 5 3 2" xfId="24663"/>
    <cellStyle name="_-* #,##0_-;-* #,##0_-;_-* &quot;-&quot;_-;_-@_-_추가적립명세_0908 2 5 3 2 2" xfId="31843"/>
    <cellStyle name="_-* #,##0_-;-* #,##0_-;_-* &quot;-&quot;_-;_-@_-_추가적립명세_0908 2 5 3 3" xfId="28250"/>
    <cellStyle name="_-* #,##0_-;-* #,##0_-;_-* &quot;-&quot;_-;_-@_-_추가적립명세_0908 2 5 4" xfId="24664"/>
    <cellStyle name="_-* #,##0_-;-* #,##0_-;_-* &quot;-&quot;_-;_-@_-_추가적립명세_0908 2 5 4 2" xfId="31844"/>
    <cellStyle name="_-* #,##0_-;-* #,##0_-;_-* &quot;-&quot;_-;_-@_-_추가적립명세_0908 2 5 5" xfId="24665"/>
    <cellStyle name="_-* #,##0_-;-* #,##0_-;_-* &quot;-&quot;_-;_-@_-_추가적립명세_0908 2 5 5 2" xfId="31845"/>
    <cellStyle name="_-* #,##0_-;-* #,##0_-;_-* &quot;-&quot;_-;_-@_-_추가적립명세_0908 2 5 6" xfId="28248"/>
    <cellStyle name="_-* #,##0_-;-* #,##0_-;_-* &quot;-&quot;_-;_-@_-_추가적립명세_0908 2 6" xfId="5632"/>
    <cellStyle name="_-* #,##0_-;-* #,##0_-;_-* &quot;-&quot;_-;_-@_-_추가적립명세_0908 2 6 2" xfId="5633"/>
    <cellStyle name="_-* #,##0_-;-* #,##0_-;_-* &quot;-&quot;_-;_-@_-_추가적립명세_0908 2 6 2 2" xfId="24666"/>
    <cellStyle name="_-* #,##0_-;-* #,##0_-;_-* &quot;-&quot;_-;_-@_-_추가적립명세_0908 2 6 2 2 2" xfId="31846"/>
    <cellStyle name="_-* #,##0_-;-* #,##0_-;_-* &quot;-&quot;_-;_-@_-_추가적립명세_0908 2 6 2 3" xfId="28252"/>
    <cellStyle name="_-* #,##0_-;-* #,##0_-;_-* &quot;-&quot;_-;_-@_-_추가적립명세_0908 2 6 3" xfId="5634"/>
    <cellStyle name="_-* #,##0_-;-* #,##0_-;_-* &quot;-&quot;_-;_-@_-_추가적립명세_0908 2 6 3 2" xfId="24667"/>
    <cellStyle name="_-* #,##0_-;-* #,##0_-;_-* &quot;-&quot;_-;_-@_-_추가적립명세_0908 2 6 3 2 2" xfId="31847"/>
    <cellStyle name="_-* #,##0_-;-* #,##0_-;_-* &quot;-&quot;_-;_-@_-_추가적립명세_0908 2 6 3 3" xfId="28253"/>
    <cellStyle name="_-* #,##0_-;-* #,##0_-;_-* &quot;-&quot;_-;_-@_-_추가적립명세_0908 2 6 4" xfId="24668"/>
    <cellStyle name="_-* #,##0_-;-* #,##0_-;_-* &quot;-&quot;_-;_-@_-_추가적립명세_0908 2 6 4 2" xfId="31848"/>
    <cellStyle name="_-* #,##0_-;-* #,##0_-;_-* &quot;-&quot;_-;_-@_-_추가적립명세_0908 2 6 5" xfId="28251"/>
    <cellStyle name="_-* #,##0_-;-* #,##0_-;_-* &quot;-&quot;_-;_-@_-_추가적립명세_0908 2 7" xfId="5635"/>
    <cellStyle name="_-* #,##0_-;-* #,##0_-;_-* &quot;-&quot;_-;_-@_-_추가적립명세_0908 2 7 2" xfId="5636"/>
    <cellStyle name="_-* #,##0_-;-* #,##0_-;_-* &quot;-&quot;_-;_-@_-_추가적립명세_0908 2 7 2 2" xfId="24669"/>
    <cellStyle name="_-* #,##0_-;-* #,##0_-;_-* &quot;-&quot;_-;_-@_-_추가적립명세_0908 2 7 2 2 2" xfId="31849"/>
    <cellStyle name="_-* #,##0_-;-* #,##0_-;_-* &quot;-&quot;_-;_-@_-_추가적립명세_0908 2 7 2 3" xfId="28255"/>
    <cellStyle name="_-* #,##0_-;-* #,##0_-;_-* &quot;-&quot;_-;_-@_-_추가적립명세_0908 2 7 3" xfId="24670"/>
    <cellStyle name="_-* #,##0_-;-* #,##0_-;_-* &quot;-&quot;_-;_-@_-_추가적립명세_0908 2 7 3 2" xfId="31850"/>
    <cellStyle name="_-* #,##0_-;-* #,##0_-;_-* &quot;-&quot;_-;_-@_-_추가적립명세_0908 2 7 4" xfId="28254"/>
    <cellStyle name="_-* #,##0_-;-* #,##0_-;_-* &quot;-&quot;_-;_-@_-_추가적립명세_0908 2 8" xfId="5637"/>
    <cellStyle name="_-* #,##0_-;-* #,##0_-;_-* &quot;-&quot;_-;_-@_-_추가적립명세_0908 2 8 2" xfId="24671"/>
    <cellStyle name="_-* #,##0_-;-* #,##0_-;_-* &quot;-&quot;_-;_-@_-_추가적립명세_0908 2 8 2 2" xfId="31851"/>
    <cellStyle name="_-* #,##0_-;-* #,##0_-;_-* &quot;-&quot;_-;_-@_-_추가적립명세_0908 2 8 3" xfId="28256"/>
    <cellStyle name="_-* #,##0_-;-* #,##0_-;_-* &quot;-&quot;_-;_-@_-_추가적립명세_0908 2 9" xfId="24672"/>
    <cellStyle name="_-* #,##0_-;-* #,##0_-;_-* &quot;-&quot;_-;_-@_-_추가적립명세_0908 2 9 2" xfId="31852"/>
    <cellStyle name="_-* #,##0_-;-* #,##0_-;_-* &quot;-&quot;_-;_-@_-_추가적립명세_0908 3" xfId="5638"/>
    <cellStyle name="_-* #,##0_-;-* #,##0_-;_-* &quot;-&quot;_-;_-@_-_추가적립명세_0908 3 10" xfId="24673"/>
    <cellStyle name="_-* #,##0_-;-* #,##0_-;_-* &quot;-&quot;_-;_-@_-_추가적립명세_0908 3 10 2" xfId="31853"/>
    <cellStyle name="_-* #,##0_-;-* #,##0_-;_-* &quot;-&quot;_-;_-@_-_추가적립명세_0908 3 11" xfId="28257"/>
    <cellStyle name="_-* #,##0_-;-* #,##0_-;_-* &quot;-&quot;_-;_-@_-_추가적립명세_0908 3 2" xfId="5639"/>
    <cellStyle name="_-* #,##0_-;-* #,##0_-;_-* &quot;-&quot;_-;_-@_-_추가적립명세_0908 3 2 2" xfId="5640"/>
    <cellStyle name="_-* #,##0_-;-* #,##0_-;_-* &quot;-&quot;_-;_-@_-_추가적립명세_0908 3 2 2 2" xfId="24674"/>
    <cellStyle name="_-* #,##0_-;-* #,##0_-;_-* &quot;-&quot;_-;_-@_-_추가적립명세_0908 3 2 2 2 2" xfId="31854"/>
    <cellStyle name="_-* #,##0_-;-* #,##0_-;_-* &quot;-&quot;_-;_-@_-_추가적립명세_0908 3 2 2 3" xfId="24675"/>
    <cellStyle name="_-* #,##0_-;-* #,##0_-;_-* &quot;-&quot;_-;_-@_-_추가적립명세_0908 3 2 2 3 2" xfId="31855"/>
    <cellStyle name="_-* #,##0_-;-* #,##0_-;_-* &quot;-&quot;_-;_-@_-_추가적립명세_0908 3 2 2 4" xfId="24676"/>
    <cellStyle name="_-* #,##0_-;-* #,##0_-;_-* &quot;-&quot;_-;_-@_-_추가적립명세_0908 3 2 2 4 2" xfId="31856"/>
    <cellStyle name="_-* #,##0_-;-* #,##0_-;_-* &quot;-&quot;_-;_-@_-_추가적립명세_0908 3 2 2 5" xfId="24677"/>
    <cellStyle name="_-* #,##0_-;-* #,##0_-;_-* &quot;-&quot;_-;_-@_-_추가적립명세_0908 3 2 2 5 2" xfId="31857"/>
    <cellStyle name="_-* #,##0_-;-* #,##0_-;_-* &quot;-&quot;_-;_-@_-_추가적립명세_0908 3 2 2 6" xfId="28259"/>
    <cellStyle name="_-* #,##0_-;-* #,##0_-;_-* &quot;-&quot;_-;_-@_-_추가적립명세_0908 3 2 3" xfId="24678"/>
    <cellStyle name="_-* #,##0_-;-* #,##0_-;_-* &quot;-&quot;_-;_-@_-_추가적립명세_0908 3 2 3 2" xfId="24679"/>
    <cellStyle name="_-* #,##0_-;-* #,##0_-;_-* &quot;-&quot;_-;_-@_-_추가적립명세_0908 3 2 3 2 2" xfId="31859"/>
    <cellStyle name="_-* #,##0_-;-* #,##0_-;_-* &quot;-&quot;_-;_-@_-_추가적립명세_0908 3 2 3 3" xfId="31858"/>
    <cellStyle name="_-* #,##0_-;-* #,##0_-;_-* &quot;-&quot;_-;_-@_-_추가적립명세_0908 3 2 4" xfId="24680"/>
    <cellStyle name="_-* #,##0_-;-* #,##0_-;_-* &quot;-&quot;_-;_-@_-_추가적립명세_0908 3 2 4 2" xfId="31860"/>
    <cellStyle name="_-* #,##0_-;-* #,##0_-;_-* &quot;-&quot;_-;_-@_-_추가적립명세_0908 3 2 5" xfId="24681"/>
    <cellStyle name="_-* #,##0_-;-* #,##0_-;_-* &quot;-&quot;_-;_-@_-_추가적립명세_0908 3 2 5 2" xfId="31861"/>
    <cellStyle name="_-* #,##0_-;-* #,##0_-;_-* &quot;-&quot;_-;_-@_-_추가적립명세_0908 3 2 6" xfId="24682"/>
    <cellStyle name="_-* #,##0_-;-* #,##0_-;_-* &quot;-&quot;_-;_-@_-_추가적립명세_0908 3 2 6 2" xfId="31862"/>
    <cellStyle name="_-* #,##0_-;-* #,##0_-;_-* &quot;-&quot;_-;_-@_-_추가적립명세_0908 3 2 7" xfId="24683"/>
    <cellStyle name="_-* #,##0_-;-* #,##0_-;_-* &quot;-&quot;_-;_-@_-_추가적립명세_0908 3 2 7 2" xfId="31863"/>
    <cellStyle name="_-* #,##0_-;-* #,##0_-;_-* &quot;-&quot;_-;_-@_-_추가적립명세_0908 3 2 8" xfId="28258"/>
    <cellStyle name="_-* #,##0_-;-* #,##0_-;_-* &quot;-&quot;_-;_-@_-_추가적립명세_0908 3 3" xfId="5641"/>
    <cellStyle name="_-* #,##0_-;-* #,##0_-;_-* &quot;-&quot;_-;_-@_-_추가적립명세_0908 3 3 2" xfId="5642"/>
    <cellStyle name="_-* #,##0_-;-* #,##0_-;_-* &quot;-&quot;_-;_-@_-_추가적립명세_0908 3 3 2 2" xfId="24684"/>
    <cellStyle name="_-* #,##0_-;-* #,##0_-;_-* &quot;-&quot;_-;_-@_-_추가적립명세_0908 3 3 2 2 2" xfId="31864"/>
    <cellStyle name="_-* #,##0_-;-* #,##0_-;_-* &quot;-&quot;_-;_-@_-_추가적립명세_0908 3 3 2 3" xfId="24685"/>
    <cellStyle name="_-* #,##0_-;-* #,##0_-;_-* &quot;-&quot;_-;_-@_-_추가적립명세_0908 3 3 2 3 2" xfId="31865"/>
    <cellStyle name="_-* #,##0_-;-* #,##0_-;_-* &quot;-&quot;_-;_-@_-_추가적립명세_0908 3 3 2 4" xfId="24686"/>
    <cellStyle name="_-* #,##0_-;-* #,##0_-;_-* &quot;-&quot;_-;_-@_-_추가적립명세_0908 3 3 2 4 2" xfId="31866"/>
    <cellStyle name="_-* #,##0_-;-* #,##0_-;_-* &quot;-&quot;_-;_-@_-_추가적립명세_0908 3 3 2 5" xfId="24687"/>
    <cellStyle name="_-* #,##0_-;-* #,##0_-;_-* &quot;-&quot;_-;_-@_-_추가적립명세_0908 3 3 2 5 2" xfId="31867"/>
    <cellStyle name="_-* #,##0_-;-* #,##0_-;_-* &quot;-&quot;_-;_-@_-_추가적립명세_0908 3 3 2 6" xfId="28261"/>
    <cellStyle name="_-* #,##0_-;-* #,##0_-;_-* &quot;-&quot;_-;_-@_-_추가적립명세_0908 3 3 3" xfId="24688"/>
    <cellStyle name="_-* #,##0_-;-* #,##0_-;_-* &quot;-&quot;_-;_-@_-_추가적립명세_0908 3 3 3 2" xfId="24689"/>
    <cellStyle name="_-* #,##0_-;-* #,##0_-;_-* &quot;-&quot;_-;_-@_-_추가적립명세_0908 3 3 3 2 2" xfId="31869"/>
    <cellStyle name="_-* #,##0_-;-* #,##0_-;_-* &quot;-&quot;_-;_-@_-_추가적립명세_0908 3 3 3 3" xfId="31868"/>
    <cellStyle name="_-* #,##0_-;-* #,##0_-;_-* &quot;-&quot;_-;_-@_-_추가적립명세_0908 3 3 4" xfId="24690"/>
    <cellStyle name="_-* #,##0_-;-* #,##0_-;_-* &quot;-&quot;_-;_-@_-_추가적립명세_0908 3 3 4 2" xfId="31870"/>
    <cellStyle name="_-* #,##0_-;-* #,##0_-;_-* &quot;-&quot;_-;_-@_-_추가적립명세_0908 3 3 5" xfId="24691"/>
    <cellStyle name="_-* #,##0_-;-* #,##0_-;_-* &quot;-&quot;_-;_-@_-_추가적립명세_0908 3 3 5 2" xfId="31871"/>
    <cellStyle name="_-* #,##0_-;-* #,##0_-;_-* &quot;-&quot;_-;_-@_-_추가적립명세_0908 3 3 6" xfId="24692"/>
    <cellStyle name="_-* #,##0_-;-* #,##0_-;_-* &quot;-&quot;_-;_-@_-_추가적립명세_0908 3 3 6 2" xfId="31872"/>
    <cellStyle name="_-* #,##0_-;-* #,##0_-;_-* &quot;-&quot;_-;_-@_-_추가적립명세_0908 3 3 7" xfId="24693"/>
    <cellStyle name="_-* #,##0_-;-* #,##0_-;_-* &quot;-&quot;_-;_-@_-_추가적립명세_0908 3 3 7 2" xfId="31873"/>
    <cellStyle name="_-* #,##0_-;-* #,##0_-;_-* &quot;-&quot;_-;_-@_-_추가적립명세_0908 3 3 8" xfId="28260"/>
    <cellStyle name="_-* #,##0_-;-* #,##0_-;_-* &quot;-&quot;_-;_-@_-_추가적립명세_0908 3 4" xfId="5643"/>
    <cellStyle name="_-* #,##0_-;-* #,##0_-;_-* &quot;-&quot;_-;_-@_-_추가적립명세_0908 3 4 2" xfId="5644"/>
    <cellStyle name="_-* #,##0_-;-* #,##0_-;_-* &quot;-&quot;_-;_-@_-_추가적립명세_0908 3 4 2 2" xfId="24694"/>
    <cellStyle name="_-* #,##0_-;-* #,##0_-;_-* &quot;-&quot;_-;_-@_-_추가적립명세_0908 3 4 2 2 2" xfId="31874"/>
    <cellStyle name="_-* #,##0_-;-* #,##0_-;_-* &quot;-&quot;_-;_-@_-_추가적립명세_0908 3 4 2 3" xfId="24695"/>
    <cellStyle name="_-* #,##0_-;-* #,##0_-;_-* &quot;-&quot;_-;_-@_-_추가적립명세_0908 3 4 2 3 2" xfId="31875"/>
    <cellStyle name="_-* #,##0_-;-* #,##0_-;_-* &quot;-&quot;_-;_-@_-_추가적립명세_0908 3 4 2 4" xfId="24696"/>
    <cellStyle name="_-* #,##0_-;-* #,##0_-;_-* &quot;-&quot;_-;_-@_-_추가적립명세_0908 3 4 2 4 2" xfId="31876"/>
    <cellStyle name="_-* #,##0_-;-* #,##0_-;_-* &quot;-&quot;_-;_-@_-_추가적립명세_0908 3 4 2 5" xfId="24697"/>
    <cellStyle name="_-* #,##0_-;-* #,##0_-;_-* &quot;-&quot;_-;_-@_-_추가적립명세_0908 3 4 2 5 2" xfId="31877"/>
    <cellStyle name="_-* #,##0_-;-* #,##0_-;_-* &quot;-&quot;_-;_-@_-_추가적립명세_0908 3 4 2 6" xfId="28263"/>
    <cellStyle name="_-* #,##0_-;-* #,##0_-;_-* &quot;-&quot;_-;_-@_-_추가적립명세_0908 3 4 3" xfId="24698"/>
    <cellStyle name="_-* #,##0_-;-* #,##0_-;_-* &quot;-&quot;_-;_-@_-_추가적립명세_0908 3 4 3 2" xfId="24699"/>
    <cellStyle name="_-* #,##0_-;-* #,##0_-;_-* &quot;-&quot;_-;_-@_-_추가적립명세_0908 3 4 3 2 2" xfId="31879"/>
    <cellStyle name="_-* #,##0_-;-* #,##0_-;_-* &quot;-&quot;_-;_-@_-_추가적립명세_0908 3 4 3 3" xfId="31878"/>
    <cellStyle name="_-* #,##0_-;-* #,##0_-;_-* &quot;-&quot;_-;_-@_-_추가적립명세_0908 3 4 4" xfId="24700"/>
    <cellStyle name="_-* #,##0_-;-* #,##0_-;_-* &quot;-&quot;_-;_-@_-_추가적립명세_0908 3 4 4 2" xfId="31880"/>
    <cellStyle name="_-* #,##0_-;-* #,##0_-;_-* &quot;-&quot;_-;_-@_-_추가적립명세_0908 3 4 5" xfId="24701"/>
    <cellStyle name="_-* #,##0_-;-* #,##0_-;_-* &quot;-&quot;_-;_-@_-_추가적립명세_0908 3 4 5 2" xfId="31881"/>
    <cellStyle name="_-* #,##0_-;-* #,##0_-;_-* &quot;-&quot;_-;_-@_-_추가적립명세_0908 3 4 6" xfId="24702"/>
    <cellStyle name="_-* #,##0_-;-* #,##0_-;_-* &quot;-&quot;_-;_-@_-_추가적립명세_0908 3 4 6 2" xfId="31882"/>
    <cellStyle name="_-* #,##0_-;-* #,##0_-;_-* &quot;-&quot;_-;_-@_-_추가적립명세_0908 3 4 7" xfId="24703"/>
    <cellStyle name="_-* #,##0_-;-* #,##0_-;_-* &quot;-&quot;_-;_-@_-_추가적립명세_0908 3 4 7 2" xfId="31883"/>
    <cellStyle name="_-* #,##0_-;-* #,##0_-;_-* &quot;-&quot;_-;_-@_-_추가적립명세_0908 3 4 8" xfId="28262"/>
    <cellStyle name="_-* #,##0_-;-* #,##0_-;_-* &quot;-&quot;_-;_-@_-_추가적립명세_0908 3 5" xfId="5645"/>
    <cellStyle name="_-* #,##0_-;-* #,##0_-;_-* &quot;-&quot;_-;_-@_-_추가적립명세_0908 3 5 2" xfId="24704"/>
    <cellStyle name="_-* #,##0_-;-* #,##0_-;_-* &quot;-&quot;_-;_-@_-_추가적립명세_0908 3 5 2 2" xfId="31884"/>
    <cellStyle name="_-* #,##0_-;-* #,##0_-;_-* &quot;-&quot;_-;_-@_-_추가적립명세_0908 3 5 3" xfId="24705"/>
    <cellStyle name="_-* #,##0_-;-* #,##0_-;_-* &quot;-&quot;_-;_-@_-_추가적립명세_0908 3 5 3 2" xfId="31885"/>
    <cellStyle name="_-* #,##0_-;-* #,##0_-;_-* &quot;-&quot;_-;_-@_-_추가적립명세_0908 3 5 4" xfId="24706"/>
    <cellStyle name="_-* #,##0_-;-* #,##0_-;_-* &quot;-&quot;_-;_-@_-_추가적립명세_0908 3 5 4 2" xfId="31886"/>
    <cellStyle name="_-* #,##0_-;-* #,##0_-;_-* &quot;-&quot;_-;_-@_-_추가적립명세_0908 3 5 5" xfId="24707"/>
    <cellStyle name="_-* #,##0_-;-* #,##0_-;_-* &quot;-&quot;_-;_-@_-_추가적립명세_0908 3 5 5 2" xfId="31887"/>
    <cellStyle name="_-* #,##0_-;-* #,##0_-;_-* &quot;-&quot;_-;_-@_-_추가적립명세_0908 3 5 6" xfId="28264"/>
    <cellStyle name="_-* #,##0_-;-* #,##0_-;_-* &quot;-&quot;_-;_-@_-_추가적립명세_0908 3 6" xfId="24708"/>
    <cellStyle name="_-* #,##0_-;-* #,##0_-;_-* &quot;-&quot;_-;_-@_-_추가적립명세_0908 3 6 2" xfId="24709"/>
    <cellStyle name="_-* #,##0_-;-* #,##0_-;_-* &quot;-&quot;_-;_-@_-_추가적립명세_0908 3 6 2 2" xfId="31889"/>
    <cellStyle name="_-* #,##0_-;-* #,##0_-;_-* &quot;-&quot;_-;_-@_-_추가적립명세_0908 3 6 3" xfId="31888"/>
    <cellStyle name="_-* #,##0_-;-* #,##0_-;_-* &quot;-&quot;_-;_-@_-_추가적립명세_0908 3 7" xfId="24710"/>
    <cellStyle name="_-* #,##0_-;-* #,##0_-;_-* &quot;-&quot;_-;_-@_-_추가적립명세_0908 3 7 2" xfId="31890"/>
    <cellStyle name="_-* #,##0_-;-* #,##0_-;_-* &quot;-&quot;_-;_-@_-_추가적립명세_0908 3 8" xfId="24711"/>
    <cellStyle name="_-* #,##0_-;-* #,##0_-;_-* &quot;-&quot;_-;_-@_-_추가적립명세_0908 3 8 2" xfId="31891"/>
    <cellStyle name="_-* #,##0_-;-* #,##0_-;_-* &quot;-&quot;_-;_-@_-_추가적립명세_0908 3 9" xfId="24712"/>
    <cellStyle name="_-* #,##0_-;-* #,##0_-;_-* &quot;-&quot;_-;_-@_-_추가적립명세_0908 3 9 2" xfId="31892"/>
    <cellStyle name="_-* #,##0_-;-* #,##0_-;_-* &quot;-&quot;_-;_-@_-_추가적립명세_0908 4" xfId="5646"/>
    <cellStyle name="_-* #,##0_-;-* #,##0_-;_-* &quot;-&quot;_-;_-@_-_추가적립명세_0908 4 2" xfId="5647"/>
    <cellStyle name="_-* #,##0_-;-* #,##0_-;_-* &quot;-&quot;_-;_-@_-_추가적립명세_0908 4 2 2" xfId="5648"/>
    <cellStyle name="_-* #,##0_-;-* #,##0_-;_-* &quot;-&quot;_-;_-@_-_추가적립명세_0908 4 2 2 2" xfId="24713"/>
    <cellStyle name="_-* #,##0_-;-* #,##0_-;_-* &quot;-&quot;_-;_-@_-_추가적립명세_0908 4 2 2 2 2" xfId="31893"/>
    <cellStyle name="_-* #,##0_-;-* #,##0_-;_-* &quot;-&quot;_-;_-@_-_추가적립명세_0908 4 2 2 3" xfId="28267"/>
    <cellStyle name="_-* #,##0_-;-* #,##0_-;_-* &quot;-&quot;_-;_-@_-_추가적립명세_0908 4 2 3" xfId="24714"/>
    <cellStyle name="_-* #,##0_-;-* #,##0_-;_-* &quot;-&quot;_-;_-@_-_추가적립명세_0908 4 2 3 2" xfId="31894"/>
    <cellStyle name="_-* #,##0_-;-* #,##0_-;_-* &quot;-&quot;_-;_-@_-_추가적립명세_0908 4 2 4" xfId="24715"/>
    <cellStyle name="_-* #,##0_-;-* #,##0_-;_-* &quot;-&quot;_-;_-@_-_추가적립명세_0908 4 2 4 2" xfId="31895"/>
    <cellStyle name="_-* #,##0_-;-* #,##0_-;_-* &quot;-&quot;_-;_-@_-_추가적립명세_0908 4 2 5" xfId="24716"/>
    <cellStyle name="_-* #,##0_-;-* #,##0_-;_-* &quot;-&quot;_-;_-@_-_추가적립명세_0908 4 2 5 2" xfId="31896"/>
    <cellStyle name="_-* #,##0_-;-* #,##0_-;_-* &quot;-&quot;_-;_-@_-_추가적립명세_0908 4 2 6" xfId="28266"/>
    <cellStyle name="_-* #,##0_-;-* #,##0_-;_-* &quot;-&quot;_-;_-@_-_추가적립명세_0908 4 3" xfId="5649"/>
    <cellStyle name="_-* #,##0_-;-* #,##0_-;_-* &quot;-&quot;_-;_-@_-_추가적립명세_0908 4 3 2" xfId="5650"/>
    <cellStyle name="_-* #,##0_-;-* #,##0_-;_-* &quot;-&quot;_-;_-@_-_추가적립명세_0908 4 3 2 2" xfId="24717"/>
    <cellStyle name="_-* #,##0_-;-* #,##0_-;_-* &quot;-&quot;_-;_-@_-_추가적립명세_0908 4 3 2 2 2" xfId="31897"/>
    <cellStyle name="_-* #,##0_-;-* #,##0_-;_-* &quot;-&quot;_-;_-@_-_추가적립명세_0908 4 3 2 3" xfId="28269"/>
    <cellStyle name="_-* #,##0_-;-* #,##0_-;_-* &quot;-&quot;_-;_-@_-_추가적립명세_0908 4 3 3" xfId="24718"/>
    <cellStyle name="_-* #,##0_-;-* #,##0_-;_-* &quot;-&quot;_-;_-@_-_추가적립명세_0908 4 3 3 2" xfId="31898"/>
    <cellStyle name="_-* #,##0_-;-* #,##0_-;_-* &quot;-&quot;_-;_-@_-_추가적립명세_0908 4 3 4" xfId="28268"/>
    <cellStyle name="_-* #,##0_-;-* #,##0_-;_-* &quot;-&quot;_-;_-@_-_추가적립명세_0908 4 4" xfId="5651"/>
    <cellStyle name="_-* #,##0_-;-* #,##0_-;_-* &quot;-&quot;_-;_-@_-_추가적립명세_0908 4 4 2" xfId="5652"/>
    <cellStyle name="_-* #,##0_-;-* #,##0_-;_-* &quot;-&quot;_-;_-@_-_추가적립명세_0908 4 4 2 2" xfId="24719"/>
    <cellStyle name="_-* #,##0_-;-* #,##0_-;_-* &quot;-&quot;_-;_-@_-_추가적립명세_0908 4 4 2 2 2" xfId="31899"/>
    <cellStyle name="_-* #,##0_-;-* #,##0_-;_-* &quot;-&quot;_-;_-@_-_추가적립명세_0908 4 4 2 3" xfId="28271"/>
    <cellStyle name="_-* #,##0_-;-* #,##0_-;_-* &quot;-&quot;_-;_-@_-_추가적립명세_0908 4 4 3" xfId="24720"/>
    <cellStyle name="_-* #,##0_-;-* #,##0_-;_-* &quot;-&quot;_-;_-@_-_추가적립명세_0908 4 4 3 2" xfId="31900"/>
    <cellStyle name="_-* #,##0_-;-* #,##0_-;_-* &quot;-&quot;_-;_-@_-_추가적립명세_0908 4 4 4" xfId="28270"/>
    <cellStyle name="_-* #,##0_-;-* #,##0_-;_-* &quot;-&quot;_-;_-@_-_추가적립명세_0908 4 5" xfId="5653"/>
    <cellStyle name="_-* #,##0_-;-* #,##0_-;_-* &quot;-&quot;_-;_-@_-_추가적립명세_0908 4 5 2" xfId="24721"/>
    <cellStyle name="_-* #,##0_-;-* #,##0_-;_-* &quot;-&quot;_-;_-@_-_추가적립명세_0908 4 5 2 2" xfId="31901"/>
    <cellStyle name="_-* #,##0_-;-* #,##0_-;_-* &quot;-&quot;_-;_-@_-_추가적립명세_0908 4 5 3" xfId="28272"/>
    <cellStyle name="_-* #,##0_-;-* #,##0_-;_-* &quot;-&quot;_-;_-@_-_추가적립명세_0908 4 6" xfId="24722"/>
    <cellStyle name="_-* #,##0_-;-* #,##0_-;_-* &quot;-&quot;_-;_-@_-_추가적립명세_0908 4 6 2" xfId="31902"/>
    <cellStyle name="_-* #,##0_-;-* #,##0_-;_-* &quot;-&quot;_-;_-@_-_추가적립명세_0908 4 7" xfId="24723"/>
    <cellStyle name="_-* #,##0_-;-* #,##0_-;_-* &quot;-&quot;_-;_-@_-_추가적립명세_0908 4 7 2" xfId="31903"/>
    <cellStyle name="_-* #,##0_-;-* #,##0_-;_-* &quot;-&quot;_-;_-@_-_추가적립명세_0908 4 8" xfId="28265"/>
    <cellStyle name="_-* #,##0_-;-* #,##0_-;_-* &quot;-&quot;_-;_-@_-_추가적립명세_0908 5" xfId="5654"/>
    <cellStyle name="_-* #,##0_-;-* #,##0_-;_-* &quot;-&quot;_-;_-@_-_추가적립명세_0908 5 2" xfId="5655"/>
    <cellStyle name="_-* #,##0_-;-* #,##0_-;_-* &quot;-&quot;_-;_-@_-_추가적립명세_0908 5 2 2" xfId="5656"/>
    <cellStyle name="_-* #,##0_-;-* #,##0_-;_-* &quot;-&quot;_-;_-@_-_추가적립명세_0908 5 2 2 2" xfId="24724"/>
    <cellStyle name="_-* #,##0_-;-* #,##0_-;_-* &quot;-&quot;_-;_-@_-_추가적립명세_0908 5 2 2 2 2" xfId="31904"/>
    <cellStyle name="_-* #,##0_-;-* #,##0_-;_-* &quot;-&quot;_-;_-@_-_추가적립명세_0908 5 2 2 3" xfId="28275"/>
    <cellStyle name="_-* #,##0_-;-* #,##0_-;_-* &quot;-&quot;_-;_-@_-_추가적립명세_0908 5 2 3" xfId="24725"/>
    <cellStyle name="_-* #,##0_-;-* #,##0_-;_-* &quot;-&quot;_-;_-@_-_추가적립명세_0908 5 2 3 2" xfId="31905"/>
    <cellStyle name="_-* #,##0_-;-* #,##0_-;_-* &quot;-&quot;_-;_-@_-_추가적립명세_0908 5 2 4" xfId="24726"/>
    <cellStyle name="_-* #,##0_-;-* #,##0_-;_-* &quot;-&quot;_-;_-@_-_추가적립명세_0908 5 2 4 2" xfId="31906"/>
    <cellStyle name="_-* #,##0_-;-* #,##0_-;_-* &quot;-&quot;_-;_-@_-_추가적립명세_0908 5 2 5" xfId="24727"/>
    <cellStyle name="_-* #,##0_-;-* #,##0_-;_-* &quot;-&quot;_-;_-@_-_추가적립명세_0908 5 2 5 2" xfId="31907"/>
    <cellStyle name="_-* #,##0_-;-* #,##0_-;_-* &quot;-&quot;_-;_-@_-_추가적립명세_0908 5 2 6" xfId="28274"/>
    <cellStyle name="_-* #,##0_-;-* #,##0_-;_-* &quot;-&quot;_-;_-@_-_추가적립명세_0908 5 3" xfId="5657"/>
    <cellStyle name="_-* #,##0_-;-* #,##0_-;_-* &quot;-&quot;_-;_-@_-_추가적립명세_0908 5 3 2" xfId="5658"/>
    <cellStyle name="_-* #,##0_-;-* #,##0_-;_-* &quot;-&quot;_-;_-@_-_추가적립명세_0908 5 3 2 2" xfId="24728"/>
    <cellStyle name="_-* #,##0_-;-* #,##0_-;_-* &quot;-&quot;_-;_-@_-_추가적립명세_0908 5 3 2 2 2" xfId="31908"/>
    <cellStyle name="_-* #,##0_-;-* #,##0_-;_-* &quot;-&quot;_-;_-@_-_추가적립명세_0908 5 3 2 3" xfId="28277"/>
    <cellStyle name="_-* #,##0_-;-* #,##0_-;_-* &quot;-&quot;_-;_-@_-_추가적립명세_0908 5 3 3" xfId="24729"/>
    <cellStyle name="_-* #,##0_-;-* #,##0_-;_-* &quot;-&quot;_-;_-@_-_추가적립명세_0908 5 3 3 2" xfId="31909"/>
    <cellStyle name="_-* #,##0_-;-* #,##0_-;_-* &quot;-&quot;_-;_-@_-_추가적립명세_0908 5 3 4" xfId="28276"/>
    <cellStyle name="_-* #,##0_-;-* #,##0_-;_-* &quot;-&quot;_-;_-@_-_추가적립명세_0908 5 4" xfId="5659"/>
    <cellStyle name="_-* #,##0_-;-* #,##0_-;_-* &quot;-&quot;_-;_-@_-_추가적립명세_0908 5 4 2" xfId="24730"/>
    <cellStyle name="_-* #,##0_-;-* #,##0_-;_-* &quot;-&quot;_-;_-@_-_추가적립명세_0908 5 4 2 2" xfId="31910"/>
    <cellStyle name="_-* #,##0_-;-* #,##0_-;_-* &quot;-&quot;_-;_-@_-_추가적립명세_0908 5 4 3" xfId="28278"/>
    <cellStyle name="_-* #,##0_-;-* #,##0_-;_-* &quot;-&quot;_-;_-@_-_추가적립명세_0908 5 5" xfId="24731"/>
    <cellStyle name="_-* #,##0_-;-* #,##0_-;_-* &quot;-&quot;_-;_-@_-_추가적립명세_0908 5 5 2" xfId="31911"/>
    <cellStyle name="_-* #,##0_-;-* #,##0_-;_-* &quot;-&quot;_-;_-@_-_추가적립명세_0908 5 6" xfId="24732"/>
    <cellStyle name="_-* #,##0_-;-* #,##0_-;_-* &quot;-&quot;_-;_-@_-_추가적립명세_0908 5 6 2" xfId="31912"/>
    <cellStyle name="_-* #,##0_-;-* #,##0_-;_-* &quot;-&quot;_-;_-@_-_추가적립명세_0908 5 7" xfId="24733"/>
    <cellStyle name="_-* #,##0_-;-* #,##0_-;_-* &quot;-&quot;_-;_-@_-_추가적립명세_0908 5 7 2" xfId="31913"/>
    <cellStyle name="_-* #,##0_-;-* #,##0_-;_-* &quot;-&quot;_-;_-@_-_추가적립명세_0908 5 8" xfId="28273"/>
    <cellStyle name="_-* #,##0_-;-* #,##0_-;_-* &quot;-&quot;_-;_-@_-_추가적립명세_0908 6" xfId="5660"/>
    <cellStyle name="_-* #,##0_-;-* #,##0_-;_-* &quot;-&quot;_-;_-@_-_추가적립명세_0908 6 2" xfId="5661"/>
    <cellStyle name="_-* #,##0_-;-* #,##0_-;_-* &quot;-&quot;_-;_-@_-_추가적립명세_0908 6 2 2" xfId="24734"/>
    <cellStyle name="_-* #,##0_-;-* #,##0_-;_-* &quot;-&quot;_-;_-@_-_추가적립명세_0908 6 2 2 2" xfId="31914"/>
    <cellStyle name="_-* #,##0_-;-* #,##0_-;_-* &quot;-&quot;_-;_-@_-_추가적립명세_0908 6 2 3" xfId="24735"/>
    <cellStyle name="_-* #,##0_-;-* #,##0_-;_-* &quot;-&quot;_-;_-@_-_추가적립명세_0908 6 2 3 2" xfId="31915"/>
    <cellStyle name="_-* #,##0_-;-* #,##0_-;_-* &quot;-&quot;_-;_-@_-_추가적립명세_0908 6 2 4" xfId="24736"/>
    <cellStyle name="_-* #,##0_-;-* #,##0_-;_-* &quot;-&quot;_-;_-@_-_추가적립명세_0908 6 2 4 2" xfId="31916"/>
    <cellStyle name="_-* #,##0_-;-* #,##0_-;_-* &quot;-&quot;_-;_-@_-_추가적립명세_0908 6 2 5" xfId="24737"/>
    <cellStyle name="_-* #,##0_-;-* #,##0_-;_-* &quot;-&quot;_-;_-@_-_추가적립명세_0908 6 2 5 2" xfId="31917"/>
    <cellStyle name="_-* #,##0_-;-* #,##0_-;_-* &quot;-&quot;_-;_-@_-_추가적립명세_0908 6 2 6" xfId="28280"/>
    <cellStyle name="_-* #,##0_-;-* #,##0_-;_-* &quot;-&quot;_-;_-@_-_추가적립명세_0908 6 3" xfId="24738"/>
    <cellStyle name="_-* #,##0_-;-* #,##0_-;_-* &quot;-&quot;_-;_-@_-_추가적립명세_0908 6 3 2" xfId="24739"/>
    <cellStyle name="_-* #,##0_-;-* #,##0_-;_-* &quot;-&quot;_-;_-@_-_추가적립명세_0908 6 3 2 2" xfId="31919"/>
    <cellStyle name="_-* #,##0_-;-* #,##0_-;_-* &quot;-&quot;_-;_-@_-_추가적립명세_0908 6 3 3" xfId="31918"/>
    <cellStyle name="_-* #,##0_-;-* #,##0_-;_-* &quot;-&quot;_-;_-@_-_추가적립명세_0908 6 4" xfId="24740"/>
    <cellStyle name="_-* #,##0_-;-* #,##0_-;_-* &quot;-&quot;_-;_-@_-_추가적립명세_0908 6 4 2" xfId="31920"/>
    <cellStyle name="_-* #,##0_-;-* #,##0_-;_-* &quot;-&quot;_-;_-@_-_추가적립명세_0908 6 5" xfId="24741"/>
    <cellStyle name="_-* #,##0_-;-* #,##0_-;_-* &quot;-&quot;_-;_-@_-_추가적립명세_0908 6 5 2" xfId="31921"/>
    <cellStyle name="_-* #,##0_-;-* #,##0_-;_-* &quot;-&quot;_-;_-@_-_추가적립명세_0908 6 6" xfId="24742"/>
    <cellStyle name="_-* #,##0_-;-* #,##0_-;_-* &quot;-&quot;_-;_-@_-_추가적립명세_0908 6 6 2" xfId="31922"/>
    <cellStyle name="_-* #,##0_-;-* #,##0_-;_-* &quot;-&quot;_-;_-@_-_추가적립명세_0908 6 7" xfId="24743"/>
    <cellStyle name="_-* #,##0_-;-* #,##0_-;_-* &quot;-&quot;_-;_-@_-_추가적립명세_0908 6 7 2" xfId="31923"/>
    <cellStyle name="_-* #,##0_-;-* #,##0_-;_-* &quot;-&quot;_-;_-@_-_추가적립명세_0908 6 8" xfId="28279"/>
    <cellStyle name="_-* #,##0_-;-* #,##0_-;_-* &quot;-&quot;_-;_-@_-_추가적립명세_0908 7" xfId="5662"/>
    <cellStyle name="_-* #,##0_-;-* #,##0_-;_-* &quot;-&quot;_-;_-@_-_추가적립명세_0908 7 2" xfId="5663"/>
    <cellStyle name="_-* #,##0_-;-* #,##0_-;_-* &quot;-&quot;_-;_-@_-_추가적립명세_0908 7 2 2" xfId="24744"/>
    <cellStyle name="_-* #,##0_-;-* #,##0_-;_-* &quot;-&quot;_-;_-@_-_추가적립명세_0908 7 2 2 2" xfId="31924"/>
    <cellStyle name="_-* #,##0_-;-* #,##0_-;_-* &quot;-&quot;_-;_-@_-_추가적립명세_0908 7 2 3" xfId="28282"/>
    <cellStyle name="_-* #,##0_-;-* #,##0_-;_-* &quot;-&quot;_-;_-@_-_추가적립명세_0908 7 3" xfId="24745"/>
    <cellStyle name="_-* #,##0_-;-* #,##0_-;_-* &quot;-&quot;_-;_-@_-_추가적립명세_0908 7 3 2" xfId="31925"/>
    <cellStyle name="_-* #,##0_-;-* #,##0_-;_-* &quot;-&quot;_-;_-@_-_추가적립명세_0908 7 4" xfId="24746"/>
    <cellStyle name="_-* #,##0_-;-* #,##0_-;_-* &quot;-&quot;_-;_-@_-_추가적립명세_0908 7 4 2" xfId="31926"/>
    <cellStyle name="_-* #,##0_-;-* #,##0_-;_-* &quot;-&quot;_-;_-@_-_추가적립명세_0908 7 5" xfId="24747"/>
    <cellStyle name="_-* #,##0_-;-* #,##0_-;_-* &quot;-&quot;_-;_-@_-_추가적립명세_0908 7 5 2" xfId="31927"/>
    <cellStyle name="_-* #,##0_-;-* #,##0_-;_-* &quot;-&quot;_-;_-@_-_추가적립명세_0908 7 6" xfId="28281"/>
    <cellStyle name="_-* #,##0_-;-* #,##0_-;_-* &quot;-&quot;_-;_-@_-_추가적립명세_0908 8" xfId="5664"/>
    <cellStyle name="_-* #,##0_-;-* #,##0_-;_-* &quot;-&quot;_-;_-@_-_추가적립명세_0908 8 2" xfId="5665"/>
    <cellStyle name="_-* #,##0_-;-* #,##0_-;_-* &quot;-&quot;_-;_-@_-_추가적립명세_0908 8 2 2" xfId="24748"/>
    <cellStyle name="_-* #,##0_-;-* #,##0_-;_-* &quot;-&quot;_-;_-@_-_추가적립명세_0908 8 2 2 2" xfId="31928"/>
    <cellStyle name="_-* #,##0_-;-* #,##0_-;_-* &quot;-&quot;_-;_-@_-_추가적립명세_0908 8 2 3" xfId="28284"/>
    <cellStyle name="_-* #,##0_-;-* #,##0_-;_-* &quot;-&quot;_-;_-@_-_추가적립명세_0908 8 3" xfId="24749"/>
    <cellStyle name="_-* #,##0_-;-* #,##0_-;_-* &quot;-&quot;_-;_-@_-_추가적립명세_0908 8 3 2" xfId="31929"/>
    <cellStyle name="_-* #,##0_-;-* #,##0_-;_-* &quot;-&quot;_-;_-@_-_추가적립명세_0908 8 4" xfId="24750"/>
    <cellStyle name="_-* #,##0_-;-* #,##0_-;_-* &quot;-&quot;_-;_-@_-_추가적립명세_0908 8 4 2" xfId="31930"/>
    <cellStyle name="_-* #,##0_-;-* #,##0_-;_-* &quot;-&quot;_-;_-@_-_추가적립명세_0908 8 5" xfId="24751"/>
    <cellStyle name="_-* #,##0_-;-* #,##0_-;_-* &quot;-&quot;_-;_-@_-_추가적립명세_0908 8 5 2" xfId="31931"/>
    <cellStyle name="_-* #,##0_-;-* #,##0_-;_-* &quot;-&quot;_-;_-@_-_추가적립명세_0908 8 6" xfId="28283"/>
    <cellStyle name="_-* #,##0_-;-* #,##0_-;_-* &quot;-&quot;_-;_-@_-_추가적립명세_0908 9" xfId="5666"/>
    <cellStyle name="_-* #,##0_-;-* #,##0_-;_-* &quot;-&quot;_-;_-@_-_추가적립명세_0908 9 2" xfId="24752"/>
    <cellStyle name="_-* #,##0_-;-* #,##0_-;_-* &quot;-&quot;_-;_-@_-_추가적립명세_0908 9 2 2" xfId="31932"/>
    <cellStyle name="_-* #,##0_-;-* #,##0_-;_-* &quot;-&quot;_-;_-@_-_추가적립명세_0908 9 3" xfId="24753"/>
    <cellStyle name="_-* #,##0_-;-* #,##0_-;_-* &quot;-&quot;_-;_-@_-_추가적립명세_0908 9 3 2" xfId="31933"/>
    <cellStyle name="_-* #,##0_-;-* #,##0_-;_-* &quot;-&quot;_-;_-@_-_추가적립명세_0908 9 4" xfId="24754"/>
    <cellStyle name="_-* #,##0_-;-* #,##0_-;_-* &quot;-&quot;_-;_-@_-_추가적립명세_0908 9 4 2" xfId="31934"/>
    <cellStyle name="_-* #,##0_-;-* #,##0_-;_-* &quot;-&quot;_-;_-@_-_추가적립명세_0908 9 5" xfId="28285"/>
    <cellStyle name="_-* #,##0_-;-* #,##0_-;_-* &quot;-&quot;_-;_-@_-_추가적립명세_0908_1211 충당금,건전성 현황_작업" xfId="5667"/>
    <cellStyle name="_-* #,##0_-;-* #,##0_-;_-* &quot;-&quot;_-;_-@_-_추가적립명세_0908_1211 충당금,건전성 현황_작업 2" xfId="24755"/>
    <cellStyle name="_-* #,##0_-;-* #,##0_-;_-* &quot;-&quot;_-;_-@_-_추가적립명세_0908_1211 충당금,건전성 현황_작업 2 2" xfId="31935"/>
    <cellStyle name="_-* #,##0_-;-* #,##0_-;_-* &quot;-&quot;_-;_-@_-_추가적립명세_0908_1211 충당금,건전성 현황_작업 3" xfId="28286"/>
    <cellStyle name="_-* #,##0_-;-* #,##0_-;_-* &quot;-&quot;_-;_-@_-_추가적립명세_0908_Hana 2011-1 Program_Data Disk_Pool B_v2(v5-1더밸류-이교민)" xfId="5668"/>
    <cellStyle name="_-* #,##0_-;-* #,##0_-;_-* &quot;-&quot;_-;_-@_-_추가적립명세_0908_Hana 2011-1 Program_Data Disk_Pool B_v2(v5-1더밸류-이교민) 2" xfId="24756"/>
    <cellStyle name="_-* #,##0_-;-* #,##0_-;_-* &quot;-&quot;_-;_-@_-_추가적립명세_0908_Hana 2011-1 Program_Data Disk_Pool B_v2(v5-1더밸류-이교민) 2 2" xfId="31936"/>
    <cellStyle name="_-* #,##0_-;-* #,##0_-;_-* &quot;-&quot;_-;_-@_-_추가적립명세_0908_Hana 2011-1 Program_Data Disk_Pool B_v2(v5-1더밸류-이교민) 3" xfId="24757"/>
    <cellStyle name="_-* #,##0_-;-* #,##0_-;_-* &quot;-&quot;_-;_-@_-_추가적립명세_0908_Hana 2011-1 Program_Data Disk_Pool B_v2(v5-1더밸류-이교민) 3 2" xfId="31937"/>
    <cellStyle name="_-* #,##0_-;-* #,##0_-;_-* &quot;-&quot;_-;_-@_-_추가적립명세_0908_Hana 2011-1 Program_Data Disk_Pool B_v2(v5-1더밸류-이교민) 4" xfId="24758"/>
    <cellStyle name="_-* #,##0_-;-* #,##0_-;_-* &quot;-&quot;_-;_-@_-_추가적립명세_0908_Hana 2011-1 Program_Data Disk_Pool B_v2(v5-1더밸류-이교민) 4 2" xfId="31938"/>
    <cellStyle name="_-* #,##0_-;-* #,##0_-;_-* &quot;-&quot;_-;_-@_-_추가적립명세_0908_Hana 2011-1 Program_Data Disk_Pool B_v2(v5-1더밸류-이교민) 5" xfId="28287"/>
    <cellStyle name="_-* #,##0_-;-* #,##0_-;_-* &quot;-&quot;_-;_-@_-_추가적립명세_0908_Hana 2011-1 Program_Data Disk_Pool B_v2(v5-1더밸류-이교민)_SHB 2011-2 Program_Data Disk_Pool C,B_v1(v2더밸류_이교민)" xfId="5669"/>
    <cellStyle name="_-* #,##0_-;-* #,##0_-;_-* &quot;-&quot;_-;_-@_-_추가적립명세_0908_Hana 2011-1 Program_Data Disk_Pool B_v2(v5-1더밸류-이교민)_SHB 2011-2 Program_Data Disk_Pool C,B_v1(v2더밸류_이교민) 2" xfId="24759"/>
    <cellStyle name="_-* #,##0_-;-* #,##0_-;_-* &quot;-&quot;_-;_-@_-_추가적립명세_0908_Hana 2011-1 Program_Data Disk_Pool B_v2(v5-1더밸류-이교민)_SHB 2011-2 Program_Data Disk_Pool C,B_v1(v2더밸류_이교민) 2 2" xfId="31939"/>
    <cellStyle name="_-* #,##0_-;-* #,##0_-;_-* &quot;-&quot;_-;_-@_-_추가적립명세_0908_Hana 2011-1 Program_Data Disk_Pool B_v2(v5-1더밸류-이교민)_SHB 2011-2 Program_Data Disk_Pool C,B_v1(v2더밸류_이교민) 3" xfId="24760"/>
    <cellStyle name="_-* #,##0_-;-* #,##0_-;_-* &quot;-&quot;_-;_-@_-_추가적립명세_0908_Hana 2011-1 Program_Data Disk_Pool B_v2(v5-1더밸류-이교민)_SHB 2011-2 Program_Data Disk_Pool C,B_v1(v2더밸류_이교민) 3 2" xfId="31940"/>
    <cellStyle name="_-* #,##0_-;-* #,##0_-;_-* &quot;-&quot;_-;_-@_-_추가적립명세_0908_Hana 2011-1 Program_Data Disk_Pool B_v2(v5-1더밸류-이교민)_SHB 2011-2 Program_Data Disk_Pool C,B_v1(v2더밸류_이교민) 4" xfId="24761"/>
    <cellStyle name="_-* #,##0_-;-* #,##0_-;_-* &quot;-&quot;_-;_-@_-_추가적립명세_0908_Hana 2011-1 Program_Data Disk_Pool B_v2(v5-1더밸류-이교민)_SHB 2011-2 Program_Data Disk_Pool C,B_v1(v2더밸류_이교민) 4 2" xfId="31941"/>
    <cellStyle name="_-* #,##0_-;-* #,##0_-;_-* &quot;-&quot;_-;_-@_-_추가적립명세_0908_Hana 2011-1 Program_Data Disk_Pool B_v2(v5-1더밸류-이교민)_SHB 2011-2 Program_Data Disk_Pool C,B_v1(v2더밸류_이교민) 5" xfId="28288"/>
    <cellStyle name="_-* #,##0_-;-* #,##0_-;_-* &quot;-&quot;_-;_-@_-_추가적립명세_0908_Hana 2011-1 Program_Data Disk_Pool B_v2(v5-1더밸류-이교민)_차주명관리_20110726_v1" xfId="5670"/>
    <cellStyle name="_-* #,##0_-;-* #,##0_-;_-* &quot;-&quot;_-;_-@_-_추가적립명세_0908_Hana 2011-1 Program_Data Disk_Pool B_v2(v5-1더밸류-이교민)_차주명관리_20110726_v1 2" xfId="24762"/>
    <cellStyle name="_-* #,##0_-;-* #,##0_-;_-* &quot;-&quot;_-;_-@_-_추가적립명세_0908_Hana 2011-1 Program_Data Disk_Pool B_v2(v5-1더밸류-이교민)_차주명관리_20110726_v1 2 2" xfId="31942"/>
    <cellStyle name="_-* #,##0_-;-* #,##0_-;_-* &quot;-&quot;_-;_-@_-_추가적립명세_0908_Hana 2011-1 Program_Data Disk_Pool B_v2(v5-1더밸류-이교민)_차주명관리_20110726_v1 3" xfId="24763"/>
    <cellStyle name="_-* #,##0_-;-* #,##0_-;_-* &quot;-&quot;_-;_-@_-_추가적립명세_0908_Hana 2011-1 Program_Data Disk_Pool B_v2(v5-1더밸류-이교민)_차주명관리_20110726_v1 3 2" xfId="31943"/>
    <cellStyle name="_-* #,##0_-;-* #,##0_-;_-* &quot;-&quot;_-;_-@_-_추가적립명세_0908_Hana 2011-1 Program_Data Disk_Pool B_v2(v5-1더밸류-이교민)_차주명관리_20110726_v1 4" xfId="24764"/>
    <cellStyle name="_-* #,##0_-;-* #,##0_-;_-* &quot;-&quot;_-;_-@_-_추가적립명세_0908_Hana 2011-1 Program_Data Disk_Pool B_v2(v5-1더밸류-이교민)_차주명관리_20110726_v1 4 2" xfId="31944"/>
    <cellStyle name="_-* #,##0_-;-* #,##0_-;_-* &quot;-&quot;_-;_-@_-_추가적립명세_0908_Hana 2011-1 Program_Data Disk_Pool B_v2(v5-1더밸류-이교민)_차주명관리_20110726_v1 5" xfId="28289"/>
    <cellStyle name="_-* #,##0_-;-* #,##0_-;_-* &quot;-&quot;_-;_-@_-_추가적립명세_0908_SHB_2011-3_담보sheet(더밸류_v6이교민)" xfId="5671"/>
    <cellStyle name="_-* #,##0_-;-* #,##0_-;_-* &quot;-&quot;_-;_-@_-_추가적립명세_0908_SHB_2011-3_담보sheet(더밸류_v6이교민) 2" xfId="24765"/>
    <cellStyle name="_-* #,##0_-;-* #,##0_-;_-* &quot;-&quot;_-;_-@_-_추가적립명세_0908_SHB_2011-3_담보sheet(더밸류_v6이교민) 2 2" xfId="31945"/>
    <cellStyle name="_-* #,##0_-;-* #,##0_-;_-* &quot;-&quot;_-;_-@_-_추가적립명세_0908_SHB_2011-3_담보sheet(더밸류_v6이교민) 3" xfId="24766"/>
    <cellStyle name="_-* #,##0_-;-* #,##0_-;_-* &quot;-&quot;_-;_-@_-_추가적립명세_0908_SHB_2011-3_담보sheet(더밸류_v6이교민) 3 2" xfId="31946"/>
    <cellStyle name="_-* #,##0_-;-* #,##0_-;_-* &quot;-&quot;_-;_-@_-_추가적립명세_0908_SHB_2011-3_담보sheet(더밸류_v6이교민) 4" xfId="24767"/>
    <cellStyle name="_-* #,##0_-;-* #,##0_-;_-* &quot;-&quot;_-;_-@_-_추가적립명세_0908_SHB_2011-3_담보sheet(더밸류_v6이교민) 4 2" xfId="31947"/>
    <cellStyle name="_-* #,##0_-;-* #,##0_-;_-* &quot;-&quot;_-;_-@_-_추가적립명세_0908_SHB_2011-3_담보sheet(더밸류_v6이교민) 5" xfId="28290"/>
    <cellStyle name="_-* #,##0_-;-* #,##0_-;_-* &quot;-&quot;_-;_-@_-_추가적립명세_0908_SHB_2011-3_담보sheet(더밸류_v6이교민)_차주명관리_20110726_v1" xfId="5672"/>
    <cellStyle name="_-* #,##0_-;-* #,##0_-;_-* &quot;-&quot;_-;_-@_-_추가적립명세_0908_SHB_2011-3_담보sheet(더밸류_v6이교민)_차주명관리_20110726_v1 2" xfId="24768"/>
    <cellStyle name="_-* #,##0_-;-* #,##0_-;_-* &quot;-&quot;_-;_-@_-_추가적립명세_0908_SHB_2011-3_담보sheet(더밸류_v6이교민)_차주명관리_20110726_v1 2 2" xfId="31948"/>
    <cellStyle name="_-* #,##0_-;-* #,##0_-;_-* &quot;-&quot;_-;_-@_-_추가적립명세_0908_SHB_2011-3_담보sheet(더밸류_v6이교민)_차주명관리_20110726_v1 3" xfId="24769"/>
    <cellStyle name="_-* #,##0_-;-* #,##0_-;_-* &quot;-&quot;_-;_-@_-_추가적립명세_0908_SHB_2011-3_담보sheet(더밸류_v6이교민)_차주명관리_20110726_v1 3 2" xfId="31949"/>
    <cellStyle name="_-* #,##0_-;-* #,##0_-;_-* &quot;-&quot;_-;_-@_-_추가적립명세_0908_SHB_2011-3_담보sheet(더밸류_v6이교민)_차주명관리_20110726_v1 4" xfId="24770"/>
    <cellStyle name="_-* #,##0_-;-* #,##0_-;_-* &quot;-&quot;_-;_-@_-_추가적립명세_0908_SHB_2011-3_담보sheet(더밸류_v6이교민)_차주명관리_20110726_v1 4 2" xfId="31950"/>
    <cellStyle name="_-* #,##0_-;-* #,##0_-;_-* &quot;-&quot;_-;_-@_-_추가적립명세_0908_SHB_2011-3_담보sheet(더밸류_v6이교민)_차주명관리_20110726_v1 5" xfId="28291"/>
    <cellStyle name="_-* #,##0_-;-* #,##0_-;_-* &quot;-&quot;_-;_-@_-_추가적립명세_0908_Sheet1" xfId="5673"/>
    <cellStyle name="_-* #,##0_-;-* #,##0_-;_-* &quot;-&quot;_-;_-@_-_추가적립명세_0908_Sheet1 2" xfId="24771"/>
    <cellStyle name="_-* #,##0_-;-* #,##0_-;_-* &quot;-&quot;_-;_-@_-_추가적립명세_0908_Sheet1 2 2" xfId="31951"/>
    <cellStyle name="_-* #,##0_-;-* #,##0_-;_-* &quot;-&quot;_-;_-@_-_추가적립명세_0908_Sheet1 3" xfId="28292"/>
    <cellStyle name="_-* #,##0_-;-* #,##0_-;_-* &quot;-&quot;_-;_-@_-_추가적립명세_0908_권리분석_v1(최초)-4" xfId="5674"/>
    <cellStyle name="_-* #,##0_-;-* #,##0_-;_-* &quot;-&quot;_-;_-@_-_추가적립명세_0908_권리분석_v1(최초)-4 2" xfId="24772"/>
    <cellStyle name="_-* #,##0_-;-* #,##0_-;_-* &quot;-&quot;_-;_-@_-_추가적립명세_0908_권리분석_v1(최초)-4 2 2" xfId="31952"/>
    <cellStyle name="_-* #,##0_-;-* #,##0_-;_-* &quot;-&quot;_-;_-@_-_추가적립명세_0908_권리분석_v1(최초)-4 3" xfId="24773"/>
    <cellStyle name="_-* #,##0_-;-* #,##0_-;_-* &quot;-&quot;_-;_-@_-_추가적립명세_0908_권리분석_v1(최초)-4 3 2" xfId="31953"/>
    <cellStyle name="_-* #,##0_-;-* #,##0_-;_-* &quot;-&quot;_-;_-@_-_추가적립명세_0908_권리분석_v1(최초)-4 4" xfId="24774"/>
    <cellStyle name="_-* #,##0_-;-* #,##0_-;_-* &quot;-&quot;_-;_-@_-_추가적립명세_0908_권리분석_v1(최초)-4 4 2" xfId="31954"/>
    <cellStyle name="_-* #,##0_-;-* #,##0_-;_-* &quot;-&quot;_-;_-@_-_추가적립명세_0908_권리분석_v1(최초)-4 5" xfId="28293"/>
    <cellStyle name="_-* #,##0_-;-* #,##0_-;_-* &quot;-&quot;_-;_-@_-_추가적립명세_0908_예외적립품의_0910(완료)" xfId="51"/>
    <cellStyle name="_-* #,##0_-;-* #,##0_-;_-* &quot;-&quot;_-;_-@_-_추가적립명세_0908_예외적립품의_0910(완료) 10" xfId="24775"/>
    <cellStyle name="_-* #,##0_-;-* #,##0_-;_-* &quot;-&quot;_-;_-@_-_추가적립명세_0908_예외적립품의_0910(완료) 10 2" xfId="31955"/>
    <cellStyle name="_-* #,##0_-;-* #,##0_-;_-* &quot;-&quot;_-;_-@_-_추가적립명세_0908_예외적립품의_0910(완료) 11" xfId="24776"/>
    <cellStyle name="_-* #,##0_-;-* #,##0_-;_-* &quot;-&quot;_-;_-@_-_추가적립명세_0908_예외적립품의_0910(완료) 11 2" xfId="31956"/>
    <cellStyle name="_-* #,##0_-;-* #,##0_-;_-* &quot;-&quot;_-;_-@_-_추가적립명세_0908_예외적립품의_0910(완료) 12" xfId="27615"/>
    <cellStyle name="_-* #,##0_-;-* #,##0_-;_-* &quot;-&quot;_-;_-@_-_추가적립명세_0908_예외적립품의_0910(완료) 2" xfId="5675"/>
    <cellStyle name="_-* #,##0_-;-* #,##0_-;_-* &quot;-&quot;_-;_-@_-_추가적립명세_0908_예외적립품의_0910(완료) 2 10" xfId="28294"/>
    <cellStyle name="_-* #,##0_-;-* #,##0_-;_-* &quot;-&quot;_-;_-@_-_추가적립명세_0908_예외적립품의_0910(완료) 2 2" xfId="5676"/>
    <cellStyle name="_-* #,##0_-;-* #,##0_-;_-* &quot;-&quot;_-;_-@_-_추가적립명세_0908_예외적립품의_0910(완료) 2 2 2" xfId="5677"/>
    <cellStyle name="_-* #,##0_-;-* #,##0_-;_-* &quot;-&quot;_-;_-@_-_추가적립명세_0908_예외적립품의_0910(완료) 2 2 2 2" xfId="5678"/>
    <cellStyle name="_-* #,##0_-;-* #,##0_-;_-* &quot;-&quot;_-;_-@_-_추가적립명세_0908_예외적립품의_0910(완료) 2 2 2 2 2" xfId="24777"/>
    <cellStyle name="_-* #,##0_-;-* #,##0_-;_-* &quot;-&quot;_-;_-@_-_추가적립명세_0908_예외적립품의_0910(완료) 2 2 2 2 2 2" xfId="31957"/>
    <cellStyle name="_-* #,##0_-;-* #,##0_-;_-* &quot;-&quot;_-;_-@_-_추가적립명세_0908_예외적립품의_0910(완료) 2 2 2 2 3" xfId="28297"/>
    <cellStyle name="_-* #,##0_-;-* #,##0_-;_-* &quot;-&quot;_-;_-@_-_추가적립명세_0908_예외적립품의_0910(완료) 2 2 2 3" xfId="24778"/>
    <cellStyle name="_-* #,##0_-;-* #,##0_-;_-* &quot;-&quot;_-;_-@_-_추가적립명세_0908_예외적립품의_0910(완료) 2 2 2 3 2" xfId="31958"/>
    <cellStyle name="_-* #,##0_-;-* #,##0_-;_-* &quot;-&quot;_-;_-@_-_추가적립명세_0908_예외적립품의_0910(완료) 2 2 2 4" xfId="24779"/>
    <cellStyle name="_-* #,##0_-;-* #,##0_-;_-* &quot;-&quot;_-;_-@_-_추가적립명세_0908_예외적립품의_0910(완료) 2 2 2 4 2" xfId="31959"/>
    <cellStyle name="_-* #,##0_-;-* #,##0_-;_-* &quot;-&quot;_-;_-@_-_추가적립명세_0908_예외적립품의_0910(완료) 2 2 2 5" xfId="24780"/>
    <cellStyle name="_-* #,##0_-;-* #,##0_-;_-* &quot;-&quot;_-;_-@_-_추가적립명세_0908_예외적립품의_0910(완료) 2 2 2 5 2" xfId="31960"/>
    <cellStyle name="_-* #,##0_-;-* #,##0_-;_-* &quot;-&quot;_-;_-@_-_추가적립명세_0908_예외적립품의_0910(완료) 2 2 2 6" xfId="28296"/>
    <cellStyle name="_-* #,##0_-;-* #,##0_-;_-* &quot;-&quot;_-;_-@_-_추가적립명세_0908_예외적립품의_0910(완료) 2 2 3" xfId="5679"/>
    <cellStyle name="_-* #,##0_-;-* #,##0_-;_-* &quot;-&quot;_-;_-@_-_추가적립명세_0908_예외적립품의_0910(완료) 2 2 3 2" xfId="5680"/>
    <cellStyle name="_-* #,##0_-;-* #,##0_-;_-* &quot;-&quot;_-;_-@_-_추가적립명세_0908_예외적립품의_0910(완료) 2 2 3 2 2" xfId="24781"/>
    <cellStyle name="_-* #,##0_-;-* #,##0_-;_-* &quot;-&quot;_-;_-@_-_추가적립명세_0908_예외적립품의_0910(완료) 2 2 3 2 2 2" xfId="31961"/>
    <cellStyle name="_-* #,##0_-;-* #,##0_-;_-* &quot;-&quot;_-;_-@_-_추가적립명세_0908_예외적립품의_0910(완료) 2 2 3 2 3" xfId="28299"/>
    <cellStyle name="_-* #,##0_-;-* #,##0_-;_-* &quot;-&quot;_-;_-@_-_추가적립명세_0908_예외적립품의_0910(완료) 2 2 3 3" xfId="24782"/>
    <cellStyle name="_-* #,##0_-;-* #,##0_-;_-* &quot;-&quot;_-;_-@_-_추가적립명세_0908_예외적립품의_0910(완료) 2 2 3 3 2" xfId="31962"/>
    <cellStyle name="_-* #,##0_-;-* #,##0_-;_-* &quot;-&quot;_-;_-@_-_추가적립명세_0908_예외적립품의_0910(완료) 2 2 3 4" xfId="28298"/>
    <cellStyle name="_-* #,##0_-;-* #,##0_-;_-* &quot;-&quot;_-;_-@_-_추가적립명세_0908_예외적립품의_0910(완료) 2 2 4" xfId="5681"/>
    <cellStyle name="_-* #,##0_-;-* #,##0_-;_-* &quot;-&quot;_-;_-@_-_추가적립명세_0908_예외적립품의_0910(완료) 2 2 4 2" xfId="5682"/>
    <cellStyle name="_-* #,##0_-;-* #,##0_-;_-* &quot;-&quot;_-;_-@_-_추가적립명세_0908_예외적립품의_0910(완료) 2 2 4 2 2" xfId="24783"/>
    <cellStyle name="_-* #,##0_-;-* #,##0_-;_-* &quot;-&quot;_-;_-@_-_추가적립명세_0908_예외적립품의_0910(완료) 2 2 4 2 2 2" xfId="31963"/>
    <cellStyle name="_-* #,##0_-;-* #,##0_-;_-* &quot;-&quot;_-;_-@_-_추가적립명세_0908_예외적립품의_0910(완료) 2 2 4 2 3" xfId="28301"/>
    <cellStyle name="_-* #,##0_-;-* #,##0_-;_-* &quot;-&quot;_-;_-@_-_추가적립명세_0908_예외적립품의_0910(완료) 2 2 4 3" xfId="24784"/>
    <cellStyle name="_-* #,##0_-;-* #,##0_-;_-* &quot;-&quot;_-;_-@_-_추가적립명세_0908_예외적립품의_0910(완료) 2 2 4 3 2" xfId="31964"/>
    <cellStyle name="_-* #,##0_-;-* #,##0_-;_-* &quot;-&quot;_-;_-@_-_추가적립명세_0908_예외적립품의_0910(완료) 2 2 4 4" xfId="28300"/>
    <cellStyle name="_-* #,##0_-;-* #,##0_-;_-* &quot;-&quot;_-;_-@_-_추가적립명세_0908_예외적립품의_0910(완료) 2 2 5" xfId="5683"/>
    <cellStyle name="_-* #,##0_-;-* #,##0_-;_-* &quot;-&quot;_-;_-@_-_추가적립명세_0908_예외적립품의_0910(완료) 2 2 5 2" xfId="24785"/>
    <cellStyle name="_-* #,##0_-;-* #,##0_-;_-* &quot;-&quot;_-;_-@_-_추가적립명세_0908_예외적립품의_0910(완료) 2 2 5 2 2" xfId="31965"/>
    <cellStyle name="_-* #,##0_-;-* #,##0_-;_-* &quot;-&quot;_-;_-@_-_추가적립명세_0908_예외적립품의_0910(완료) 2 2 5 3" xfId="28302"/>
    <cellStyle name="_-* #,##0_-;-* #,##0_-;_-* &quot;-&quot;_-;_-@_-_추가적립명세_0908_예외적립품의_0910(완료) 2 2 6" xfId="24786"/>
    <cellStyle name="_-* #,##0_-;-* #,##0_-;_-* &quot;-&quot;_-;_-@_-_추가적립명세_0908_예외적립품의_0910(완료) 2 2 6 2" xfId="31966"/>
    <cellStyle name="_-* #,##0_-;-* #,##0_-;_-* &quot;-&quot;_-;_-@_-_추가적립명세_0908_예외적립품의_0910(완료) 2 2 7" xfId="24787"/>
    <cellStyle name="_-* #,##0_-;-* #,##0_-;_-* &quot;-&quot;_-;_-@_-_추가적립명세_0908_예외적립품의_0910(완료) 2 2 7 2" xfId="31967"/>
    <cellStyle name="_-* #,##0_-;-* #,##0_-;_-* &quot;-&quot;_-;_-@_-_추가적립명세_0908_예외적립품의_0910(완료) 2 2 8" xfId="28295"/>
    <cellStyle name="_-* #,##0_-;-* #,##0_-;_-* &quot;-&quot;_-;_-@_-_추가적립명세_0908_예외적립품의_0910(완료) 2 3" xfId="5684"/>
    <cellStyle name="_-* #,##0_-;-* #,##0_-;_-* &quot;-&quot;_-;_-@_-_추가적립명세_0908_예외적립품의_0910(완료) 2 3 2" xfId="5685"/>
    <cellStyle name="_-* #,##0_-;-* #,##0_-;_-* &quot;-&quot;_-;_-@_-_추가적립명세_0908_예외적립품의_0910(완료) 2 3 2 2" xfId="5686"/>
    <cellStyle name="_-* #,##0_-;-* #,##0_-;_-* &quot;-&quot;_-;_-@_-_추가적립명세_0908_예외적립품의_0910(완료) 2 3 2 2 2" xfId="24788"/>
    <cellStyle name="_-* #,##0_-;-* #,##0_-;_-* &quot;-&quot;_-;_-@_-_추가적립명세_0908_예외적립품의_0910(완료) 2 3 2 2 2 2" xfId="31968"/>
    <cellStyle name="_-* #,##0_-;-* #,##0_-;_-* &quot;-&quot;_-;_-@_-_추가적립명세_0908_예외적립품의_0910(완료) 2 3 2 2 3" xfId="28305"/>
    <cellStyle name="_-* #,##0_-;-* #,##0_-;_-* &quot;-&quot;_-;_-@_-_추가적립명세_0908_예외적립품의_0910(완료) 2 3 2 3" xfId="24789"/>
    <cellStyle name="_-* #,##0_-;-* #,##0_-;_-* &quot;-&quot;_-;_-@_-_추가적립명세_0908_예외적립품의_0910(완료) 2 3 2 3 2" xfId="31969"/>
    <cellStyle name="_-* #,##0_-;-* #,##0_-;_-* &quot;-&quot;_-;_-@_-_추가적립명세_0908_예외적립품의_0910(완료) 2 3 2 4" xfId="24790"/>
    <cellStyle name="_-* #,##0_-;-* #,##0_-;_-* &quot;-&quot;_-;_-@_-_추가적립명세_0908_예외적립품의_0910(완료) 2 3 2 4 2" xfId="31970"/>
    <cellStyle name="_-* #,##0_-;-* #,##0_-;_-* &quot;-&quot;_-;_-@_-_추가적립명세_0908_예외적립품의_0910(완료) 2 3 2 5" xfId="24791"/>
    <cellStyle name="_-* #,##0_-;-* #,##0_-;_-* &quot;-&quot;_-;_-@_-_추가적립명세_0908_예외적립품의_0910(완료) 2 3 2 5 2" xfId="31971"/>
    <cellStyle name="_-* #,##0_-;-* #,##0_-;_-* &quot;-&quot;_-;_-@_-_추가적립명세_0908_예외적립품의_0910(완료) 2 3 2 6" xfId="28304"/>
    <cellStyle name="_-* #,##0_-;-* #,##0_-;_-* &quot;-&quot;_-;_-@_-_추가적립명세_0908_예외적립품의_0910(완료) 2 3 3" xfId="5687"/>
    <cellStyle name="_-* #,##0_-;-* #,##0_-;_-* &quot;-&quot;_-;_-@_-_추가적립명세_0908_예외적립품의_0910(완료) 2 3 3 2" xfId="5688"/>
    <cellStyle name="_-* #,##0_-;-* #,##0_-;_-* &quot;-&quot;_-;_-@_-_추가적립명세_0908_예외적립품의_0910(완료) 2 3 3 2 2" xfId="24792"/>
    <cellStyle name="_-* #,##0_-;-* #,##0_-;_-* &quot;-&quot;_-;_-@_-_추가적립명세_0908_예외적립품의_0910(완료) 2 3 3 2 2 2" xfId="31972"/>
    <cellStyle name="_-* #,##0_-;-* #,##0_-;_-* &quot;-&quot;_-;_-@_-_추가적립명세_0908_예외적립품의_0910(완료) 2 3 3 2 3" xfId="28307"/>
    <cellStyle name="_-* #,##0_-;-* #,##0_-;_-* &quot;-&quot;_-;_-@_-_추가적립명세_0908_예외적립품의_0910(완료) 2 3 3 3" xfId="24793"/>
    <cellStyle name="_-* #,##0_-;-* #,##0_-;_-* &quot;-&quot;_-;_-@_-_추가적립명세_0908_예외적립품의_0910(완료) 2 3 3 3 2" xfId="31973"/>
    <cellStyle name="_-* #,##0_-;-* #,##0_-;_-* &quot;-&quot;_-;_-@_-_추가적립명세_0908_예외적립품의_0910(완료) 2 3 3 4" xfId="28306"/>
    <cellStyle name="_-* #,##0_-;-* #,##0_-;_-* &quot;-&quot;_-;_-@_-_추가적립명세_0908_예외적립품의_0910(완료) 2 3 4" xfId="5689"/>
    <cellStyle name="_-* #,##0_-;-* #,##0_-;_-* &quot;-&quot;_-;_-@_-_추가적립명세_0908_예외적립품의_0910(완료) 2 3 4 2" xfId="5690"/>
    <cellStyle name="_-* #,##0_-;-* #,##0_-;_-* &quot;-&quot;_-;_-@_-_추가적립명세_0908_예외적립품의_0910(완료) 2 3 4 2 2" xfId="24794"/>
    <cellStyle name="_-* #,##0_-;-* #,##0_-;_-* &quot;-&quot;_-;_-@_-_추가적립명세_0908_예외적립품의_0910(완료) 2 3 4 2 2 2" xfId="31974"/>
    <cellStyle name="_-* #,##0_-;-* #,##0_-;_-* &quot;-&quot;_-;_-@_-_추가적립명세_0908_예외적립품의_0910(완료) 2 3 4 2 3" xfId="28309"/>
    <cellStyle name="_-* #,##0_-;-* #,##0_-;_-* &quot;-&quot;_-;_-@_-_추가적립명세_0908_예외적립품의_0910(완료) 2 3 4 3" xfId="24795"/>
    <cellStyle name="_-* #,##0_-;-* #,##0_-;_-* &quot;-&quot;_-;_-@_-_추가적립명세_0908_예외적립품의_0910(완료) 2 3 4 3 2" xfId="31975"/>
    <cellStyle name="_-* #,##0_-;-* #,##0_-;_-* &quot;-&quot;_-;_-@_-_추가적립명세_0908_예외적립품의_0910(완료) 2 3 4 4" xfId="28308"/>
    <cellStyle name="_-* #,##0_-;-* #,##0_-;_-* &quot;-&quot;_-;_-@_-_추가적립명세_0908_예외적립품의_0910(완료) 2 3 5" xfId="5691"/>
    <cellStyle name="_-* #,##0_-;-* #,##0_-;_-* &quot;-&quot;_-;_-@_-_추가적립명세_0908_예외적립품의_0910(완료) 2 3 5 2" xfId="24796"/>
    <cellStyle name="_-* #,##0_-;-* #,##0_-;_-* &quot;-&quot;_-;_-@_-_추가적립명세_0908_예외적립품의_0910(완료) 2 3 5 2 2" xfId="31976"/>
    <cellStyle name="_-* #,##0_-;-* #,##0_-;_-* &quot;-&quot;_-;_-@_-_추가적립명세_0908_예외적립품의_0910(완료) 2 3 5 3" xfId="28310"/>
    <cellStyle name="_-* #,##0_-;-* #,##0_-;_-* &quot;-&quot;_-;_-@_-_추가적립명세_0908_예외적립품의_0910(완료) 2 3 6" xfId="24797"/>
    <cellStyle name="_-* #,##0_-;-* #,##0_-;_-* &quot;-&quot;_-;_-@_-_추가적립명세_0908_예외적립품의_0910(완료) 2 3 6 2" xfId="31977"/>
    <cellStyle name="_-* #,##0_-;-* #,##0_-;_-* &quot;-&quot;_-;_-@_-_추가적립명세_0908_예외적립품의_0910(완료) 2 3 7" xfId="24798"/>
    <cellStyle name="_-* #,##0_-;-* #,##0_-;_-* &quot;-&quot;_-;_-@_-_추가적립명세_0908_예외적립품의_0910(완료) 2 3 7 2" xfId="31978"/>
    <cellStyle name="_-* #,##0_-;-* #,##0_-;_-* &quot;-&quot;_-;_-@_-_추가적립명세_0908_예외적립품의_0910(완료) 2 3 8" xfId="28303"/>
    <cellStyle name="_-* #,##0_-;-* #,##0_-;_-* &quot;-&quot;_-;_-@_-_추가적립명세_0908_예외적립품의_0910(완료) 2 4" xfId="5692"/>
    <cellStyle name="_-* #,##0_-;-* #,##0_-;_-* &quot;-&quot;_-;_-@_-_추가적립명세_0908_예외적립품의_0910(완료) 2 4 2" xfId="5693"/>
    <cellStyle name="_-* #,##0_-;-* #,##0_-;_-* &quot;-&quot;_-;_-@_-_추가적립명세_0908_예외적립품의_0910(완료) 2 4 2 2" xfId="5694"/>
    <cellStyle name="_-* #,##0_-;-* #,##0_-;_-* &quot;-&quot;_-;_-@_-_추가적립명세_0908_예외적립품의_0910(완료) 2 4 2 2 2" xfId="24799"/>
    <cellStyle name="_-* #,##0_-;-* #,##0_-;_-* &quot;-&quot;_-;_-@_-_추가적립명세_0908_예외적립품의_0910(완료) 2 4 2 2 2 2" xfId="31979"/>
    <cellStyle name="_-* #,##0_-;-* #,##0_-;_-* &quot;-&quot;_-;_-@_-_추가적립명세_0908_예외적립품의_0910(완료) 2 4 2 2 3" xfId="28313"/>
    <cellStyle name="_-* #,##0_-;-* #,##0_-;_-* &quot;-&quot;_-;_-@_-_추가적립명세_0908_예외적립품의_0910(완료) 2 4 2 3" xfId="24800"/>
    <cellStyle name="_-* #,##0_-;-* #,##0_-;_-* &quot;-&quot;_-;_-@_-_추가적립명세_0908_예외적립품의_0910(완료) 2 4 2 3 2" xfId="31980"/>
    <cellStyle name="_-* #,##0_-;-* #,##0_-;_-* &quot;-&quot;_-;_-@_-_추가적립명세_0908_예외적립품의_0910(완료) 2 4 2 4" xfId="24801"/>
    <cellStyle name="_-* #,##0_-;-* #,##0_-;_-* &quot;-&quot;_-;_-@_-_추가적립명세_0908_예외적립품의_0910(완료) 2 4 2 4 2" xfId="31981"/>
    <cellStyle name="_-* #,##0_-;-* #,##0_-;_-* &quot;-&quot;_-;_-@_-_추가적립명세_0908_예외적립품의_0910(완료) 2 4 2 5" xfId="24802"/>
    <cellStyle name="_-* #,##0_-;-* #,##0_-;_-* &quot;-&quot;_-;_-@_-_추가적립명세_0908_예외적립품의_0910(완료) 2 4 2 5 2" xfId="31982"/>
    <cellStyle name="_-* #,##0_-;-* #,##0_-;_-* &quot;-&quot;_-;_-@_-_추가적립명세_0908_예외적립품의_0910(완료) 2 4 2 6" xfId="28312"/>
    <cellStyle name="_-* #,##0_-;-* #,##0_-;_-* &quot;-&quot;_-;_-@_-_추가적립명세_0908_예외적립품의_0910(완료) 2 4 3" xfId="5695"/>
    <cellStyle name="_-* #,##0_-;-* #,##0_-;_-* &quot;-&quot;_-;_-@_-_추가적립명세_0908_예외적립품의_0910(완료) 2 4 3 2" xfId="5696"/>
    <cellStyle name="_-* #,##0_-;-* #,##0_-;_-* &quot;-&quot;_-;_-@_-_추가적립명세_0908_예외적립품의_0910(완료) 2 4 3 2 2" xfId="24803"/>
    <cellStyle name="_-* #,##0_-;-* #,##0_-;_-* &quot;-&quot;_-;_-@_-_추가적립명세_0908_예외적립품의_0910(완료) 2 4 3 2 2 2" xfId="31983"/>
    <cellStyle name="_-* #,##0_-;-* #,##0_-;_-* &quot;-&quot;_-;_-@_-_추가적립명세_0908_예외적립품의_0910(완료) 2 4 3 2 3" xfId="28315"/>
    <cellStyle name="_-* #,##0_-;-* #,##0_-;_-* &quot;-&quot;_-;_-@_-_추가적립명세_0908_예외적립품의_0910(완료) 2 4 3 3" xfId="24804"/>
    <cellStyle name="_-* #,##0_-;-* #,##0_-;_-* &quot;-&quot;_-;_-@_-_추가적립명세_0908_예외적립품의_0910(완료) 2 4 3 3 2" xfId="31984"/>
    <cellStyle name="_-* #,##0_-;-* #,##0_-;_-* &quot;-&quot;_-;_-@_-_추가적립명세_0908_예외적립품의_0910(완료) 2 4 3 4" xfId="28314"/>
    <cellStyle name="_-* #,##0_-;-* #,##0_-;_-* &quot;-&quot;_-;_-@_-_추가적립명세_0908_예외적립품의_0910(완료) 2 4 4" xfId="5697"/>
    <cellStyle name="_-* #,##0_-;-* #,##0_-;_-* &quot;-&quot;_-;_-@_-_추가적립명세_0908_예외적립품의_0910(완료) 2 4 4 2" xfId="24805"/>
    <cellStyle name="_-* #,##0_-;-* #,##0_-;_-* &quot;-&quot;_-;_-@_-_추가적립명세_0908_예외적립품의_0910(완료) 2 4 4 2 2" xfId="31985"/>
    <cellStyle name="_-* #,##0_-;-* #,##0_-;_-* &quot;-&quot;_-;_-@_-_추가적립명세_0908_예외적립품의_0910(완료) 2 4 4 3" xfId="28316"/>
    <cellStyle name="_-* #,##0_-;-* #,##0_-;_-* &quot;-&quot;_-;_-@_-_추가적립명세_0908_예외적립품의_0910(완료) 2 4 5" xfId="24806"/>
    <cellStyle name="_-* #,##0_-;-* #,##0_-;_-* &quot;-&quot;_-;_-@_-_추가적립명세_0908_예외적립품의_0910(완료) 2 4 5 2" xfId="31986"/>
    <cellStyle name="_-* #,##0_-;-* #,##0_-;_-* &quot;-&quot;_-;_-@_-_추가적립명세_0908_예외적립품의_0910(완료) 2 4 6" xfId="24807"/>
    <cellStyle name="_-* #,##0_-;-* #,##0_-;_-* &quot;-&quot;_-;_-@_-_추가적립명세_0908_예외적립품의_0910(완료) 2 4 6 2" xfId="31987"/>
    <cellStyle name="_-* #,##0_-;-* #,##0_-;_-* &quot;-&quot;_-;_-@_-_추가적립명세_0908_예외적립품의_0910(완료) 2 4 7" xfId="24808"/>
    <cellStyle name="_-* #,##0_-;-* #,##0_-;_-* &quot;-&quot;_-;_-@_-_추가적립명세_0908_예외적립품의_0910(완료) 2 4 7 2" xfId="31988"/>
    <cellStyle name="_-* #,##0_-;-* #,##0_-;_-* &quot;-&quot;_-;_-@_-_추가적립명세_0908_예외적립품의_0910(완료) 2 4 8" xfId="28311"/>
    <cellStyle name="_-* #,##0_-;-* #,##0_-;_-* &quot;-&quot;_-;_-@_-_추가적립명세_0908_예외적립품의_0910(완료) 2 5" xfId="5698"/>
    <cellStyle name="_-* #,##0_-;-* #,##0_-;_-* &quot;-&quot;_-;_-@_-_추가적립명세_0908_예외적립품의_0910(완료) 2 5 2" xfId="5699"/>
    <cellStyle name="_-* #,##0_-;-* #,##0_-;_-* &quot;-&quot;_-;_-@_-_추가적립명세_0908_예외적립품의_0910(완료) 2 5 2 2" xfId="24809"/>
    <cellStyle name="_-* #,##0_-;-* #,##0_-;_-* &quot;-&quot;_-;_-@_-_추가적립명세_0908_예외적립품의_0910(완료) 2 5 2 2 2" xfId="31989"/>
    <cellStyle name="_-* #,##0_-;-* #,##0_-;_-* &quot;-&quot;_-;_-@_-_추가적립명세_0908_예외적립품의_0910(완료) 2 5 2 3" xfId="28318"/>
    <cellStyle name="_-* #,##0_-;-* #,##0_-;_-* &quot;-&quot;_-;_-@_-_추가적립명세_0908_예외적립품의_0910(완료) 2 5 3" xfId="5700"/>
    <cellStyle name="_-* #,##0_-;-* #,##0_-;_-* &quot;-&quot;_-;_-@_-_추가적립명세_0908_예외적립품의_0910(완료) 2 5 3 2" xfId="24810"/>
    <cellStyle name="_-* #,##0_-;-* #,##0_-;_-* &quot;-&quot;_-;_-@_-_추가적립명세_0908_예외적립품의_0910(완료) 2 5 3 2 2" xfId="31990"/>
    <cellStyle name="_-* #,##0_-;-* #,##0_-;_-* &quot;-&quot;_-;_-@_-_추가적립명세_0908_예외적립품의_0910(완료) 2 5 3 3" xfId="28319"/>
    <cellStyle name="_-* #,##0_-;-* #,##0_-;_-* &quot;-&quot;_-;_-@_-_추가적립명세_0908_예외적립품의_0910(완료) 2 5 4" xfId="24811"/>
    <cellStyle name="_-* #,##0_-;-* #,##0_-;_-* &quot;-&quot;_-;_-@_-_추가적립명세_0908_예외적립품의_0910(완료) 2 5 4 2" xfId="31991"/>
    <cellStyle name="_-* #,##0_-;-* #,##0_-;_-* &quot;-&quot;_-;_-@_-_추가적립명세_0908_예외적립품의_0910(완료) 2 5 5" xfId="24812"/>
    <cellStyle name="_-* #,##0_-;-* #,##0_-;_-* &quot;-&quot;_-;_-@_-_추가적립명세_0908_예외적립품의_0910(완료) 2 5 5 2" xfId="31992"/>
    <cellStyle name="_-* #,##0_-;-* #,##0_-;_-* &quot;-&quot;_-;_-@_-_추가적립명세_0908_예외적립품의_0910(완료) 2 5 6" xfId="28317"/>
    <cellStyle name="_-* #,##0_-;-* #,##0_-;_-* &quot;-&quot;_-;_-@_-_추가적립명세_0908_예외적립품의_0910(완료) 2 6" xfId="5701"/>
    <cellStyle name="_-* #,##0_-;-* #,##0_-;_-* &quot;-&quot;_-;_-@_-_추가적립명세_0908_예외적립품의_0910(완료) 2 6 2" xfId="5702"/>
    <cellStyle name="_-* #,##0_-;-* #,##0_-;_-* &quot;-&quot;_-;_-@_-_추가적립명세_0908_예외적립품의_0910(완료) 2 6 2 2" xfId="24813"/>
    <cellStyle name="_-* #,##0_-;-* #,##0_-;_-* &quot;-&quot;_-;_-@_-_추가적립명세_0908_예외적립품의_0910(완료) 2 6 2 2 2" xfId="31993"/>
    <cellStyle name="_-* #,##0_-;-* #,##0_-;_-* &quot;-&quot;_-;_-@_-_추가적립명세_0908_예외적립품의_0910(완료) 2 6 2 3" xfId="28321"/>
    <cellStyle name="_-* #,##0_-;-* #,##0_-;_-* &quot;-&quot;_-;_-@_-_추가적립명세_0908_예외적립품의_0910(완료) 2 6 3" xfId="5703"/>
    <cellStyle name="_-* #,##0_-;-* #,##0_-;_-* &quot;-&quot;_-;_-@_-_추가적립명세_0908_예외적립품의_0910(완료) 2 6 3 2" xfId="24814"/>
    <cellStyle name="_-* #,##0_-;-* #,##0_-;_-* &quot;-&quot;_-;_-@_-_추가적립명세_0908_예외적립품의_0910(완료) 2 6 3 2 2" xfId="31994"/>
    <cellStyle name="_-* #,##0_-;-* #,##0_-;_-* &quot;-&quot;_-;_-@_-_추가적립명세_0908_예외적립품의_0910(완료) 2 6 3 3" xfId="28322"/>
    <cellStyle name="_-* #,##0_-;-* #,##0_-;_-* &quot;-&quot;_-;_-@_-_추가적립명세_0908_예외적립품의_0910(완료) 2 6 4" xfId="24815"/>
    <cellStyle name="_-* #,##0_-;-* #,##0_-;_-* &quot;-&quot;_-;_-@_-_추가적립명세_0908_예외적립품의_0910(완료) 2 6 4 2" xfId="31995"/>
    <cellStyle name="_-* #,##0_-;-* #,##0_-;_-* &quot;-&quot;_-;_-@_-_추가적립명세_0908_예외적립품의_0910(완료) 2 6 5" xfId="28320"/>
    <cellStyle name="_-* #,##0_-;-* #,##0_-;_-* &quot;-&quot;_-;_-@_-_추가적립명세_0908_예외적립품의_0910(완료) 2 7" xfId="5704"/>
    <cellStyle name="_-* #,##0_-;-* #,##0_-;_-* &quot;-&quot;_-;_-@_-_추가적립명세_0908_예외적립품의_0910(완료) 2 7 2" xfId="5705"/>
    <cellStyle name="_-* #,##0_-;-* #,##0_-;_-* &quot;-&quot;_-;_-@_-_추가적립명세_0908_예외적립품의_0910(완료) 2 7 2 2" xfId="24816"/>
    <cellStyle name="_-* #,##0_-;-* #,##0_-;_-* &quot;-&quot;_-;_-@_-_추가적립명세_0908_예외적립품의_0910(완료) 2 7 2 2 2" xfId="31996"/>
    <cellStyle name="_-* #,##0_-;-* #,##0_-;_-* &quot;-&quot;_-;_-@_-_추가적립명세_0908_예외적립품의_0910(완료) 2 7 2 3" xfId="28324"/>
    <cellStyle name="_-* #,##0_-;-* #,##0_-;_-* &quot;-&quot;_-;_-@_-_추가적립명세_0908_예외적립품의_0910(완료) 2 7 3" xfId="24817"/>
    <cellStyle name="_-* #,##0_-;-* #,##0_-;_-* &quot;-&quot;_-;_-@_-_추가적립명세_0908_예외적립품의_0910(완료) 2 7 3 2" xfId="31997"/>
    <cellStyle name="_-* #,##0_-;-* #,##0_-;_-* &quot;-&quot;_-;_-@_-_추가적립명세_0908_예외적립품의_0910(완료) 2 7 4" xfId="28323"/>
    <cellStyle name="_-* #,##0_-;-* #,##0_-;_-* &quot;-&quot;_-;_-@_-_추가적립명세_0908_예외적립품의_0910(완료) 2 8" xfId="5706"/>
    <cellStyle name="_-* #,##0_-;-* #,##0_-;_-* &quot;-&quot;_-;_-@_-_추가적립명세_0908_예외적립품의_0910(완료) 2 8 2" xfId="24818"/>
    <cellStyle name="_-* #,##0_-;-* #,##0_-;_-* &quot;-&quot;_-;_-@_-_추가적립명세_0908_예외적립품의_0910(완료) 2 8 2 2" xfId="31998"/>
    <cellStyle name="_-* #,##0_-;-* #,##0_-;_-* &quot;-&quot;_-;_-@_-_추가적립명세_0908_예외적립품의_0910(완료) 2 8 3" xfId="28325"/>
    <cellStyle name="_-* #,##0_-;-* #,##0_-;_-* &quot;-&quot;_-;_-@_-_추가적립명세_0908_예외적립품의_0910(완료) 2 9" xfId="24819"/>
    <cellStyle name="_-* #,##0_-;-* #,##0_-;_-* &quot;-&quot;_-;_-@_-_추가적립명세_0908_예외적립품의_0910(완료) 2 9 2" xfId="31999"/>
    <cellStyle name="_-* #,##0_-;-* #,##0_-;_-* &quot;-&quot;_-;_-@_-_추가적립명세_0908_예외적립품의_0910(완료) 3" xfId="5707"/>
    <cellStyle name="_-* #,##0_-;-* #,##0_-;_-* &quot;-&quot;_-;_-@_-_추가적립명세_0908_예외적립품의_0910(완료) 3 10" xfId="24820"/>
    <cellStyle name="_-* #,##0_-;-* #,##0_-;_-* &quot;-&quot;_-;_-@_-_추가적립명세_0908_예외적립품의_0910(완료) 3 10 2" xfId="32000"/>
    <cellStyle name="_-* #,##0_-;-* #,##0_-;_-* &quot;-&quot;_-;_-@_-_추가적립명세_0908_예외적립품의_0910(완료) 3 11" xfId="28326"/>
    <cellStyle name="_-* #,##0_-;-* #,##0_-;_-* &quot;-&quot;_-;_-@_-_추가적립명세_0908_예외적립품의_0910(완료) 3 2" xfId="5708"/>
    <cellStyle name="_-* #,##0_-;-* #,##0_-;_-* &quot;-&quot;_-;_-@_-_추가적립명세_0908_예외적립품의_0910(완료) 3 2 2" xfId="5709"/>
    <cellStyle name="_-* #,##0_-;-* #,##0_-;_-* &quot;-&quot;_-;_-@_-_추가적립명세_0908_예외적립품의_0910(완료) 3 2 2 2" xfId="24821"/>
    <cellStyle name="_-* #,##0_-;-* #,##0_-;_-* &quot;-&quot;_-;_-@_-_추가적립명세_0908_예외적립품의_0910(완료) 3 2 2 2 2" xfId="32001"/>
    <cellStyle name="_-* #,##0_-;-* #,##0_-;_-* &quot;-&quot;_-;_-@_-_추가적립명세_0908_예외적립품의_0910(완료) 3 2 2 3" xfId="24822"/>
    <cellStyle name="_-* #,##0_-;-* #,##0_-;_-* &quot;-&quot;_-;_-@_-_추가적립명세_0908_예외적립품의_0910(완료) 3 2 2 3 2" xfId="32002"/>
    <cellStyle name="_-* #,##0_-;-* #,##0_-;_-* &quot;-&quot;_-;_-@_-_추가적립명세_0908_예외적립품의_0910(완료) 3 2 2 4" xfId="24823"/>
    <cellStyle name="_-* #,##0_-;-* #,##0_-;_-* &quot;-&quot;_-;_-@_-_추가적립명세_0908_예외적립품의_0910(완료) 3 2 2 4 2" xfId="32003"/>
    <cellStyle name="_-* #,##0_-;-* #,##0_-;_-* &quot;-&quot;_-;_-@_-_추가적립명세_0908_예외적립품의_0910(완료) 3 2 2 5" xfId="24824"/>
    <cellStyle name="_-* #,##0_-;-* #,##0_-;_-* &quot;-&quot;_-;_-@_-_추가적립명세_0908_예외적립품의_0910(완료) 3 2 2 5 2" xfId="32004"/>
    <cellStyle name="_-* #,##0_-;-* #,##0_-;_-* &quot;-&quot;_-;_-@_-_추가적립명세_0908_예외적립품의_0910(완료) 3 2 2 6" xfId="28328"/>
    <cellStyle name="_-* #,##0_-;-* #,##0_-;_-* &quot;-&quot;_-;_-@_-_추가적립명세_0908_예외적립품의_0910(완료) 3 2 3" xfId="24825"/>
    <cellStyle name="_-* #,##0_-;-* #,##0_-;_-* &quot;-&quot;_-;_-@_-_추가적립명세_0908_예외적립품의_0910(완료) 3 2 3 2" xfId="24826"/>
    <cellStyle name="_-* #,##0_-;-* #,##0_-;_-* &quot;-&quot;_-;_-@_-_추가적립명세_0908_예외적립품의_0910(완료) 3 2 3 2 2" xfId="32006"/>
    <cellStyle name="_-* #,##0_-;-* #,##0_-;_-* &quot;-&quot;_-;_-@_-_추가적립명세_0908_예외적립품의_0910(완료) 3 2 3 3" xfId="32005"/>
    <cellStyle name="_-* #,##0_-;-* #,##0_-;_-* &quot;-&quot;_-;_-@_-_추가적립명세_0908_예외적립품의_0910(완료) 3 2 4" xfId="24827"/>
    <cellStyle name="_-* #,##0_-;-* #,##0_-;_-* &quot;-&quot;_-;_-@_-_추가적립명세_0908_예외적립품의_0910(완료) 3 2 4 2" xfId="32007"/>
    <cellStyle name="_-* #,##0_-;-* #,##0_-;_-* &quot;-&quot;_-;_-@_-_추가적립명세_0908_예외적립품의_0910(완료) 3 2 5" xfId="24828"/>
    <cellStyle name="_-* #,##0_-;-* #,##0_-;_-* &quot;-&quot;_-;_-@_-_추가적립명세_0908_예외적립품의_0910(완료) 3 2 5 2" xfId="32008"/>
    <cellStyle name="_-* #,##0_-;-* #,##0_-;_-* &quot;-&quot;_-;_-@_-_추가적립명세_0908_예외적립품의_0910(완료) 3 2 6" xfId="24829"/>
    <cellStyle name="_-* #,##0_-;-* #,##0_-;_-* &quot;-&quot;_-;_-@_-_추가적립명세_0908_예외적립품의_0910(완료) 3 2 6 2" xfId="32009"/>
    <cellStyle name="_-* #,##0_-;-* #,##0_-;_-* &quot;-&quot;_-;_-@_-_추가적립명세_0908_예외적립품의_0910(완료) 3 2 7" xfId="24830"/>
    <cellStyle name="_-* #,##0_-;-* #,##0_-;_-* &quot;-&quot;_-;_-@_-_추가적립명세_0908_예외적립품의_0910(완료) 3 2 7 2" xfId="32010"/>
    <cellStyle name="_-* #,##0_-;-* #,##0_-;_-* &quot;-&quot;_-;_-@_-_추가적립명세_0908_예외적립품의_0910(완료) 3 2 8" xfId="28327"/>
    <cellStyle name="_-* #,##0_-;-* #,##0_-;_-* &quot;-&quot;_-;_-@_-_추가적립명세_0908_예외적립품의_0910(완료) 3 3" xfId="5710"/>
    <cellStyle name="_-* #,##0_-;-* #,##0_-;_-* &quot;-&quot;_-;_-@_-_추가적립명세_0908_예외적립품의_0910(완료) 3 3 2" xfId="5711"/>
    <cellStyle name="_-* #,##0_-;-* #,##0_-;_-* &quot;-&quot;_-;_-@_-_추가적립명세_0908_예외적립품의_0910(완료) 3 3 2 2" xfId="24831"/>
    <cellStyle name="_-* #,##0_-;-* #,##0_-;_-* &quot;-&quot;_-;_-@_-_추가적립명세_0908_예외적립품의_0910(완료) 3 3 2 2 2" xfId="32011"/>
    <cellStyle name="_-* #,##0_-;-* #,##0_-;_-* &quot;-&quot;_-;_-@_-_추가적립명세_0908_예외적립품의_0910(완료) 3 3 2 3" xfId="24832"/>
    <cellStyle name="_-* #,##0_-;-* #,##0_-;_-* &quot;-&quot;_-;_-@_-_추가적립명세_0908_예외적립품의_0910(완료) 3 3 2 3 2" xfId="32012"/>
    <cellStyle name="_-* #,##0_-;-* #,##0_-;_-* &quot;-&quot;_-;_-@_-_추가적립명세_0908_예외적립품의_0910(완료) 3 3 2 4" xfId="24833"/>
    <cellStyle name="_-* #,##0_-;-* #,##0_-;_-* &quot;-&quot;_-;_-@_-_추가적립명세_0908_예외적립품의_0910(완료) 3 3 2 4 2" xfId="32013"/>
    <cellStyle name="_-* #,##0_-;-* #,##0_-;_-* &quot;-&quot;_-;_-@_-_추가적립명세_0908_예외적립품의_0910(완료) 3 3 2 5" xfId="24834"/>
    <cellStyle name="_-* #,##0_-;-* #,##0_-;_-* &quot;-&quot;_-;_-@_-_추가적립명세_0908_예외적립품의_0910(완료) 3 3 2 5 2" xfId="32014"/>
    <cellStyle name="_-* #,##0_-;-* #,##0_-;_-* &quot;-&quot;_-;_-@_-_추가적립명세_0908_예외적립품의_0910(완료) 3 3 2 6" xfId="28330"/>
    <cellStyle name="_-* #,##0_-;-* #,##0_-;_-* &quot;-&quot;_-;_-@_-_추가적립명세_0908_예외적립품의_0910(완료) 3 3 3" xfId="24835"/>
    <cellStyle name="_-* #,##0_-;-* #,##0_-;_-* &quot;-&quot;_-;_-@_-_추가적립명세_0908_예외적립품의_0910(완료) 3 3 3 2" xfId="24836"/>
    <cellStyle name="_-* #,##0_-;-* #,##0_-;_-* &quot;-&quot;_-;_-@_-_추가적립명세_0908_예외적립품의_0910(완료) 3 3 3 2 2" xfId="32016"/>
    <cellStyle name="_-* #,##0_-;-* #,##0_-;_-* &quot;-&quot;_-;_-@_-_추가적립명세_0908_예외적립품의_0910(완료) 3 3 3 3" xfId="32015"/>
    <cellStyle name="_-* #,##0_-;-* #,##0_-;_-* &quot;-&quot;_-;_-@_-_추가적립명세_0908_예외적립품의_0910(완료) 3 3 4" xfId="24837"/>
    <cellStyle name="_-* #,##0_-;-* #,##0_-;_-* &quot;-&quot;_-;_-@_-_추가적립명세_0908_예외적립품의_0910(완료) 3 3 4 2" xfId="32017"/>
    <cellStyle name="_-* #,##0_-;-* #,##0_-;_-* &quot;-&quot;_-;_-@_-_추가적립명세_0908_예외적립품의_0910(완료) 3 3 5" xfId="24838"/>
    <cellStyle name="_-* #,##0_-;-* #,##0_-;_-* &quot;-&quot;_-;_-@_-_추가적립명세_0908_예외적립품의_0910(완료) 3 3 5 2" xfId="32018"/>
    <cellStyle name="_-* #,##0_-;-* #,##0_-;_-* &quot;-&quot;_-;_-@_-_추가적립명세_0908_예외적립품의_0910(완료) 3 3 6" xfId="24839"/>
    <cellStyle name="_-* #,##0_-;-* #,##0_-;_-* &quot;-&quot;_-;_-@_-_추가적립명세_0908_예외적립품의_0910(완료) 3 3 6 2" xfId="32019"/>
    <cellStyle name="_-* #,##0_-;-* #,##0_-;_-* &quot;-&quot;_-;_-@_-_추가적립명세_0908_예외적립품의_0910(완료) 3 3 7" xfId="24840"/>
    <cellStyle name="_-* #,##0_-;-* #,##0_-;_-* &quot;-&quot;_-;_-@_-_추가적립명세_0908_예외적립품의_0910(완료) 3 3 7 2" xfId="32020"/>
    <cellStyle name="_-* #,##0_-;-* #,##0_-;_-* &quot;-&quot;_-;_-@_-_추가적립명세_0908_예외적립품의_0910(완료) 3 3 8" xfId="28329"/>
    <cellStyle name="_-* #,##0_-;-* #,##0_-;_-* &quot;-&quot;_-;_-@_-_추가적립명세_0908_예외적립품의_0910(완료) 3 4" xfId="5712"/>
    <cellStyle name="_-* #,##0_-;-* #,##0_-;_-* &quot;-&quot;_-;_-@_-_추가적립명세_0908_예외적립품의_0910(완료) 3 4 2" xfId="5713"/>
    <cellStyle name="_-* #,##0_-;-* #,##0_-;_-* &quot;-&quot;_-;_-@_-_추가적립명세_0908_예외적립품의_0910(완료) 3 4 2 2" xfId="24841"/>
    <cellStyle name="_-* #,##0_-;-* #,##0_-;_-* &quot;-&quot;_-;_-@_-_추가적립명세_0908_예외적립품의_0910(완료) 3 4 2 2 2" xfId="32021"/>
    <cellStyle name="_-* #,##0_-;-* #,##0_-;_-* &quot;-&quot;_-;_-@_-_추가적립명세_0908_예외적립품의_0910(완료) 3 4 2 3" xfId="24842"/>
    <cellStyle name="_-* #,##0_-;-* #,##0_-;_-* &quot;-&quot;_-;_-@_-_추가적립명세_0908_예외적립품의_0910(완료) 3 4 2 3 2" xfId="32022"/>
    <cellStyle name="_-* #,##0_-;-* #,##0_-;_-* &quot;-&quot;_-;_-@_-_추가적립명세_0908_예외적립품의_0910(완료) 3 4 2 4" xfId="24843"/>
    <cellStyle name="_-* #,##0_-;-* #,##0_-;_-* &quot;-&quot;_-;_-@_-_추가적립명세_0908_예외적립품의_0910(완료) 3 4 2 4 2" xfId="32023"/>
    <cellStyle name="_-* #,##0_-;-* #,##0_-;_-* &quot;-&quot;_-;_-@_-_추가적립명세_0908_예외적립품의_0910(완료) 3 4 2 5" xfId="24844"/>
    <cellStyle name="_-* #,##0_-;-* #,##0_-;_-* &quot;-&quot;_-;_-@_-_추가적립명세_0908_예외적립품의_0910(완료) 3 4 2 5 2" xfId="32024"/>
    <cellStyle name="_-* #,##0_-;-* #,##0_-;_-* &quot;-&quot;_-;_-@_-_추가적립명세_0908_예외적립품의_0910(완료) 3 4 2 6" xfId="28332"/>
    <cellStyle name="_-* #,##0_-;-* #,##0_-;_-* &quot;-&quot;_-;_-@_-_추가적립명세_0908_예외적립품의_0910(완료) 3 4 3" xfId="24845"/>
    <cellStyle name="_-* #,##0_-;-* #,##0_-;_-* &quot;-&quot;_-;_-@_-_추가적립명세_0908_예외적립품의_0910(완료) 3 4 3 2" xfId="24846"/>
    <cellStyle name="_-* #,##0_-;-* #,##0_-;_-* &quot;-&quot;_-;_-@_-_추가적립명세_0908_예외적립품의_0910(완료) 3 4 3 2 2" xfId="32026"/>
    <cellStyle name="_-* #,##0_-;-* #,##0_-;_-* &quot;-&quot;_-;_-@_-_추가적립명세_0908_예외적립품의_0910(완료) 3 4 3 3" xfId="32025"/>
    <cellStyle name="_-* #,##0_-;-* #,##0_-;_-* &quot;-&quot;_-;_-@_-_추가적립명세_0908_예외적립품의_0910(완료) 3 4 4" xfId="24847"/>
    <cellStyle name="_-* #,##0_-;-* #,##0_-;_-* &quot;-&quot;_-;_-@_-_추가적립명세_0908_예외적립품의_0910(완료) 3 4 4 2" xfId="32027"/>
    <cellStyle name="_-* #,##0_-;-* #,##0_-;_-* &quot;-&quot;_-;_-@_-_추가적립명세_0908_예외적립품의_0910(완료) 3 4 5" xfId="24848"/>
    <cellStyle name="_-* #,##0_-;-* #,##0_-;_-* &quot;-&quot;_-;_-@_-_추가적립명세_0908_예외적립품의_0910(완료) 3 4 5 2" xfId="32028"/>
    <cellStyle name="_-* #,##0_-;-* #,##0_-;_-* &quot;-&quot;_-;_-@_-_추가적립명세_0908_예외적립품의_0910(완료) 3 4 6" xfId="24849"/>
    <cellStyle name="_-* #,##0_-;-* #,##0_-;_-* &quot;-&quot;_-;_-@_-_추가적립명세_0908_예외적립품의_0910(완료) 3 4 6 2" xfId="32029"/>
    <cellStyle name="_-* #,##0_-;-* #,##0_-;_-* &quot;-&quot;_-;_-@_-_추가적립명세_0908_예외적립품의_0910(완료) 3 4 7" xfId="24850"/>
    <cellStyle name="_-* #,##0_-;-* #,##0_-;_-* &quot;-&quot;_-;_-@_-_추가적립명세_0908_예외적립품의_0910(완료) 3 4 7 2" xfId="32030"/>
    <cellStyle name="_-* #,##0_-;-* #,##0_-;_-* &quot;-&quot;_-;_-@_-_추가적립명세_0908_예외적립품의_0910(완료) 3 4 8" xfId="28331"/>
    <cellStyle name="_-* #,##0_-;-* #,##0_-;_-* &quot;-&quot;_-;_-@_-_추가적립명세_0908_예외적립품의_0910(완료) 3 5" xfId="5714"/>
    <cellStyle name="_-* #,##0_-;-* #,##0_-;_-* &quot;-&quot;_-;_-@_-_추가적립명세_0908_예외적립품의_0910(완료) 3 5 2" xfId="24851"/>
    <cellStyle name="_-* #,##0_-;-* #,##0_-;_-* &quot;-&quot;_-;_-@_-_추가적립명세_0908_예외적립품의_0910(완료) 3 5 2 2" xfId="32031"/>
    <cellStyle name="_-* #,##0_-;-* #,##0_-;_-* &quot;-&quot;_-;_-@_-_추가적립명세_0908_예외적립품의_0910(완료) 3 5 3" xfId="24852"/>
    <cellStyle name="_-* #,##0_-;-* #,##0_-;_-* &quot;-&quot;_-;_-@_-_추가적립명세_0908_예외적립품의_0910(완료) 3 5 3 2" xfId="32032"/>
    <cellStyle name="_-* #,##0_-;-* #,##0_-;_-* &quot;-&quot;_-;_-@_-_추가적립명세_0908_예외적립품의_0910(완료) 3 5 4" xfId="24853"/>
    <cellStyle name="_-* #,##0_-;-* #,##0_-;_-* &quot;-&quot;_-;_-@_-_추가적립명세_0908_예외적립품의_0910(완료) 3 5 4 2" xfId="32033"/>
    <cellStyle name="_-* #,##0_-;-* #,##0_-;_-* &quot;-&quot;_-;_-@_-_추가적립명세_0908_예외적립품의_0910(완료) 3 5 5" xfId="24854"/>
    <cellStyle name="_-* #,##0_-;-* #,##0_-;_-* &quot;-&quot;_-;_-@_-_추가적립명세_0908_예외적립품의_0910(완료) 3 5 5 2" xfId="32034"/>
    <cellStyle name="_-* #,##0_-;-* #,##0_-;_-* &quot;-&quot;_-;_-@_-_추가적립명세_0908_예외적립품의_0910(완료) 3 5 6" xfId="28333"/>
    <cellStyle name="_-* #,##0_-;-* #,##0_-;_-* &quot;-&quot;_-;_-@_-_추가적립명세_0908_예외적립품의_0910(완료) 3 6" xfId="24855"/>
    <cellStyle name="_-* #,##0_-;-* #,##0_-;_-* &quot;-&quot;_-;_-@_-_추가적립명세_0908_예외적립품의_0910(완료) 3 6 2" xfId="24856"/>
    <cellStyle name="_-* #,##0_-;-* #,##0_-;_-* &quot;-&quot;_-;_-@_-_추가적립명세_0908_예외적립품의_0910(완료) 3 6 2 2" xfId="32036"/>
    <cellStyle name="_-* #,##0_-;-* #,##0_-;_-* &quot;-&quot;_-;_-@_-_추가적립명세_0908_예외적립품의_0910(완료) 3 6 3" xfId="32035"/>
    <cellStyle name="_-* #,##0_-;-* #,##0_-;_-* &quot;-&quot;_-;_-@_-_추가적립명세_0908_예외적립품의_0910(완료) 3 7" xfId="24857"/>
    <cellStyle name="_-* #,##0_-;-* #,##0_-;_-* &quot;-&quot;_-;_-@_-_추가적립명세_0908_예외적립품의_0910(완료) 3 7 2" xfId="32037"/>
    <cellStyle name="_-* #,##0_-;-* #,##0_-;_-* &quot;-&quot;_-;_-@_-_추가적립명세_0908_예외적립품의_0910(완료) 3 8" xfId="24858"/>
    <cellStyle name="_-* #,##0_-;-* #,##0_-;_-* &quot;-&quot;_-;_-@_-_추가적립명세_0908_예외적립품의_0910(완료) 3 8 2" xfId="32038"/>
    <cellStyle name="_-* #,##0_-;-* #,##0_-;_-* &quot;-&quot;_-;_-@_-_추가적립명세_0908_예외적립품의_0910(완료) 3 9" xfId="24859"/>
    <cellStyle name="_-* #,##0_-;-* #,##0_-;_-* &quot;-&quot;_-;_-@_-_추가적립명세_0908_예외적립품의_0910(완료) 3 9 2" xfId="32039"/>
    <cellStyle name="_-* #,##0_-;-* #,##0_-;_-* &quot;-&quot;_-;_-@_-_추가적립명세_0908_예외적립품의_0910(완료) 4" xfId="5715"/>
    <cellStyle name="_-* #,##0_-;-* #,##0_-;_-* &quot;-&quot;_-;_-@_-_추가적립명세_0908_예외적립품의_0910(완료) 4 2" xfId="5716"/>
    <cellStyle name="_-* #,##0_-;-* #,##0_-;_-* &quot;-&quot;_-;_-@_-_추가적립명세_0908_예외적립품의_0910(완료) 4 2 2" xfId="5717"/>
    <cellStyle name="_-* #,##0_-;-* #,##0_-;_-* &quot;-&quot;_-;_-@_-_추가적립명세_0908_예외적립품의_0910(완료) 4 2 2 2" xfId="24860"/>
    <cellStyle name="_-* #,##0_-;-* #,##0_-;_-* &quot;-&quot;_-;_-@_-_추가적립명세_0908_예외적립품의_0910(완료) 4 2 2 2 2" xfId="32040"/>
    <cellStyle name="_-* #,##0_-;-* #,##0_-;_-* &quot;-&quot;_-;_-@_-_추가적립명세_0908_예외적립품의_0910(완료) 4 2 2 3" xfId="28336"/>
    <cellStyle name="_-* #,##0_-;-* #,##0_-;_-* &quot;-&quot;_-;_-@_-_추가적립명세_0908_예외적립품의_0910(완료) 4 2 3" xfId="24861"/>
    <cellStyle name="_-* #,##0_-;-* #,##0_-;_-* &quot;-&quot;_-;_-@_-_추가적립명세_0908_예외적립품의_0910(완료) 4 2 3 2" xfId="32041"/>
    <cellStyle name="_-* #,##0_-;-* #,##0_-;_-* &quot;-&quot;_-;_-@_-_추가적립명세_0908_예외적립품의_0910(완료) 4 2 4" xfId="24862"/>
    <cellStyle name="_-* #,##0_-;-* #,##0_-;_-* &quot;-&quot;_-;_-@_-_추가적립명세_0908_예외적립품의_0910(완료) 4 2 4 2" xfId="32042"/>
    <cellStyle name="_-* #,##0_-;-* #,##0_-;_-* &quot;-&quot;_-;_-@_-_추가적립명세_0908_예외적립품의_0910(완료) 4 2 5" xfId="24863"/>
    <cellStyle name="_-* #,##0_-;-* #,##0_-;_-* &quot;-&quot;_-;_-@_-_추가적립명세_0908_예외적립품의_0910(완료) 4 2 5 2" xfId="32043"/>
    <cellStyle name="_-* #,##0_-;-* #,##0_-;_-* &quot;-&quot;_-;_-@_-_추가적립명세_0908_예외적립품의_0910(완료) 4 2 6" xfId="28335"/>
    <cellStyle name="_-* #,##0_-;-* #,##0_-;_-* &quot;-&quot;_-;_-@_-_추가적립명세_0908_예외적립품의_0910(완료) 4 3" xfId="5718"/>
    <cellStyle name="_-* #,##0_-;-* #,##0_-;_-* &quot;-&quot;_-;_-@_-_추가적립명세_0908_예외적립품의_0910(완료) 4 3 2" xfId="5719"/>
    <cellStyle name="_-* #,##0_-;-* #,##0_-;_-* &quot;-&quot;_-;_-@_-_추가적립명세_0908_예외적립품의_0910(완료) 4 3 2 2" xfId="24864"/>
    <cellStyle name="_-* #,##0_-;-* #,##0_-;_-* &quot;-&quot;_-;_-@_-_추가적립명세_0908_예외적립품의_0910(완료) 4 3 2 2 2" xfId="32044"/>
    <cellStyle name="_-* #,##0_-;-* #,##0_-;_-* &quot;-&quot;_-;_-@_-_추가적립명세_0908_예외적립품의_0910(완료) 4 3 2 3" xfId="28338"/>
    <cellStyle name="_-* #,##0_-;-* #,##0_-;_-* &quot;-&quot;_-;_-@_-_추가적립명세_0908_예외적립품의_0910(완료) 4 3 3" xfId="24865"/>
    <cellStyle name="_-* #,##0_-;-* #,##0_-;_-* &quot;-&quot;_-;_-@_-_추가적립명세_0908_예외적립품의_0910(완료) 4 3 3 2" xfId="32045"/>
    <cellStyle name="_-* #,##0_-;-* #,##0_-;_-* &quot;-&quot;_-;_-@_-_추가적립명세_0908_예외적립품의_0910(완료) 4 3 4" xfId="28337"/>
    <cellStyle name="_-* #,##0_-;-* #,##0_-;_-* &quot;-&quot;_-;_-@_-_추가적립명세_0908_예외적립품의_0910(완료) 4 4" xfId="5720"/>
    <cellStyle name="_-* #,##0_-;-* #,##0_-;_-* &quot;-&quot;_-;_-@_-_추가적립명세_0908_예외적립품의_0910(완료) 4 4 2" xfId="5721"/>
    <cellStyle name="_-* #,##0_-;-* #,##0_-;_-* &quot;-&quot;_-;_-@_-_추가적립명세_0908_예외적립품의_0910(완료) 4 4 2 2" xfId="24866"/>
    <cellStyle name="_-* #,##0_-;-* #,##0_-;_-* &quot;-&quot;_-;_-@_-_추가적립명세_0908_예외적립품의_0910(완료) 4 4 2 2 2" xfId="32046"/>
    <cellStyle name="_-* #,##0_-;-* #,##0_-;_-* &quot;-&quot;_-;_-@_-_추가적립명세_0908_예외적립품의_0910(완료) 4 4 2 3" xfId="28340"/>
    <cellStyle name="_-* #,##0_-;-* #,##0_-;_-* &quot;-&quot;_-;_-@_-_추가적립명세_0908_예외적립품의_0910(완료) 4 4 3" xfId="24867"/>
    <cellStyle name="_-* #,##0_-;-* #,##0_-;_-* &quot;-&quot;_-;_-@_-_추가적립명세_0908_예외적립품의_0910(완료) 4 4 3 2" xfId="32047"/>
    <cellStyle name="_-* #,##0_-;-* #,##0_-;_-* &quot;-&quot;_-;_-@_-_추가적립명세_0908_예외적립품의_0910(완료) 4 4 4" xfId="28339"/>
    <cellStyle name="_-* #,##0_-;-* #,##0_-;_-* &quot;-&quot;_-;_-@_-_추가적립명세_0908_예외적립품의_0910(완료) 4 5" xfId="5722"/>
    <cellStyle name="_-* #,##0_-;-* #,##0_-;_-* &quot;-&quot;_-;_-@_-_추가적립명세_0908_예외적립품의_0910(완료) 4 5 2" xfId="24868"/>
    <cellStyle name="_-* #,##0_-;-* #,##0_-;_-* &quot;-&quot;_-;_-@_-_추가적립명세_0908_예외적립품의_0910(완료) 4 5 2 2" xfId="32048"/>
    <cellStyle name="_-* #,##0_-;-* #,##0_-;_-* &quot;-&quot;_-;_-@_-_추가적립명세_0908_예외적립품의_0910(완료) 4 5 3" xfId="28341"/>
    <cellStyle name="_-* #,##0_-;-* #,##0_-;_-* &quot;-&quot;_-;_-@_-_추가적립명세_0908_예외적립품의_0910(완료) 4 6" xfId="24869"/>
    <cellStyle name="_-* #,##0_-;-* #,##0_-;_-* &quot;-&quot;_-;_-@_-_추가적립명세_0908_예외적립품의_0910(완료) 4 6 2" xfId="32049"/>
    <cellStyle name="_-* #,##0_-;-* #,##0_-;_-* &quot;-&quot;_-;_-@_-_추가적립명세_0908_예외적립품의_0910(완료) 4 7" xfId="24870"/>
    <cellStyle name="_-* #,##0_-;-* #,##0_-;_-* &quot;-&quot;_-;_-@_-_추가적립명세_0908_예외적립품의_0910(완료) 4 7 2" xfId="32050"/>
    <cellStyle name="_-* #,##0_-;-* #,##0_-;_-* &quot;-&quot;_-;_-@_-_추가적립명세_0908_예외적립품의_0910(완료) 4 8" xfId="28334"/>
    <cellStyle name="_-* #,##0_-;-* #,##0_-;_-* &quot;-&quot;_-;_-@_-_추가적립명세_0908_예외적립품의_0910(완료) 5" xfId="5723"/>
    <cellStyle name="_-* #,##0_-;-* #,##0_-;_-* &quot;-&quot;_-;_-@_-_추가적립명세_0908_예외적립품의_0910(완료) 5 2" xfId="5724"/>
    <cellStyle name="_-* #,##0_-;-* #,##0_-;_-* &quot;-&quot;_-;_-@_-_추가적립명세_0908_예외적립품의_0910(완료) 5 2 2" xfId="5725"/>
    <cellStyle name="_-* #,##0_-;-* #,##0_-;_-* &quot;-&quot;_-;_-@_-_추가적립명세_0908_예외적립품의_0910(완료) 5 2 2 2" xfId="24871"/>
    <cellStyle name="_-* #,##0_-;-* #,##0_-;_-* &quot;-&quot;_-;_-@_-_추가적립명세_0908_예외적립품의_0910(완료) 5 2 2 2 2" xfId="32051"/>
    <cellStyle name="_-* #,##0_-;-* #,##0_-;_-* &quot;-&quot;_-;_-@_-_추가적립명세_0908_예외적립품의_0910(완료) 5 2 2 3" xfId="28344"/>
    <cellStyle name="_-* #,##0_-;-* #,##0_-;_-* &quot;-&quot;_-;_-@_-_추가적립명세_0908_예외적립품의_0910(완료) 5 2 3" xfId="24872"/>
    <cellStyle name="_-* #,##0_-;-* #,##0_-;_-* &quot;-&quot;_-;_-@_-_추가적립명세_0908_예외적립품의_0910(완료) 5 2 3 2" xfId="32052"/>
    <cellStyle name="_-* #,##0_-;-* #,##0_-;_-* &quot;-&quot;_-;_-@_-_추가적립명세_0908_예외적립품의_0910(완료) 5 2 4" xfId="24873"/>
    <cellStyle name="_-* #,##0_-;-* #,##0_-;_-* &quot;-&quot;_-;_-@_-_추가적립명세_0908_예외적립품의_0910(완료) 5 2 4 2" xfId="32053"/>
    <cellStyle name="_-* #,##0_-;-* #,##0_-;_-* &quot;-&quot;_-;_-@_-_추가적립명세_0908_예외적립품의_0910(완료) 5 2 5" xfId="24874"/>
    <cellStyle name="_-* #,##0_-;-* #,##0_-;_-* &quot;-&quot;_-;_-@_-_추가적립명세_0908_예외적립품의_0910(완료) 5 2 5 2" xfId="32054"/>
    <cellStyle name="_-* #,##0_-;-* #,##0_-;_-* &quot;-&quot;_-;_-@_-_추가적립명세_0908_예외적립품의_0910(완료) 5 2 6" xfId="28343"/>
    <cellStyle name="_-* #,##0_-;-* #,##0_-;_-* &quot;-&quot;_-;_-@_-_추가적립명세_0908_예외적립품의_0910(완료) 5 3" xfId="5726"/>
    <cellStyle name="_-* #,##0_-;-* #,##0_-;_-* &quot;-&quot;_-;_-@_-_추가적립명세_0908_예외적립품의_0910(완료) 5 3 2" xfId="5727"/>
    <cellStyle name="_-* #,##0_-;-* #,##0_-;_-* &quot;-&quot;_-;_-@_-_추가적립명세_0908_예외적립품의_0910(완료) 5 3 2 2" xfId="24875"/>
    <cellStyle name="_-* #,##0_-;-* #,##0_-;_-* &quot;-&quot;_-;_-@_-_추가적립명세_0908_예외적립품의_0910(완료) 5 3 2 2 2" xfId="32055"/>
    <cellStyle name="_-* #,##0_-;-* #,##0_-;_-* &quot;-&quot;_-;_-@_-_추가적립명세_0908_예외적립품의_0910(완료) 5 3 2 3" xfId="28346"/>
    <cellStyle name="_-* #,##0_-;-* #,##0_-;_-* &quot;-&quot;_-;_-@_-_추가적립명세_0908_예외적립품의_0910(완료) 5 3 3" xfId="24876"/>
    <cellStyle name="_-* #,##0_-;-* #,##0_-;_-* &quot;-&quot;_-;_-@_-_추가적립명세_0908_예외적립품의_0910(완료) 5 3 3 2" xfId="32056"/>
    <cellStyle name="_-* #,##0_-;-* #,##0_-;_-* &quot;-&quot;_-;_-@_-_추가적립명세_0908_예외적립품의_0910(완료) 5 3 4" xfId="28345"/>
    <cellStyle name="_-* #,##0_-;-* #,##0_-;_-* &quot;-&quot;_-;_-@_-_추가적립명세_0908_예외적립품의_0910(완료) 5 4" xfId="5728"/>
    <cellStyle name="_-* #,##0_-;-* #,##0_-;_-* &quot;-&quot;_-;_-@_-_추가적립명세_0908_예외적립품의_0910(완료) 5 4 2" xfId="24877"/>
    <cellStyle name="_-* #,##0_-;-* #,##0_-;_-* &quot;-&quot;_-;_-@_-_추가적립명세_0908_예외적립품의_0910(완료) 5 4 2 2" xfId="32057"/>
    <cellStyle name="_-* #,##0_-;-* #,##0_-;_-* &quot;-&quot;_-;_-@_-_추가적립명세_0908_예외적립품의_0910(완료) 5 4 3" xfId="28347"/>
    <cellStyle name="_-* #,##0_-;-* #,##0_-;_-* &quot;-&quot;_-;_-@_-_추가적립명세_0908_예외적립품의_0910(완료) 5 5" xfId="24878"/>
    <cellStyle name="_-* #,##0_-;-* #,##0_-;_-* &quot;-&quot;_-;_-@_-_추가적립명세_0908_예외적립품의_0910(완료) 5 5 2" xfId="32058"/>
    <cellStyle name="_-* #,##0_-;-* #,##0_-;_-* &quot;-&quot;_-;_-@_-_추가적립명세_0908_예외적립품의_0910(완료) 5 6" xfId="24879"/>
    <cellStyle name="_-* #,##0_-;-* #,##0_-;_-* &quot;-&quot;_-;_-@_-_추가적립명세_0908_예외적립품의_0910(완료) 5 6 2" xfId="32059"/>
    <cellStyle name="_-* #,##0_-;-* #,##0_-;_-* &quot;-&quot;_-;_-@_-_추가적립명세_0908_예외적립품의_0910(완료) 5 7" xfId="24880"/>
    <cellStyle name="_-* #,##0_-;-* #,##0_-;_-* &quot;-&quot;_-;_-@_-_추가적립명세_0908_예외적립품의_0910(완료) 5 7 2" xfId="32060"/>
    <cellStyle name="_-* #,##0_-;-* #,##0_-;_-* &quot;-&quot;_-;_-@_-_추가적립명세_0908_예외적립품의_0910(완료) 5 8" xfId="28342"/>
    <cellStyle name="_-* #,##0_-;-* #,##0_-;_-* &quot;-&quot;_-;_-@_-_추가적립명세_0908_예외적립품의_0910(완료) 6" xfId="5729"/>
    <cellStyle name="_-* #,##0_-;-* #,##0_-;_-* &quot;-&quot;_-;_-@_-_추가적립명세_0908_예외적립품의_0910(완료) 6 2" xfId="5730"/>
    <cellStyle name="_-* #,##0_-;-* #,##0_-;_-* &quot;-&quot;_-;_-@_-_추가적립명세_0908_예외적립품의_0910(완료) 6 2 2" xfId="24881"/>
    <cellStyle name="_-* #,##0_-;-* #,##0_-;_-* &quot;-&quot;_-;_-@_-_추가적립명세_0908_예외적립품의_0910(완료) 6 2 2 2" xfId="32061"/>
    <cellStyle name="_-* #,##0_-;-* #,##0_-;_-* &quot;-&quot;_-;_-@_-_추가적립명세_0908_예외적립품의_0910(완료) 6 2 3" xfId="24882"/>
    <cellStyle name="_-* #,##0_-;-* #,##0_-;_-* &quot;-&quot;_-;_-@_-_추가적립명세_0908_예외적립품의_0910(완료) 6 2 3 2" xfId="32062"/>
    <cellStyle name="_-* #,##0_-;-* #,##0_-;_-* &quot;-&quot;_-;_-@_-_추가적립명세_0908_예외적립품의_0910(완료) 6 2 4" xfId="24883"/>
    <cellStyle name="_-* #,##0_-;-* #,##0_-;_-* &quot;-&quot;_-;_-@_-_추가적립명세_0908_예외적립품의_0910(완료) 6 2 4 2" xfId="32063"/>
    <cellStyle name="_-* #,##0_-;-* #,##0_-;_-* &quot;-&quot;_-;_-@_-_추가적립명세_0908_예외적립품의_0910(완료) 6 2 5" xfId="24884"/>
    <cellStyle name="_-* #,##0_-;-* #,##0_-;_-* &quot;-&quot;_-;_-@_-_추가적립명세_0908_예외적립품의_0910(완료) 6 2 5 2" xfId="32064"/>
    <cellStyle name="_-* #,##0_-;-* #,##0_-;_-* &quot;-&quot;_-;_-@_-_추가적립명세_0908_예외적립품의_0910(완료) 6 2 6" xfId="28349"/>
    <cellStyle name="_-* #,##0_-;-* #,##0_-;_-* &quot;-&quot;_-;_-@_-_추가적립명세_0908_예외적립품의_0910(완료) 6 3" xfId="24885"/>
    <cellStyle name="_-* #,##0_-;-* #,##0_-;_-* &quot;-&quot;_-;_-@_-_추가적립명세_0908_예외적립품의_0910(완료) 6 3 2" xfId="24886"/>
    <cellStyle name="_-* #,##0_-;-* #,##0_-;_-* &quot;-&quot;_-;_-@_-_추가적립명세_0908_예외적립품의_0910(완료) 6 3 2 2" xfId="32066"/>
    <cellStyle name="_-* #,##0_-;-* #,##0_-;_-* &quot;-&quot;_-;_-@_-_추가적립명세_0908_예외적립품의_0910(완료) 6 3 3" xfId="32065"/>
    <cellStyle name="_-* #,##0_-;-* #,##0_-;_-* &quot;-&quot;_-;_-@_-_추가적립명세_0908_예외적립품의_0910(완료) 6 4" xfId="24887"/>
    <cellStyle name="_-* #,##0_-;-* #,##0_-;_-* &quot;-&quot;_-;_-@_-_추가적립명세_0908_예외적립품의_0910(완료) 6 4 2" xfId="32067"/>
    <cellStyle name="_-* #,##0_-;-* #,##0_-;_-* &quot;-&quot;_-;_-@_-_추가적립명세_0908_예외적립품의_0910(완료) 6 5" xfId="24888"/>
    <cellStyle name="_-* #,##0_-;-* #,##0_-;_-* &quot;-&quot;_-;_-@_-_추가적립명세_0908_예외적립품의_0910(완료) 6 5 2" xfId="32068"/>
    <cellStyle name="_-* #,##0_-;-* #,##0_-;_-* &quot;-&quot;_-;_-@_-_추가적립명세_0908_예외적립품의_0910(완료) 6 6" xfId="24889"/>
    <cellStyle name="_-* #,##0_-;-* #,##0_-;_-* &quot;-&quot;_-;_-@_-_추가적립명세_0908_예외적립품의_0910(완료) 6 6 2" xfId="32069"/>
    <cellStyle name="_-* #,##0_-;-* #,##0_-;_-* &quot;-&quot;_-;_-@_-_추가적립명세_0908_예외적립품의_0910(완료) 6 7" xfId="24890"/>
    <cellStyle name="_-* #,##0_-;-* #,##0_-;_-* &quot;-&quot;_-;_-@_-_추가적립명세_0908_예외적립품의_0910(완료) 6 7 2" xfId="32070"/>
    <cellStyle name="_-* #,##0_-;-* #,##0_-;_-* &quot;-&quot;_-;_-@_-_추가적립명세_0908_예외적립품의_0910(완료) 6 8" xfId="28348"/>
    <cellStyle name="_-* #,##0_-;-* #,##0_-;_-* &quot;-&quot;_-;_-@_-_추가적립명세_0908_예외적립품의_0910(완료) 7" xfId="5731"/>
    <cellStyle name="_-* #,##0_-;-* #,##0_-;_-* &quot;-&quot;_-;_-@_-_추가적립명세_0908_예외적립품의_0910(완료) 7 2" xfId="5732"/>
    <cellStyle name="_-* #,##0_-;-* #,##0_-;_-* &quot;-&quot;_-;_-@_-_추가적립명세_0908_예외적립품의_0910(완료) 7 2 2" xfId="24891"/>
    <cellStyle name="_-* #,##0_-;-* #,##0_-;_-* &quot;-&quot;_-;_-@_-_추가적립명세_0908_예외적립품의_0910(완료) 7 2 2 2" xfId="32071"/>
    <cellStyle name="_-* #,##0_-;-* #,##0_-;_-* &quot;-&quot;_-;_-@_-_추가적립명세_0908_예외적립품의_0910(완료) 7 2 3" xfId="28351"/>
    <cellStyle name="_-* #,##0_-;-* #,##0_-;_-* &quot;-&quot;_-;_-@_-_추가적립명세_0908_예외적립품의_0910(완료) 7 3" xfId="24892"/>
    <cellStyle name="_-* #,##0_-;-* #,##0_-;_-* &quot;-&quot;_-;_-@_-_추가적립명세_0908_예외적립품의_0910(완료) 7 3 2" xfId="32072"/>
    <cellStyle name="_-* #,##0_-;-* #,##0_-;_-* &quot;-&quot;_-;_-@_-_추가적립명세_0908_예외적립품의_0910(완료) 7 4" xfId="24893"/>
    <cellStyle name="_-* #,##0_-;-* #,##0_-;_-* &quot;-&quot;_-;_-@_-_추가적립명세_0908_예외적립품의_0910(완료) 7 4 2" xfId="32073"/>
    <cellStyle name="_-* #,##0_-;-* #,##0_-;_-* &quot;-&quot;_-;_-@_-_추가적립명세_0908_예외적립품의_0910(완료) 7 5" xfId="24894"/>
    <cellStyle name="_-* #,##0_-;-* #,##0_-;_-* &quot;-&quot;_-;_-@_-_추가적립명세_0908_예외적립품의_0910(완료) 7 5 2" xfId="32074"/>
    <cellStyle name="_-* #,##0_-;-* #,##0_-;_-* &quot;-&quot;_-;_-@_-_추가적립명세_0908_예외적립품의_0910(완료) 7 6" xfId="28350"/>
    <cellStyle name="_-* #,##0_-;-* #,##0_-;_-* &quot;-&quot;_-;_-@_-_추가적립명세_0908_예외적립품의_0910(완료) 8" xfId="5733"/>
    <cellStyle name="_-* #,##0_-;-* #,##0_-;_-* &quot;-&quot;_-;_-@_-_추가적립명세_0908_예외적립품의_0910(완료) 8 2" xfId="5734"/>
    <cellStyle name="_-* #,##0_-;-* #,##0_-;_-* &quot;-&quot;_-;_-@_-_추가적립명세_0908_예외적립품의_0910(완료) 8 2 2" xfId="24895"/>
    <cellStyle name="_-* #,##0_-;-* #,##0_-;_-* &quot;-&quot;_-;_-@_-_추가적립명세_0908_예외적립품의_0910(완료) 8 2 2 2" xfId="32075"/>
    <cellStyle name="_-* #,##0_-;-* #,##0_-;_-* &quot;-&quot;_-;_-@_-_추가적립명세_0908_예외적립품의_0910(완료) 8 2 3" xfId="28353"/>
    <cellStyle name="_-* #,##0_-;-* #,##0_-;_-* &quot;-&quot;_-;_-@_-_추가적립명세_0908_예외적립품의_0910(완료) 8 3" xfId="24896"/>
    <cellStyle name="_-* #,##0_-;-* #,##0_-;_-* &quot;-&quot;_-;_-@_-_추가적립명세_0908_예외적립품의_0910(완료) 8 3 2" xfId="32076"/>
    <cellStyle name="_-* #,##0_-;-* #,##0_-;_-* &quot;-&quot;_-;_-@_-_추가적립명세_0908_예외적립품의_0910(완료) 8 4" xfId="24897"/>
    <cellStyle name="_-* #,##0_-;-* #,##0_-;_-* &quot;-&quot;_-;_-@_-_추가적립명세_0908_예외적립품의_0910(완료) 8 4 2" xfId="32077"/>
    <cellStyle name="_-* #,##0_-;-* #,##0_-;_-* &quot;-&quot;_-;_-@_-_추가적립명세_0908_예외적립품의_0910(완료) 8 5" xfId="24898"/>
    <cellStyle name="_-* #,##0_-;-* #,##0_-;_-* &quot;-&quot;_-;_-@_-_추가적립명세_0908_예외적립품의_0910(완료) 8 5 2" xfId="32078"/>
    <cellStyle name="_-* #,##0_-;-* #,##0_-;_-* &quot;-&quot;_-;_-@_-_추가적립명세_0908_예외적립품의_0910(완료) 8 6" xfId="28352"/>
    <cellStyle name="_-* #,##0_-;-* #,##0_-;_-* &quot;-&quot;_-;_-@_-_추가적립명세_0908_예외적립품의_0910(완료) 9" xfId="5735"/>
    <cellStyle name="_-* #,##0_-;-* #,##0_-;_-* &quot;-&quot;_-;_-@_-_추가적립명세_0908_예외적립품의_0910(완료) 9 2" xfId="24899"/>
    <cellStyle name="_-* #,##0_-;-* #,##0_-;_-* &quot;-&quot;_-;_-@_-_추가적립명세_0908_예외적립품의_0910(완료) 9 2 2" xfId="32079"/>
    <cellStyle name="_-* #,##0_-;-* #,##0_-;_-* &quot;-&quot;_-;_-@_-_추가적립명세_0908_예외적립품의_0910(완료) 9 3" xfId="24900"/>
    <cellStyle name="_-* #,##0_-;-* #,##0_-;_-* &quot;-&quot;_-;_-@_-_추가적립명세_0908_예외적립품의_0910(완료) 9 3 2" xfId="32080"/>
    <cellStyle name="_-* #,##0_-;-* #,##0_-;_-* &quot;-&quot;_-;_-@_-_추가적립명세_0908_예외적립품의_0910(완료) 9 4" xfId="24901"/>
    <cellStyle name="_-* #,##0_-;-* #,##0_-;_-* &quot;-&quot;_-;_-@_-_추가적립명세_0908_예외적립품의_0910(완료) 9 4 2" xfId="32081"/>
    <cellStyle name="_-* #,##0_-;-* #,##0_-;_-* &quot;-&quot;_-;_-@_-_추가적립명세_0908_예외적립품의_0910(완료) 9 5" xfId="28354"/>
    <cellStyle name="_-* #,##0_-;-* #,##0_-;_-* &quot;-&quot;_-;_-@_-_추가적립명세_0908_예외적립품의_0910(완료)_1211 충당금,건전성 현황_작업" xfId="5736"/>
    <cellStyle name="_-* #,##0_-;-* #,##0_-;_-* &quot;-&quot;_-;_-@_-_추가적립명세_0908_예외적립품의_0910(완료)_1211 충당금,건전성 현황_작업 2" xfId="24902"/>
    <cellStyle name="_-* #,##0_-;-* #,##0_-;_-* &quot;-&quot;_-;_-@_-_추가적립명세_0908_예외적립품의_0910(완료)_1211 충당금,건전성 현황_작업 2 2" xfId="32082"/>
    <cellStyle name="_-* #,##0_-;-* #,##0_-;_-* &quot;-&quot;_-;_-@_-_추가적립명세_0908_예외적립품의_0910(완료)_1211 충당금,건전성 현황_작업 3" xfId="28355"/>
    <cellStyle name="_-* #,##0_-;-* #,##0_-;_-* &quot;-&quot;_-;_-@_-_추가적립명세_0908_예외적립품의_0910(완료)_Hana 2011-1 Program_Data Disk_Pool B_v2(v5-1더밸류-이교민)" xfId="5737"/>
    <cellStyle name="_-* #,##0_-;-* #,##0_-;_-* &quot;-&quot;_-;_-@_-_추가적립명세_0908_예외적립품의_0910(완료)_Hana 2011-1 Program_Data Disk_Pool B_v2(v5-1더밸류-이교민) 2" xfId="24903"/>
    <cellStyle name="_-* #,##0_-;-* #,##0_-;_-* &quot;-&quot;_-;_-@_-_추가적립명세_0908_예외적립품의_0910(완료)_Hana 2011-1 Program_Data Disk_Pool B_v2(v5-1더밸류-이교민) 2 2" xfId="32083"/>
    <cellStyle name="_-* #,##0_-;-* #,##0_-;_-* &quot;-&quot;_-;_-@_-_추가적립명세_0908_예외적립품의_0910(완료)_Hana 2011-1 Program_Data Disk_Pool B_v2(v5-1더밸류-이교민) 3" xfId="24904"/>
    <cellStyle name="_-* #,##0_-;-* #,##0_-;_-* &quot;-&quot;_-;_-@_-_추가적립명세_0908_예외적립품의_0910(완료)_Hana 2011-1 Program_Data Disk_Pool B_v2(v5-1더밸류-이교민) 3 2" xfId="32084"/>
    <cellStyle name="_-* #,##0_-;-* #,##0_-;_-* &quot;-&quot;_-;_-@_-_추가적립명세_0908_예외적립품의_0910(완료)_Hana 2011-1 Program_Data Disk_Pool B_v2(v5-1더밸류-이교민) 4" xfId="24905"/>
    <cellStyle name="_-* #,##0_-;-* #,##0_-;_-* &quot;-&quot;_-;_-@_-_추가적립명세_0908_예외적립품의_0910(완료)_Hana 2011-1 Program_Data Disk_Pool B_v2(v5-1더밸류-이교민) 4 2" xfId="32085"/>
    <cellStyle name="_-* #,##0_-;-* #,##0_-;_-* &quot;-&quot;_-;_-@_-_추가적립명세_0908_예외적립품의_0910(완료)_Hana 2011-1 Program_Data Disk_Pool B_v2(v5-1더밸류-이교민) 5" xfId="28356"/>
    <cellStyle name="_-* #,##0_-;-* #,##0_-;_-* &quot;-&quot;_-;_-@_-_추가적립명세_0908_예외적립품의_0910(완료)_Hana 2011-1 Program_Data Disk_Pool B_v2(v5-1더밸류-이교민)_SHB 2011-2 Program_Data Disk_Pool C,B_v1(v2더밸류_이교민)" xfId="5738"/>
    <cellStyle name="_-* #,##0_-;-* #,##0_-;_-* &quot;-&quot;_-;_-@_-_추가적립명세_0908_예외적립품의_0910(완료)_Hana 2011-1 Program_Data Disk_Pool B_v2(v5-1더밸류-이교민)_SHB 2011-2 Program_Data Disk_Pool C,B_v1(v2더밸류_이교민) 2" xfId="24906"/>
    <cellStyle name="_-* #,##0_-;-* #,##0_-;_-* &quot;-&quot;_-;_-@_-_추가적립명세_0908_예외적립품의_0910(완료)_Hana 2011-1 Program_Data Disk_Pool B_v2(v5-1더밸류-이교민)_SHB 2011-2 Program_Data Disk_Pool C,B_v1(v2더밸류_이교민) 2 2" xfId="32086"/>
    <cellStyle name="_-* #,##0_-;-* #,##0_-;_-* &quot;-&quot;_-;_-@_-_추가적립명세_0908_예외적립품의_0910(완료)_Hana 2011-1 Program_Data Disk_Pool B_v2(v5-1더밸류-이교민)_SHB 2011-2 Program_Data Disk_Pool C,B_v1(v2더밸류_이교민) 3" xfId="24907"/>
    <cellStyle name="_-* #,##0_-;-* #,##0_-;_-* &quot;-&quot;_-;_-@_-_추가적립명세_0908_예외적립품의_0910(완료)_Hana 2011-1 Program_Data Disk_Pool B_v2(v5-1더밸류-이교민)_SHB 2011-2 Program_Data Disk_Pool C,B_v1(v2더밸류_이교민) 3 2" xfId="32087"/>
    <cellStyle name="_-* #,##0_-;-* #,##0_-;_-* &quot;-&quot;_-;_-@_-_추가적립명세_0908_예외적립품의_0910(완료)_Hana 2011-1 Program_Data Disk_Pool B_v2(v5-1더밸류-이교민)_SHB 2011-2 Program_Data Disk_Pool C,B_v1(v2더밸류_이교민) 4" xfId="24908"/>
    <cellStyle name="_-* #,##0_-;-* #,##0_-;_-* &quot;-&quot;_-;_-@_-_추가적립명세_0908_예외적립품의_0910(완료)_Hana 2011-1 Program_Data Disk_Pool B_v2(v5-1더밸류-이교민)_SHB 2011-2 Program_Data Disk_Pool C,B_v1(v2더밸류_이교민) 4 2" xfId="32088"/>
    <cellStyle name="_-* #,##0_-;-* #,##0_-;_-* &quot;-&quot;_-;_-@_-_추가적립명세_0908_예외적립품의_0910(완료)_Hana 2011-1 Program_Data Disk_Pool B_v2(v5-1더밸류-이교민)_SHB 2011-2 Program_Data Disk_Pool C,B_v1(v2더밸류_이교민) 5" xfId="28357"/>
    <cellStyle name="_-* #,##0_-;-* #,##0_-;_-* &quot;-&quot;_-;_-@_-_추가적립명세_0908_예외적립품의_0910(완료)_Hana 2011-1 Program_Data Disk_Pool B_v2(v5-1더밸류-이교민)_차주명관리_20110726_v1" xfId="5739"/>
    <cellStyle name="_-* #,##0_-;-* #,##0_-;_-* &quot;-&quot;_-;_-@_-_추가적립명세_0908_예외적립품의_0910(완료)_Hana 2011-1 Program_Data Disk_Pool B_v2(v5-1더밸류-이교민)_차주명관리_20110726_v1 2" xfId="24909"/>
    <cellStyle name="_-* #,##0_-;-* #,##0_-;_-* &quot;-&quot;_-;_-@_-_추가적립명세_0908_예외적립품의_0910(완료)_Hana 2011-1 Program_Data Disk_Pool B_v2(v5-1더밸류-이교민)_차주명관리_20110726_v1 2 2" xfId="32089"/>
    <cellStyle name="_-* #,##0_-;-* #,##0_-;_-* &quot;-&quot;_-;_-@_-_추가적립명세_0908_예외적립품의_0910(완료)_Hana 2011-1 Program_Data Disk_Pool B_v2(v5-1더밸류-이교민)_차주명관리_20110726_v1 3" xfId="24910"/>
    <cellStyle name="_-* #,##0_-;-* #,##0_-;_-* &quot;-&quot;_-;_-@_-_추가적립명세_0908_예외적립품의_0910(완료)_Hana 2011-1 Program_Data Disk_Pool B_v2(v5-1더밸류-이교민)_차주명관리_20110726_v1 3 2" xfId="32090"/>
    <cellStyle name="_-* #,##0_-;-* #,##0_-;_-* &quot;-&quot;_-;_-@_-_추가적립명세_0908_예외적립품의_0910(완료)_Hana 2011-1 Program_Data Disk_Pool B_v2(v5-1더밸류-이교민)_차주명관리_20110726_v1 4" xfId="24911"/>
    <cellStyle name="_-* #,##0_-;-* #,##0_-;_-* &quot;-&quot;_-;_-@_-_추가적립명세_0908_예외적립품의_0910(완료)_Hana 2011-1 Program_Data Disk_Pool B_v2(v5-1더밸류-이교민)_차주명관리_20110726_v1 4 2" xfId="32091"/>
    <cellStyle name="_-* #,##0_-;-* #,##0_-;_-* &quot;-&quot;_-;_-@_-_추가적립명세_0908_예외적립품의_0910(완료)_Hana 2011-1 Program_Data Disk_Pool B_v2(v5-1더밸류-이교민)_차주명관리_20110726_v1 5" xfId="28358"/>
    <cellStyle name="_-* #,##0_-;-* #,##0_-;_-* &quot;-&quot;_-;_-@_-_추가적립명세_0908_예외적립품의_0910(완료)_SHB_2011-3_담보sheet(더밸류_v6이교민)" xfId="5740"/>
    <cellStyle name="_-* #,##0_-;-* #,##0_-;_-* &quot;-&quot;_-;_-@_-_추가적립명세_0908_예외적립품의_0910(완료)_SHB_2011-3_담보sheet(더밸류_v6이교민) 2" xfId="24912"/>
    <cellStyle name="_-* #,##0_-;-* #,##0_-;_-* &quot;-&quot;_-;_-@_-_추가적립명세_0908_예외적립품의_0910(완료)_SHB_2011-3_담보sheet(더밸류_v6이교민) 2 2" xfId="32092"/>
    <cellStyle name="_-* #,##0_-;-* #,##0_-;_-* &quot;-&quot;_-;_-@_-_추가적립명세_0908_예외적립품의_0910(완료)_SHB_2011-3_담보sheet(더밸류_v6이교민) 3" xfId="24913"/>
    <cellStyle name="_-* #,##0_-;-* #,##0_-;_-* &quot;-&quot;_-;_-@_-_추가적립명세_0908_예외적립품의_0910(완료)_SHB_2011-3_담보sheet(더밸류_v6이교민) 3 2" xfId="32093"/>
    <cellStyle name="_-* #,##0_-;-* #,##0_-;_-* &quot;-&quot;_-;_-@_-_추가적립명세_0908_예외적립품의_0910(완료)_SHB_2011-3_담보sheet(더밸류_v6이교민) 4" xfId="24914"/>
    <cellStyle name="_-* #,##0_-;-* #,##0_-;_-* &quot;-&quot;_-;_-@_-_추가적립명세_0908_예외적립품의_0910(완료)_SHB_2011-3_담보sheet(더밸류_v6이교민) 4 2" xfId="32094"/>
    <cellStyle name="_-* #,##0_-;-* #,##0_-;_-* &quot;-&quot;_-;_-@_-_추가적립명세_0908_예외적립품의_0910(완료)_SHB_2011-3_담보sheet(더밸류_v6이교민) 5" xfId="28359"/>
    <cellStyle name="_-* #,##0_-;-* #,##0_-;_-* &quot;-&quot;_-;_-@_-_추가적립명세_0908_예외적립품의_0910(완료)_SHB_2011-3_담보sheet(더밸류_v6이교민)_차주명관리_20110726_v1" xfId="5741"/>
    <cellStyle name="_-* #,##0_-;-* #,##0_-;_-* &quot;-&quot;_-;_-@_-_추가적립명세_0908_예외적립품의_0910(완료)_SHB_2011-3_담보sheet(더밸류_v6이교민)_차주명관리_20110726_v1 2" xfId="24915"/>
    <cellStyle name="_-* #,##0_-;-* #,##0_-;_-* &quot;-&quot;_-;_-@_-_추가적립명세_0908_예외적립품의_0910(완료)_SHB_2011-3_담보sheet(더밸류_v6이교민)_차주명관리_20110726_v1 2 2" xfId="32095"/>
    <cellStyle name="_-* #,##0_-;-* #,##0_-;_-* &quot;-&quot;_-;_-@_-_추가적립명세_0908_예외적립품의_0910(완료)_SHB_2011-3_담보sheet(더밸류_v6이교민)_차주명관리_20110726_v1 3" xfId="24916"/>
    <cellStyle name="_-* #,##0_-;-* #,##0_-;_-* &quot;-&quot;_-;_-@_-_추가적립명세_0908_예외적립품의_0910(완료)_SHB_2011-3_담보sheet(더밸류_v6이교민)_차주명관리_20110726_v1 3 2" xfId="32096"/>
    <cellStyle name="_-* #,##0_-;-* #,##0_-;_-* &quot;-&quot;_-;_-@_-_추가적립명세_0908_예외적립품의_0910(완료)_SHB_2011-3_담보sheet(더밸류_v6이교민)_차주명관리_20110726_v1 4" xfId="24917"/>
    <cellStyle name="_-* #,##0_-;-* #,##0_-;_-* &quot;-&quot;_-;_-@_-_추가적립명세_0908_예외적립품의_0910(완료)_SHB_2011-3_담보sheet(더밸류_v6이교민)_차주명관리_20110726_v1 4 2" xfId="32097"/>
    <cellStyle name="_-* #,##0_-;-* #,##0_-;_-* &quot;-&quot;_-;_-@_-_추가적립명세_0908_예외적립품의_0910(완료)_SHB_2011-3_담보sheet(더밸류_v6이교민)_차주명관리_20110726_v1 5" xfId="28360"/>
    <cellStyle name="_-* #,##0_-;-* #,##0_-;_-* &quot;-&quot;_-;_-@_-_추가적립명세_0908_예외적립품의_0910(완료)_Sheet1" xfId="5742"/>
    <cellStyle name="_-* #,##0_-;-* #,##0_-;_-* &quot;-&quot;_-;_-@_-_추가적립명세_0908_예외적립품의_0910(완료)_Sheet1 2" xfId="24918"/>
    <cellStyle name="_-* #,##0_-;-* #,##0_-;_-* &quot;-&quot;_-;_-@_-_추가적립명세_0908_예외적립품의_0910(완료)_Sheet1 2 2" xfId="32098"/>
    <cellStyle name="_-* #,##0_-;-* #,##0_-;_-* &quot;-&quot;_-;_-@_-_추가적립명세_0908_예외적립품의_0910(완료)_Sheet1 3" xfId="28361"/>
    <cellStyle name="_-* #,##0_-;-* #,##0_-;_-* &quot;-&quot;_-;_-@_-_추가적립명세_0908_예외적립품의_0910(완료)_권리분석_v1(최초)-4" xfId="5743"/>
    <cellStyle name="_-* #,##0_-;-* #,##0_-;_-* &quot;-&quot;_-;_-@_-_추가적립명세_0908_예외적립품의_0910(완료)_권리분석_v1(최초)-4 2" xfId="24919"/>
    <cellStyle name="_-* #,##0_-;-* #,##0_-;_-* &quot;-&quot;_-;_-@_-_추가적립명세_0908_예외적립품의_0910(완료)_권리분석_v1(최초)-4 2 2" xfId="32099"/>
    <cellStyle name="_-* #,##0_-;-* #,##0_-;_-* &quot;-&quot;_-;_-@_-_추가적립명세_0908_예외적립품의_0910(완료)_권리분석_v1(최초)-4 3" xfId="24920"/>
    <cellStyle name="_-* #,##0_-;-* #,##0_-;_-* &quot;-&quot;_-;_-@_-_추가적립명세_0908_예외적립품의_0910(완료)_권리분석_v1(최초)-4 3 2" xfId="32100"/>
    <cellStyle name="_-* #,##0_-;-* #,##0_-;_-* &quot;-&quot;_-;_-@_-_추가적립명세_0908_예외적립품의_0910(완료)_권리분석_v1(최초)-4 4" xfId="24921"/>
    <cellStyle name="_-* #,##0_-;-* #,##0_-;_-* &quot;-&quot;_-;_-@_-_추가적립명세_0908_예외적립품의_0910(완료)_권리분석_v1(최초)-4 4 2" xfId="32101"/>
    <cellStyle name="_-* #,##0_-;-* #,##0_-;_-* &quot;-&quot;_-;_-@_-_추가적립명세_0908_예외적립품의_0910(완료)_권리분석_v1(최초)-4 5" xfId="28362"/>
    <cellStyle name="_-* #,##0_-;-* #,##0_-;_-* &quot;-&quot;_-;_-@_-_추가적립명세_0908_추가적립업체명세(완료)V_3황동인대리님" xfId="52"/>
    <cellStyle name="_-* #,##0_-;-* #,##0_-;_-* &quot;-&quot;_-;_-@_-_추가적립명세_0908_추가적립업체명세(완료)V_3황동인대리님 10" xfId="24922"/>
    <cellStyle name="_-* #,##0_-;-* #,##0_-;_-* &quot;-&quot;_-;_-@_-_추가적립명세_0908_추가적립업체명세(완료)V_3황동인대리님 10 2" xfId="32102"/>
    <cellStyle name="_-* #,##0_-;-* #,##0_-;_-* &quot;-&quot;_-;_-@_-_추가적립명세_0908_추가적립업체명세(완료)V_3황동인대리님 11" xfId="24923"/>
    <cellStyle name="_-* #,##0_-;-* #,##0_-;_-* &quot;-&quot;_-;_-@_-_추가적립명세_0908_추가적립업체명세(완료)V_3황동인대리님 11 2" xfId="32103"/>
    <cellStyle name="_-* #,##0_-;-* #,##0_-;_-* &quot;-&quot;_-;_-@_-_추가적립명세_0908_추가적립업체명세(완료)V_3황동인대리님 12" xfId="27616"/>
    <cellStyle name="_-* #,##0_-;-* #,##0_-;_-* &quot;-&quot;_-;_-@_-_추가적립명세_0908_추가적립업체명세(완료)V_3황동인대리님 2" xfId="5744"/>
    <cellStyle name="_-* #,##0_-;-* #,##0_-;_-* &quot;-&quot;_-;_-@_-_추가적립명세_0908_추가적립업체명세(완료)V_3황동인대리님 2 10" xfId="28363"/>
    <cellStyle name="_-* #,##0_-;-* #,##0_-;_-* &quot;-&quot;_-;_-@_-_추가적립명세_0908_추가적립업체명세(완료)V_3황동인대리님 2 2" xfId="5745"/>
    <cellStyle name="_-* #,##0_-;-* #,##0_-;_-* &quot;-&quot;_-;_-@_-_추가적립명세_0908_추가적립업체명세(완료)V_3황동인대리님 2 2 2" xfId="5746"/>
    <cellStyle name="_-* #,##0_-;-* #,##0_-;_-* &quot;-&quot;_-;_-@_-_추가적립명세_0908_추가적립업체명세(완료)V_3황동인대리님 2 2 2 2" xfId="5747"/>
    <cellStyle name="_-* #,##0_-;-* #,##0_-;_-* &quot;-&quot;_-;_-@_-_추가적립명세_0908_추가적립업체명세(완료)V_3황동인대리님 2 2 2 2 2" xfId="24924"/>
    <cellStyle name="_-* #,##0_-;-* #,##0_-;_-* &quot;-&quot;_-;_-@_-_추가적립명세_0908_추가적립업체명세(완료)V_3황동인대리님 2 2 2 2 2 2" xfId="32104"/>
    <cellStyle name="_-* #,##0_-;-* #,##0_-;_-* &quot;-&quot;_-;_-@_-_추가적립명세_0908_추가적립업체명세(완료)V_3황동인대리님 2 2 2 2 3" xfId="28366"/>
    <cellStyle name="_-* #,##0_-;-* #,##0_-;_-* &quot;-&quot;_-;_-@_-_추가적립명세_0908_추가적립업체명세(완료)V_3황동인대리님 2 2 2 3" xfId="24925"/>
    <cellStyle name="_-* #,##0_-;-* #,##0_-;_-* &quot;-&quot;_-;_-@_-_추가적립명세_0908_추가적립업체명세(완료)V_3황동인대리님 2 2 2 3 2" xfId="32105"/>
    <cellStyle name="_-* #,##0_-;-* #,##0_-;_-* &quot;-&quot;_-;_-@_-_추가적립명세_0908_추가적립업체명세(완료)V_3황동인대리님 2 2 2 4" xfId="24926"/>
    <cellStyle name="_-* #,##0_-;-* #,##0_-;_-* &quot;-&quot;_-;_-@_-_추가적립명세_0908_추가적립업체명세(완료)V_3황동인대리님 2 2 2 4 2" xfId="32106"/>
    <cellStyle name="_-* #,##0_-;-* #,##0_-;_-* &quot;-&quot;_-;_-@_-_추가적립명세_0908_추가적립업체명세(완료)V_3황동인대리님 2 2 2 5" xfId="24927"/>
    <cellStyle name="_-* #,##0_-;-* #,##0_-;_-* &quot;-&quot;_-;_-@_-_추가적립명세_0908_추가적립업체명세(완료)V_3황동인대리님 2 2 2 5 2" xfId="32107"/>
    <cellStyle name="_-* #,##0_-;-* #,##0_-;_-* &quot;-&quot;_-;_-@_-_추가적립명세_0908_추가적립업체명세(완료)V_3황동인대리님 2 2 2 6" xfId="28365"/>
    <cellStyle name="_-* #,##0_-;-* #,##0_-;_-* &quot;-&quot;_-;_-@_-_추가적립명세_0908_추가적립업체명세(완료)V_3황동인대리님 2 2 3" xfId="5748"/>
    <cellStyle name="_-* #,##0_-;-* #,##0_-;_-* &quot;-&quot;_-;_-@_-_추가적립명세_0908_추가적립업체명세(완료)V_3황동인대리님 2 2 3 2" xfId="5749"/>
    <cellStyle name="_-* #,##0_-;-* #,##0_-;_-* &quot;-&quot;_-;_-@_-_추가적립명세_0908_추가적립업체명세(완료)V_3황동인대리님 2 2 3 2 2" xfId="24928"/>
    <cellStyle name="_-* #,##0_-;-* #,##0_-;_-* &quot;-&quot;_-;_-@_-_추가적립명세_0908_추가적립업체명세(완료)V_3황동인대리님 2 2 3 2 2 2" xfId="32108"/>
    <cellStyle name="_-* #,##0_-;-* #,##0_-;_-* &quot;-&quot;_-;_-@_-_추가적립명세_0908_추가적립업체명세(완료)V_3황동인대리님 2 2 3 2 3" xfId="28368"/>
    <cellStyle name="_-* #,##0_-;-* #,##0_-;_-* &quot;-&quot;_-;_-@_-_추가적립명세_0908_추가적립업체명세(완료)V_3황동인대리님 2 2 3 3" xfId="24929"/>
    <cellStyle name="_-* #,##0_-;-* #,##0_-;_-* &quot;-&quot;_-;_-@_-_추가적립명세_0908_추가적립업체명세(완료)V_3황동인대리님 2 2 3 3 2" xfId="32109"/>
    <cellStyle name="_-* #,##0_-;-* #,##0_-;_-* &quot;-&quot;_-;_-@_-_추가적립명세_0908_추가적립업체명세(완료)V_3황동인대리님 2 2 3 4" xfId="28367"/>
    <cellStyle name="_-* #,##0_-;-* #,##0_-;_-* &quot;-&quot;_-;_-@_-_추가적립명세_0908_추가적립업체명세(완료)V_3황동인대리님 2 2 4" xfId="5750"/>
    <cellStyle name="_-* #,##0_-;-* #,##0_-;_-* &quot;-&quot;_-;_-@_-_추가적립명세_0908_추가적립업체명세(완료)V_3황동인대리님 2 2 4 2" xfId="5751"/>
    <cellStyle name="_-* #,##0_-;-* #,##0_-;_-* &quot;-&quot;_-;_-@_-_추가적립명세_0908_추가적립업체명세(완료)V_3황동인대리님 2 2 4 2 2" xfId="24930"/>
    <cellStyle name="_-* #,##0_-;-* #,##0_-;_-* &quot;-&quot;_-;_-@_-_추가적립명세_0908_추가적립업체명세(완료)V_3황동인대리님 2 2 4 2 2 2" xfId="32110"/>
    <cellStyle name="_-* #,##0_-;-* #,##0_-;_-* &quot;-&quot;_-;_-@_-_추가적립명세_0908_추가적립업체명세(완료)V_3황동인대리님 2 2 4 2 3" xfId="28370"/>
    <cellStyle name="_-* #,##0_-;-* #,##0_-;_-* &quot;-&quot;_-;_-@_-_추가적립명세_0908_추가적립업체명세(완료)V_3황동인대리님 2 2 4 3" xfId="24931"/>
    <cellStyle name="_-* #,##0_-;-* #,##0_-;_-* &quot;-&quot;_-;_-@_-_추가적립명세_0908_추가적립업체명세(완료)V_3황동인대리님 2 2 4 3 2" xfId="32111"/>
    <cellStyle name="_-* #,##0_-;-* #,##0_-;_-* &quot;-&quot;_-;_-@_-_추가적립명세_0908_추가적립업체명세(완료)V_3황동인대리님 2 2 4 4" xfId="28369"/>
    <cellStyle name="_-* #,##0_-;-* #,##0_-;_-* &quot;-&quot;_-;_-@_-_추가적립명세_0908_추가적립업체명세(완료)V_3황동인대리님 2 2 5" xfId="5752"/>
    <cellStyle name="_-* #,##0_-;-* #,##0_-;_-* &quot;-&quot;_-;_-@_-_추가적립명세_0908_추가적립업체명세(완료)V_3황동인대리님 2 2 5 2" xfId="24932"/>
    <cellStyle name="_-* #,##0_-;-* #,##0_-;_-* &quot;-&quot;_-;_-@_-_추가적립명세_0908_추가적립업체명세(완료)V_3황동인대리님 2 2 5 2 2" xfId="32112"/>
    <cellStyle name="_-* #,##0_-;-* #,##0_-;_-* &quot;-&quot;_-;_-@_-_추가적립명세_0908_추가적립업체명세(완료)V_3황동인대리님 2 2 5 3" xfId="28371"/>
    <cellStyle name="_-* #,##0_-;-* #,##0_-;_-* &quot;-&quot;_-;_-@_-_추가적립명세_0908_추가적립업체명세(완료)V_3황동인대리님 2 2 6" xfId="24933"/>
    <cellStyle name="_-* #,##0_-;-* #,##0_-;_-* &quot;-&quot;_-;_-@_-_추가적립명세_0908_추가적립업체명세(완료)V_3황동인대리님 2 2 6 2" xfId="32113"/>
    <cellStyle name="_-* #,##0_-;-* #,##0_-;_-* &quot;-&quot;_-;_-@_-_추가적립명세_0908_추가적립업체명세(완료)V_3황동인대리님 2 2 7" xfId="24934"/>
    <cellStyle name="_-* #,##0_-;-* #,##0_-;_-* &quot;-&quot;_-;_-@_-_추가적립명세_0908_추가적립업체명세(완료)V_3황동인대리님 2 2 7 2" xfId="32114"/>
    <cellStyle name="_-* #,##0_-;-* #,##0_-;_-* &quot;-&quot;_-;_-@_-_추가적립명세_0908_추가적립업체명세(완료)V_3황동인대리님 2 2 8" xfId="28364"/>
    <cellStyle name="_-* #,##0_-;-* #,##0_-;_-* &quot;-&quot;_-;_-@_-_추가적립명세_0908_추가적립업체명세(완료)V_3황동인대리님 2 3" xfId="5753"/>
    <cellStyle name="_-* #,##0_-;-* #,##0_-;_-* &quot;-&quot;_-;_-@_-_추가적립명세_0908_추가적립업체명세(완료)V_3황동인대리님 2 3 2" xfId="5754"/>
    <cellStyle name="_-* #,##0_-;-* #,##0_-;_-* &quot;-&quot;_-;_-@_-_추가적립명세_0908_추가적립업체명세(완료)V_3황동인대리님 2 3 2 2" xfId="5755"/>
    <cellStyle name="_-* #,##0_-;-* #,##0_-;_-* &quot;-&quot;_-;_-@_-_추가적립명세_0908_추가적립업체명세(완료)V_3황동인대리님 2 3 2 2 2" xfId="24935"/>
    <cellStyle name="_-* #,##0_-;-* #,##0_-;_-* &quot;-&quot;_-;_-@_-_추가적립명세_0908_추가적립업체명세(완료)V_3황동인대리님 2 3 2 2 2 2" xfId="32115"/>
    <cellStyle name="_-* #,##0_-;-* #,##0_-;_-* &quot;-&quot;_-;_-@_-_추가적립명세_0908_추가적립업체명세(완료)V_3황동인대리님 2 3 2 2 3" xfId="28374"/>
    <cellStyle name="_-* #,##0_-;-* #,##0_-;_-* &quot;-&quot;_-;_-@_-_추가적립명세_0908_추가적립업체명세(완료)V_3황동인대리님 2 3 2 3" xfId="24936"/>
    <cellStyle name="_-* #,##0_-;-* #,##0_-;_-* &quot;-&quot;_-;_-@_-_추가적립명세_0908_추가적립업체명세(완료)V_3황동인대리님 2 3 2 3 2" xfId="32116"/>
    <cellStyle name="_-* #,##0_-;-* #,##0_-;_-* &quot;-&quot;_-;_-@_-_추가적립명세_0908_추가적립업체명세(완료)V_3황동인대리님 2 3 2 4" xfId="24937"/>
    <cellStyle name="_-* #,##0_-;-* #,##0_-;_-* &quot;-&quot;_-;_-@_-_추가적립명세_0908_추가적립업체명세(완료)V_3황동인대리님 2 3 2 4 2" xfId="32117"/>
    <cellStyle name="_-* #,##0_-;-* #,##0_-;_-* &quot;-&quot;_-;_-@_-_추가적립명세_0908_추가적립업체명세(완료)V_3황동인대리님 2 3 2 5" xfId="24938"/>
    <cellStyle name="_-* #,##0_-;-* #,##0_-;_-* &quot;-&quot;_-;_-@_-_추가적립명세_0908_추가적립업체명세(완료)V_3황동인대리님 2 3 2 5 2" xfId="32118"/>
    <cellStyle name="_-* #,##0_-;-* #,##0_-;_-* &quot;-&quot;_-;_-@_-_추가적립명세_0908_추가적립업체명세(완료)V_3황동인대리님 2 3 2 6" xfId="28373"/>
    <cellStyle name="_-* #,##0_-;-* #,##0_-;_-* &quot;-&quot;_-;_-@_-_추가적립명세_0908_추가적립업체명세(완료)V_3황동인대리님 2 3 3" xfId="5756"/>
    <cellStyle name="_-* #,##0_-;-* #,##0_-;_-* &quot;-&quot;_-;_-@_-_추가적립명세_0908_추가적립업체명세(완료)V_3황동인대리님 2 3 3 2" xfId="5757"/>
    <cellStyle name="_-* #,##0_-;-* #,##0_-;_-* &quot;-&quot;_-;_-@_-_추가적립명세_0908_추가적립업체명세(완료)V_3황동인대리님 2 3 3 2 2" xfId="24939"/>
    <cellStyle name="_-* #,##0_-;-* #,##0_-;_-* &quot;-&quot;_-;_-@_-_추가적립명세_0908_추가적립업체명세(완료)V_3황동인대리님 2 3 3 2 2 2" xfId="32119"/>
    <cellStyle name="_-* #,##0_-;-* #,##0_-;_-* &quot;-&quot;_-;_-@_-_추가적립명세_0908_추가적립업체명세(완료)V_3황동인대리님 2 3 3 2 3" xfId="28376"/>
    <cellStyle name="_-* #,##0_-;-* #,##0_-;_-* &quot;-&quot;_-;_-@_-_추가적립명세_0908_추가적립업체명세(완료)V_3황동인대리님 2 3 3 3" xfId="24940"/>
    <cellStyle name="_-* #,##0_-;-* #,##0_-;_-* &quot;-&quot;_-;_-@_-_추가적립명세_0908_추가적립업체명세(완료)V_3황동인대리님 2 3 3 3 2" xfId="32120"/>
    <cellStyle name="_-* #,##0_-;-* #,##0_-;_-* &quot;-&quot;_-;_-@_-_추가적립명세_0908_추가적립업체명세(완료)V_3황동인대리님 2 3 3 4" xfId="28375"/>
    <cellStyle name="_-* #,##0_-;-* #,##0_-;_-* &quot;-&quot;_-;_-@_-_추가적립명세_0908_추가적립업체명세(완료)V_3황동인대리님 2 3 4" xfId="5758"/>
    <cellStyle name="_-* #,##0_-;-* #,##0_-;_-* &quot;-&quot;_-;_-@_-_추가적립명세_0908_추가적립업체명세(완료)V_3황동인대리님 2 3 4 2" xfId="5759"/>
    <cellStyle name="_-* #,##0_-;-* #,##0_-;_-* &quot;-&quot;_-;_-@_-_추가적립명세_0908_추가적립업체명세(완료)V_3황동인대리님 2 3 4 2 2" xfId="24941"/>
    <cellStyle name="_-* #,##0_-;-* #,##0_-;_-* &quot;-&quot;_-;_-@_-_추가적립명세_0908_추가적립업체명세(완료)V_3황동인대리님 2 3 4 2 2 2" xfId="32121"/>
    <cellStyle name="_-* #,##0_-;-* #,##0_-;_-* &quot;-&quot;_-;_-@_-_추가적립명세_0908_추가적립업체명세(완료)V_3황동인대리님 2 3 4 2 3" xfId="28378"/>
    <cellStyle name="_-* #,##0_-;-* #,##0_-;_-* &quot;-&quot;_-;_-@_-_추가적립명세_0908_추가적립업체명세(완료)V_3황동인대리님 2 3 4 3" xfId="24942"/>
    <cellStyle name="_-* #,##0_-;-* #,##0_-;_-* &quot;-&quot;_-;_-@_-_추가적립명세_0908_추가적립업체명세(완료)V_3황동인대리님 2 3 4 3 2" xfId="32122"/>
    <cellStyle name="_-* #,##0_-;-* #,##0_-;_-* &quot;-&quot;_-;_-@_-_추가적립명세_0908_추가적립업체명세(완료)V_3황동인대리님 2 3 4 4" xfId="28377"/>
    <cellStyle name="_-* #,##0_-;-* #,##0_-;_-* &quot;-&quot;_-;_-@_-_추가적립명세_0908_추가적립업체명세(완료)V_3황동인대리님 2 3 5" xfId="5760"/>
    <cellStyle name="_-* #,##0_-;-* #,##0_-;_-* &quot;-&quot;_-;_-@_-_추가적립명세_0908_추가적립업체명세(완료)V_3황동인대리님 2 3 5 2" xfId="24943"/>
    <cellStyle name="_-* #,##0_-;-* #,##0_-;_-* &quot;-&quot;_-;_-@_-_추가적립명세_0908_추가적립업체명세(완료)V_3황동인대리님 2 3 5 2 2" xfId="32123"/>
    <cellStyle name="_-* #,##0_-;-* #,##0_-;_-* &quot;-&quot;_-;_-@_-_추가적립명세_0908_추가적립업체명세(완료)V_3황동인대리님 2 3 5 3" xfId="28379"/>
    <cellStyle name="_-* #,##0_-;-* #,##0_-;_-* &quot;-&quot;_-;_-@_-_추가적립명세_0908_추가적립업체명세(완료)V_3황동인대리님 2 3 6" xfId="24944"/>
    <cellStyle name="_-* #,##0_-;-* #,##0_-;_-* &quot;-&quot;_-;_-@_-_추가적립명세_0908_추가적립업체명세(완료)V_3황동인대리님 2 3 6 2" xfId="32124"/>
    <cellStyle name="_-* #,##0_-;-* #,##0_-;_-* &quot;-&quot;_-;_-@_-_추가적립명세_0908_추가적립업체명세(완료)V_3황동인대리님 2 3 7" xfId="24945"/>
    <cellStyle name="_-* #,##0_-;-* #,##0_-;_-* &quot;-&quot;_-;_-@_-_추가적립명세_0908_추가적립업체명세(완료)V_3황동인대리님 2 3 7 2" xfId="32125"/>
    <cellStyle name="_-* #,##0_-;-* #,##0_-;_-* &quot;-&quot;_-;_-@_-_추가적립명세_0908_추가적립업체명세(완료)V_3황동인대리님 2 3 8" xfId="28372"/>
    <cellStyle name="_-* #,##0_-;-* #,##0_-;_-* &quot;-&quot;_-;_-@_-_추가적립명세_0908_추가적립업체명세(완료)V_3황동인대리님 2 4" xfId="5761"/>
    <cellStyle name="_-* #,##0_-;-* #,##0_-;_-* &quot;-&quot;_-;_-@_-_추가적립명세_0908_추가적립업체명세(완료)V_3황동인대리님 2 4 2" xfId="5762"/>
    <cellStyle name="_-* #,##0_-;-* #,##0_-;_-* &quot;-&quot;_-;_-@_-_추가적립명세_0908_추가적립업체명세(완료)V_3황동인대리님 2 4 2 2" xfId="5763"/>
    <cellStyle name="_-* #,##0_-;-* #,##0_-;_-* &quot;-&quot;_-;_-@_-_추가적립명세_0908_추가적립업체명세(완료)V_3황동인대리님 2 4 2 2 2" xfId="24946"/>
    <cellStyle name="_-* #,##0_-;-* #,##0_-;_-* &quot;-&quot;_-;_-@_-_추가적립명세_0908_추가적립업체명세(완료)V_3황동인대리님 2 4 2 2 2 2" xfId="32126"/>
    <cellStyle name="_-* #,##0_-;-* #,##0_-;_-* &quot;-&quot;_-;_-@_-_추가적립명세_0908_추가적립업체명세(완료)V_3황동인대리님 2 4 2 2 3" xfId="28382"/>
    <cellStyle name="_-* #,##0_-;-* #,##0_-;_-* &quot;-&quot;_-;_-@_-_추가적립명세_0908_추가적립업체명세(완료)V_3황동인대리님 2 4 2 3" xfId="24947"/>
    <cellStyle name="_-* #,##0_-;-* #,##0_-;_-* &quot;-&quot;_-;_-@_-_추가적립명세_0908_추가적립업체명세(완료)V_3황동인대리님 2 4 2 3 2" xfId="32127"/>
    <cellStyle name="_-* #,##0_-;-* #,##0_-;_-* &quot;-&quot;_-;_-@_-_추가적립명세_0908_추가적립업체명세(완료)V_3황동인대리님 2 4 2 4" xfId="24948"/>
    <cellStyle name="_-* #,##0_-;-* #,##0_-;_-* &quot;-&quot;_-;_-@_-_추가적립명세_0908_추가적립업체명세(완료)V_3황동인대리님 2 4 2 4 2" xfId="32128"/>
    <cellStyle name="_-* #,##0_-;-* #,##0_-;_-* &quot;-&quot;_-;_-@_-_추가적립명세_0908_추가적립업체명세(완료)V_3황동인대리님 2 4 2 5" xfId="24949"/>
    <cellStyle name="_-* #,##0_-;-* #,##0_-;_-* &quot;-&quot;_-;_-@_-_추가적립명세_0908_추가적립업체명세(완료)V_3황동인대리님 2 4 2 5 2" xfId="32129"/>
    <cellStyle name="_-* #,##0_-;-* #,##0_-;_-* &quot;-&quot;_-;_-@_-_추가적립명세_0908_추가적립업체명세(완료)V_3황동인대리님 2 4 2 6" xfId="28381"/>
    <cellStyle name="_-* #,##0_-;-* #,##0_-;_-* &quot;-&quot;_-;_-@_-_추가적립명세_0908_추가적립업체명세(완료)V_3황동인대리님 2 4 3" xfId="5764"/>
    <cellStyle name="_-* #,##0_-;-* #,##0_-;_-* &quot;-&quot;_-;_-@_-_추가적립명세_0908_추가적립업체명세(완료)V_3황동인대리님 2 4 3 2" xfId="5765"/>
    <cellStyle name="_-* #,##0_-;-* #,##0_-;_-* &quot;-&quot;_-;_-@_-_추가적립명세_0908_추가적립업체명세(완료)V_3황동인대리님 2 4 3 2 2" xfId="24950"/>
    <cellStyle name="_-* #,##0_-;-* #,##0_-;_-* &quot;-&quot;_-;_-@_-_추가적립명세_0908_추가적립업체명세(완료)V_3황동인대리님 2 4 3 2 2 2" xfId="32130"/>
    <cellStyle name="_-* #,##0_-;-* #,##0_-;_-* &quot;-&quot;_-;_-@_-_추가적립명세_0908_추가적립업체명세(완료)V_3황동인대리님 2 4 3 2 3" xfId="28384"/>
    <cellStyle name="_-* #,##0_-;-* #,##0_-;_-* &quot;-&quot;_-;_-@_-_추가적립명세_0908_추가적립업체명세(완료)V_3황동인대리님 2 4 3 3" xfId="24951"/>
    <cellStyle name="_-* #,##0_-;-* #,##0_-;_-* &quot;-&quot;_-;_-@_-_추가적립명세_0908_추가적립업체명세(완료)V_3황동인대리님 2 4 3 3 2" xfId="32131"/>
    <cellStyle name="_-* #,##0_-;-* #,##0_-;_-* &quot;-&quot;_-;_-@_-_추가적립명세_0908_추가적립업체명세(완료)V_3황동인대리님 2 4 3 4" xfId="28383"/>
    <cellStyle name="_-* #,##0_-;-* #,##0_-;_-* &quot;-&quot;_-;_-@_-_추가적립명세_0908_추가적립업체명세(완료)V_3황동인대리님 2 4 4" xfId="5766"/>
    <cellStyle name="_-* #,##0_-;-* #,##0_-;_-* &quot;-&quot;_-;_-@_-_추가적립명세_0908_추가적립업체명세(완료)V_3황동인대리님 2 4 4 2" xfId="24952"/>
    <cellStyle name="_-* #,##0_-;-* #,##0_-;_-* &quot;-&quot;_-;_-@_-_추가적립명세_0908_추가적립업체명세(완료)V_3황동인대리님 2 4 4 2 2" xfId="32132"/>
    <cellStyle name="_-* #,##0_-;-* #,##0_-;_-* &quot;-&quot;_-;_-@_-_추가적립명세_0908_추가적립업체명세(완료)V_3황동인대리님 2 4 4 3" xfId="28385"/>
    <cellStyle name="_-* #,##0_-;-* #,##0_-;_-* &quot;-&quot;_-;_-@_-_추가적립명세_0908_추가적립업체명세(완료)V_3황동인대리님 2 4 5" xfId="24953"/>
    <cellStyle name="_-* #,##0_-;-* #,##0_-;_-* &quot;-&quot;_-;_-@_-_추가적립명세_0908_추가적립업체명세(완료)V_3황동인대리님 2 4 5 2" xfId="32133"/>
    <cellStyle name="_-* #,##0_-;-* #,##0_-;_-* &quot;-&quot;_-;_-@_-_추가적립명세_0908_추가적립업체명세(완료)V_3황동인대리님 2 4 6" xfId="24954"/>
    <cellStyle name="_-* #,##0_-;-* #,##0_-;_-* &quot;-&quot;_-;_-@_-_추가적립명세_0908_추가적립업체명세(완료)V_3황동인대리님 2 4 6 2" xfId="32134"/>
    <cellStyle name="_-* #,##0_-;-* #,##0_-;_-* &quot;-&quot;_-;_-@_-_추가적립명세_0908_추가적립업체명세(완료)V_3황동인대리님 2 4 7" xfId="24955"/>
    <cellStyle name="_-* #,##0_-;-* #,##0_-;_-* &quot;-&quot;_-;_-@_-_추가적립명세_0908_추가적립업체명세(완료)V_3황동인대리님 2 4 7 2" xfId="32135"/>
    <cellStyle name="_-* #,##0_-;-* #,##0_-;_-* &quot;-&quot;_-;_-@_-_추가적립명세_0908_추가적립업체명세(완료)V_3황동인대리님 2 4 8" xfId="28380"/>
    <cellStyle name="_-* #,##0_-;-* #,##0_-;_-* &quot;-&quot;_-;_-@_-_추가적립명세_0908_추가적립업체명세(완료)V_3황동인대리님 2 5" xfId="5767"/>
    <cellStyle name="_-* #,##0_-;-* #,##0_-;_-* &quot;-&quot;_-;_-@_-_추가적립명세_0908_추가적립업체명세(완료)V_3황동인대리님 2 5 2" xfId="5768"/>
    <cellStyle name="_-* #,##0_-;-* #,##0_-;_-* &quot;-&quot;_-;_-@_-_추가적립명세_0908_추가적립업체명세(완료)V_3황동인대리님 2 5 2 2" xfId="24956"/>
    <cellStyle name="_-* #,##0_-;-* #,##0_-;_-* &quot;-&quot;_-;_-@_-_추가적립명세_0908_추가적립업체명세(완료)V_3황동인대리님 2 5 2 2 2" xfId="32136"/>
    <cellStyle name="_-* #,##0_-;-* #,##0_-;_-* &quot;-&quot;_-;_-@_-_추가적립명세_0908_추가적립업체명세(완료)V_3황동인대리님 2 5 2 3" xfId="28387"/>
    <cellStyle name="_-* #,##0_-;-* #,##0_-;_-* &quot;-&quot;_-;_-@_-_추가적립명세_0908_추가적립업체명세(완료)V_3황동인대리님 2 5 3" xfId="5769"/>
    <cellStyle name="_-* #,##0_-;-* #,##0_-;_-* &quot;-&quot;_-;_-@_-_추가적립명세_0908_추가적립업체명세(완료)V_3황동인대리님 2 5 3 2" xfId="24957"/>
    <cellStyle name="_-* #,##0_-;-* #,##0_-;_-* &quot;-&quot;_-;_-@_-_추가적립명세_0908_추가적립업체명세(완료)V_3황동인대리님 2 5 3 2 2" xfId="32137"/>
    <cellStyle name="_-* #,##0_-;-* #,##0_-;_-* &quot;-&quot;_-;_-@_-_추가적립명세_0908_추가적립업체명세(완료)V_3황동인대리님 2 5 3 3" xfId="28388"/>
    <cellStyle name="_-* #,##0_-;-* #,##0_-;_-* &quot;-&quot;_-;_-@_-_추가적립명세_0908_추가적립업체명세(완료)V_3황동인대리님 2 5 4" xfId="24958"/>
    <cellStyle name="_-* #,##0_-;-* #,##0_-;_-* &quot;-&quot;_-;_-@_-_추가적립명세_0908_추가적립업체명세(완료)V_3황동인대리님 2 5 4 2" xfId="32138"/>
    <cellStyle name="_-* #,##0_-;-* #,##0_-;_-* &quot;-&quot;_-;_-@_-_추가적립명세_0908_추가적립업체명세(완료)V_3황동인대리님 2 5 5" xfId="24959"/>
    <cellStyle name="_-* #,##0_-;-* #,##0_-;_-* &quot;-&quot;_-;_-@_-_추가적립명세_0908_추가적립업체명세(완료)V_3황동인대리님 2 5 5 2" xfId="32139"/>
    <cellStyle name="_-* #,##0_-;-* #,##0_-;_-* &quot;-&quot;_-;_-@_-_추가적립명세_0908_추가적립업체명세(완료)V_3황동인대리님 2 5 6" xfId="28386"/>
    <cellStyle name="_-* #,##0_-;-* #,##0_-;_-* &quot;-&quot;_-;_-@_-_추가적립명세_0908_추가적립업체명세(완료)V_3황동인대리님 2 6" xfId="5770"/>
    <cellStyle name="_-* #,##0_-;-* #,##0_-;_-* &quot;-&quot;_-;_-@_-_추가적립명세_0908_추가적립업체명세(완료)V_3황동인대리님 2 6 2" xfId="5771"/>
    <cellStyle name="_-* #,##0_-;-* #,##0_-;_-* &quot;-&quot;_-;_-@_-_추가적립명세_0908_추가적립업체명세(완료)V_3황동인대리님 2 6 2 2" xfId="24960"/>
    <cellStyle name="_-* #,##0_-;-* #,##0_-;_-* &quot;-&quot;_-;_-@_-_추가적립명세_0908_추가적립업체명세(완료)V_3황동인대리님 2 6 2 2 2" xfId="32140"/>
    <cellStyle name="_-* #,##0_-;-* #,##0_-;_-* &quot;-&quot;_-;_-@_-_추가적립명세_0908_추가적립업체명세(완료)V_3황동인대리님 2 6 2 3" xfId="28390"/>
    <cellStyle name="_-* #,##0_-;-* #,##0_-;_-* &quot;-&quot;_-;_-@_-_추가적립명세_0908_추가적립업체명세(완료)V_3황동인대리님 2 6 3" xfId="5772"/>
    <cellStyle name="_-* #,##0_-;-* #,##0_-;_-* &quot;-&quot;_-;_-@_-_추가적립명세_0908_추가적립업체명세(완료)V_3황동인대리님 2 6 3 2" xfId="24961"/>
    <cellStyle name="_-* #,##0_-;-* #,##0_-;_-* &quot;-&quot;_-;_-@_-_추가적립명세_0908_추가적립업체명세(완료)V_3황동인대리님 2 6 3 2 2" xfId="32141"/>
    <cellStyle name="_-* #,##0_-;-* #,##0_-;_-* &quot;-&quot;_-;_-@_-_추가적립명세_0908_추가적립업체명세(완료)V_3황동인대리님 2 6 3 3" xfId="28391"/>
    <cellStyle name="_-* #,##0_-;-* #,##0_-;_-* &quot;-&quot;_-;_-@_-_추가적립명세_0908_추가적립업체명세(완료)V_3황동인대리님 2 6 4" xfId="24962"/>
    <cellStyle name="_-* #,##0_-;-* #,##0_-;_-* &quot;-&quot;_-;_-@_-_추가적립명세_0908_추가적립업체명세(완료)V_3황동인대리님 2 6 4 2" xfId="32142"/>
    <cellStyle name="_-* #,##0_-;-* #,##0_-;_-* &quot;-&quot;_-;_-@_-_추가적립명세_0908_추가적립업체명세(완료)V_3황동인대리님 2 6 5" xfId="28389"/>
    <cellStyle name="_-* #,##0_-;-* #,##0_-;_-* &quot;-&quot;_-;_-@_-_추가적립명세_0908_추가적립업체명세(완료)V_3황동인대리님 2 7" xfId="5773"/>
    <cellStyle name="_-* #,##0_-;-* #,##0_-;_-* &quot;-&quot;_-;_-@_-_추가적립명세_0908_추가적립업체명세(완료)V_3황동인대리님 2 7 2" xfId="5774"/>
    <cellStyle name="_-* #,##0_-;-* #,##0_-;_-* &quot;-&quot;_-;_-@_-_추가적립명세_0908_추가적립업체명세(완료)V_3황동인대리님 2 7 2 2" xfId="24963"/>
    <cellStyle name="_-* #,##0_-;-* #,##0_-;_-* &quot;-&quot;_-;_-@_-_추가적립명세_0908_추가적립업체명세(완료)V_3황동인대리님 2 7 2 2 2" xfId="32143"/>
    <cellStyle name="_-* #,##0_-;-* #,##0_-;_-* &quot;-&quot;_-;_-@_-_추가적립명세_0908_추가적립업체명세(완료)V_3황동인대리님 2 7 2 3" xfId="28393"/>
    <cellStyle name="_-* #,##0_-;-* #,##0_-;_-* &quot;-&quot;_-;_-@_-_추가적립명세_0908_추가적립업체명세(완료)V_3황동인대리님 2 7 3" xfId="24964"/>
    <cellStyle name="_-* #,##0_-;-* #,##0_-;_-* &quot;-&quot;_-;_-@_-_추가적립명세_0908_추가적립업체명세(완료)V_3황동인대리님 2 7 3 2" xfId="32144"/>
    <cellStyle name="_-* #,##0_-;-* #,##0_-;_-* &quot;-&quot;_-;_-@_-_추가적립명세_0908_추가적립업체명세(완료)V_3황동인대리님 2 7 4" xfId="28392"/>
    <cellStyle name="_-* #,##0_-;-* #,##0_-;_-* &quot;-&quot;_-;_-@_-_추가적립명세_0908_추가적립업체명세(완료)V_3황동인대리님 2 8" xfId="5775"/>
    <cellStyle name="_-* #,##0_-;-* #,##0_-;_-* &quot;-&quot;_-;_-@_-_추가적립명세_0908_추가적립업체명세(완료)V_3황동인대리님 2 8 2" xfId="24965"/>
    <cellStyle name="_-* #,##0_-;-* #,##0_-;_-* &quot;-&quot;_-;_-@_-_추가적립명세_0908_추가적립업체명세(완료)V_3황동인대리님 2 8 2 2" xfId="32145"/>
    <cellStyle name="_-* #,##0_-;-* #,##0_-;_-* &quot;-&quot;_-;_-@_-_추가적립명세_0908_추가적립업체명세(완료)V_3황동인대리님 2 8 3" xfId="28394"/>
    <cellStyle name="_-* #,##0_-;-* #,##0_-;_-* &quot;-&quot;_-;_-@_-_추가적립명세_0908_추가적립업체명세(완료)V_3황동인대리님 2 9" xfId="24966"/>
    <cellStyle name="_-* #,##0_-;-* #,##0_-;_-* &quot;-&quot;_-;_-@_-_추가적립명세_0908_추가적립업체명세(완료)V_3황동인대리님 2 9 2" xfId="32146"/>
    <cellStyle name="_-* #,##0_-;-* #,##0_-;_-* &quot;-&quot;_-;_-@_-_추가적립명세_0908_추가적립업체명세(완료)V_3황동인대리님 3" xfId="5776"/>
    <cellStyle name="_-* #,##0_-;-* #,##0_-;_-* &quot;-&quot;_-;_-@_-_추가적립명세_0908_추가적립업체명세(완료)V_3황동인대리님 3 10" xfId="24967"/>
    <cellStyle name="_-* #,##0_-;-* #,##0_-;_-* &quot;-&quot;_-;_-@_-_추가적립명세_0908_추가적립업체명세(완료)V_3황동인대리님 3 10 2" xfId="32147"/>
    <cellStyle name="_-* #,##0_-;-* #,##0_-;_-* &quot;-&quot;_-;_-@_-_추가적립명세_0908_추가적립업체명세(완료)V_3황동인대리님 3 11" xfId="28395"/>
    <cellStyle name="_-* #,##0_-;-* #,##0_-;_-* &quot;-&quot;_-;_-@_-_추가적립명세_0908_추가적립업체명세(완료)V_3황동인대리님 3 2" xfId="5777"/>
    <cellStyle name="_-* #,##0_-;-* #,##0_-;_-* &quot;-&quot;_-;_-@_-_추가적립명세_0908_추가적립업체명세(완료)V_3황동인대리님 3 2 2" xfId="5778"/>
    <cellStyle name="_-* #,##0_-;-* #,##0_-;_-* &quot;-&quot;_-;_-@_-_추가적립명세_0908_추가적립업체명세(완료)V_3황동인대리님 3 2 2 2" xfId="24968"/>
    <cellStyle name="_-* #,##0_-;-* #,##0_-;_-* &quot;-&quot;_-;_-@_-_추가적립명세_0908_추가적립업체명세(완료)V_3황동인대리님 3 2 2 2 2" xfId="32148"/>
    <cellStyle name="_-* #,##0_-;-* #,##0_-;_-* &quot;-&quot;_-;_-@_-_추가적립명세_0908_추가적립업체명세(완료)V_3황동인대리님 3 2 2 3" xfId="24969"/>
    <cellStyle name="_-* #,##0_-;-* #,##0_-;_-* &quot;-&quot;_-;_-@_-_추가적립명세_0908_추가적립업체명세(완료)V_3황동인대리님 3 2 2 3 2" xfId="32149"/>
    <cellStyle name="_-* #,##0_-;-* #,##0_-;_-* &quot;-&quot;_-;_-@_-_추가적립명세_0908_추가적립업체명세(완료)V_3황동인대리님 3 2 2 4" xfId="24970"/>
    <cellStyle name="_-* #,##0_-;-* #,##0_-;_-* &quot;-&quot;_-;_-@_-_추가적립명세_0908_추가적립업체명세(완료)V_3황동인대리님 3 2 2 4 2" xfId="32150"/>
    <cellStyle name="_-* #,##0_-;-* #,##0_-;_-* &quot;-&quot;_-;_-@_-_추가적립명세_0908_추가적립업체명세(완료)V_3황동인대리님 3 2 2 5" xfId="24971"/>
    <cellStyle name="_-* #,##0_-;-* #,##0_-;_-* &quot;-&quot;_-;_-@_-_추가적립명세_0908_추가적립업체명세(완료)V_3황동인대리님 3 2 2 5 2" xfId="32151"/>
    <cellStyle name="_-* #,##0_-;-* #,##0_-;_-* &quot;-&quot;_-;_-@_-_추가적립명세_0908_추가적립업체명세(완료)V_3황동인대리님 3 2 2 6" xfId="28397"/>
    <cellStyle name="_-* #,##0_-;-* #,##0_-;_-* &quot;-&quot;_-;_-@_-_추가적립명세_0908_추가적립업체명세(완료)V_3황동인대리님 3 2 3" xfId="24972"/>
    <cellStyle name="_-* #,##0_-;-* #,##0_-;_-* &quot;-&quot;_-;_-@_-_추가적립명세_0908_추가적립업체명세(완료)V_3황동인대리님 3 2 3 2" xfId="24973"/>
    <cellStyle name="_-* #,##0_-;-* #,##0_-;_-* &quot;-&quot;_-;_-@_-_추가적립명세_0908_추가적립업체명세(완료)V_3황동인대리님 3 2 3 2 2" xfId="32153"/>
    <cellStyle name="_-* #,##0_-;-* #,##0_-;_-* &quot;-&quot;_-;_-@_-_추가적립명세_0908_추가적립업체명세(완료)V_3황동인대리님 3 2 3 3" xfId="32152"/>
    <cellStyle name="_-* #,##0_-;-* #,##0_-;_-* &quot;-&quot;_-;_-@_-_추가적립명세_0908_추가적립업체명세(완료)V_3황동인대리님 3 2 4" xfId="24974"/>
    <cellStyle name="_-* #,##0_-;-* #,##0_-;_-* &quot;-&quot;_-;_-@_-_추가적립명세_0908_추가적립업체명세(완료)V_3황동인대리님 3 2 4 2" xfId="32154"/>
    <cellStyle name="_-* #,##0_-;-* #,##0_-;_-* &quot;-&quot;_-;_-@_-_추가적립명세_0908_추가적립업체명세(완료)V_3황동인대리님 3 2 5" xfId="24975"/>
    <cellStyle name="_-* #,##0_-;-* #,##0_-;_-* &quot;-&quot;_-;_-@_-_추가적립명세_0908_추가적립업체명세(완료)V_3황동인대리님 3 2 5 2" xfId="32155"/>
    <cellStyle name="_-* #,##0_-;-* #,##0_-;_-* &quot;-&quot;_-;_-@_-_추가적립명세_0908_추가적립업체명세(완료)V_3황동인대리님 3 2 6" xfId="24976"/>
    <cellStyle name="_-* #,##0_-;-* #,##0_-;_-* &quot;-&quot;_-;_-@_-_추가적립명세_0908_추가적립업체명세(완료)V_3황동인대리님 3 2 6 2" xfId="32156"/>
    <cellStyle name="_-* #,##0_-;-* #,##0_-;_-* &quot;-&quot;_-;_-@_-_추가적립명세_0908_추가적립업체명세(완료)V_3황동인대리님 3 2 7" xfId="24977"/>
    <cellStyle name="_-* #,##0_-;-* #,##0_-;_-* &quot;-&quot;_-;_-@_-_추가적립명세_0908_추가적립업체명세(완료)V_3황동인대리님 3 2 7 2" xfId="32157"/>
    <cellStyle name="_-* #,##0_-;-* #,##0_-;_-* &quot;-&quot;_-;_-@_-_추가적립명세_0908_추가적립업체명세(완료)V_3황동인대리님 3 2 8" xfId="28396"/>
    <cellStyle name="_-* #,##0_-;-* #,##0_-;_-* &quot;-&quot;_-;_-@_-_추가적립명세_0908_추가적립업체명세(완료)V_3황동인대리님 3 3" xfId="5779"/>
    <cellStyle name="_-* #,##0_-;-* #,##0_-;_-* &quot;-&quot;_-;_-@_-_추가적립명세_0908_추가적립업체명세(완료)V_3황동인대리님 3 3 2" xfId="5780"/>
    <cellStyle name="_-* #,##0_-;-* #,##0_-;_-* &quot;-&quot;_-;_-@_-_추가적립명세_0908_추가적립업체명세(완료)V_3황동인대리님 3 3 2 2" xfId="24978"/>
    <cellStyle name="_-* #,##0_-;-* #,##0_-;_-* &quot;-&quot;_-;_-@_-_추가적립명세_0908_추가적립업체명세(완료)V_3황동인대리님 3 3 2 2 2" xfId="32158"/>
    <cellStyle name="_-* #,##0_-;-* #,##0_-;_-* &quot;-&quot;_-;_-@_-_추가적립명세_0908_추가적립업체명세(완료)V_3황동인대리님 3 3 2 3" xfId="24979"/>
    <cellStyle name="_-* #,##0_-;-* #,##0_-;_-* &quot;-&quot;_-;_-@_-_추가적립명세_0908_추가적립업체명세(완료)V_3황동인대리님 3 3 2 3 2" xfId="32159"/>
    <cellStyle name="_-* #,##0_-;-* #,##0_-;_-* &quot;-&quot;_-;_-@_-_추가적립명세_0908_추가적립업체명세(완료)V_3황동인대리님 3 3 2 4" xfId="24980"/>
    <cellStyle name="_-* #,##0_-;-* #,##0_-;_-* &quot;-&quot;_-;_-@_-_추가적립명세_0908_추가적립업체명세(완료)V_3황동인대리님 3 3 2 4 2" xfId="32160"/>
    <cellStyle name="_-* #,##0_-;-* #,##0_-;_-* &quot;-&quot;_-;_-@_-_추가적립명세_0908_추가적립업체명세(완료)V_3황동인대리님 3 3 2 5" xfId="24981"/>
    <cellStyle name="_-* #,##0_-;-* #,##0_-;_-* &quot;-&quot;_-;_-@_-_추가적립명세_0908_추가적립업체명세(완료)V_3황동인대리님 3 3 2 5 2" xfId="32161"/>
    <cellStyle name="_-* #,##0_-;-* #,##0_-;_-* &quot;-&quot;_-;_-@_-_추가적립명세_0908_추가적립업체명세(완료)V_3황동인대리님 3 3 2 6" xfId="28399"/>
    <cellStyle name="_-* #,##0_-;-* #,##0_-;_-* &quot;-&quot;_-;_-@_-_추가적립명세_0908_추가적립업체명세(완료)V_3황동인대리님 3 3 3" xfId="24982"/>
    <cellStyle name="_-* #,##0_-;-* #,##0_-;_-* &quot;-&quot;_-;_-@_-_추가적립명세_0908_추가적립업체명세(완료)V_3황동인대리님 3 3 3 2" xfId="24983"/>
    <cellStyle name="_-* #,##0_-;-* #,##0_-;_-* &quot;-&quot;_-;_-@_-_추가적립명세_0908_추가적립업체명세(완료)V_3황동인대리님 3 3 3 2 2" xfId="32163"/>
    <cellStyle name="_-* #,##0_-;-* #,##0_-;_-* &quot;-&quot;_-;_-@_-_추가적립명세_0908_추가적립업체명세(완료)V_3황동인대리님 3 3 3 3" xfId="32162"/>
    <cellStyle name="_-* #,##0_-;-* #,##0_-;_-* &quot;-&quot;_-;_-@_-_추가적립명세_0908_추가적립업체명세(완료)V_3황동인대리님 3 3 4" xfId="24984"/>
    <cellStyle name="_-* #,##0_-;-* #,##0_-;_-* &quot;-&quot;_-;_-@_-_추가적립명세_0908_추가적립업체명세(완료)V_3황동인대리님 3 3 4 2" xfId="32164"/>
    <cellStyle name="_-* #,##0_-;-* #,##0_-;_-* &quot;-&quot;_-;_-@_-_추가적립명세_0908_추가적립업체명세(완료)V_3황동인대리님 3 3 5" xfId="24985"/>
    <cellStyle name="_-* #,##0_-;-* #,##0_-;_-* &quot;-&quot;_-;_-@_-_추가적립명세_0908_추가적립업체명세(완료)V_3황동인대리님 3 3 5 2" xfId="32165"/>
    <cellStyle name="_-* #,##0_-;-* #,##0_-;_-* &quot;-&quot;_-;_-@_-_추가적립명세_0908_추가적립업체명세(완료)V_3황동인대리님 3 3 6" xfId="24986"/>
    <cellStyle name="_-* #,##0_-;-* #,##0_-;_-* &quot;-&quot;_-;_-@_-_추가적립명세_0908_추가적립업체명세(완료)V_3황동인대리님 3 3 6 2" xfId="32166"/>
    <cellStyle name="_-* #,##0_-;-* #,##0_-;_-* &quot;-&quot;_-;_-@_-_추가적립명세_0908_추가적립업체명세(완료)V_3황동인대리님 3 3 7" xfId="24987"/>
    <cellStyle name="_-* #,##0_-;-* #,##0_-;_-* &quot;-&quot;_-;_-@_-_추가적립명세_0908_추가적립업체명세(완료)V_3황동인대리님 3 3 7 2" xfId="32167"/>
    <cellStyle name="_-* #,##0_-;-* #,##0_-;_-* &quot;-&quot;_-;_-@_-_추가적립명세_0908_추가적립업체명세(완료)V_3황동인대리님 3 3 8" xfId="28398"/>
    <cellStyle name="_-* #,##0_-;-* #,##0_-;_-* &quot;-&quot;_-;_-@_-_추가적립명세_0908_추가적립업체명세(완료)V_3황동인대리님 3 4" xfId="5781"/>
    <cellStyle name="_-* #,##0_-;-* #,##0_-;_-* &quot;-&quot;_-;_-@_-_추가적립명세_0908_추가적립업체명세(완료)V_3황동인대리님 3 4 2" xfId="5782"/>
    <cellStyle name="_-* #,##0_-;-* #,##0_-;_-* &quot;-&quot;_-;_-@_-_추가적립명세_0908_추가적립업체명세(완료)V_3황동인대리님 3 4 2 2" xfId="24988"/>
    <cellStyle name="_-* #,##0_-;-* #,##0_-;_-* &quot;-&quot;_-;_-@_-_추가적립명세_0908_추가적립업체명세(완료)V_3황동인대리님 3 4 2 2 2" xfId="32168"/>
    <cellStyle name="_-* #,##0_-;-* #,##0_-;_-* &quot;-&quot;_-;_-@_-_추가적립명세_0908_추가적립업체명세(완료)V_3황동인대리님 3 4 2 3" xfId="24989"/>
    <cellStyle name="_-* #,##0_-;-* #,##0_-;_-* &quot;-&quot;_-;_-@_-_추가적립명세_0908_추가적립업체명세(완료)V_3황동인대리님 3 4 2 3 2" xfId="32169"/>
    <cellStyle name="_-* #,##0_-;-* #,##0_-;_-* &quot;-&quot;_-;_-@_-_추가적립명세_0908_추가적립업체명세(완료)V_3황동인대리님 3 4 2 4" xfId="24990"/>
    <cellStyle name="_-* #,##0_-;-* #,##0_-;_-* &quot;-&quot;_-;_-@_-_추가적립명세_0908_추가적립업체명세(완료)V_3황동인대리님 3 4 2 4 2" xfId="32170"/>
    <cellStyle name="_-* #,##0_-;-* #,##0_-;_-* &quot;-&quot;_-;_-@_-_추가적립명세_0908_추가적립업체명세(완료)V_3황동인대리님 3 4 2 5" xfId="24991"/>
    <cellStyle name="_-* #,##0_-;-* #,##0_-;_-* &quot;-&quot;_-;_-@_-_추가적립명세_0908_추가적립업체명세(완료)V_3황동인대리님 3 4 2 5 2" xfId="32171"/>
    <cellStyle name="_-* #,##0_-;-* #,##0_-;_-* &quot;-&quot;_-;_-@_-_추가적립명세_0908_추가적립업체명세(완료)V_3황동인대리님 3 4 2 6" xfId="28401"/>
    <cellStyle name="_-* #,##0_-;-* #,##0_-;_-* &quot;-&quot;_-;_-@_-_추가적립명세_0908_추가적립업체명세(완료)V_3황동인대리님 3 4 3" xfId="24992"/>
    <cellStyle name="_-* #,##0_-;-* #,##0_-;_-* &quot;-&quot;_-;_-@_-_추가적립명세_0908_추가적립업체명세(완료)V_3황동인대리님 3 4 3 2" xfId="24993"/>
    <cellStyle name="_-* #,##0_-;-* #,##0_-;_-* &quot;-&quot;_-;_-@_-_추가적립명세_0908_추가적립업체명세(완료)V_3황동인대리님 3 4 3 2 2" xfId="32173"/>
    <cellStyle name="_-* #,##0_-;-* #,##0_-;_-* &quot;-&quot;_-;_-@_-_추가적립명세_0908_추가적립업체명세(완료)V_3황동인대리님 3 4 3 3" xfId="32172"/>
    <cellStyle name="_-* #,##0_-;-* #,##0_-;_-* &quot;-&quot;_-;_-@_-_추가적립명세_0908_추가적립업체명세(완료)V_3황동인대리님 3 4 4" xfId="24994"/>
    <cellStyle name="_-* #,##0_-;-* #,##0_-;_-* &quot;-&quot;_-;_-@_-_추가적립명세_0908_추가적립업체명세(완료)V_3황동인대리님 3 4 4 2" xfId="32174"/>
    <cellStyle name="_-* #,##0_-;-* #,##0_-;_-* &quot;-&quot;_-;_-@_-_추가적립명세_0908_추가적립업체명세(완료)V_3황동인대리님 3 4 5" xfId="24995"/>
    <cellStyle name="_-* #,##0_-;-* #,##0_-;_-* &quot;-&quot;_-;_-@_-_추가적립명세_0908_추가적립업체명세(완료)V_3황동인대리님 3 4 5 2" xfId="32175"/>
    <cellStyle name="_-* #,##0_-;-* #,##0_-;_-* &quot;-&quot;_-;_-@_-_추가적립명세_0908_추가적립업체명세(완료)V_3황동인대리님 3 4 6" xfId="24996"/>
    <cellStyle name="_-* #,##0_-;-* #,##0_-;_-* &quot;-&quot;_-;_-@_-_추가적립명세_0908_추가적립업체명세(완료)V_3황동인대리님 3 4 6 2" xfId="32176"/>
    <cellStyle name="_-* #,##0_-;-* #,##0_-;_-* &quot;-&quot;_-;_-@_-_추가적립명세_0908_추가적립업체명세(완료)V_3황동인대리님 3 4 7" xfId="24997"/>
    <cellStyle name="_-* #,##0_-;-* #,##0_-;_-* &quot;-&quot;_-;_-@_-_추가적립명세_0908_추가적립업체명세(완료)V_3황동인대리님 3 4 7 2" xfId="32177"/>
    <cellStyle name="_-* #,##0_-;-* #,##0_-;_-* &quot;-&quot;_-;_-@_-_추가적립명세_0908_추가적립업체명세(완료)V_3황동인대리님 3 4 8" xfId="28400"/>
    <cellStyle name="_-* #,##0_-;-* #,##0_-;_-* &quot;-&quot;_-;_-@_-_추가적립명세_0908_추가적립업체명세(완료)V_3황동인대리님 3 5" xfId="5783"/>
    <cellStyle name="_-* #,##0_-;-* #,##0_-;_-* &quot;-&quot;_-;_-@_-_추가적립명세_0908_추가적립업체명세(완료)V_3황동인대리님 3 5 2" xfId="24998"/>
    <cellStyle name="_-* #,##0_-;-* #,##0_-;_-* &quot;-&quot;_-;_-@_-_추가적립명세_0908_추가적립업체명세(완료)V_3황동인대리님 3 5 2 2" xfId="32178"/>
    <cellStyle name="_-* #,##0_-;-* #,##0_-;_-* &quot;-&quot;_-;_-@_-_추가적립명세_0908_추가적립업체명세(완료)V_3황동인대리님 3 5 3" xfId="24999"/>
    <cellStyle name="_-* #,##0_-;-* #,##0_-;_-* &quot;-&quot;_-;_-@_-_추가적립명세_0908_추가적립업체명세(완료)V_3황동인대리님 3 5 3 2" xfId="32179"/>
    <cellStyle name="_-* #,##0_-;-* #,##0_-;_-* &quot;-&quot;_-;_-@_-_추가적립명세_0908_추가적립업체명세(완료)V_3황동인대리님 3 5 4" xfId="25000"/>
    <cellStyle name="_-* #,##0_-;-* #,##0_-;_-* &quot;-&quot;_-;_-@_-_추가적립명세_0908_추가적립업체명세(완료)V_3황동인대리님 3 5 4 2" xfId="32180"/>
    <cellStyle name="_-* #,##0_-;-* #,##0_-;_-* &quot;-&quot;_-;_-@_-_추가적립명세_0908_추가적립업체명세(완료)V_3황동인대리님 3 5 5" xfId="25001"/>
    <cellStyle name="_-* #,##0_-;-* #,##0_-;_-* &quot;-&quot;_-;_-@_-_추가적립명세_0908_추가적립업체명세(완료)V_3황동인대리님 3 5 5 2" xfId="32181"/>
    <cellStyle name="_-* #,##0_-;-* #,##0_-;_-* &quot;-&quot;_-;_-@_-_추가적립명세_0908_추가적립업체명세(완료)V_3황동인대리님 3 5 6" xfId="28402"/>
    <cellStyle name="_-* #,##0_-;-* #,##0_-;_-* &quot;-&quot;_-;_-@_-_추가적립명세_0908_추가적립업체명세(완료)V_3황동인대리님 3 6" xfId="25002"/>
    <cellStyle name="_-* #,##0_-;-* #,##0_-;_-* &quot;-&quot;_-;_-@_-_추가적립명세_0908_추가적립업체명세(완료)V_3황동인대리님 3 6 2" xfId="25003"/>
    <cellStyle name="_-* #,##0_-;-* #,##0_-;_-* &quot;-&quot;_-;_-@_-_추가적립명세_0908_추가적립업체명세(완료)V_3황동인대리님 3 6 2 2" xfId="32183"/>
    <cellStyle name="_-* #,##0_-;-* #,##0_-;_-* &quot;-&quot;_-;_-@_-_추가적립명세_0908_추가적립업체명세(완료)V_3황동인대리님 3 6 3" xfId="32182"/>
    <cellStyle name="_-* #,##0_-;-* #,##0_-;_-* &quot;-&quot;_-;_-@_-_추가적립명세_0908_추가적립업체명세(완료)V_3황동인대리님 3 7" xfId="25004"/>
    <cellStyle name="_-* #,##0_-;-* #,##0_-;_-* &quot;-&quot;_-;_-@_-_추가적립명세_0908_추가적립업체명세(완료)V_3황동인대리님 3 7 2" xfId="32184"/>
    <cellStyle name="_-* #,##0_-;-* #,##0_-;_-* &quot;-&quot;_-;_-@_-_추가적립명세_0908_추가적립업체명세(완료)V_3황동인대리님 3 8" xfId="25005"/>
    <cellStyle name="_-* #,##0_-;-* #,##0_-;_-* &quot;-&quot;_-;_-@_-_추가적립명세_0908_추가적립업체명세(완료)V_3황동인대리님 3 8 2" xfId="32185"/>
    <cellStyle name="_-* #,##0_-;-* #,##0_-;_-* &quot;-&quot;_-;_-@_-_추가적립명세_0908_추가적립업체명세(완료)V_3황동인대리님 3 9" xfId="25006"/>
    <cellStyle name="_-* #,##0_-;-* #,##0_-;_-* &quot;-&quot;_-;_-@_-_추가적립명세_0908_추가적립업체명세(완료)V_3황동인대리님 3 9 2" xfId="32186"/>
    <cellStyle name="_-* #,##0_-;-* #,##0_-;_-* &quot;-&quot;_-;_-@_-_추가적립명세_0908_추가적립업체명세(완료)V_3황동인대리님 4" xfId="5784"/>
    <cellStyle name="_-* #,##0_-;-* #,##0_-;_-* &quot;-&quot;_-;_-@_-_추가적립명세_0908_추가적립업체명세(완료)V_3황동인대리님 4 2" xfId="5785"/>
    <cellStyle name="_-* #,##0_-;-* #,##0_-;_-* &quot;-&quot;_-;_-@_-_추가적립명세_0908_추가적립업체명세(완료)V_3황동인대리님 4 2 2" xfId="5786"/>
    <cellStyle name="_-* #,##0_-;-* #,##0_-;_-* &quot;-&quot;_-;_-@_-_추가적립명세_0908_추가적립업체명세(완료)V_3황동인대리님 4 2 2 2" xfId="25007"/>
    <cellStyle name="_-* #,##0_-;-* #,##0_-;_-* &quot;-&quot;_-;_-@_-_추가적립명세_0908_추가적립업체명세(완료)V_3황동인대리님 4 2 2 2 2" xfId="32187"/>
    <cellStyle name="_-* #,##0_-;-* #,##0_-;_-* &quot;-&quot;_-;_-@_-_추가적립명세_0908_추가적립업체명세(완료)V_3황동인대리님 4 2 2 3" xfId="28405"/>
    <cellStyle name="_-* #,##0_-;-* #,##0_-;_-* &quot;-&quot;_-;_-@_-_추가적립명세_0908_추가적립업체명세(완료)V_3황동인대리님 4 2 3" xfId="25008"/>
    <cellStyle name="_-* #,##0_-;-* #,##0_-;_-* &quot;-&quot;_-;_-@_-_추가적립명세_0908_추가적립업체명세(완료)V_3황동인대리님 4 2 3 2" xfId="32188"/>
    <cellStyle name="_-* #,##0_-;-* #,##0_-;_-* &quot;-&quot;_-;_-@_-_추가적립명세_0908_추가적립업체명세(완료)V_3황동인대리님 4 2 4" xfId="25009"/>
    <cellStyle name="_-* #,##0_-;-* #,##0_-;_-* &quot;-&quot;_-;_-@_-_추가적립명세_0908_추가적립업체명세(완료)V_3황동인대리님 4 2 4 2" xfId="32189"/>
    <cellStyle name="_-* #,##0_-;-* #,##0_-;_-* &quot;-&quot;_-;_-@_-_추가적립명세_0908_추가적립업체명세(완료)V_3황동인대리님 4 2 5" xfId="25010"/>
    <cellStyle name="_-* #,##0_-;-* #,##0_-;_-* &quot;-&quot;_-;_-@_-_추가적립명세_0908_추가적립업체명세(완료)V_3황동인대리님 4 2 5 2" xfId="32190"/>
    <cellStyle name="_-* #,##0_-;-* #,##0_-;_-* &quot;-&quot;_-;_-@_-_추가적립명세_0908_추가적립업체명세(완료)V_3황동인대리님 4 2 6" xfId="28404"/>
    <cellStyle name="_-* #,##0_-;-* #,##0_-;_-* &quot;-&quot;_-;_-@_-_추가적립명세_0908_추가적립업체명세(완료)V_3황동인대리님 4 3" xfId="5787"/>
    <cellStyle name="_-* #,##0_-;-* #,##0_-;_-* &quot;-&quot;_-;_-@_-_추가적립명세_0908_추가적립업체명세(완료)V_3황동인대리님 4 3 2" xfId="5788"/>
    <cellStyle name="_-* #,##0_-;-* #,##0_-;_-* &quot;-&quot;_-;_-@_-_추가적립명세_0908_추가적립업체명세(완료)V_3황동인대리님 4 3 2 2" xfId="25011"/>
    <cellStyle name="_-* #,##0_-;-* #,##0_-;_-* &quot;-&quot;_-;_-@_-_추가적립명세_0908_추가적립업체명세(완료)V_3황동인대리님 4 3 2 2 2" xfId="32191"/>
    <cellStyle name="_-* #,##0_-;-* #,##0_-;_-* &quot;-&quot;_-;_-@_-_추가적립명세_0908_추가적립업체명세(완료)V_3황동인대리님 4 3 2 3" xfId="28407"/>
    <cellStyle name="_-* #,##0_-;-* #,##0_-;_-* &quot;-&quot;_-;_-@_-_추가적립명세_0908_추가적립업체명세(완료)V_3황동인대리님 4 3 3" xfId="25012"/>
    <cellStyle name="_-* #,##0_-;-* #,##0_-;_-* &quot;-&quot;_-;_-@_-_추가적립명세_0908_추가적립업체명세(완료)V_3황동인대리님 4 3 3 2" xfId="32192"/>
    <cellStyle name="_-* #,##0_-;-* #,##0_-;_-* &quot;-&quot;_-;_-@_-_추가적립명세_0908_추가적립업체명세(완료)V_3황동인대리님 4 3 4" xfId="28406"/>
    <cellStyle name="_-* #,##0_-;-* #,##0_-;_-* &quot;-&quot;_-;_-@_-_추가적립명세_0908_추가적립업체명세(완료)V_3황동인대리님 4 4" xfId="5789"/>
    <cellStyle name="_-* #,##0_-;-* #,##0_-;_-* &quot;-&quot;_-;_-@_-_추가적립명세_0908_추가적립업체명세(완료)V_3황동인대리님 4 4 2" xfId="5790"/>
    <cellStyle name="_-* #,##0_-;-* #,##0_-;_-* &quot;-&quot;_-;_-@_-_추가적립명세_0908_추가적립업체명세(완료)V_3황동인대리님 4 4 2 2" xfId="25013"/>
    <cellStyle name="_-* #,##0_-;-* #,##0_-;_-* &quot;-&quot;_-;_-@_-_추가적립명세_0908_추가적립업체명세(완료)V_3황동인대리님 4 4 2 2 2" xfId="32193"/>
    <cellStyle name="_-* #,##0_-;-* #,##0_-;_-* &quot;-&quot;_-;_-@_-_추가적립명세_0908_추가적립업체명세(완료)V_3황동인대리님 4 4 2 3" xfId="28409"/>
    <cellStyle name="_-* #,##0_-;-* #,##0_-;_-* &quot;-&quot;_-;_-@_-_추가적립명세_0908_추가적립업체명세(완료)V_3황동인대리님 4 4 3" xfId="25014"/>
    <cellStyle name="_-* #,##0_-;-* #,##0_-;_-* &quot;-&quot;_-;_-@_-_추가적립명세_0908_추가적립업체명세(완료)V_3황동인대리님 4 4 3 2" xfId="32194"/>
    <cellStyle name="_-* #,##0_-;-* #,##0_-;_-* &quot;-&quot;_-;_-@_-_추가적립명세_0908_추가적립업체명세(완료)V_3황동인대리님 4 4 4" xfId="28408"/>
    <cellStyle name="_-* #,##0_-;-* #,##0_-;_-* &quot;-&quot;_-;_-@_-_추가적립명세_0908_추가적립업체명세(완료)V_3황동인대리님 4 5" xfId="5791"/>
    <cellStyle name="_-* #,##0_-;-* #,##0_-;_-* &quot;-&quot;_-;_-@_-_추가적립명세_0908_추가적립업체명세(완료)V_3황동인대리님 4 5 2" xfId="25015"/>
    <cellStyle name="_-* #,##0_-;-* #,##0_-;_-* &quot;-&quot;_-;_-@_-_추가적립명세_0908_추가적립업체명세(완료)V_3황동인대리님 4 5 2 2" xfId="32195"/>
    <cellStyle name="_-* #,##0_-;-* #,##0_-;_-* &quot;-&quot;_-;_-@_-_추가적립명세_0908_추가적립업체명세(완료)V_3황동인대리님 4 5 3" xfId="28410"/>
    <cellStyle name="_-* #,##0_-;-* #,##0_-;_-* &quot;-&quot;_-;_-@_-_추가적립명세_0908_추가적립업체명세(완료)V_3황동인대리님 4 6" xfId="25016"/>
    <cellStyle name="_-* #,##0_-;-* #,##0_-;_-* &quot;-&quot;_-;_-@_-_추가적립명세_0908_추가적립업체명세(완료)V_3황동인대리님 4 6 2" xfId="32196"/>
    <cellStyle name="_-* #,##0_-;-* #,##0_-;_-* &quot;-&quot;_-;_-@_-_추가적립명세_0908_추가적립업체명세(완료)V_3황동인대리님 4 7" xfId="25017"/>
    <cellStyle name="_-* #,##0_-;-* #,##0_-;_-* &quot;-&quot;_-;_-@_-_추가적립명세_0908_추가적립업체명세(완료)V_3황동인대리님 4 7 2" xfId="32197"/>
    <cellStyle name="_-* #,##0_-;-* #,##0_-;_-* &quot;-&quot;_-;_-@_-_추가적립명세_0908_추가적립업체명세(완료)V_3황동인대리님 4 8" xfId="28403"/>
    <cellStyle name="_-* #,##0_-;-* #,##0_-;_-* &quot;-&quot;_-;_-@_-_추가적립명세_0908_추가적립업체명세(완료)V_3황동인대리님 5" xfId="5792"/>
    <cellStyle name="_-* #,##0_-;-* #,##0_-;_-* &quot;-&quot;_-;_-@_-_추가적립명세_0908_추가적립업체명세(완료)V_3황동인대리님 5 2" xfId="5793"/>
    <cellStyle name="_-* #,##0_-;-* #,##0_-;_-* &quot;-&quot;_-;_-@_-_추가적립명세_0908_추가적립업체명세(완료)V_3황동인대리님 5 2 2" xfId="5794"/>
    <cellStyle name="_-* #,##0_-;-* #,##0_-;_-* &quot;-&quot;_-;_-@_-_추가적립명세_0908_추가적립업체명세(완료)V_3황동인대리님 5 2 2 2" xfId="25018"/>
    <cellStyle name="_-* #,##0_-;-* #,##0_-;_-* &quot;-&quot;_-;_-@_-_추가적립명세_0908_추가적립업체명세(완료)V_3황동인대리님 5 2 2 2 2" xfId="32198"/>
    <cellStyle name="_-* #,##0_-;-* #,##0_-;_-* &quot;-&quot;_-;_-@_-_추가적립명세_0908_추가적립업체명세(완료)V_3황동인대리님 5 2 2 3" xfId="28413"/>
    <cellStyle name="_-* #,##0_-;-* #,##0_-;_-* &quot;-&quot;_-;_-@_-_추가적립명세_0908_추가적립업체명세(완료)V_3황동인대리님 5 2 3" xfId="25019"/>
    <cellStyle name="_-* #,##0_-;-* #,##0_-;_-* &quot;-&quot;_-;_-@_-_추가적립명세_0908_추가적립업체명세(완료)V_3황동인대리님 5 2 3 2" xfId="32199"/>
    <cellStyle name="_-* #,##0_-;-* #,##0_-;_-* &quot;-&quot;_-;_-@_-_추가적립명세_0908_추가적립업체명세(완료)V_3황동인대리님 5 2 4" xfId="25020"/>
    <cellStyle name="_-* #,##0_-;-* #,##0_-;_-* &quot;-&quot;_-;_-@_-_추가적립명세_0908_추가적립업체명세(완료)V_3황동인대리님 5 2 4 2" xfId="32200"/>
    <cellStyle name="_-* #,##0_-;-* #,##0_-;_-* &quot;-&quot;_-;_-@_-_추가적립명세_0908_추가적립업체명세(완료)V_3황동인대리님 5 2 5" xfId="25021"/>
    <cellStyle name="_-* #,##0_-;-* #,##0_-;_-* &quot;-&quot;_-;_-@_-_추가적립명세_0908_추가적립업체명세(완료)V_3황동인대리님 5 2 5 2" xfId="32201"/>
    <cellStyle name="_-* #,##0_-;-* #,##0_-;_-* &quot;-&quot;_-;_-@_-_추가적립명세_0908_추가적립업체명세(완료)V_3황동인대리님 5 2 6" xfId="28412"/>
    <cellStyle name="_-* #,##0_-;-* #,##0_-;_-* &quot;-&quot;_-;_-@_-_추가적립명세_0908_추가적립업체명세(완료)V_3황동인대리님 5 3" xfId="5795"/>
    <cellStyle name="_-* #,##0_-;-* #,##0_-;_-* &quot;-&quot;_-;_-@_-_추가적립명세_0908_추가적립업체명세(완료)V_3황동인대리님 5 3 2" xfId="5796"/>
    <cellStyle name="_-* #,##0_-;-* #,##0_-;_-* &quot;-&quot;_-;_-@_-_추가적립명세_0908_추가적립업체명세(완료)V_3황동인대리님 5 3 2 2" xfId="25022"/>
    <cellStyle name="_-* #,##0_-;-* #,##0_-;_-* &quot;-&quot;_-;_-@_-_추가적립명세_0908_추가적립업체명세(완료)V_3황동인대리님 5 3 2 2 2" xfId="32202"/>
    <cellStyle name="_-* #,##0_-;-* #,##0_-;_-* &quot;-&quot;_-;_-@_-_추가적립명세_0908_추가적립업체명세(완료)V_3황동인대리님 5 3 2 3" xfId="28415"/>
    <cellStyle name="_-* #,##0_-;-* #,##0_-;_-* &quot;-&quot;_-;_-@_-_추가적립명세_0908_추가적립업체명세(완료)V_3황동인대리님 5 3 3" xfId="25023"/>
    <cellStyle name="_-* #,##0_-;-* #,##0_-;_-* &quot;-&quot;_-;_-@_-_추가적립명세_0908_추가적립업체명세(완료)V_3황동인대리님 5 3 3 2" xfId="32203"/>
    <cellStyle name="_-* #,##0_-;-* #,##0_-;_-* &quot;-&quot;_-;_-@_-_추가적립명세_0908_추가적립업체명세(완료)V_3황동인대리님 5 3 4" xfId="28414"/>
    <cellStyle name="_-* #,##0_-;-* #,##0_-;_-* &quot;-&quot;_-;_-@_-_추가적립명세_0908_추가적립업체명세(완료)V_3황동인대리님 5 4" xfId="5797"/>
    <cellStyle name="_-* #,##0_-;-* #,##0_-;_-* &quot;-&quot;_-;_-@_-_추가적립명세_0908_추가적립업체명세(완료)V_3황동인대리님 5 4 2" xfId="25024"/>
    <cellStyle name="_-* #,##0_-;-* #,##0_-;_-* &quot;-&quot;_-;_-@_-_추가적립명세_0908_추가적립업체명세(완료)V_3황동인대리님 5 4 2 2" xfId="32204"/>
    <cellStyle name="_-* #,##0_-;-* #,##0_-;_-* &quot;-&quot;_-;_-@_-_추가적립명세_0908_추가적립업체명세(완료)V_3황동인대리님 5 4 3" xfId="28416"/>
    <cellStyle name="_-* #,##0_-;-* #,##0_-;_-* &quot;-&quot;_-;_-@_-_추가적립명세_0908_추가적립업체명세(완료)V_3황동인대리님 5 5" xfId="25025"/>
    <cellStyle name="_-* #,##0_-;-* #,##0_-;_-* &quot;-&quot;_-;_-@_-_추가적립명세_0908_추가적립업체명세(완료)V_3황동인대리님 5 5 2" xfId="32205"/>
    <cellStyle name="_-* #,##0_-;-* #,##0_-;_-* &quot;-&quot;_-;_-@_-_추가적립명세_0908_추가적립업체명세(완료)V_3황동인대리님 5 6" xfId="25026"/>
    <cellStyle name="_-* #,##0_-;-* #,##0_-;_-* &quot;-&quot;_-;_-@_-_추가적립명세_0908_추가적립업체명세(완료)V_3황동인대리님 5 6 2" xfId="32206"/>
    <cellStyle name="_-* #,##0_-;-* #,##0_-;_-* &quot;-&quot;_-;_-@_-_추가적립명세_0908_추가적립업체명세(완료)V_3황동인대리님 5 7" xfId="25027"/>
    <cellStyle name="_-* #,##0_-;-* #,##0_-;_-* &quot;-&quot;_-;_-@_-_추가적립명세_0908_추가적립업체명세(완료)V_3황동인대리님 5 7 2" xfId="32207"/>
    <cellStyle name="_-* #,##0_-;-* #,##0_-;_-* &quot;-&quot;_-;_-@_-_추가적립명세_0908_추가적립업체명세(완료)V_3황동인대리님 5 8" xfId="28411"/>
    <cellStyle name="_-* #,##0_-;-* #,##0_-;_-* &quot;-&quot;_-;_-@_-_추가적립명세_0908_추가적립업체명세(완료)V_3황동인대리님 6" xfId="5798"/>
    <cellStyle name="_-* #,##0_-;-* #,##0_-;_-* &quot;-&quot;_-;_-@_-_추가적립명세_0908_추가적립업체명세(완료)V_3황동인대리님 6 2" xfId="5799"/>
    <cellStyle name="_-* #,##0_-;-* #,##0_-;_-* &quot;-&quot;_-;_-@_-_추가적립명세_0908_추가적립업체명세(완료)V_3황동인대리님 6 2 2" xfId="25028"/>
    <cellStyle name="_-* #,##0_-;-* #,##0_-;_-* &quot;-&quot;_-;_-@_-_추가적립명세_0908_추가적립업체명세(완료)V_3황동인대리님 6 2 2 2" xfId="32208"/>
    <cellStyle name="_-* #,##0_-;-* #,##0_-;_-* &quot;-&quot;_-;_-@_-_추가적립명세_0908_추가적립업체명세(완료)V_3황동인대리님 6 2 3" xfId="25029"/>
    <cellStyle name="_-* #,##0_-;-* #,##0_-;_-* &quot;-&quot;_-;_-@_-_추가적립명세_0908_추가적립업체명세(완료)V_3황동인대리님 6 2 3 2" xfId="32209"/>
    <cellStyle name="_-* #,##0_-;-* #,##0_-;_-* &quot;-&quot;_-;_-@_-_추가적립명세_0908_추가적립업체명세(완료)V_3황동인대리님 6 2 4" xfId="25030"/>
    <cellStyle name="_-* #,##0_-;-* #,##0_-;_-* &quot;-&quot;_-;_-@_-_추가적립명세_0908_추가적립업체명세(완료)V_3황동인대리님 6 2 4 2" xfId="32210"/>
    <cellStyle name="_-* #,##0_-;-* #,##0_-;_-* &quot;-&quot;_-;_-@_-_추가적립명세_0908_추가적립업체명세(완료)V_3황동인대리님 6 2 5" xfId="25031"/>
    <cellStyle name="_-* #,##0_-;-* #,##0_-;_-* &quot;-&quot;_-;_-@_-_추가적립명세_0908_추가적립업체명세(완료)V_3황동인대리님 6 2 5 2" xfId="32211"/>
    <cellStyle name="_-* #,##0_-;-* #,##0_-;_-* &quot;-&quot;_-;_-@_-_추가적립명세_0908_추가적립업체명세(완료)V_3황동인대리님 6 2 6" xfId="28418"/>
    <cellStyle name="_-* #,##0_-;-* #,##0_-;_-* &quot;-&quot;_-;_-@_-_추가적립명세_0908_추가적립업체명세(완료)V_3황동인대리님 6 3" xfId="25032"/>
    <cellStyle name="_-* #,##0_-;-* #,##0_-;_-* &quot;-&quot;_-;_-@_-_추가적립명세_0908_추가적립업체명세(완료)V_3황동인대리님 6 3 2" xfId="25033"/>
    <cellStyle name="_-* #,##0_-;-* #,##0_-;_-* &quot;-&quot;_-;_-@_-_추가적립명세_0908_추가적립업체명세(완료)V_3황동인대리님 6 3 2 2" xfId="32213"/>
    <cellStyle name="_-* #,##0_-;-* #,##0_-;_-* &quot;-&quot;_-;_-@_-_추가적립명세_0908_추가적립업체명세(완료)V_3황동인대리님 6 3 3" xfId="32212"/>
    <cellStyle name="_-* #,##0_-;-* #,##0_-;_-* &quot;-&quot;_-;_-@_-_추가적립명세_0908_추가적립업체명세(완료)V_3황동인대리님 6 4" xfId="25034"/>
    <cellStyle name="_-* #,##0_-;-* #,##0_-;_-* &quot;-&quot;_-;_-@_-_추가적립명세_0908_추가적립업체명세(완료)V_3황동인대리님 6 4 2" xfId="32214"/>
    <cellStyle name="_-* #,##0_-;-* #,##0_-;_-* &quot;-&quot;_-;_-@_-_추가적립명세_0908_추가적립업체명세(완료)V_3황동인대리님 6 5" xfId="25035"/>
    <cellStyle name="_-* #,##0_-;-* #,##0_-;_-* &quot;-&quot;_-;_-@_-_추가적립명세_0908_추가적립업체명세(완료)V_3황동인대리님 6 5 2" xfId="32215"/>
    <cellStyle name="_-* #,##0_-;-* #,##0_-;_-* &quot;-&quot;_-;_-@_-_추가적립명세_0908_추가적립업체명세(완료)V_3황동인대리님 6 6" xfId="25036"/>
    <cellStyle name="_-* #,##0_-;-* #,##0_-;_-* &quot;-&quot;_-;_-@_-_추가적립명세_0908_추가적립업체명세(완료)V_3황동인대리님 6 6 2" xfId="32216"/>
    <cellStyle name="_-* #,##0_-;-* #,##0_-;_-* &quot;-&quot;_-;_-@_-_추가적립명세_0908_추가적립업체명세(완료)V_3황동인대리님 6 7" xfId="25037"/>
    <cellStyle name="_-* #,##0_-;-* #,##0_-;_-* &quot;-&quot;_-;_-@_-_추가적립명세_0908_추가적립업체명세(완료)V_3황동인대리님 6 7 2" xfId="32217"/>
    <cellStyle name="_-* #,##0_-;-* #,##0_-;_-* &quot;-&quot;_-;_-@_-_추가적립명세_0908_추가적립업체명세(완료)V_3황동인대리님 6 8" xfId="28417"/>
    <cellStyle name="_-* #,##0_-;-* #,##0_-;_-* &quot;-&quot;_-;_-@_-_추가적립명세_0908_추가적립업체명세(완료)V_3황동인대리님 7" xfId="5800"/>
    <cellStyle name="_-* #,##0_-;-* #,##0_-;_-* &quot;-&quot;_-;_-@_-_추가적립명세_0908_추가적립업체명세(완료)V_3황동인대리님 7 2" xfId="5801"/>
    <cellStyle name="_-* #,##0_-;-* #,##0_-;_-* &quot;-&quot;_-;_-@_-_추가적립명세_0908_추가적립업체명세(완료)V_3황동인대리님 7 2 2" xfId="25038"/>
    <cellStyle name="_-* #,##0_-;-* #,##0_-;_-* &quot;-&quot;_-;_-@_-_추가적립명세_0908_추가적립업체명세(완료)V_3황동인대리님 7 2 2 2" xfId="32218"/>
    <cellStyle name="_-* #,##0_-;-* #,##0_-;_-* &quot;-&quot;_-;_-@_-_추가적립명세_0908_추가적립업체명세(완료)V_3황동인대리님 7 2 3" xfId="28420"/>
    <cellStyle name="_-* #,##0_-;-* #,##0_-;_-* &quot;-&quot;_-;_-@_-_추가적립명세_0908_추가적립업체명세(완료)V_3황동인대리님 7 3" xfId="25039"/>
    <cellStyle name="_-* #,##0_-;-* #,##0_-;_-* &quot;-&quot;_-;_-@_-_추가적립명세_0908_추가적립업체명세(완료)V_3황동인대리님 7 3 2" xfId="32219"/>
    <cellStyle name="_-* #,##0_-;-* #,##0_-;_-* &quot;-&quot;_-;_-@_-_추가적립명세_0908_추가적립업체명세(완료)V_3황동인대리님 7 4" xfId="25040"/>
    <cellStyle name="_-* #,##0_-;-* #,##0_-;_-* &quot;-&quot;_-;_-@_-_추가적립명세_0908_추가적립업체명세(완료)V_3황동인대리님 7 4 2" xfId="32220"/>
    <cellStyle name="_-* #,##0_-;-* #,##0_-;_-* &quot;-&quot;_-;_-@_-_추가적립명세_0908_추가적립업체명세(완료)V_3황동인대리님 7 5" xfId="25041"/>
    <cellStyle name="_-* #,##0_-;-* #,##0_-;_-* &quot;-&quot;_-;_-@_-_추가적립명세_0908_추가적립업체명세(완료)V_3황동인대리님 7 5 2" xfId="32221"/>
    <cellStyle name="_-* #,##0_-;-* #,##0_-;_-* &quot;-&quot;_-;_-@_-_추가적립명세_0908_추가적립업체명세(완료)V_3황동인대리님 7 6" xfId="28419"/>
    <cellStyle name="_-* #,##0_-;-* #,##0_-;_-* &quot;-&quot;_-;_-@_-_추가적립명세_0908_추가적립업체명세(완료)V_3황동인대리님 8" xfId="5802"/>
    <cellStyle name="_-* #,##0_-;-* #,##0_-;_-* &quot;-&quot;_-;_-@_-_추가적립명세_0908_추가적립업체명세(완료)V_3황동인대리님 8 2" xfId="5803"/>
    <cellStyle name="_-* #,##0_-;-* #,##0_-;_-* &quot;-&quot;_-;_-@_-_추가적립명세_0908_추가적립업체명세(완료)V_3황동인대리님 8 2 2" xfId="25042"/>
    <cellStyle name="_-* #,##0_-;-* #,##0_-;_-* &quot;-&quot;_-;_-@_-_추가적립명세_0908_추가적립업체명세(완료)V_3황동인대리님 8 2 2 2" xfId="32222"/>
    <cellStyle name="_-* #,##0_-;-* #,##0_-;_-* &quot;-&quot;_-;_-@_-_추가적립명세_0908_추가적립업체명세(완료)V_3황동인대리님 8 2 3" xfId="28422"/>
    <cellStyle name="_-* #,##0_-;-* #,##0_-;_-* &quot;-&quot;_-;_-@_-_추가적립명세_0908_추가적립업체명세(완료)V_3황동인대리님 8 3" xfId="25043"/>
    <cellStyle name="_-* #,##0_-;-* #,##0_-;_-* &quot;-&quot;_-;_-@_-_추가적립명세_0908_추가적립업체명세(완료)V_3황동인대리님 8 3 2" xfId="32223"/>
    <cellStyle name="_-* #,##0_-;-* #,##0_-;_-* &quot;-&quot;_-;_-@_-_추가적립명세_0908_추가적립업체명세(완료)V_3황동인대리님 8 4" xfId="25044"/>
    <cellStyle name="_-* #,##0_-;-* #,##0_-;_-* &quot;-&quot;_-;_-@_-_추가적립명세_0908_추가적립업체명세(완료)V_3황동인대리님 8 4 2" xfId="32224"/>
    <cellStyle name="_-* #,##0_-;-* #,##0_-;_-* &quot;-&quot;_-;_-@_-_추가적립명세_0908_추가적립업체명세(완료)V_3황동인대리님 8 5" xfId="25045"/>
    <cellStyle name="_-* #,##0_-;-* #,##0_-;_-* &quot;-&quot;_-;_-@_-_추가적립명세_0908_추가적립업체명세(완료)V_3황동인대리님 8 5 2" xfId="32225"/>
    <cellStyle name="_-* #,##0_-;-* #,##0_-;_-* &quot;-&quot;_-;_-@_-_추가적립명세_0908_추가적립업체명세(완료)V_3황동인대리님 8 6" xfId="28421"/>
    <cellStyle name="_-* #,##0_-;-* #,##0_-;_-* &quot;-&quot;_-;_-@_-_추가적립명세_0908_추가적립업체명세(완료)V_3황동인대리님 9" xfId="5804"/>
    <cellStyle name="_-* #,##0_-;-* #,##0_-;_-* &quot;-&quot;_-;_-@_-_추가적립명세_0908_추가적립업체명세(완료)V_3황동인대리님 9 2" xfId="25046"/>
    <cellStyle name="_-* #,##0_-;-* #,##0_-;_-* &quot;-&quot;_-;_-@_-_추가적립명세_0908_추가적립업체명세(완료)V_3황동인대리님 9 2 2" xfId="32226"/>
    <cellStyle name="_-* #,##0_-;-* #,##0_-;_-* &quot;-&quot;_-;_-@_-_추가적립명세_0908_추가적립업체명세(완료)V_3황동인대리님 9 3" xfId="25047"/>
    <cellStyle name="_-* #,##0_-;-* #,##0_-;_-* &quot;-&quot;_-;_-@_-_추가적립명세_0908_추가적립업체명세(완료)V_3황동인대리님 9 3 2" xfId="32227"/>
    <cellStyle name="_-* #,##0_-;-* #,##0_-;_-* &quot;-&quot;_-;_-@_-_추가적립명세_0908_추가적립업체명세(완료)V_3황동인대리님 9 4" xfId="25048"/>
    <cellStyle name="_-* #,##0_-;-* #,##0_-;_-* &quot;-&quot;_-;_-@_-_추가적립명세_0908_추가적립업체명세(완료)V_3황동인대리님 9 4 2" xfId="32228"/>
    <cellStyle name="_-* #,##0_-;-* #,##0_-;_-* &quot;-&quot;_-;_-@_-_추가적립명세_0908_추가적립업체명세(완료)V_3황동인대리님 9 5" xfId="28423"/>
    <cellStyle name="_-* #,##0_-;-* #,##0_-;_-* &quot;-&quot;_-;_-@_-_추가적립명세_0908_추가적립업체명세(완료)V_3황동인대리님_1211 충당금,건전성 현황_작업" xfId="5805"/>
    <cellStyle name="_-* #,##0_-;-* #,##0_-;_-* &quot;-&quot;_-;_-@_-_추가적립명세_0908_추가적립업체명세(완료)V_3황동인대리님_1211 충당금,건전성 현황_작업 2" xfId="25049"/>
    <cellStyle name="_-* #,##0_-;-* #,##0_-;_-* &quot;-&quot;_-;_-@_-_추가적립명세_0908_추가적립업체명세(완료)V_3황동인대리님_1211 충당금,건전성 현황_작업 2 2" xfId="32229"/>
    <cellStyle name="_-* #,##0_-;-* #,##0_-;_-* &quot;-&quot;_-;_-@_-_추가적립명세_0908_추가적립업체명세(완료)V_3황동인대리님_1211 충당금,건전성 현황_작업 3" xfId="28424"/>
    <cellStyle name="_-* #,##0_-;-* #,##0_-;_-* &quot;-&quot;_-;_-@_-_추가적립명세_0908_추가적립업체명세(완료)V_3황동인대리님_Hana 2011-1 Program_Data Disk_Pool B_v2(v5-1더밸류-이교민)" xfId="5806"/>
    <cellStyle name="_-* #,##0_-;-* #,##0_-;_-* &quot;-&quot;_-;_-@_-_추가적립명세_0908_추가적립업체명세(완료)V_3황동인대리님_Hana 2011-1 Program_Data Disk_Pool B_v2(v5-1더밸류-이교민) 2" xfId="25050"/>
    <cellStyle name="_-* #,##0_-;-* #,##0_-;_-* &quot;-&quot;_-;_-@_-_추가적립명세_0908_추가적립업체명세(완료)V_3황동인대리님_Hana 2011-1 Program_Data Disk_Pool B_v2(v5-1더밸류-이교민) 2 2" xfId="32230"/>
    <cellStyle name="_-* #,##0_-;-* #,##0_-;_-* &quot;-&quot;_-;_-@_-_추가적립명세_0908_추가적립업체명세(완료)V_3황동인대리님_Hana 2011-1 Program_Data Disk_Pool B_v2(v5-1더밸류-이교민) 3" xfId="25051"/>
    <cellStyle name="_-* #,##0_-;-* #,##0_-;_-* &quot;-&quot;_-;_-@_-_추가적립명세_0908_추가적립업체명세(완료)V_3황동인대리님_Hana 2011-1 Program_Data Disk_Pool B_v2(v5-1더밸류-이교민) 3 2" xfId="32231"/>
    <cellStyle name="_-* #,##0_-;-* #,##0_-;_-* &quot;-&quot;_-;_-@_-_추가적립명세_0908_추가적립업체명세(완료)V_3황동인대리님_Hana 2011-1 Program_Data Disk_Pool B_v2(v5-1더밸류-이교민) 4" xfId="25052"/>
    <cellStyle name="_-* #,##0_-;-* #,##0_-;_-* &quot;-&quot;_-;_-@_-_추가적립명세_0908_추가적립업체명세(완료)V_3황동인대리님_Hana 2011-1 Program_Data Disk_Pool B_v2(v5-1더밸류-이교민) 4 2" xfId="32232"/>
    <cellStyle name="_-* #,##0_-;-* #,##0_-;_-* &quot;-&quot;_-;_-@_-_추가적립명세_0908_추가적립업체명세(완료)V_3황동인대리님_Hana 2011-1 Program_Data Disk_Pool B_v2(v5-1더밸류-이교민) 5" xfId="28425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" xfId="5807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" xfId="25053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2" xfId="32233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" xfId="25054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2" xfId="32234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" xfId="25055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2" xfId="32235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5" xfId="28426"/>
    <cellStyle name="_-* #,##0_-;-* #,##0_-;_-* &quot;-&quot;_-;_-@_-_추가적립명세_0908_추가적립업체명세(완료)V_3황동인대리님_Hana 2011-1 Program_Data Disk_Pool B_v2(v5-1더밸류-이교민)_차주명관리_20110726_v1" xfId="5808"/>
    <cellStyle name="_-* #,##0_-;-* #,##0_-;_-* &quot;-&quot;_-;_-@_-_추가적립명세_0908_추가적립업체명세(완료)V_3황동인대리님_Hana 2011-1 Program_Data Disk_Pool B_v2(v5-1더밸류-이교민)_차주명관리_20110726_v1 2" xfId="25056"/>
    <cellStyle name="_-* #,##0_-;-* #,##0_-;_-* &quot;-&quot;_-;_-@_-_추가적립명세_0908_추가적립업체명세(완료)V_3황동인대리님_Hana 2011-1 Program_Data Disk_Pool B_v2(v5-1더밸류-이교민)_차주명관리_20110726_v1 2 2" xfId="32236"/>
    <cellStyle name="_-* #,##0_-;-* #,##0_-;_-* &quot;-&quot;_-;_-@_-_추가적립명세_0908_추가적립업체명세(완료)V_3황동인대리님_Hana 2011-1 Program_Data Disk_Pool B_v2(v5-1더밸류-이교민)_차주명관리_20110726_v1 3" xfId="25057"/>
    <cellStyle name="_-* #,##0_-;-* #,##0_-;_-* &quot;-&quot;_-;_-@_-_추가적립명세_0908_추가적립업체명세(완료)V_3황동인대리님_Hana 2011-1 Program_Data Disk_Pool B_v2(v5-1더밸류-이교민)_차주명관리_20110726_v1 3 2" xfId="32237"/>
    <cellStyle name="_-* #,##0_-;-* #,##0_-;_-* &quot;-&quot;_-;_-@_-_추가적립명세_0908_추가적립업체명세(완료)V_3황동인대리님_Hana 2011-1 Program_Data Disk_Pool B_v2(v5-1더밸류-이교민)_차주명관리_20110726_v1 4" xfId="25058"/>
    <cellStyle name="_-* #,##0_-;-* #,##0_-;_-* &quot;-&quot;_-;_-@_-_추가적립명세_0908_추가적립업체명세(완료)V_3황동인대리님_Hana 2011-1 Program_Data Disk_Pool B_v2(v5-1더밸류-이교민)_차주명관리_20110726_v1 4 2" xfId="32238"/>
    <cellStyle name="_-* #,##0_-;-* #,##0_-;_-* &quot;-&quot;_-;_-@_-_추가적립명세_0908_추가적립업체명세(완료)V_3황동인대리님_Hana 2011-1 Program_Data Disk_Pool B_v2(v5-1더밸류-이교민)_차주명관리_20110726_v1 5" xfId="28427"/>
    <cellStyle name="_-* #,##0_-;-* #,##0_-;_-* &quot;-&quot;_-;_-@_-_추가적립명세_0908_추가적립업체명세(완료)V_3황동인대리님_SHB_2011-3_담보sheet(더밸류_v6이교민)" xfId="5809"/>
    <cellStyle name="_-* #,##0_-;-* #,##0_-;_-* &quot;-&quot;_-;_-@_-_추가적립명세_0908_추가적립업체명세(완료)V_3황동인대리님_SHB_2011-3_담보sheet(더밸류_v6이교민) 2" xfId="25059"/>
    <cellStyle name="_-* #,##0_-;-* #,##0_-;_-* &quot;-&quot;_-;_-@_-_추가적립명세_0908_추가적립업체명세(완료)V_3황동인대리님_SHB_2011-3_담보sheet(더밸류_v6이교민) 2 2" xfId="32239"/>
    <cellStyle name="_-* #,##0_-;-* #,##0_-;_-* &quot;-&quot;_-;_-@_-_추가적립명세_0908_추가적립업체명세(완료)V_3황동인대리님_SHB_2011-3_담보sheet(더밸류_v6이교민) 3" xfId="25060"/>
    <cellStyle name="_-* #,##0_-;-* #,##0_-;_-* &quot;-&quot;_-;_-@_-_추가적립명세_0908_추가적립업체명세(완료)V_3황동인대리님_SHB_2011-3_담보sheet(더밸류_v6이교민) 3 2" xfId="32240"/>
    <cellStyle name="_-* #,##0_-;-* #,##0_-;_-* &quot;-&quot;_-;_-@_-_추가적립명세_0908_추가적립업체명세(완료)V_3황동인대리님_SHB_2011-3_담보sheet(더밸류_v6이교민) 4" xfId="25061"/>
    <cellStyle name="_-* #,##0_-;-* #,##0_-;_-* &quot;-&quot;_-;_-@_-_추가적립명세_0908_추가적립업체명세(완료)V_3황동인대리님_SHB_2011-3_담보sheet(더밸류_v6이교민) 4 2" xfId="32241"/>
    <cellStyle name="_-* #,##0_-;-* #,##0_-;_-* &quot;-&quot;_-;_-@_-_추가적립명세_0908_추가적립업체명세(완료)V_3황동인대리님_SHB_2011-3_담보sheet(더밸류_v6이교민) 5" xfId="28428"/>
    <cellStyle name="_-* #,##0_-;-* #,##0_-;_-* &quot;-&quot;_-;_-@_-_추가적립명세_0908_추가적립업체명세(완료)V_3황동인대리님_SHB_2011-3_담보sheet(더밸류_v6이교민)_차주명관리_20110726_v1" xfId="5810"/>
    <cellStyle name="_-* #,##0_-;-* #,##0_-;_-* &quot;-&quot;_-;_-@_-_추가적립명세_0908_추가적립업체명세(완료)V_3황동인대리님_SHB_2011-3_담보sheet(더밸류_v6이교민)_차주명관리_20110726_v1 2" xfId="25062"/>
    <cellStyle name="_-* #,##0_-;-* #,##0_-;_-* &quot;-&quot;_-;_-@_-_추가적립명세_0908_추가적립업체명세(완료)V_3황동인대리님_SHB_2011-3_담보sheet(더밸류_v6이교민)_차주명관리_20110726_v1 2 2" xfId="32242"/>
    <cellStyle name="_-* #,##0_-;-* #,##0_-;_-* &quot;-&quot;_-;_-@_-_추가적립명세_0908_추가적립업체명세(완료)V_3황동인대리님_SHB_2011-3_담보sheet(더밸류_v6이교민)_차주명관리_20110726_v1 3" xfId="25063"/>
    <cellStyle name="_-* #,##0_-;-* #,##0_-;_-* &quot;-&quot;_-;_-@_-_추가적립명세_0908_추가적립업체명세(완료)V_3황동인대리님_SHB_2011-3_담보sheet(더밸류_v6이교민)_차주명관리_20110726_v1 3 2" xfId="32243"/>
    <cellStyle name="_-* #,##0_-;-* #,##0_-;_-* &quot;-&quot;_-;_-@_-_추가적립명세_0908_추가적립업체명세(완료)V_3황동인대리님_SHB_2011-3_담보sheet(더밸류_v6이교민)_차주명관리_20110726_v1 4" xfId="25064"/>
    <cellStyle name="_-* #,##0_-;-* #,##0_-;_-* &quot;-&quot;_-;_-@_-_추가적립명세_0908_추가적립업체명세(완료)V_3황동인대리님_SHB_2011-3_담보sheet(더밸류_v6이교민)_차주명관리_20110726_v1 4 2" xfId="32244"/>
    <cellStyle name="_-* #,##0_-;-* #,##0_-;_-* &quot;-&quot;_-;_-@_-_추가적립명세_0908_추가적립업체명세(완료)V_3황동인대리님_SHB_2011-3_담보sheet(더밸류_v6이교민)_차주명관리_20110726_v1 5" xfId="28429"/>
    <cellStyle name="_-* #,##0_-;-* #,##0_-;_-* &quot;-&quot;_-;_-@_-_추가적립명세_0908_추가적립업체명세(완료)V_3황동인대리님_Sheet1" xfId="5811"/>
    <cellStyle name="_-* #,##0_-;-* #,##0_-;_-* &quot;-&quot;_-;_-@_-_추가적립명세_0908_추가적립업체명세(완료)V_3황동인대리님_Sheet1 2" xfId="25065"/>
    <cellStyle name="_-* #,##0_-;-* #,##0_-;_-* &quot;-&quot;_-;_-@_-_추가적립명세_0908_추가적립업체명세(완료)V_3황동인대리님_Sheet1 2 2" xfId="32245"/>
    <cellStyle name="_-* #,##0_-;-* #,##0_-;_-* &quot;-&quot;_-;_-@_-_추가적립명세_0908_추가적립업체명세(완료)V_3황동인대리님_Sheet1 3" xfId="28430"/>
    <cellStyle name="_-* #,##0_-;-* #,##0_-;_-* &quot;-&quot;_-;_-@_-_추가적립명세_0908_추가적립업체명세(완료)V_3황동인대리님_권리분석_v1(최초)-4" xfId="5812"/>
    <cellStyle name="_-* #,##0_-;-* #,##0_-;_-* &quot;-&quot;_-;_-@_-_추가적립명세_0908_추가적립업체명세(완료)V_3황동인대리님_권리분석_v1(최초)-4 2" xfId="25066"/>
    <cellStyle name="_-* #,##0_-;-* #,##0_-;_-* &quot;-&quot;_-;_-@_-_추가적립명세_0908_추가적립업체명세(완료)V_3황동인대리님_권리분석_v1(최초)-4 2 2" xfId="32246"/>
    <cellStyle name="_-* #,##0_-;-* #,##0_-;_-* &quot;-&quot;_-;_-@_-_추가적립명세_0908_추가적립업체명세(완료)V_3황동인대리님_권리분석_v1(최초)-4 3" xfId="25067"/>
    <cellStyle name="_-* #,##0_-;-* #,##0_-;_-* &quot;-&quot;_-;_-@_-_추가적립명세_0908_추가적립업체명세(완료)V_3황동인대리님_권리분석_v1(최초)-4 3 2" xfId="32247"/>
    <cellStyle name="_-* #,##0_-;-* #,##0_-;_-* &quot;-&quot;_-;_-@_-_추가적립명세_0908_추가적립업체명세(완료)V_3황동인대리님_권리분석_v1(최초)-4 4" xfId="25068"/>
    <cellStyle name="_-* #,##0_-;-* #,##0_-;_-* &quot;-&quot;_-;_-@_-_추가적립명세_0908_추가적립업체명세(완료)V_3황동인대리님_권리분석_v1(최초)-4 4 2" xfId="32248"/>
    <cellStyle name="_-* #,##0_-;-* #,##0_-;_-* &quot;-&quot;_-;_-@_-_추가적립명세_0908_추가적립업체명세(완료)V_3황동인대리님_권리분석_v1(최초)-4 5" xfId="28431"/>
    <cellStyle name="_-* #,##0_-;-* #,##0_-;_-* &quot;-&quot;_-;_-@_-_추가적립업체명세(완료)V_3황동인대리님" xfId="53"/>
    <cellStyle name="_-* #,##0_-;-* #,##0_-;_-* &quot;-&quot;_-;_-@_-_추가적립업체명세(완료)V_3황동인대리님 10" xfId="25069"/>
    <cellStyle name="_-* #,##0_-;-* #,##0_-;_-* &quot;-&quot;_-;_-@_-_추가적립업체명세(완료)V_3황동인대리님 10 2" xfId="32249"/>
    <cellStyle name="_-* #,##0_-;-* #,##0_-;_-* &quot;-&quot;_-;_-@_-_추가적립업체명세(완료)V_3황동인대리님 11" xfId="25070"/>
    <cellStyle name="_-* #,##0_-;-* #,##0_-;_-* &quot;-&quot;_-;_-@_-_추가적립업체명세(완료)V_3황동인대리님 11 2" xfId="32250"/>
    <cellStyle name="_-* #,##0_-;-* #,##0_-;_-* &quot;-&quot;_-;_-@_-_추가적립업체명세(완료)V_3황동인대리님 12" xfId="27617"/>
    <cellStyle name="_-* #,##0_-;-* #,##0_-;_-* &quot;-&quot;_-;_-@_-_추가적립업체명세(완료)V_3황동인대리님 2" xfId="5813"/>
    <cellStyle name="_-* #,##0_-;-* #,##0_-;_-* &quot;-&quot;_-;_-@_-_추가적립업체명세(완료)V_3황동인대리님 2 10" xfId="28432"/>
    <cellStyle name="_-* #,##0_-;-* #,##0_-;_-* &quot;-&quot;_-;_-@_-_추가적립업체명세(완료)V_3황동인대리님 2 2" xfId="5814"/>
    <cellStyle name="_-* #,##0_-;-* #,##0_-;_-* &quot;-&quot;_-;_-@_-_추가적립업체명세(완료)V_3황동인대리님 2 2 2" xfId="5815"/>
    <cellStyle name="_-* #,##0_-;-* #,##0_-;_-* &quot;-&quot;_-;_-@_-_추가적립업체명세(완료)V_3황동인대리님 2 2 2 2" xfId="5816"/>
    <cellStyle name="_-* #,##0_-;-* #,##0_-;_-* &quot;-&quot;_-;_-@_-_추가적립업체명세(완료)V_3황동인대리님 2 2 2 2 2" xfId="25071"/>
    <cellStyle name="_-* #,##0_-;-* #,##0_-;_-* &quot;-&quot;_-;_-@_-_추가적립업체명세(완료)V_3황동인대리님 2 2 2 2 2 2" xfId="32251"/>
    <cellStyle name="_-* #,##0_-;-* #,##0_-;_-* &quot;-&quot;_-;_-@_-_추가적립업체명세(완료)V_3황동인대리님 2 2 2 2 3" xfId="28435"/>
    <cellStyle name="_-* #,##0_-;-* #,##0_-;_-* &quot;-&quot;_-;_-@_-_추가적립업체명세(완료)V_3황동인대리님 2 2 2 3" xfId="25072"/>
    <cellStyle name="_-* #,##0_-;-* #,##0_-;_-* &quot;-&quot;_-;_-@_-_추가적립업체명세(완료)V_3황동인대리님 2 2 2 3 2" xfId="32252"/>
    <cellStyle name="_-* #,##0_-;-* #,##0_-;_-* &quot;-&quot;_-;_-@_-_추가적립업체명세(완료)V_3황동인대리님 2 2 2 4" xfId="25073"/>
    <cellStyle name="_-* #,##0_-;-* #,##0_-;_-* &quot;-&quot;_-;_-@_-_추가적립업체명세(완료)V_3황동인대리님 2 2 2 4 2" xfId="32253"/>
    <cellStyle name="_-* #,##0_-;-* #,##0_-;_-* &quot;-&quot;_-;_-@_-_추가적립업체명세(완료)V_3황동인대리님 2 2 2 5" xfId="25074"/>
    <cellStyle name="_-* #,##0_-;-* #,##0_-;_-* &quot;-&quot;_-;_-@_-_추가적립업체명세(완료)V_3황동인대리님 2 2 2 5 2" xfId="32254"/>
    <cellStyle name="_-* #,##0_-;-* #,##0_-;_-* &quot;-&quot;_-;_-@_-_추가적립업체명세(완료)V_3황동인대리님 2 2 2 6" xfId="28434"/>
    <cellStyle name="_-* #,##0_-;-* #,##0_-;_-* &quot;-&quot;_-;_-@_-_추가적립업체명세(완료)V_3황동인대리님 2 2 3" xfId="5817"/>
    <cellStyle name="_-* #,##0_-;-* #,##0_-;_-* &quot;-&quot;_-;_-@_-_추가적립업체명세(완료)V_3황동인대리님 2 2 3 2" xfId="5818"/>
    <cellStyle name="_-* #,##0_-;-* #,##0_-;_-* &quot;-&quot;_-;_-@_-_추가적립업체명세(완료)V_3황동인대리님 2 2 3 2 2" xfId="25075"/>
    <cellStyle name="_-* #,##0_-;-* #,##0_-;_-* &quot;-&quot;_-;_-@_-_추가적립업체명세(완료)V_3황동인대리님 2 2 3 2 2 2" xfId="32255"/>
    <cellStyle name="_-* #,##0_-;-* #,##0_-;_-* &quot;-&quot;_-;_-@_-_추가적립업체명세(완료)V_3황동인대리님 2 2 3 2 3" xfId="28437"/>
    <cellStyle name="_-* #,##0_-;-* #,##0_-;_-* &quot;-&quot;_-;_-@_-_추가적립업체명세(완료)V_3황동인대리님 2 2 3 3" xfId="25076"/>
    <cellStyle name="_-* #,##0_-;-* #,##0_-;_-* &quot;-&quot;_-;_-@_-_추가적립업체명세(완료)V_3황동인대리님 2 2 3 3 2" xfId="32256"/>
    <cellStyle name="_-* #,##0_-;-* #,##0_-;_-* &quot;-&quot;_-;_-@_-_추가적립업체명세(완료)V_3황동인대리님 2 2 3 4" xfId="28436"/>
    <cellStyle name="_-* #,##0_-;-* #,##0_-;_-* &quot;-&quot;_-;_-@_-_추가적립업체명세(완료)V_3황동인대리님 2 2 4" xfId="5819"/>
    <cellStyle name="_-* #,##0_-;-* #,##0_-;_-* &quot;-&quot;_-;_-@_-_추가적립업체명세(완료)V_3황동인대리님 2 2 4 2" xfId="5820"/>
    <cellStyle name="_-* #,##0_-;-* #,##0_-;_-* &quot;-&quot;_-;_-@_-_추가적립업체명세(완료)V_3황동인대리님 2 2 4 2 2" xfId="25077"/>
    <cellStyle name="_-* #,##0_-;-* #,##0_-;_-* &quot;-&quot;_-;_-@_-_추가적립업체명세(완료)V_3황동인대리님 2 2 4 2 2 2" xfId="32257"/>
    <cellStyle name="_-* #,##0_-;-* #,##0_-;_-* &quot;-&quot;_-;_-@_-_추가적립업체명세(완료)V_3황동인대리님 2 2 4 2 3" xfId="28439"/>
    <cellStyle name="_-* #,##0_-;-* #,##0_-;_-* &quot;-&quot;_-;_-@_-_추가적립업체명세(완료)V_3황동인대리님 2 2 4 3" xfId="25078"/>
    <cellStyle name="_-* #,##0_-;-* #,##0_-;_-* &quot;-&quot;_-;_-@_-_추가적립업체명세(완료)V_3황동인대리님 2 2 4 3 2" xfId="32258"/>
    <cellStyle name="_-* #,##0_-;-* #,##0_-;_-* &quot;-&quot;_-;_-@_-_추가적립업체명세(완료)V_3황동인대리님 2 2 4 4" xfId="28438"/>
    <cellStyle name="_-* #,##0_-;-* #,##0_-;_-* &quot;-&quot;_-;_-@_-_추가적립업체명세(완료)V_3황동인대리님 2 2 5" xfId="5821"/>
    <cellStyle name="_-* #,##0_-;-* #,##0_-;_-* &quot;-&quot;_-;_-@_-_추가적립업체명세(완료)V_3황동인대리님 2 2 5 2" xfId="25079"/>
    <cellStyle name="_-* #,##0_-;-* #,##0_-;_-* &quot;-&quot;_-;_-@_-_추가적립업체명세(완료)V_3황동인대리님 2 2 5 2 2" xfId="32259"/>
    <cellStyle name="_-* #,##0_-;-* #,##0_-;_-* &quot;-&quot;_-;_-@_-_추가적립업체명세(완료)V_3황동인대리님 2 2 5 3" xfId="28440"/>
    <cellStyle name="_-* #,##0_-;-* #,##0_-;_-* &quot;-&quot;_-;_-@_-_추가적립업체명세(완료)V_3황동인대리님 2 2 6" xfId="25080"/>
    <cellStyle name="_-* #,##0_-;-* #,##0_-;_-* &quot;-&quot;_-;_-@_-_추가적립업체명세(완료)V_3황동인대리님 2 2 6 2" xfId="32260"/>
    <cellStyle name="_-* #,##0_-;-* #,##0_-;_-* &quot;-&quot;_-;_-@_-_추가적립업체명세(완료)V_3황동인대리님 2 2 7" xfId="25081"/>
    <cellStyle name="_-* #,##0_-;-* #,##0_-;_-* &quot;-&quot;_-;_-@_-_추가적립업체명세(완료)V_3황동인대리님 2 2 7 2" xfId="32261"/>
    <cellStyle name="_-* #,##0_-;-* #,##0_-;_-* &quot;-&quot;_-;_-@_-_추가적립업체명세(완료)V_3황동인대리님 2 2 8" xfId="28433"/>
    <cellStyle name="_-* #,##0_-;-* #,##0_-;_-* &quot;-&quot;_-;_-@_-_추가적립업체명세(완료)V_3황동인대리님 2 3" xfId="5822"/>
    <cellStyle name="_-* #,##0_-;-* #,##0_-;_-* &quot;-&quot;_-;_-@_-_추가적립업체명세(완료)V_3황동인대리님 2 3 2" xfId="5823"/>
    <cellStyle name="_-* #,##0_-;-* #,##0_-;_-* &quot;-&quot;_-;_-@_-_추가적립업체명세(완료)V_3황동인대리님 2 3 2 2" xfId="5824"/>
    <cellStyle name="_-* #,##0_-;-* #,##0_-;_-* &quot;-&quot;_-;_-@_-_추가적립업체명세(완료)V_3황동인대리님 2 3 2 2 2" xfId="25082"/>
    <cellStyle name="_-* #,##0_-;-* #,##0_-;_-* &quot;-&quot;_-;_-@_-_추가적립업체명세(완료)V_3황동인대리님 2 3 2 2 2 2" xfId="32262"/>
    <cellStyle name="_-* #,##0_-;-* #,##0_-;_-* &quot;-&quot;_-;_-@_-_추가적립업체명세(완료)V_3황동인대리님 2 3 2 2 3" xfId="28443"/>
    <cellStyle name="_-* #,##0_-;-* #,##0_-;_-* &quot;-&quot;_-;_-@_-_추가적립업체명세(완료)V_3황동인대리님 2 3 2 3" xfId="25083"/>
    <cellStyle name="_-* #,##0_-;-* #,##0_-;_-* &quot;-&quot;_-;_-@_-_추가적립업체명세(완료)V_3황동인대리님 2 3 2 3 2" xfId="32263"/>
    <cellStyle name="_-* #,##0_-;-* #,##0_-;_-* &quot;-&quot;_-;_-@_-_추가적립업체명세(완료)V_3황동인대리님 2 3 2 4" xfId="25084"/>
    <cellStyle name="_-* #,##0_-;-* #,##0_-;_-* &quot;-&quot;_-;_-@_-_추가적립업체명세(완료)V_3황동인대리님 2 3 2 4 2" xfId="32264"/>
    <cellStyle name="_-* #,##0_-;-* #,##0_-;_-* &quot;-&quot;_-;_-@_-_추가적립업체명세(완료)V_3황동인대리님 2 3 2 5" xfId="25085"/>
    <cellStyle name="_-* #,##0_-;-* #,##0_-;_-* &quot;-&quot;_-;_-@_-_추가적립업체명세(완료)V_3황동인대리님 2 3 2 5 2" xfId="32265"/>
    <cellStyle name="_-* #,##0_-;-* #,##0_-;_-* &quot;-&quot;_-;_-@_-_추가적립업체명세(완료)V_3황동인대리님 2 3 2 6" xfId="28442"/>
    <cellStyle name="_-* #,##0_-;-* #,##0_-;_-* &quot;-&quot;_-;_-@_-_추가적립업체명세(완료)V_3황동인대리님 2 3 3" xfId="5825"/>
    <cellStyle name="_-* #,##0_-;-* #,##0_-;_-* &quot;-&quot;_-;_-@_-_추가적립업체명세(완료)V_3황동인대리님 2 3 3 2" xfId="5826"/>
    <cellStyle name="_-* #,##0_-;-* #,##0_-;_-* &quot;-&quot;_-;_-@_-_추가적립업체명세(완료)V_3황동인대리님 2 3 3 2 2" xfId="25086"/>
    <cellStyle name="_-* #,##0_-;-* #,##0_-;_-* &quot;-&quot;_-;_-@_-_추가적립업체명세(완료)V_3황동인대리님 2 3 3 2 2 2" xfId="32266"/>
    <cellStyle name="_-* #,##0_-;-* #,##0_-;_-* &quot;-&quot;_-;_-@_-_추가적립업체명세(완료)V_3황동인대리님 2 3 3 2 3" xfId="28445"/>
    <cellStyle name="_-* #,##0_-;-* #,##0_-;_-* &quot;-&quot;_-;_-@_-_추가적립업체명세(완료)V_3황동인대리님 2 3 3 3" xfId="25087"/>
    <cellStyle name="_-* #,##0_-;-* #,##0_-;_-* &quot;-&quot;_-;_-@_-_추가적립업체명세(완료)V_3황동인대리님 2 3 3 3 2" xfId="32267"/>
    <cellStyle name="_-* #,##0_-;-* #,##0_-;_-* &quot;-&quot;_-;_-@_-_추가적립업체명세(완료)V_3황동인대리님 2 3 3 4" xfId="28444"/>
    <cellStyle name="_-* #,##0_-;-* #,##0_-;_-* &quot;-&quot;_-;_-@_-_추가적립업체명세(완료)V_3황동인대리님 2 3 4" xfId="5827"/>
    <cellStyle name="_-* #,##0_-;-* #,##0_-;_-* &quot;-&quot;_-;_-@_-_추가적립업체명세(완료)V_3황동인대리님 2 3 4 2" xfId="5828"/>
    <cellStyle name="_-* #,##0_-;-* #,##0_-;_-* &quot;-&quot;_-;_-@_-_추가적립업체명세(완료)V_3황동인대리님 2 3 4 2 2" xfId="25088"/>
    <cellStyle name="_-* #,##0_-;-* #,##0_-;_-* &quot;-&quot;_-;_-@_-_추가적립업체명세(완료)V_3황동인대리님 2 3 4 2 2 2" xfId="32268"/>
    <cellStyle name="_-* #,##0_-;-* #,##0_-;_-* &quot;-&quot;_-;_-@_-_추가적립업체명세(완료)V_3황동인대리님 2 3 4 2 3" xfId="28447"/>
    <cellStyle name="_-* #,##0_-;-* #,##0_-;_-* &quot;-&quot;_-;_-@_-_추가적립업체명세(완료)V_3황동인대리님 2 3 4 3" xfId="25089"/>
    <cellStyle name="_-* #,##0_-;-* #,##0_-;_-* &quot;-&quot;_-;_-@_-_추가적립업체명세(완료)V_3황동인대리님 2 3 4 3 2" xfId="32269"/>
    <cellStyle name="_-* #,##0_-;-* #,##0_-;_-* &quot;-&quot;_-;_-@_-_추가적립업체명세(완료)V_3황동인대리님 2 3 4 4" xfId="28446"/>
    <cellStyle name="_-* #,##0_-;-* #,##0_-;_-* &quot;-&quot;_-;_-@_-_추가적립업체명세(완료)V_3황동인대리님 2 3 5" xfId="5829"/>
    <cellStyle name="_-* #,##0_-;-* #,##0_-;_-* &quot;-&quot;_-;_-@_-_추가적립업체명세(완료)V_3황동인대리님 2 3 5 2" xfId="25090"/>
    <cellStyle name="_-* #,##0_-;-* #,##0_-;_-* &quot;-&quot;_-;_-@_-_추가적립업체명세(완료)V_3황동인대리님 2 3 5 2 2" xfId="32270"/>
    <cellStyle name="_-* #,##0_-;-* #,##0_-;_-* &quot;-&quot;_-;_-@_-_추가적립업체명세(완료)V_3황동인대리님 2 3 5 3" xfId="28448"/>
    <cellStyle name="_-* #,##0_-;-* #,##0_-;_-* &quot;-&quot;_-;_-@_-_추가적립업체명세(완료)V_3황동인대리님 2 3 6" xfId="25091"/>
    <cellStyle name="_-* #,##0_-;-* #,##0_-;_-* &quot;-&quot;_-;_-@_-_추가적립업체명세(완료)V_3황동인대리님 2 3 6 2" xfId="32271"/>
    <cellStyle name="_-* #,##0_-;-* #,##0_-;_-* &quot;-&quot;_-;_-@_-_추가적립업체명세(완료)V_3황동인대리님 2 3 7" xfId="25092"/>
    <cellStyle name="_-* #,##0_-;-* #,##0_-;_-* &quot;-&quot;_-;_-@_-_추가적립업체명세(완료)V_3황동인대리님 2 3 7 2" xfId="32272"/>
    <cellStyle name="_-* #,##0_-;-* #,##0_-;_-* &quot;-&quot;_-;_-@_-_추가적립업체명세(완료)V_3황동인대리님 2 3 8" xfId="28441"/>
    <cellStyle name="_-* #,##0_-;-* #,##0_-;_-* &quot;-&quot;_-;_-@_-_추가적립업체명세(완료)V_3황동인대리님 2 4" xfId="5830"/>
    <cellStyle name="_-* #,##0_-;-* #,##0_-;_-* &quot;-&quot;_-;_-@_-_추가적립업체명세(완료)V_3황동인대리님 2 4 2" xfId="5831"/>
    <cellStyle name="_-* #,##0_-;-* #,##0_-;_-* &quot;-&quot;_-;_-@_-_추가적립업체명세(완료)V_3황동인대리님 2 4 2 2" xfId="5832"/>
    <cellStyle name="_-* #,##0_-;-* #,##0_-;_-* &quot;-&quot;_-;_-@_-_추가적립업체명세(완료)V_3황동인대리님 2 4 2 2 2" xfId="25093"/>
    <cellStyle name="_-* #,##0_-;-* #,##0_-;_-* &quot;-&quot;_-;_-@_-_추가적립업체명세(완료)V_3황동인대리님 2 4 2 2 2 2" xfId="32273"/>
    <cellStyle name="_-* #,##0_-;-* #,##0_-;_-* &quot;-&quot;_-;_-@_-_추가적립업체명세(완료)V_3황동인대리님 2 4 2 2 3" xfId="28451"/>
    <cellStyle name="_-* #,##0_-;-* #,##0_-;_-* &quot;-&quot;_-;_-@_-_추가적립업체명세(완료)V_3황동인대리님 2 4 2 3" xfId="25094"/>
    <cellStyle name="_-* #,##0_-;-* #,##0_-;_-* &quot;-&quot;_-;_-@_-_추가적립업체명세(완료)V_3황동인대리님 2 4 2 3 2" xfId="32274"/>
    <cellStyle name="_-* #,##0_-;-* #,##0_-;_-* &quot;-&quot;_-;_-@_-_추가적립업체명세(완료)V_3황동인대리님 2 4 2 4" xfId="25095"/>
    <cellStyle name="_-* #,##0_-;-* #,##0_-;_-* &quot;-&quot;_-;_-@_-_추가적립업체명세(완료)V_3황동인대리님 2 4 2 4 2" xfId="32275"/>
    <cellStyle name="_-* #,##0_-;-* #,##0_-;_-* &quot;-&quot;_-;_-@_-_추가적립업체명세(완료)V_3황동인대리님 2 4 2 5" xfId="25096"/>
    <cellStyle name="_-* #,##0_-;-* #,##0_-;_-* &quot;-&quot;_-;_-@_-_추가적립업체명세(완료)V_3황동인대리님 2 4 2 5 2" xfId="32276"/>
    <cellStyle name="_-* #,##0_-;-* #,##0_-;_-* &quot;-&quot;_-;_-@_-_추가적립업체명세(완료)V_3황동인대리님 2 4 2 6" xfId="28450"/>
    <cellStyle name="_-* #,##0_-;-* #,##0_-;_-* &quot;-&quot;_-;_-@_-_추가적립업체명세(완료)V_3황동인대리님 2 4 3" xfId="5833"/>
    <cellStyle name="_-* #,##0_-;-* #,##0_-;_-* &quot;-&quot;_-;_-@_-_추가적립업체명세(완료)V_3황동인대리님 2 4 3 2" xfId="5834"/>
    <cellStyle name="_-* #,##0_-;-* #,##0_-;_-* &quot;-&quot;_-;_-@_-_추가적립업체명세(완료)V_3황동인대리님 2 4 3 2 2" xfId="25097"/>
    <cellStyle name="_-* #,##0_-;-* #,##0_-;_-* &quot;-&quot;_-;_-@_-_추가적립업체명세(완료)V_3황동인대리님 2 4 3 2 2 2" xfId="32277"/>
    <cellStyle name="_-* #,##0_-;-* #,##0_-;_-* &quot;-&quot;_-;_-@_-_추가적립업체명세(완료)V_3황동인대리님 2 4 3 2 3" xfId="28453"/>
    <cellStyle name="_-* #,##0_-;-* #,##0_-;_-* &quot;-&quot;_-;_-@_-_추가적립업체명세(완료)V_3황동인대리님 2 4 3 3" xfId="25098"/>
    <cellStyle name="_-* #,##0_-;-* #,##0_-;_-* &quot;-&quot;_-;_-@_-_추가적립업체명세(완료)V_3황동인대리님 2 4 3 3 2" xfId="32278"/>
    <cellStyle name="_-* #,##0_-;-* #,##0_-;_-* &quot;-&quot;_-;_-@_-_추가적립업체명세(완료)V_3황동인대리님 2 4 3 4" xfId="28452"/>
    <cellStyle name="_-* #,##0_-;-* #,##0_-;_-* &quot;-&quot;_-;_-@_-_추가적립업체명세(완료)V_3황동인대리님 2 4 4" xfId="5835"/>
    <cellStyle name="_-* #,##0_-;-* #,##0_-;_-* &quot;-&quot;_-;_-@_-_추가적립업체명세(완료)V_3황동인대리님 2 4 4 2" xfId="25099"/>
    <cellStyle name="_-* #,##0_-;-* #,##0_-;_-* &quot;-&quot;_-;_-@_-_추가적립업체명세(완료)V_3황동인대리님 2 4 4 2 2" xfId="32279"/>
    <cellStyle name="_-* #,##0_-;-* #,##0_-;_-* &quot;-&quot;_-;_-@_-_추가적립업체명세(완료)V_3황동인대리님 2 4 4 3" xfId="28454"/>
    <cellStyle name="_-* #,##0_-;-* #,##0_-;_-* &quot;-&quot;_-;_-@_-_추가적립업체명세(완료)V_3황동인대리님 2 4 5" xfId="25100"/>
    <cellStyle name="_-* #,##0_-;-* #,##0_-;_-* &quot;-&quot;_-;_-@_-_추가적립업체명세(완료)V_3황동인대리님 2 4 5 2" xfId="32280"/>
    <cellStyle name="_-* #,##0_-;-* #,##0_-;_-* &quot;-&quot;_-;_-@_-_추가적립업체명세(완료)V_3황동인대리님 2 4 6" xfId="25101"/>
    <cellStyle name="_-* #,##0_-;-* #,##0_-;_-* &quot;-&quot;_-;_-@_-_추가적립업체명세(완료)V_3황동인대리님 2 4 6 2" xfId="32281"/>
    <cellStyle name="_-* #,##0_-;-* #,##0_-;_-* &quot;-&quot;_-;_-@_-_추가적립업체명세(완료)V_3황동인대리님 2 4 7" xfId="25102"/>
    <cellStyle name="_-* #,##0_-;-* #,##0_-;_-* &quot;-&quot;_-;_-@_-_추가적립업체명세(완료)V_3황동인대리님 2 4 7 2" xfId="32282"/>
    <cellStyle name="_-* #,##0_-;-* #,##0_-;_-* &quot;-&quot;_-;_-@_-_추가적립업체명세(완료)V_3황동인대리님 2 4 8" xfId="28449"/>
    <cellStyle name="_-* #,##0_-;-* #,##0_-;_-* &quot;-&quot;_-;_-@_-_추가적립업체명세(완료)V_3황동인대리님 2 5" xfId="5836"/>
    <cellStyle name="_-* #,##0_-;-* #,##0_-;_-* &quot;-&quot;_-;_-@_-_추가적립업체명세(완료)V_3황동인대리님 2 5 2" xfId="5837"/>
    <cellStyle name="_-* #,##0_-;-* #,##0_-;_-* &quot;-&quot;_-;_-@_-_추가적립업체명세(완료)V_3황동인대리님 2 5 2 2" xfId="25103"/>
    <cellStyle name="_-* #,##0_-;-* #,##0_-;_-* &quot;-&quot;_-;_-@_-_추가적립업체명세(완료)V_3황동인대리님 2 5 2 2 2" xfId="32283"/>
    <cellStyle name="_-* #,##0_-;-* #,##0_-;_-* &quot;-&quot;_-;_-@_-_추가적립업체명세(완료)V_3황동인대리님 2 5 2 3" xfId="28456"/>
    <cellStyle name="_-* #,##0_-;-* #,##0_-;_-* &quot;-&quot;_-;_-@_-_추가적립업체명세(완료)V_3황동인대리님 2 5 3" xfId="5838"/>
    <cellStyle name="_-* #,##0_-;-* #,##0_-;_-* &quot;-&quot;_-;_-@_-_추가적립업체명세(완료)V_3황동인대리님 2 5 3 2" xfId="25104"/>
    <cellStyle name="_-* #,##0_-;-* #,##0_-;_-* &quot;-&quot;_-;_-@_-_추가적립업체명세(완료)V_3황동인대리님 2 5 3 2 2" xfId="32284"/>
    <cellStyle name="_-* #,##0_-;-* #,##0_-;_-* &quot;-&quot;_-;_-@_-_추가적립업체명세(완료)V_3황동인대리님 2 5 3 3" xfId="28457"/>
    <cellStyle name="_-* #,##0_-;-* #,##0_-;_-* &quot;-&quot;_-;_-@_-_추가적립업체명세(완료)V_3황동인대리님 2 5 4" xfId="25105"/>
    <cellStyle name="_-* #,##0_-;-* #,##0_-;_-* &quot;-&quot;_-;_-@_-_추가적립업체명세(완료)V_3황동인대리님 2 5 4 2" xfId="32285"/>
    <cellStyle name="_-* #,##0_-;-* #,##0_-;_-* &quot;-&quot;_-;_-@_-_추가적립업체명세(완료)V_3황동인대리님 2 5 5" xfId="25106"/>
    <cellStyle name="_-* #,##0_-;-* #,##0_-;_-* &quot;-&quot;_-;_-@_-_추가적립업체명세(완료)V_3황동인대리님 2 5 5 2" xfId="32286"/>
    <cellStyle name="_-* #,##0_-;-* #,##0_-;_-* &quot;-&quot;_-;_-@_-_추가적립업체명세(완료)V_3황동인대리님 2 5 6" xfId="28455"/>
    <cellStyle name="_-* #,##0_-;-* #,##0_-;_-* &quot;-&quot;_-;_-@_-_추가적립업체명세(완료)V_3황동인대리님 2 6" xfId="5839"/>
    <cellStyle name="_-* #,##0_-;-* #,##0_-;_-* &quot;-&quot;_-;_-@_-_추가적립업체명세(완료)V_3황동인대리님 2 6 2" xfId="5840"/>
    <cellStyle name="_-* #,##0_-;-* #,##0_-;_-* &quot;-&quot;_-;_-@_-_추가적립업체명세(완료)V_3황동인대리님 2 6 2 2" xfId="25107"/>
    <cellStyle name="_-* #,##0_-;-* #,##0_-;_-* &quot;-&quot;_-;_-@_-_추가적립업체명세(완료)V_3황동인대리님 2 6 2 2 2" xfId="32287"/>
    <cellStyle name="_-* #,##0_-;-* #,##0_-;_-* &quot;-&quot;_-;_-@_-_추가적립업체명세(완료)V_3황동인대리님 2 6 2 3" xfId="28459"/>
    <cellStyle name="_-* #,##0_-;-* #,##0_-;_-* &quot;-&quot;_-;_-@_-_추가적립업체명세(완료)V_3황동인대리님 2 6 3" xfId="5841"/>
    <cellStyle name="_-* #,##0_-;-* #,##0_-;_-* &quot;-&quot;_-;_-@_-_추가적립업체명세(완료)V_3황동인대리님 2 6 3 2" xfId="25108"/>
    <cellStyle name="_-* #,##0_-;-* #,##0_-;_-* &quot;-&quot;_-;_-@_-_추가적립업체명세(완료)V_3황동인대리님 2 6 3 2 2" xfId="32288"/>
    <cellStyle name="_-* #,##0_-;-* #,##0_-;_-* &quot;-&quot;_-;_-@_-_추가적립업체명세(완료)V_3황동인대리님 2 6 3 3" xfId="28460"/>
    <cellStyle name="_-* #,##0_-;-* #,##0_-;_-* &quot;-&quot;_-;_-@_-_추가적립업체명세(완료)V_3황동인대리님 2 6 4" xfId="25109"/>
    <cellStyle name="_-* #,##0_-;-* #,##0_-;_-* &quot;-&quot;_-;_-@_-_추가적립업체명세(완료)V_3황동인대리님 2 6 4 2" xfId="32289"/>
    <cellStyle name="_-* #,##0_-;-* #,##0_-;_-* &quot;-&quot;_-;_-@_-_추가적립업체명세(완료)V_3황동인대리님 2 6 5" xfId="28458"/>
    <cellStyle name="_-* #,##0_-;-* #,##0_-;_-* &quot;-&quot;_-;_-@_-_추가적립업체명세(완료)V_3황동인대리님 2 7" xfId="5842"/>
    <cellStyle name="_-* #,##0_-;-* #,##0_-;_-* &quot;-&quot;_-;_-@_-_추가적립업체명세(완료)V_3황동인대리님 2 7 2" xfId="5843"/>
    <cellStyle name="_-* #,##0_-;-* #,##0_-;_-* &quot;-&quot;_-;_-@_-_추가적립업체명세(완료)V_3황동인대리님 2 7 2 2" xfId="25110"/>
    <cellStyle name="_-* #,##0_-;-* #,##0_-;_-* &quot;-&quot;_-;_-@_-_추가적립업체명세(완료)V_3황동인대리님 2 7 2 2 2" xfId="32290"/>
    <cellStyle name="_-* #,##0_-;-* #,##0_-;_-* &quot;-&quot;_-;_-@_-_추가적립업체명세(완료)V_3황동인대리님 2 7 2 3" xfId="28462"/>
    <cellStyle name="_-* #,##0_-;-* #,##0_-;_-* &quot;-&quot;_-;_-@_-_추가적립업체명세(완료)V_3황동인대리님 2 7 3" xfId="25111"/>
    <cellStyle name="_-* #,##0_-;-* #,##0_-;_-* &quot;-&quot;_-;_-@_-_추가적립업체명세(완료)V_3황동인대리님 2 7 3 2" xfId="32291"/>
    <cellStyle name="_-* #,##0_-;-* #,##0_-;_-* &quot;-&quot;_-;_-@_-_추가적립업체명세(완료)V_3황동인대리님 2 7 4" xfId="28461"/>
    <cellStyle name="_-* #,##0_-;-* #,##0_-;_-* &quot;-&quot;_-;_-@_-_추가적립업체명세(완료)V_3황동인대리님 2 8" xfId="5844"/>
    <cellStyle name="_-* #,##0_-;-* #,##0_-;_-* &quot;-&quot;_-;_-@_-_추가적립업체명세(완료)V_3황동인대리님 2 8 2" xfId="25112"/>
    <cellStyle name="_-* #,##0_-;-* #,##0_-;_-* &quot;-&quot;_-;_-@_-_추가적립업체명세(완료)V_3황동인대리님 2 8 2 2" xfId="32292"/>
    <cellStyle name="_-* #,##0_-;-* #,##0_-;_-* &quot;-&quot;_-;_-@_-_추가적립업체명세(완료)V_3황동인대리님 2 8 3" xfId="28463"/>
    <cellStyle name="_-* #,##0_-;-* #,##0_-;_-* &quot;-&quot;_-;_-@_-_추가적립업체명세(완료)V_3황동인대리님 2 9" xfId="25113"/>
    <cellStyle name="_-* #,##0_-;-* #,##0_-;_-* &quot;-&quot;_-;_-@_-_추가적립업체명세(완료)V_3황동인대리님 2 9 2" xfId="32293"/>
    <cellStyle name="_-* #,##0_-;-* #,##0_-;_-* &quot;-&quot;_-;_-@_-_추가적립업체명세(완료)V_3황동인대리님 3" xfId="5845"/>
    <cellStyle name="_-* #,##0_-;-* #,##0_-;_-* &quot;-&quot;_-;_-@_-_추가적립업체명세(완료)V_3황동인대리님 3 10" xfId="25114"/>
    <cellStyle name="_-* #,##0_-;-* #,##0_-;_-* &quot;-&quot;_-;_-@_-_추가적립업체명세(완료)V_3황동인대리님 3 10 2" xfId="32294"/>
    <cellStyle name="_-* #,##0_-;-* #,##0_-;_-* &quot;-&quot;_-;_-@_-_추가적립업체명세(완료)V_3황동인대리님 3 11" xfId="28464"/>
    <cellStyle name="_-* #,##0_-;-* #,##0_-;_-* &quot;-&quot;_-;_-@_-_추가적립업체명세(완료)V_3황동인대리님 3 2" xfId="5846"/>
    <cellStyle name="_-* #,##0_-;-* #,##0_-;_-* &quot;-&quot;_-;_-@_-_추가적립업체명세(완료)V_3황동인대리님 3 2 2" xfId="5847"/>
    <cellStyle name="_-* #,##0_-;-* #,##0_-;_-* &quot;-&quot;_-;_-@_-_추가적립업체명세(완료)V_3황동인대리님 3 2 2 2" xfId="25115"/>
    <cellStyle name="_-* #,##0_-;-* #,##0_-;_-* &quot;-&quot;_-;_-@_-_추가적립업체명세(완료)V_3황동인대리님 3 2 2 2 2" xfId="32295"/>
    <cellStyle name="_-* #,##0_-;-* #,##0_-;_-* &quot;-&quot;_-;_-@_-_추가적립업체명세(완료)V_3황동인대리님 3 2 2 3" xfId="25116"/>
    <cellStyle name="_-* #,##0_-;-* #,##0_-;_-* &quot;-&quot;_-;_-@_-_추가적립업체명세(완료)V_3황동인대리님 3 2 2 3 2" xfId="32296"/>
    <cellStyle name="_-* #,##0_-;-* #,##0_-;_-* &quot;-&quot;_-;_-@_-_추가적립업체명세(완료)V_3황동인대리님 3 2 2 4" xfId="25117"/>
    <cellStyle name="_-* #,##0_-;-* #,##0_-;_-* &quot;-&quot;_-;_-@_-_추가적립업체명세(완료)V_3황동인대리님 3 2 2 4 2" xfId="32297"/>
    <cellStyle name="_-* #,##0_-;-* #,##0_-;_-* &quot;-&quot;_-;_-@_-_추가적립업체명세(완료)V_3황동인대리님 3 2 2 5" xfId="25118"/>
    <cellStyle name="_-* #,##0_-;-* #,##0_-;_-* &quot;-&quot;_-;_-@_-_추가적립업체명세(완료)V_3황동인대리님 3 2 2 5 2" xfId="32298"/>
    <cellStyle name="_-* #,##0_-;-* #,##0_-;_-* &quot;-&quot;_-;_-@_-_추가적립업체명세(완료)V_3황동인대리님 3 2 2 6" xfId="28466"/>
    <cellStyle name="_-* #,##0_-;-* #,##0_-;_-* &quot;-&quot;_-;_-@_-_추가적립업체명세(완료)V_3황동인대리님 3 2 3" xfId="25119"/>
    <cellStyle name="_-* #,##0_-;-* #,##0_-;_-* &quot;-&quot;_-;_-@_-_추가적립업체명세(완료)V_3황동인대리님 3 2 3 2" xfId="25120"/>
    <cellStyle name="_-* #,##0_-;-* #,##0_-;_-* &quot;-&quot;_-;_-@_-_추가적립업체명세(완료)V_3황동인대리님 3 2 3 2 2" xfId="32300"/>
    <cellStyle name="_-* #,##0_-;-* #,##0_-;_-* &quot;-&quot;_-;_-@_-_추가적립업체명세(완료)V_3황동인대리님 3 2 3 3" xfId="32299"/>
    <cellStyle name="_-* #,##0_-;-* #,##0_-;_-* &quot;-&quot;_-;_-@_-_추가적립업체명세(완료)V_3황동인대리님 3 2 4" xfId="25121"/>
    <cellStyle name="_-* #,##0_-;-* #,##0_-;_-* &quot;-&quot;_-;_-@_-_추가적립업체명세(완료)V_3황동인대리님 3 2 4 2" xfId="32301"/>
    <cellStyle name="_-* #,##0_-;-* #,##0_-;_-* &quot;-&quot;_-;_-@_-_추가적립업체명세(완료)V_3황동인대리님 3 2 5" xfId="25122"/>
    <cellStyle name="_-* #,##0_-;-* #,##0_-;_-* &quot;-&quot;_-;_-@_-_추가적립업체명세(완료)V_3황동인대리님 3 2 5 2" xfId="32302"/>
    <cellStyle name="_-* #,##0_-;-* #,##0_-;_-* &quot;-&quot;_-;_-@_-_추가적립업체명세(완료)V_3황동인대리님 3 2 6" xfId="25123"/>
    <cellStyle name="_-* #,##0_-;-* #,##0_-;_-* &quot;-&quot;_-;_-@_-_추가적립업체명세(완료)V_3황동인대리님 3 2 6 2" xfId="32303"/>
    <cellStyle name="_-* #,##0_-;-* #,##0_-;_-* &quot;-&quot;_-;_-@_-_추가적립업체명세(완료)V_3황동인대리님 3 2 7" xfId="25124"/>
    <cellStyle name="_-* #,##0_-;-* #,##0_-;_-* &quot;-&quot;_-;_-@_-_추가적립업체명세(완료)V_3황동인대리님 3 2 7 2" xfId="32304"/>
    <cellStyle name="_-* #,##0_-;-* #,##0_-;_-* &quot;-&quot;_-;_-@_-_추가적립업체명세(완료)V_3황동인대리님 3 2 8" xfId="28465"/>
    <cellStyle name="_-* #,##0_-;-* #,##0_-;_-* &quot;-&quot;_-;_-@_-_추가적립업체명세(완료)V_3황동인대리님 3 3" xfId="5848"/>
    <cellStyle name="_-* #,##0_-;-* #,##0_-;_-* &quot;-&quot;_-;_-@_-_추가적립업체명세(완료)V_3황동인대리님 3 3 2" xfId="5849"/>
    <cellStyle name="_-* #,##0_-;-* #,##0_-;_-* &quot;-&quot;_-;_-@_-_추가적립업체명세(완료)V_3황동인대리님 3 3 2 2" xfId="25125"/>
    <cellStyle name="_-* #,##0_-;-* #,##0_-;_-* &quot;-&quot;_-;_-@_-_추가적립업체명세(완료)V_3황동인대리님 3 3 2 2 2" xfId="32305"/>
    <cellStyle name="_-* #,##0_-;-* #,##0_-;_-* &quot;-&quot;_-;_-@_-_추가적립업체명세(완료)V_3황동인대리님 3 3 2 3" xfId="25126"/>
    <cellStyle name="_-* #,##0_-;-* #,##0_-;_-* &quot;-&quot;_-;_-@_-_추가적립업체명세(완료)V_3황동인대리님 3 3 2 3 2" xfId="32306"/>
    <cellStyle name="_-* #,##0_-;-* #,##0_-;_-* &quot;-&quot;_-;_-@_-_추가적립업체명세(완료)V_3황동인대리님 3 3 2 4" xfId="25127"/>
    <cellStyle name="_-* #,##0_-;-* #,##0_-;_-* &quot;-&quot;_-;_-@_-_추가적립업체명세(완료)V_3황동인대리님 3 3 2 4 2" xfId="32307"/>
    <cellStyle name="_-* #,##0_-;-* #,##0_-;_-* &quot;-&quot;_-;_-@_-_추가적립업체명세(완료)V_3황동인대리님 3 3 2 5" xfId="25128"/>
    <cellStyle name="_-* #,##0_-;-* #,##0_-;_-* &quot;-&quot;_-;_-@_-_추가적립업체명세(완료)V_3황동인대리님 3 3 2 5 2" xfId="32308"/>
    <cellStyle name="_-* #,##0_-;-* #,##0_-;_-* &quot;-&quot;_-;_-@_-_추가적립업체명세(완료)V_3황동인대리님 3 3 2 6" xfId="28468"/>
    <cellStyle name="_-* #,##0_-;-* #,##0_-;_-* &quot;-&quot;_-;_-@_-_추가적립업체명세(완료)V_3황동인대리님 3 3 3" xfId="25129"/>
    <cellStyle name="_-* #,##0_-;-* #,##0_-;_-* &quot;-&quot;_-;_-@_-_추가적립업체명세(완료)V_3황동인대리님 3 3 3 2" xfId="25130"/>
    <cellStyle name="_-* #,##0_-;-* #,##0_-;_-* &quot;-&quot;_-;_-@_-_추가적립업체명세(완료)V_3황동인대리님 3 3 3 2 2" xfId="32310"/>
    <cellStyle name="_-* #,##0_-;-* #,##0_-;_-* &quot;-&quot;_-;_-@_-_추가적립업체명세(완료)V_3황동인대리님 3 3 3 3" xfId="32309"/>
    <cellStyle name="_-* #,##0_-;-* #,##0_-;_-* &quot;-&quot;_-;_-@_-_추가적립업체명세(완료)V_3황동인대리님 3 3 4" xfId="25131"/>
    <cellStyle name="_-* #,##0_-;-* #,##0_-;_-* &quot;-&quot;_-;_-@_-_추가적립업체명세(완료)V_3황동인대리님 3 3 4 2" xfId="32311"/>
    <cellStyle name="_-* #,##0_-;-* #,##0_-;_-* &quot;-&quot;_-;_-@_-_추가적립업체명세(완료)V_3황동인대리님 3 3 5" xfId="25132"/>
    <cellStyle name="_-* #,##0_-;-* #,##0_-;_-* &quot;-&quot;_-;_-@_-_추가적립업체명세(완료)V_3황동인대리님 3 3 5 2" xfId="32312"/>
    <cellStyle name="_-* #,##0_-;-* #,##0_-;_-* &quot;-&quot;_-;_-@_-_추가적립업체명세(완료)V_3황동인대리님 3 3 6" xfId="25133"/>
    <cellStyle name="_-* #,##0_-;-* #,##0_-;_-* &quot;-&quot;_-;_-@_-_추가적립업체명세(완료)V_3황동인대리님 3 3 6 2" xfId="32313"/>
    <cellStyle name="_-* #,##0_-;-* #,##0_-;_-* &quot;-&quot;_-;_-@_-_추가적립업체명세(완료)V_3황동인대리님 3 3 7" xfId="25134"/>
    <cellStyle name="_-* #,##0_-;-* #,##0_-;_-* &quot;-&quot;_-;_-@_-_추가적립업체명세(완료)V_3황동인대리님 3 3 7 2" xfId="32314"/>
    <cellStyle name="_-* #,##0_-;-* #,##0_-;_-* &quot;-&quot;_-;_-@_-_추가적립업체명세(완료)V_3황동인대리님 3 3 8" xfId="28467"/>
    <cellStyle name="_-* #,##0_-;-* #,##0_-;_-* &quot;-&quot;_-;_-@_-_추가적립업체명세(완료)V_3황동인대리님 3 4" xfId="5850"/>
    <cellStyle name="_-* #,##0_-;-* #,##0_-;_-* &quot;-&quot;_-;_-@_-_추가적립업체명세(완료)V_3황동인대리님 3 4 2" xfId="5851"/>
    <cellStyle name="_-* #,##0_-;-* #,##0_-;_-* &quot;-&quot;_-;_-@_-_추가적립업체명세(완료)V_3황동인대리님 3 4 2 2" xfId="25135"/>
    <cellStyle name="_-* #,##0_-;-* #,##0_-;_-* &quot;-&quot;_-;_-@_-_추가적립업체명세(완료)V_3황동인대리님 3 4 2 2 2" xfId="32315"/>
    <cellStyle name="_-* #,##0_-;-* #,##0_-;_-* &quot;-&quot;_-;_-@_-_추가적립업체명세(완료)V_3황동인대리님 3 4 2 3" xfId="25136"/>
    <cellStyle name="_-* #,##0_-;-* #,##0_-;_-* &quot;-&quot;_-;_-@_-_추가적립업체명세(완료)V_3황동인대리님 3 4 2 3 2" xfId="32316"/>
    <cellStyle name="_-* #,##0_-;-* #,##0_-;_-* &quot;-&quot;_-;_-@_-_추가적립업체명세(완료)V_3황동인대리님 3 4 2 4" xfId="25137"/>
    <cellStyle name="_-* #,##0_-;-* #,##0_-;_-* &quot;-&quot;_-;_-@_-_추가적립업체명세(완료)V_3황동인대리님 3 4 2 4 2" xfId="32317"/>
    <cellStyle name="_-* #,##0_-;-* #,##0_-;_-* &quot;-&quot;_-;_-@_-_추가적립업체명세(완료)V_3황동인대리님 3 4 2 5" xfId="25138"/>
    <cellStyle name="_-* #,##0_-;-* #,##0_-;_-* &quot;-&quot;_-;_-@_-_추가적립업체명세(완료)V_3황동인대리님 3 4 2 5 2" xfId="32318"/>
    <cellStyle name="_-* #,##0_-;-* #,##0_-;_-* &quot;-&quot;_-;_-@_-_추가적립업체명세(완료)V_3황동인대리님 3 4 2 6" xfId="28470"/>
    <cellStyle name="_-* #,##0_-;-* #,##0_-;_-* &quot;-&quot;_-;_-@_-_추가적립업체명세(완료)V_3황동인대리님 3 4 3" xfId="25139"/>
    <cellStyle name="_-* #,##0_-;-* #,##0_-;_-* &quot;-&quot;_-;_-@_-_추가적립업체명세(완료)V_3황동인대리님 3 4 3 2" xfId="25140"/>
    <cellStyle name="_-* #,##0_-;-* #,##0_-;_-* &quot;-&quot;_-;_-@_-_추가적립업체명세(완료)V_3황동인대리님 3 4 3 2 2" xfId="32320"/>
    <cellStyle name="_-* #,##0_-;-* #,##0_-;_-* &quot;-&quot;_-;_-@_-_추가적립업체명세(완료)V_3황동인대리님 3 4 3 3" xfId="32319"/>
    <cellStyle name="_-* #,##0_-;-* #,##0_-;_-* &quot;-&quot;_-;_-@_-_추가적립업체명세(완료)V_3황동인대리님 3 4 4" xfId="25141"/>
    <cellStyle name="_-* #,##0_-;-* #,##0_-;_-* &quot;-&quot;_-;_-@_-_추가적립업체명세(완료)V_3황동인대리님 3 4 4 2" xfId="32321"/>
    <cellStyle name="_-* #,##0_-;-* #,##0_-;_-* &quot;-&quot;_-;_-@_-_추가적립업체명세(완료)V_3황동인대리님 3 4 5" xfId="25142"/>
    <cellStyle name="_-* #,##0_-;-* #,##0_-;_-* &quot;-&quot;_-;_-@_-_추가적립업체명세(완료)V_3황동인대리님 3 4 5 2" xfId="32322"/>
    <cellStyle name="_-* #,##0_-;-* #,##0_-;_-* &quot;-&quot;_-;_-@_-_추가적립업체명세(완료)V_3황동인대리님 3 4 6" xfId="25143"/>
    <cellStyle name="_-* #,##0_-;-* #,##0_-;_-* &quot;-&quot;_-;_-@_-_추가적립업체명세(완료)V_3황동인대리님 3 4 6 2" xfId="32323"/>
    <cellStyle name="_-* #,##0_-;-* #,##0_-;_-* &quot;-&quot;_-;_-@_-_추가적립업체명세(완료)V_3황동인대리님 3 4 7" xfId="25144"/>
    <cellStyle name="_-* #,##0_-;-* #,##0_-;_-* &quot;-&quot;_-;_-@_-_추가적립업체명세(완료)V_3황동인대리님 3 4 7 2" xfId="32324"/>
    <cellStyle name="_-* #,##0_-;-* #,##0_-;_-* &quot;-&quot;_-;_-@_-_추가적립업체명세(완료)V_3황동인대리님 3 4 8" xfId="28469"/>
    <cellStyle name="_-* #,##0_-;-* #,##0_-;_-* &quot;-&quot;_-;_-@_-_추가적립업체명세(완료)V_3황동인대리님 3 5" xfId="5852"/>
    <cellStyle name="_-* #,##0_-;-* #,##0_-;_-* &quot;-&quot;_-;_-@_-_추가적립업체명세(완료)V_3황동인대리님 3 5 2" xfId="25145"/>
    <cellStyle name="_-* #,##0_-;-* #,##0_-;_-* &quot;-&quot;_-;_-@_-_추가적립업체명세(완료)V_3황동인대리님 3 5 2 2" xfId="32325"/>
    <cellStyle name="_-* #,##0_-;-* #,##0_-;_-* &quot;-&quot;_-;_-@_-_추가적립업체명세(완료)V_3황동인대리님 3 5 3" xfId="25146"/>
    <cellStyle name="_-* #,##0_-;-* #,##0_-;_-* &quot;-&quot;_-;_-@_-_추가적립업체명세(완료)V_3황동인대리님 3 5 3 2" xfId="32326"/>
    <cellStyle name="_-* #,##0_-;-* #,##0_-;_-* &quot;-&quot;_-;_-@_-_추가적립업체명세(완료)V_3황동인대리님 3 5 4" xfId="25147"/>
    <cellStyle name="_-* #,##0_-;-* #,##0_-;_-* &quot;-&quot;_-;_-@_-_추가적립업체명세(완료)V_3황동인대리님 3 5 4 2" xfId="32327"/>
    <cellStyle name="_-* #,##0_-;-* #,##0_-;_-* &quot;-&quot;_-;_-@_-_추가적립업체명세(완료)V_3황동인대리님 3 5 5" xfId="25148"/>
    <cellStyle name="_-* #,##0_-;-* #,##0_-;_-* &quot;-&quot;_-;_-@_-_추가적립업체명세(완료)V_3황동인대리님 3 5 5 2" xfId="32328"/>
    <cellStyle name="_-* #,##0_-;-* #,##0_-;_-* &quot;-&quot;_-;_-@_-_추가적립업체명세(완료)V_3황동인대리님 3 5 6" xfId="28471"/>
    <cellStyle name="_-* #,##0_-;-* #,##0_-;_-* &quot;-&quot;_-;_-@_-_추가적립업체명세(완료)V_3황동인대리님 3 6" xfId="25149"/>
    <cellStyle name="_-* #,##0_-;-* #,##0_-;_-* &quot;-&quot;_-;_-@_-_추가적립업체명세(완료)V_3황동인대리님 3 6 2" xfId="25150"/>
    <cellStyle name="_-* #,##0_-;-* #,##0_-;_-* &quot;-&quot;_-;_-@_-_추가적립업체명세(완료)V_3황동인대리님 3 6 2 2" xfId="32330"/>
    <cellStyle name="_-* #,##0_-;-* #,##0_-;_-* &quot;-&quot;_-;_-@_-_추가적립업체명세(완료)V_3황동인대리님 3 6 3" xfId="32329"/>
    <cellStyle name="_-* #,##0_-;-* #,##0_-;_-* &quot;-&quot;_-;_-@_-_추가적립업체명세(완료)V_3황동인대리님 3 7" xfId="25151"/>
    <cellStyle name="_-* #,##0_-;-* #,##0_-;_-* &quot;-&quot;_-;_-@_-_추가적립업체명세(완료)V_3황동인대리님 3 7 2" xfId="32331"/>
    <cellStyle name="_-* #,##0_-;-* #,##0_-;_-* &quot;-&quot;_-;_-@_-_추가적립업체명세(완료)V_3황동인대리님 3 8" xfId="25152"/>
    <cellStyle name="_-* #,##0_-;-* #,##0_-;_-* &quot;-&quot;_-;_-@_-_추가적립업체명세(완료)V_3황동인대리님 3 8 2" xfId="32332"/>
    <cellStyle name="_-* #,##0_-;-* #,##0_-;_-* &quot;-&quot;_-;_-@_-_추가적립업체명세(완료)V_3황동인대리님 3 9" xfId="25153"/>
    <cellStyle name="_-* #,##0_-;-* #,##0_-;_-* &quot;-&quot;_-;_-@_-_추가적립업체명세(완료)V_3황동인대리님 3 9 2" xfId="32333"/>
    <cellStyle name="_-* #,##0_-;-* #,##0_-;_-* &quot;-&quot;_-;_-@_-_추가적립업체명세(완료)V_3황동인대리님 4" xfId="5853"/>
    <cellStyle name="_-* #,##0_-;-* #,##0_-;_-* &quot;-&quot;_-;_-@_-_추가적립업체명세(완료)V_3황동인대리님 4 2" xfId="5854"/>
    <cellStyle name="_-* #,##0_-;-* #,##0_-;_-* &quot;-&quot;_-;_-@_-_추가적립업체명세(완료)V_3황동인대리님 4 2 2" xfId="5855"/>
    <cellStyle name="_-* #,##0_-;-* #,##0_-;_-* &quot;-&quot;_-;_-@_-_추가적립업체명세(완료)V_3황동인대리님 4 2 2 2" xfId="25154"/>
    <cellStyle name="_-* #,##0_-;-* #,##0_-;_-* &quot;-&quot;_-;_-@_-_추가적립업체명세(완료)V_3황동인대리님 4 2 2 2 2" xfId="32334"/>
    <cellStyle name="_-* #,##0_-;-* #,##0_-;_-* &quot;-&quot;_-;_-@_-_추가적립업체명세(완료)V_3황동인대리님 4 2 2 3" xfId="28474"/>
    <cellStyle name="_-* #,##0_-;-* #,##0_-;_-* &quot;-&quot;_-;_-@_-_추가적립업체명세(완료)V_3황동인대리님 4 2 3" xfId="25155"/>
    <cellStyle name="_-* #,##0_-;-* #,##0_-;_-* &quot;-&quot;_-;_-@_-_추가적립업체명세(완료)V_3황동인대리님 4 2 3 2" xfId="32335"/>
    <cellStyle name="_-* #,##0_-;-* #,##0_-;_-* &quot;-&quot;_-;_-@_-_추가적립업체명세(완료)V_3황동인대리님 4 2 4" xfId="25156"/>
    <cellStyle name="_-* #,##0_-;-* #,##0_-;_-* &quot;-&quot;_-;_-@_-_추가적립업체명세(완료)V_3황동인대리님 4 2 4 2" xfId="32336"/>
    <cellStyle name="_-* #,##0_-;-* #,##0_-;_-* &quot;-&quot;_-;_-@_-_추가적립업체명세(완료)V_3황동인대리님 4 2 5" xfId="25157"/>
    <cellStyle name="_-* #,##0_-;-* #,##0_-;_-* &quot;-&quot;_-;_-@_-_추가적립업체명세(완료)V_3황동인대리님 4 2 5 2" xfId="32337"/>
    <cellStyle name="_-* #,##0_-;-* #,##0_-;_-* &quot;-&quot;_-;_-@_-_추가적립업체명세(완료)V_3황동인대리님 4 2 6" xfId="28473"/>
    <cellStyle name="_-* #,##0_-;-* #,##0_-;_-* &quot;-&quot;_-;_-@_-_추가적립업체명세(완료)V_3황동인대리님 4 3" xfId="5856"/>
    <cellStyle name="_-* #,##0_-;-* #,##0_-;_-* &quot;-&quot;_-;_-@_-_추가적립업체명세(완료)V_3황동인대리님 4 3 2" xfId="5857"/>
    <cellStyle name="_-* #,##0_-;-* #,##0_-;_-* &quot;-&quot;_-;_-@_-_추가적립업체명세(완료)V_3황동인대리님 4 3 2 2" xfId="25158"/>
    <cellStyle name="_-* #,##0_-;-* #,##0_-;_-* &quot;-&quot;_-;_-@_-_추가적립업체명세(완료)V_3황동인대리님 4 3 2 2 2" xfId="32338"/>
    <cellStyle name="_-* #,##0_-;-* #,##0_-;_-* &quot;-&quot;_-;_-@_-_추가적립업체명세(완료)V_3황동인대리님 4 3 2 3" xfId="28476"/>
    <cellStyle name="_-* #,##0_-;-* #,##0_-;_-* &quot;-&quot;_-;_-@_-_추가적립업체명세(완료)V_3황동인대리님 4 3 3" xfId="25159"/>
    <cellStyle name="_-* #,##0_-;-* #,##0_-;_-* &quot;-&quot;_-;_-@_-_추가적립업체명세(완료)V_3황동인대리님 4 3 3 2" xfId="32339"/>
    <cellStyle name="_-* #,##0_-;-* #,##0_-;_-* &quot;-&quot;_-;_-@_-_추가적립업체명세(완료)V_3황동인대리님 4 3 4" xfId="28475"/>
    <cellStyle name="_-* #,##0_-;-* #,##0_-;_-* &quot;-&quot;_-;_-@_-_추가적립업체명세(완료)V_3황동인대리님 4 4" xfId="5858"/>
    <cellStyle name="_-* #,##0_-;-* #,##0_-;_-* &quot;-&quot;_-;_-@_-_추가적립업체명세(완료)V_3황동인대리님 4 4 2" xfId="5859"/>
    <cellStyle name="_-* #,##0_-;-* #,##0_-;_-* &quot;-&quot;_-;_-@_-_추가적립업체명세(완료)V_3황동인대리님 4 4 2 2" xfId="25160"/>
    <cellStyle name="_-* #,##0_-;-* #,##0_-;_-* &quot;-&quot;_-;_-@_-_추가적립업체명세(완료)V_3황동인대리님 4 4 2 2 2" xfId="32340"/>
    <cellStyle name="_-* #,##0_-;-* #,##0_-;_-* &quot;-&quot;_-;_-@_-_추가적립업체명세(완료)V_3황동인대리님 4 4 2 3" xfId="28478"/>
    <cellStyle name="_-* #,##0_-;-* #,##0_-;_-* &quot;-&quot;_-;_-@_-_추가적립업체명세(완료)V_3황동인대리님 4 4 3" xfId="25161"/>
    <cellStyle name="_-* #,##0_-;-* #,##0_-;_-* &quot;-&quot;_-;_-@_-_추가적립업체명세(완료)V_3황동인대리님 4 4 3 2" xfId="32341"/>
    <cellStyle name="_-* #,##0_-;-* #,##0_-;_-* &quot;-&quot;_-;_-@_-_추가적립업체명세(완료)V_3황동인대리님 4 4 4" xfId="28477"/>
    <cellStyle name="_-* #,##0_-;-* #,##0_-;_-* &quot;-&quot;_-;_-@_-_추가적립업체명세(완료)V_3황동인대리님 4 5" xfId="5860"/>
    <cellStyle name="_-* #,##0_-;-* #,##0_-;_-* &quot;-&quot;_-;_-@_-_추가적립업체명세(완료)V_3황동인대리님 4 5 2" xfId="25162"/>
    <cellStyle name="_-* #,##0_-;-* #,##0_-;_-* &quot;-&quot;_-;_-@_-_추가적립업체명세(완료)V_3황동인대리님 4 5 2 2" xfId="32342"/>
    <cellStyle name="_-* #,##0_-;-* #,##0_-;_-* &quot;-&quot;_-;_-@_-_추가적립업체명세(완료)V_3황동인대리님 4 5 3" xfId="28479"/>
    <cellStyle name="_-* #,##0_-;-* #,##0_-;_-* &quot;-&quot;_-;_-@_-_추가적립업체명세(완료)V_3황동인대리님 4 6" xfId="25163"/>
    <cellStyle name="_-* #,##0_-;-* #,##0_-;_-* &quot;-&quot;_-;_-@_-_추가적립업체명세(완료)V_3황동인대리님 4 6 2" xfId="32343"/>
    <cellStyle name="_-* #,##0_-;-* #,##0_-;_-* &quot;-&quot;_-;_-@_-_추가적립업체명세(완료)V_3황동인대리님 4 7" xfId="25164"/>
    <cellStyle name="_-* #,##0_-;-* #,##0_-;_-* &quot;-&quot;_-;_-@_-_추가적립업체명세(완료)V_3황동인대리님 4 7 2" xfId="32344"/>
    <cellStyle name="_-* #,##0_-;-* #,##0_-;_-* &quot;-&quot;_-;_-@_-_추가적립업체명세(완료)V_3황동인대리님 4 8" xfId="28472"/>
    <cellStyle name="_-* #,##0_-;-* #,##0_-;_-* &quot;-&quot;_-;_-@_-_추가적립업체명세(완료)V_3황동인대리님 5" xfId="5861"/>
    <cellStyle name="_-* #,##0_-;-* #,##0_-;_-* &quot;-&quot;_-;_-@_-_추가적립업체명세(완료)V_3황동인대리님 5 2" xfId="5862"/>
    <cellStyle name="_-* #,##0_-;-* #,##0_-;_-* &quot;-&quot;_-;_-@_-_추가적립업체명세(완료)V_3황동인대리님 5 2 2" xfId="5863"/>
    <cellStyle name="_-* #,##0_-;-* #,##0_-;_-* &quot;-&quot;_-;_-@_-_추가적립업체명세(완료)V_3황동인대리님 5 2 2 2" xfId="25165"/>
    <cellStyle name="_-* #,##0_-;-* #,##0_-;_-* &quot;-&quot;_-;_-@_-_추가적립업체명세(완료)V_3황동인대리님 5 2 2 2 2" xfId="32345"/>
    <cellStyle name="_-* #,##0_-;-* #,##0_-;_-* &quot;-&quot;_-;_-@_-_추가적립업체명세(완료)V_3황동인대리님 5 2 2 3" xfId="28482"/>
    <cellStyle name="_-* #,##0_-;-* #,##0_-;_-* &quot;-&quot;_-;_-@_-_추가적립업체명세(완료)V_3황동인대리님 5 2 3" xfId="25166"/>
    <cellStyle name="_-* #,##0_-;-* #,##0_-;_-* &quot;-&quot;_-;_-@_-_추가적립업체명세(완료)V_3황동인대리님 5 2 3 2" xfId="32346"/>
    <cellStyle name="_-* #,##0_-;-* #,##0_-;_-* &quot;-&quot;_-;_-@_-_추가적립업체명세(완료)V_3황동인대리님 5 2 4" xfId="25167"/>
    <cellStyle name="_-* #,##0_-;-* #,##0_-;_-* &quot;-&quot;_-;_-@_-_추가적립업체명세(완료)V_3황동인대리님 5 2 4 2" xfId="32347"/>
    <cellStyle name="_-* #,##0_-;-* #,##0_-;_-* &quot;-&quot;_-;_-@_-_추가적립업체명세(완료)V_3황동인대리님 5 2 5" xfId="25168"/>
    <cellStyle name="_-* #,##0_-;-* #,##0_-;_-* &quot;-&quot;_-;_-@_-_추가적립업체명세(완료)V_3황동인대리님 5 2 5 2" xfId="32348"/>
    <cellStyle name="_-* #,##0_-;-* #,##0_-;_-* &quot;-&quot;_-;_-@_-_추가적립업체명세(완료)V_3황동인대리님 5 2 6" xfId="28481"/>
    <cellStyle name="_-* #,##0_-;-* #,##0_-;_-* &quot;-&quot;_-;_-@_-_추가적립업체명세(완료)V_3황동인대리님 5 3" xfId="5864"/>
    <cellStyle name="_-* #,##0_-;-* #,##0_-;_-* &quot;-&quot;_-;_-@_-_추가적립업체명세(완료)V_3황동인대리님 5 3 2" xfId="5865"/>
    <cellStyle name="_-* #,##0_-;-* #,##0_-;_-* &quot;-&quot;_-;_-@_-_추가적립업체명세(완료)V_3황동인대리님 5 3 2 2" xfId="25169"/>
    <cellStyle name="_-* #,##0_-;-* #,##0_-;_-* &quot;-&quot;_-;_-@_-_추가적립업체명세(완료)V_3황동인대리님 5 3 2 2 2" xfId="32349"/>
    <cellStyle name="_-* #,##0_-;-* #,##0_-;_-* &quot;-&quot;_-;_-@_-_추가적립업체명세(완료)V_3황동인대리님 5 3 2 3" xfId="28484"/>
    <cellStyle name="_-* #,##0_-;-* #,##0_-;_-* &quot;-&quot;_-;_-@_-_추가적립업체명세(완료)V_3황동인대리님 5 3 3" xfId="25170"/>
    <cellStyle name="_-* #,##0_-;-* #,##0_-;_-* &quot;-&quot;_-;_-@_-_추가적립업체명세(완료)V_3황동인대리님 5 3 3 2" xfId="32350"/>
    <cellStyle name="_-* #,##0_-;-* #,##0_-;_-* &quot;-&quot;_-;_-@_-_추가적립업체명세(완료)V_3황동인대리님 5 3 4" xfId="28483"/>
    <cellStyle name="_-* #,##0_-;-* #,##0_-;_-* &quot;-&quot;_-;_-@_-_추가적립업체명세(완료)V_3황동인대리님 5 4" xfId="5866"/>
    <cellStyle name="_-* #,##0_-;-* #,##0_-;_-* &quot;-&quot;_-;_-@_-_추가적립업체명세(완료)V_3황동인대리님 5 4 2" xfId="25171"/>
    <cellStyle name="_-* #,##0_-;-* #,##0_-;_-* &quot;-&quot;_-;_-@_-_추가적립업체명세(완료)V_3황동인대리님 5 4 2 2" xfId="32351"/>
    <cellStyle name="_-* #,##0_-;-* #,##0_-;_-* &quot;-&quot;_-;_-@_-_추가적립업체명세(완료)V_3황동인대리님 5 4 3" xfId="28485"/>
    <cellStyle name="_-* #,##0_-;-* #,##0_-;_-* &quot;-&quot;_-;_-@_-_추가적립업체명세(완료)V_3황동인대리님 5 5" xfId="25172"/>
    <cellStyle name="_-* #,##0_-;-* #,##0_-;_-* &quot;-&quot;_-;_-@_-_추가적립업체명세(완료)V_3황동인대리님 5 5 2" xfId="32352"/>
    <cellStyle name="_-* #,##0_-;-* #,##0_-;_-* &quot;-&quot;_-;_-@_-_추가적립업체명세(완료)V_3황동인대리님 5 6" xfId="25173"/>
    <cellStyle name="_-* #,##0_-;-* #,##0_-;_-* &quot;-&quot;_-;_-@_-_추가적립업체명세(완료)V_3황동인대리님 5 6 2" xfId="32353"/>
    <cellStyle name="_-* #,##0_-;-* #,##0_-;_-* &quot;-&quot;_-;_-@_-_추가적립업체명세(완료)V_3황동인대리님 5 7" xfId="25174"/>
    <cellStyle name="_-* #,##0_-;-* #,##0_-;_-* &quot;-&quot;_-;_-@_-_추가적립업체명세(완료)V_3황동인대리님 5 7 2" xfId="32354"/>
    <cellStyle name="_-* #,##0_-;-* #,##0_-;_-* &quot;-&quot;_-;_-@_-_추가적립업체명세(완료)V_3황동인대리님 5 8" xfId="28480"/>
    <cellStyle name="_-* #,##0_-;-* #,##0_-;_-* &quot;-&quot;_-;_-@_-_추가적립업체명세(완료)V_3황동인대리님 6" xfId="5867"/>
    <cellStyle name="_-* #,##0_-;-* #,##0_-;_-* &quot;-&quot;_-;_-@_-_추가적립업체명세(완료)V_3황동인대리님 6 2" xfId="5868"/>
    <cellStyle name="_-* #,##0_-;-* #,##0_-;_-* &quot;-&quot;_-;_-@_-_추가적립업체명세(완료)V_3황동인대리님 6 2 2" xfId="25175"/>
    <cellStyle name="_-* #,##0_-;-* #,##0_-;_-* &quot;-&quot;_-;_-@_-_추가적립업체명세(완료)V_3황동인대리님 6 2 2 2" xfId="32355"/>
    <cellStyle name="_-* #,##0_-;-* #,##0_-;_-* &quot;-&quot;_-;_-@_-_추가적립업체명세(완료)V_3황동인대리님 6 2 3" xfId="25176"/>
    <cellStyle name="_-* #,##0_-;-* #,##0_-;_-* &quot;-&quot;_-;_-@_-_추가적립업체명세(완료)V_3황동인대리님 6 2 3 2" xfId="32356"/>
    <cellStyle name="_-* #,##0_-;-* #,##0_-;_-* &quot;-&quot;_-;_-@_-_추가적립업체명세(완료)V_3황동인대리님 6 2 4" xfId="25177"/>
    <cellStyle name="_-* #,##0_-;-* #,##0_-;_-* &quot;-&quot;_-;_-@_-_추가적립업체명세(완료)V_3황동인대리님 6 2 4 2" xfId="32357"/>
    <cellStyle name="_-* #,##0_-;-* #,##0_-;_-* &quot;-&quot;_-;_-@_-_추가적립업체명세(완료)V_3황동인대리님 6 2 5" xfId="25178"/>
    <cellStyle name="_-* #,##0_-;-* #,##0_-;_-* &quot;-&quot;_-;_-@_-_추가적립업체명세(완료)V_3황동인대리님 6 2 5 2" xfId="32358"/>
    <cellStyle name="_-* #,##0_-;-* #,##0_-;_-* &quot;-&quot;_-;_-@_-_추가적립업체명세(완료)V_3황동인대리님 6 2 6" xfId="28487"/>
    <cellStyle name="_-* #,##0_-;-* #,##0_-;_-* &quot;-&quot;_-;_-@_-_추가적립업체명세(완료)V_3황동인대리님 6 3" xfId="25179"/>
    <cellStyle name="_-* #,##0_-;-* #,##0_-;_-* &quot;-&quot;_-;_-@_-_추가적립업체명세(완료)V_3황동인대리님 6 3 2" xfId="25180"/>
    <cellStyle name="_-* #,##0_-;-* #,##0_-;_-* &quot;-&quot;_-;_-@_-_추가적립업체명세(완료)V_3황동인대리님 6 3 2 2" xfId="32360"/>
    <cellStyle name="_-* #,##0_-;-* #,##0_-;_-* &quot;-&quot;_-;_-@_-_추가적립업체명세(완료)V_3황동인대리님 6 3 3" xfId="32359"/>
    <cellStyle name="_-* #,##0_-;-* #,##0_-;_-* &quot;-&quot;_-;_-@_-_추가적립업체명세(완료)V_3황동인대리님 6 4" xfId="25181"/>
    <cellStyle name="_-* #,##0_-;-* #,##0_-;_-* &quot;-&quot;_-;_-@_-_추가적립업체명세(완료)V_3황동인대리님 6 4 2" xfId="32361"/>
    <cellStyle name="_-* #,##0_-;-* #,##0_-;_-* &quot;-&quot;_-;_-@_-_추가적립업체명세(완료)V_3황동인대리님 6 5" xfId="25182"/>
    <cellStyle name="_-* #,##0_-;-* #,##0_-;_-* &quot;-&quot;_-;_-@_-_추가적립업체명세(완료)V_3황동인대리님 6 5 2" xfId="32362"/>
    <cellStyle name="_-* #,##0_-;-* #,##0_-;_-* &quot;-&quot;_-;_-@_-_추가적립업체명세(완료)V_3황동인대리님 6 6" xfId="25183"/>
    <cellStyle name="_-* #,##0_-;-* #,##0_-;_-* &quot;-&quot;_-;_-@_-_추가적립업체명세(완료)V_3황동인대리님 6 6 2" xfId="32363"/>
    <cellStyle name="_-* #,##0_-;-* #,##0_-;_-* &quot;-&quot;_-;_-@_-_추가적립업체명세(완료)V_3황동인대리님 6 7" xfId="25184"/>
    <cellStyle name="_-* #,##0_-;-* #,##0_-;_-* &quot;-&quot;_-;_-@_-_추가적립업체명세(완료)V_3황동인대리님 6 7 2" xfId="32364"/>
    <cellStyle name="_-* #,##0_-;-* #,##0_-;_-* &quot;-&quot;_-;_-@_-_추가적립업체명세(완료)V_3황동인대리님 6 8" xfId="28486"/>
    <cellStyle name="_-* #,##0_-;-* #,##0_-;_-* &quot;-&quot;_-;_-@_-_추가적립업체명세(완료)V_3황동인대리님 7" xfId="5869"/>
    <cellStyle name="_-* #,##0_-;-* #,##0_-;_-* &quot;-&quot;_-;_-@_-_추가적립업체명세(완료)V_3황동인대리님 7 2" xfId="5870"/>
    <cellStyle name="_-* #,##0_-;-* #,##0_-;_-* &quot;-&quot;_-;_-@_-_추가적립업체명세(완료)V_3황동인대리님 7 2 2" xfId="25185"/>
    <cellStyle name="_-* #,##0_-;-* #,##0_-;_-* &quot;-&quot;_-;_-@_-_추가적립업체명세(완료)V_3황동인대리님 7 2 2 2" xfId="32365"/>
    <cellStyle name="_-* #,##0_-;-* #,##0_-;_-* &quot;-&quot;_-;_-@_-_추가적립업체명세(완료)V_3황동인대리님 7 2 3" xfId="28489"/>
    <cellStyle name="_-* #,##0_-;-* #,##0_-;_-* &quot;-&quot;_-;_-@_-_추가적립업체명세(완료)V_3황동인대리님 7 3" xfId="25186"/>
    <cellStyle name="_-* #,##0_-;-* #,##0_-;_-* &quot;-&quot;_-;_-@_-_추가적립업체명세(완료)V_3황동인대리님 7 3 2" xfId="32366"/>
    <cellStyle name="_-* #,##0_-;-* #,##0_-;_-* &quot;-&quot;_-;_-@_-_추가적립업체명세(완료)V_3황동인대리님 7 4" xfId="25187"/>
    <cellStyle name="_-* #,##0_-;-* #,##0_-;_-* &quot;-&quot;_-;_-@_-_추가적립업체명세(완료)V_3황동인대리님 7 4 2" xfId="32367"/>
    <cellStyle name="_-* #,##0_-;-* #,##0_-;_-* &quot;-&quot;_-;_-@_-_추가적립업체명세(완료)V_3황동인대리님 7 5" xfId="25188"/>
    <cellStyle name="_-* #,##0_-;-* #,##0_-;_-* &quot;-&quot;_-;_-@_-_추가적립업체명세(완료)V_3황동인대리님 7 5 2" xfId="32368"/>
    <cellStyle name="_-* #,##0_-;-* #,##0_-;_-* &quot;-&quot;_-;_-@_-_추가적립업체명세(완료)V_3황동인대리님 7 6" xfId="28488"/>
    <cellStyle name="_-* #,##0_-;-* #,##0_-;_-* &quot;-&quot;_-;_-@_-_추가적립업체명세(완료)V_3황동인대리님 8" xfId="5871"/>
    <cellStyle name="_-* #,##0_-;-* #,##0_-;_-* &quot;-&quot;_-;_-@_-_추가적립업체명세(완료)V_3황동인대리님 8 2" xfId="5872"/>
    <cellStyle name="_-* #,##0_-;-* #,##0_-;_-* &quot;-&quot;_-;_-@_-_추가적립업체명세(완료)V_3황동인대리님 8 2 2" xfId="25189"/>
    <cellStyle name="_-* #,##0_-;-* #,##0_-;_-* &quot;-&quot;_-;_-@_-_추가적립업체명세(완료)V_3황동인대리님 8 2 2 2" xfId="32369"/>
    <cellStyle name="_-* #,##0_-;-* #,##0_-;_-* &quot;-&quot;_-;_-@_-_추가적립업체명세(완료)V_3황동인대리님 8 2 3" xfId="28491"/>
    <cellStyle name="_-* #,##0_-;-* #,##0_-;_-* &quot;-&quot;_-;_-@_-_추가적립업체명세(완료)V_3황동인대리님 8 3" xfId="25190"/>
    <cellStyle name="_-* #,##0_-;-* #,##0_-;_-* &quot;-&quot;_-;_-@_-_추가적립업체명세(완료)V_3황동인대리님 8 3 2" xfId="32370"/>
    <cellStyle name="_-* #,##0_-;-* #,##0_-;_-* &quot;-&quot;_-;_-@_-_추가적립업체명세(완료)V_3황동인대리님 8 4" xfId="25191"/>
    <cellStyle name="_-* #,##0_-;-* #,##0_-;_-* &quot;-&quot;_-;_-@_-_추가적립업체명세(완료)V_3황동인대리님 8 4 2" xfId="32371"/>
    <cellStyle name="_-* #,##0_-;-* #,##0_-;_-* &quot;-&quot;_-;_-@_-_추가적립업체명세(완료)V_3황동인대리님 8 5" xfId="25192"/>
    <cellStyle name="_-* #,##0_-;-* #,##0_-;_-* &quot;-&quot;_-;_-@_-_추가적립업체명세(완료)V_3황동인대리님 8 5 2" xfId="32372"/>
    <cellStyle name="_-* #,##0_-;-* #,##0_-;_-* &quot;-&quot;_-;_-@_-_추가적립업체명세(완료)V_3황동인대리님 8 6" xfId="28490"/>
    <cellStyle name="_-* #,##0_-;-* #,##0_-;_-* &quot;-&quot;_-;_-@_-_추가적립업체명세(완료)V_3황동인대리님 9" xfId="5873"/>
    <cellStyle name="_-* #,##0_-;-* #,##0_-;_-* &quot;-&quot;_-;_-@_-_추가적립업체명세(완료)V_3황동인대리님 9 2" xfId="25193"/>
    <cellStyle name="_-* #,##0_-;-* #,##0_-;_-* &quot;-&quot;_-;_-@_-_추가적립업체명세(완료)V_3황동인대리님 9 2 2" xfId="32373"/>
    <cellStyle name="_-* #,##0_-;-* #,##0_-;_-* &quot;-&quot;_-;_-@_-_추가적립업체명세(완료)V_3황동인대리님 9 3" xfId="25194"/>
    <cellStyle name="_-* #,##0_-;-* #,##0_-;_-* &quot;-&quot;_-;_-@_-_추가적립업체명세(완료)V_3황동인대리님 9 3 2" xfId="32374"/>
    <cellStyle name="_-* #,##0_-;-* #,##0_-;_-* &quot;-&quot;_-;_-@_-_추가적립업체명세(완료)V_3황동인대리님 9 4" xfId="25195"/>
    <cellStyle name="_-* #,##0_-;-* #,##0_-;_-* &quot;-&quot;_-;_-@_-_추가적립업체명세(완료)V_3황동인대리님 9 4 2" xfId="32375"/>
    <cellStyle name="_-* #,##0_-;-* #,##0_-;_-* &quot;-&quot;_-;_-@_-_추가적립업체명세(완료)V_3황동인대리님 9 5" xfId="28492"/>
    <cellStyle name="_-* #,##0_-;-* #,##0_-;_-* &quot;-&quot;_-;_-@_-_추가적립업체명세(완료)V_3황동인대리님_1211 충당금,건전성 현황_작업" xfId="5874"/>
    <cellStyle name="_-* #,##0_-;-* #,##0_-;_-* &quot;-&quot;_-;_-@_-_추가적립업체명세(완료)V_3황동인대리님_1211 충당금,건전성 현황_작업 2" xfId="25196"/>
    <cellStyle name="_-* #,##0_-;-* #,##0_-;_-* &quot;-&quot;_-;_-@_-_추가적립업체명세(완료)V_3황동인대리님_1211 충당금,건전성 현황_작업 2 2" xfId="32376"/>
    <cellStyle name="_-* #,##0_-;-* #,##0_-;_-* &quot;-&quot;_-;_-@_-_추가적립업체명세(완료)V_3황동인대리님_1211 충당금,건전성 현황_작업 3" xfId="28493"/>
    <cellStyle name="_-* #,##0_-;-* #,##0_-;_-* &quot;-&quot;_-;_-@_-_추가적립업체명세(완료)V_3황동인대리님_Hana 2011-1 Program_Data Disk_Pool B_v2(v5-1더밸류-이교민)" xfId="5875"/>
    <cellStyle name="_-* #,##0_-;-* #,##0_-;_-* &quot;-&quot;_-;_-@_-_추가적립업체명세(완료)V_3황동인대리님_Hana 2011-1 Program_Data Disk_Pool B_v2(v5-1더밸류-이교민) 2" xfId="25197"/>
    <cellStyle name="_-* #,##0_-;-* #,##0_-;_-* &quot;-&quot;_-;_-@_-_추가적립업체명세(완료)V_3황동인대리님_Hana 2011-1 Program_Data Disk_Pool B_v2(v5-1더밸류-이교민) 2 2" xfId="32377"/>
    <cellStyle name="_-* #,##0_-;-* #,##0_-;_-* &quot;-&quot;_-;_-@_-_추가적립업체명세(완료)V_3황동인대리님_Hana 2011-1 Program_Data Disk_Pool B_v2(v5-1더밸류-이교민) 3" xfId="25198"/>
    <cellStyle name="_-* #,##0_-;-* #,##0_-;_-* &quot;-&quot;_-;_-@_-_추가적립업체명세(완료)V_3황동인대리님_Hana 2011-1 Program_Data Disk_Pool B_v2(v5-1더밸류-이교민) 3 2" xfId="32378"/>
    <cellStyle name="_-* #,##0_-;-* #,##0_-;_-* &quot;-&quot;_-;_-@_-_추가적립업체명세(완료)V_3황동인대리님_Hana 2011-1 Program_Data Disk_Pool B_v2(v5-1더밸류-이교민) 4" xfId="25199"/>
    <cellStyle name="_-* #,##0_-;-* #,##0_-;_-* &quot;-&quot;_-;_-@_-_추가적립업체명세(완료)V_3황동인대리님_Hana 2011-1 Program_Data Disk_Pool B_v2(v5-1더밸류-이교민) 4 2" xfId="32379"/>
    <cellStyle name="_-* #,##0_-;-* #,##0_-;_-* &quot;-&quot;_-;_-@_-_추가적립업체명세(완료)V_3황동인대리님_Hana 2011-1 Program_Data Disk_Pool B_v2(v5-1더밸류-이교민) 5" xfId="28494"/>
    <cellStyle name="_-* #,##0_-;-* #,##0_-;_-* &quot;-&quot;_-;_-@_-_추가적립업체명세(완료)V_3황동인대리님_Hana 2011-1 Program_Data Disk_Pool B_v2(v5-1더밸류-이교민)_SHB 2011-2 Program_Data Disk_Pool C,B_v1(v2더밸류_이교민)" xfId="5876"/>
    <cellStyle name="_-* #,##0_-;-* #,##0_-;_-* &quot;-&quot;_-;_-@_-_추가적립업체명세(완료)V_3황동인대리님_Hana 2011-1 Program_Data Disk_Pool B_v2(v5-1더밸류-이교민)_SHB 2011-2 Program_Data Disk_Pool C,B_v1(v2더밸류_이교민) 2" xfId="25200"/>
    <cellStyle name="_-* #,##0_-;-* #,##0_-;_-* &quot;-&quot;_-;_-@_-_추가적립업체명세(완료)V_3황동인대리님_Hana 2011-1 Program_Data Disk_Pool B_v2(v5-1더밸류-이교민)_SHB 2011-2 Program_Data Disk_Pool C,B_v1(v2더밸류_이교민) 2 2" xfId="32380"/>
    <cellStyle name="_-* #,##0_-;-* #,##0_-;_-* &quot;-&quot;_-;_-@_-_추가적립업체명세(완료)V_3황동인대리님_Hana 2011-1 Program_Data Disk_Pool B_v2(v5-1더밸류-이교민)_SHB 2011-2 Program_Data Disk_Pool C,B_v1(v2더밸류_이교민) 3" xfId="25201"/>
    <cellStyle name="_-* #,##0_-;-* #,##0_-;_-* &quot;-&quot;_-;_-@_-_추가적립업체명세(완료)V_3황동인대리님_Hana 2011-1 Program_Data Disk_Pool B_v2(v5-1더밸류-이교민)_SHB 2011-2 Program_Data Disk_Pool C,B_v1(v2더밸류_이교민) 3 2" xfId="32381"/>
    <cellStyle name="_-* #,##0_-;-* #,##0_-;_-* &quot;-&quot;_-;_-@_-_추가적립업체명세(완료)V_3황동인대리님_Hana 2011-1 Program_Data Disk_Pool B_v2(v5-1더밸류-이교민)_SHB 2011-2 Program_Data Disk_Pool C,B_v1(v2더밸류_이교민) 4" xfId="25202"/>
    <cellStyle name="_-* #,##0_-;-* #,##0_-;_-* &quot;-&quot;_-;_-@_-_추가적립업체명세(완료)V_3황동인대리님_Hana 2011-1 Program_Data Disk_Pool B_v2(v5-1더밸류-이교민)_SHB 2011-2 Program_Data Disk_Pool C,B_v1(v2더밸류_이교민) 4 2" xfId="32382"/>
    <cellStyle name="_-* #,##0_-;-* #,##0_-;_-* &quot;-&quot;_-;_-@_-_추가적립업체명세(완료)V_3황동인대리님_Hana 2011-1 Program_Data Disk_Pool B_v2(v5-1더밸류-이교민)_SHB 2011-2 Program_Data Disk_Pool C,B_v1(v2더밸류_이교민) 5" xfId="28495"/>
    <cellStyle name="_-* #,##0_-;-* #,##0_-;_-* &quot;-&quot;_-;_-@_-_추가적립업체명세(완료)V_3황동인대리님_Hana 2011-1 Program_Data Disk_Pool B_v2(v5-1더밸류-이교민)_차주명관리_20110726_v1" xfId="5877"/>
    <cellStyle name="_-* #,##0_-;-* #,##0_-;_-* &quot;-&quot;_-;_-@_-_추가적립업체명세(완료)V_3황동인대리님_Hana 2011-1 Program_Data Disk_Pool B_v2(v5-1더밸류-이교민)_차주명관리_20110726_v1 2" xfId="25203"/>
    <cellStyle name="_-* #,##0_-;-* #,##0_-;_-* &quot;-&quot;_-;_-@_-_추가적립업체명세(완료)V_3황동인대리님_Hana 2011-1 Program_Data Disk_Pool B_v2(v5-1더밸류-이교민)_차주명관리_20110726_v1 2 2" xfId="32383"/>
    <cellStyle name="_-* #,##0_-;-* #,##0_-;_-* &quot;-&quot;_-;_-@_-_추가적립업체명세(완료)V_3황동인대리님_Hana 2011-1 Program_Data Disk_Pool B_v2(v5-1더밸류-이교민)_차주명관리_20110726_v1 3" xfId="25204"/>
    <cellStyle name="_-* #,##0_-;-* #,##0_-;_-* &quot;-&quot;_-;_-@_-_추가적립업체명세(완료)V_3황동인대리님_Hana 2011-1 Program_Data Disk_Pool B_v2(v5-1더밸류-이교민)_차주명관리_20110726_v1 3 2" xfId="32384"/>
    <cellStyle name="_-* #,##0_-;-* #,##0_-;_-* &quot;-&quot;_-;_-@_-_추가적립업체명세(완료)V_3황동인대리님_Hana 2011-1 Program_Data Disk_Pool B_v2(v5-1더밸류-이교민)_차주명관리_20110726_v1 4" xfId="25205"/>
    <cellStyle name="_-* #,##0_-;-* #,##0_-;_-* &quot;-&quot;_-;_-@_-_추가적립업체명세(완료)V_3황동인대리님_Hana 2011-1 Program_Data Disk_Pool B_v2(v5-1더밸류-이교민)_차주명관리_20110726_v1 4 2" xfId="32385"/>
    <cellStyle name="_-* #,##0_-;-* #,##0_-;_-* &quot;-&quot;_-;_-@_-_추가적립업체명세(완료)V_3황동인대리님_Hana 2011-1 Program_Data Disk_Pool B_v2(v5-1더밸류-이교민)_차주명관리_20110726_v1 5" xfId="28496"/>
    <cellStyle name="_-* #,##0_-;-* #,##0_-;_-* &quot;-&quot;_-;_-@_-_추가적립업체명세(완료)V_3황동인대리님_SHB_2011-3_담보sheet(더밸류_v6이교민)" xfId="5878"/>
    <cellStyle name="_-* #,##0_-;-* #,##0_-;_-* &quot;-&quot;_-;_-@_-_추가적립업체명세(완료)V_3황동인대리님_SHB_2011-3_담보sheet(더밸류_v6이교민) 2" xfId="25206"/>
    <cellStyle name="_-* #,##0_-;-* #,##0_-;_-* &quot;-&quot;_-;_-@_-_추가적립업체명세(완료)V_3황동인대리님_SHB_2011-3_담보sheet(더밸류_v6이교민) 2 2" xfId="32386"/>
    <cellStyle name="_-* #,##0_-;-* #,##0_-;_-* &quot;-&quot;_-;_-@_-_추가적립업체명세(완료)V_3황동인대리님_SHB_2011-3_담보sheet(더밸류_v6이교민) 3" xfId="25207"/>
    <cellStyle name="_-* #,##0_-;-* #,##0_-;_-* &quot;-&quot;_-;_-@_-_추가적립업체명세(완료)V_3황동인대리님_SHB_2011-3_담보sheet(더밸류_v6이교민) 3 2" xfId="32387"/>
    <cellStyle name="_-* #,##0_-;-* #,##0_-;_-* &quot;-&quot;_-;_-@_-_추가적립업체명세(완료)V_3황동인대리님_SHB_2011-3_담보sheet(더밸류_v6이교민) 4" xfId="25208"/>
    <cellStyle name="_-* #,##0_-;-* #,##0_-;_-* &quot;-&quot;_-;_-@_-_추가적립업체명세(완료)V_3황동인대리님_SHB_2011-3_담보sheet(더밸류_v6이교민) 4 2" xfId="32388"/>
    <cellStyle name="_-* #,##0_-;-* #,##0_-;_-* &quot;-&quot;_-;_-@_-_추가적립업체명세(완료)V_3황동인대리님_SHB_2011-3_담보sheet(더밸류_v6이교민) 5" xfId="28497"/>
    <cellStyle name="_-* #,##0_-;-* #,##0_-;_-* &quot;-&quot;_-;_-@_-_추가적립업체명세(완료)V_3황동인대리님_SHB_2011-3_담보sheet(더밸류_v6이교민)_차주명관리_20110726_v1" xfId="5879"/>
    <cellStyle name="_-* #,##0_-;-* #,##0_-;_-* &quot;-&quot;_-;_-@_-_추가적립업체명세(완료)V_3황동인대리님_SHB_2011-3_담보sheet(더밸류_v6이교민)_차주명관리_20110726_v1 2" xfId="25209"/>
    <cellStyle name="_-* #,##0_-;-* #,##0_-;_-* &quot;-&quot;_-;_-@_-_추가적립업체명세(완료)V_3황동인대리님_SHB_2011-3_담보sheet(더밸류_v6이교민)_차주명관리_20110726_v1 2 2" xfId="32389"/>
    <cellStyle name="_-* #,##0_-;-* #,##0_-;_-* &quot;-&quot;_-;_-@_-_추가적립업체명세(완료)V_3황동인대리님_SHB_2011-3_담보sheet(더밸류_v6이교민)_차주명관리_20110726_v1 3" xfId="25210"/>
    <cellStyle name="_-* #,##0_-;-* #,##0_-;_-* &quot;-&quot;_-;_-@_-_추가적립업체명세(완료)V_3황동인대리님_SHB_2011-3_담보sheet(더밸류_v6이교민)_차주명관리_20110726_v1 3 2" xfId="32390"/>
    <cellStyle name="_-* #,##0_-;-* #,##0_-;_-* &quot;-&quot;_-;_-@_-_추가적립업체명세(완료)V_3황동인대리님_SHB_2011-3_담보sheet(더밸류_v6이교민)_차주명관리_20110726_v1 4" xfId="25211"/>
    <cellStyle name="_-* #,##0_-;-* #,##0_-;_-* &quot;-&quot;_-;_-@_-_추가적립업체명세(완료)V_3황동인대리님_SHB_2011-3_담보sheet(더밸류_v6이교민)_차주명관리_20110726_v1 4 2" xfId="32391"/>
    <cellStyle name="_-* #,##0_-;-* #,##0_-;_-* &quot;-&quot;_-;_-@_-_추가적립업체명세(완료)V_3황동인대리님_SHB_2011-3_담보sheet(더밸류_v6이교민)_차주명관리_20110726_v1 5" xfId="28498"/>
    <cellStyle name="_-* #,##0_-;-* #,##0_-;_-* &quot;-&quot;_-;_-@_-_추가적립업체명세(완료)V_3황동인대리님_Sheet1" xfId="5880"/>
    <cellStyle name="_-* #,##0_-;-* #,##0_-;_-* &quot;-&quot;_-;_-@_-_추가적립업체명세(완료)V_3황동인대리님_Sheet1 2" xfId="25212"/>
    <cellStyle name="_-* #,##0_-;-* #,##0_-;_-* &quot;-&quot;_-;_-@_-_추가적립업체명세(완료)V_3황동인대리님_Sheet1 2 2" xfId="32392"/>
    <cellStyle name="_-* #,##0_-;-* #,##0_-;_-* &quot;-&quot;_-;_-@_-_추가적립업체명세(완료)V_3황동인대리님_Sheet1 3" xfId="28499"/>
    <cellStyle name="_-* #,##0_-;-* #,##0_-;_-* &quot;-&quot;_-;_-@_-_추가적립업체명세(완료)V_3황동인대리님_권리분석_v1(최초)-4" xfId="5881"/>
    <cellStyle name="_-* #,##0_-;-* #,##0_-;_-* &quot;-&quot;_-;_-@_-_추가적립업체명세(완료)V_3황동인대리님_권리분석_v1(최초)-4 2" xfId="25213"/>
    <cellStyle name="_-* #,##0_-;-* #,##0_-;_-* &quot;-&quot;_-;_-@_-_추가적립업체명세(완료)V_3황동인대리님_권리분석_v1(최초)-4 2 2" xfId="32393"/>
    <cellStyle name="_-* #,##0_-;-* #,##0_-;_-* &quot;-&quot;_-;_-@_-_추가적립업체명세(완료)V_3황동인대리님_권리분석_v1(최초)-4 3" xfId="25214"/>
    <cellStyle name="_-* #,##0_-;-* #,##0_-;_-* &quot;-&quot;_-;_-@_-_추가적립업체명세(완료)V_3황동인대리님_권리분석_v1(최초)-4 3 2" xfId="32394"/>
    <cellStyle name="_-* #,##0_-;-* #,##0_-;_-* &quot;-&quot;_-;_-@_-_추가적립업체명세(완료)V_3황동인대리님_권리분석_v1(최초)-4 4" xfId="25215"/>
    <cellStyle name="_-* #,##0_-;-* #,##0_-;_-* &quot;-&quot;_-;_-@_-_추가적립업체명세(완료)V_3황동인대리님_권리분석_v1(최초)-4 4 2" xfId="32395"/>
    <cellStyle name="_-* #,##0_-;-* #,##0_-;_-* &quot;-&quot;_-;_-@_-_추가적립업체명세(완료)V_3황동인대리님_권리분석_v1(최초)-4 5" xfId="28500"/>
    <cellStyle name="_-* #,##0_-;-* #,##0_-;_-* &quot;-&quot;_-;_-@_-_추가충당금명세_0812_v1" xfId="54"/>
    <cellStyle name="_-* #,##0_-;-* #,##0_-;_-* &quot;-&quot;_-;_-@_-_추가충당금명세_0812_v1 10" xfId="25216"/>
    <cellStyle name="_-* #,##0_-;-* #,##0_-;_-* &quot;-&quot;_-;_-@_-_추가충당금명세_0812_v1 10 2" xfId="32396"/>
    <cellStyle name="_-* #,##0_-;-* #,##0_-;_-* &quot;-&quot;_-;_-@_-_추가충당금명세_0812_v1 11" xfId="25217"/>
    <cellStyle name="_-* #,##0_-;-* #,##0_-;_-* &quot;-&quot;_-;_-@_-_추가충당금명세_0812_v1 11 2" xfId="32397"/>
    <cellStyle name="_-* #,##0_-;-* #,##0_-;_-* &quot;-&quot;_-;_-@_-_추가충당금명세_0812_v1 12" xfId="27618"/>
    <cellStyle name="_-* #,##0_-;-* #,##0_-;_-* &quot;-&quot;_-;_-@_-_추가충당금명세_0812_v1 2" xfId="5882"/>
    <cellStyle name="_-* #,##0_-;-* #,##0_-;_-* &quot;-&quot;_-;_-@_-_추가충당금명세_0812_v1 2 10" xfId="28501"/>
    <cellStyle name="_-* #,##0_-;-* #,##0_-;_-* &quot;-&quot;_-;_-@_-_추가충당금명세_0812_v1 2 2" xfId="5883"/>
    <cellStyle name="_-* #,##0_-;-* #,##0_-;_-* &quot;-&quot;_-;_-@_-_추가충당금명세_0812_v1 2 2 2" xfId="5884"/>
    <cellStyle name="_-* #,##0_-;-* #,##0_-;_-* &quot;-&quot;_-;_-@_-_추가충당금명세_0812_v1 2 2 2 2" xfId="5885"/>
    <cellStyle name="_-* #,##0_-;-* #,##0_-;_-* &quot;-&quot;_-;_-@_-_추가충당금명세_0812_v1 2 2 2 2 2" xfId="25218"/>
    <cellStyle name="_-* #,##0_-;-* #,##0_-;_-* &quot;-&quot;_-;_-@_-_추가충당금명세_0812_v1 2 2 2 2 2 2" xfId="32398"/>
    <cellStyle name="_-* #,##0_-;-* #,##0_-;_-* &quot;-&quot;_-;_-@_-_추가충당금명세_0812_v1 2 2 2 2 3" xfId="28504"/>
    <cellStyle name="_-* #,##0_-;-* #,##0_-;_-* &quot;-&quot;_-;_-@_-_추가충당금명세_0812_v1 2 2 2 3" xfId="25219"/>
    <cellStyle name="_-* #,##0_-;-* #,##0_-;_-* &quot;-&quot;_-;_-@_-_추가충당금명세_0812_v1 2 2 2 3 2" xfId="32399"/>
    <cellStyle name="_-* #,##0_-;-* #,##0_-;_-* &quot;-&quot;_-;_-@_-_추가충당금명세_0812_v1 2 2 2 4" xfId="25220"/>
    <cellStyle name="_-* #,##0_-;-* #,##0_-;_-* &quot;-&quot;_-;_-@_-_추가충당금명세_0812_v1 2 2 2 4 2" xfId="32400"/>
    <cellStyle name="_-* #,##0_-;-* #,##0_-;_-* &quot;-&quot;_-;_-@_-_추가충당금명세_0812_v1 2 2 2 5" xfId="25221"/>
    <cellStyle name="_-* #,##0_-;-* #,##0_-;_-* &quot;-&quot;_-;_-@_-_추가충당금명세_0812_v1 2 2 2 5 2" xfId="32401"/>
    <cellStyle name="_-* #,##0_-;-* #,##0_-;_-* &quot;-&quot;_-;_-@_-_추가충당금명세_0812_v1 2 2 2 6" xfId="28503"/>
    <cellStyle name="_-* #,##0_-;-* #,##0_-;_-* &quot;-&quot;_-;_-@_-_추가충당금명세_0812_v1 2 2 3" xfId="5886"/>
    <cellStyle name="_-* #,##0_-;-* #,##0_-;_-* &quot;-&quot;_-;_-@_-_추가충당금명세_0812_v1 2 2 3 2" xfId="5887"/>
    <cellStyle name="_-* #,##0_-;-* #,##0_-;_-* &quot;-&quot;_-;_-@_-_추가충당금명세_0812_v1 2 2 3 2 2" xfId="25222"/>
    <cellStyle name="_-* #,##0_-;-* #,##0_-;_-* &quot;-&quot;_-;_-@_-_추가충당금명세_0812_v1 2 2 3 2 2 2" xfId="32402"/>
    <cellStyle name="_-* #,##0_-;-* #,##0_-;_-* &quot;-&quot;_-;_-@_-_추가충당금명세_0812_v1 2 2 3 2 3" xfId="28506"/>
    <cellStyle name="_-* #,##0_-;-* #,##0_-;_-* &quot;-&quot;_-;_-@_-_추가충당금명세_0812_v1 2 2 3 3" xfId="25223"/>
    <cellStyle name="_-* #,##0_-;-* #,##0_-;_-* &quot;-&quot;_-;_-@_-_추가충당금명세_0812_v1 2 2 3 3 2" xfId="32403"/>
    <cellStyle name="_-* #,##0_-;-* #,##0_-;_-* &quot;-&quot;_-;_-@_-_추가충당금명세_0812_v1 2 2 3 4" xfId="28505"/>
    <cellStyle name="_-* #,##0_-;-* #,##0_-;_-* &quot;-&quot;_-;_-@_-_추가충당금명세_0812_v1 2 2 4" xfId="5888"/>
    <cellStyle name="_-* #,##0_-;-* #,##0_-;_-* &quot;-&quot;_-;_-@_-_추가충당금명세_0812_v1 2 2 4 2" xfId="5889"/>
    <cellStyle name="_-* #,##0_-;-* #,##0_-;_-* &quot;-&quot;_-;_-@_-_추가충당금명세_0812_v1 2 2 4 2 2" xfId="25224"/>
    <cellStyle name="_-* #,##0_-;-* #,##0_-;_-* &quot;-&quot;_-;_-@_-_추가충당금명세_0812_v1 2 2 4 2 2 2" xfId="32404"/>
    <cellStyle name="_-* #,##0_-;-* #,##0_-;_-* &quot;-&quot;_-;_-@_-_추가충당금명세_0812_v1 2 2 4 2 3" xfId="28508"/>
    <cellStyle name="_-* #,##0_-;-* #,##0_-;_-* &quot;-&quot;_-;_-@_-_추가충당금명세_0812_v1 2 2 4 3" xfId="25225"/>
    <cellStyle name="_-* #,##0_-;-* #,##0_-;_-* &quot;-&quot;_-;_-@_-_추가충당금명세_0812_v1 2 2 4 3 2" xfId="32405"/>
    <cellStyle name="_-* #,##0_-;-* #,##0_-;_-* &quot;-&quot;_-;_-@_-_추가충당금명세_0812_v1 2 2 4 4" xfId="28507"/>
    <cellStyle name="_-* #,##0_-;-* #,##0_-;_-* &quot;-&quot;_-;_-@_-_추가충당금명세_0812_v1 2 2 5" xfId="5890"/>
    <cellStyle name="_-* #,##0_-;-* #,##0_-;_-* &quot;-&quot;_-;_-@_-_추가충당금명세_0812_v1 2 2 5 2" xfId="25226"/>
    <cellStyle name="_-* #,##0_-;-* #,##0_-;_-* &quot;-&quot;_-;_-@_-_추가충당금명세_0812_v1 2 2 5 2 2" xfId="32406"/>
    <cellStyle name="_-* #,##0_-;-* #,##0_-;_-* &quot;-&quot;_-;_-@_-_추가충당금명세_0812_v1 2 2 5 3" xfId="28509"/>
    <cellStyle name="_-* #,##0_-;-* #,##0_-;_-* &quot;-&quot;_-;_-@_-_추가충당금명세_0812_v1 2 2 6" xfId="25227"/>
    <cellStyle name="_-* #,##0_-;-* #,##0_-;_-* &quot;-&quot;_-;_-@_-_추가충당금명세_0812_v1 2 2 6 2" xfId="32407"/>
    <cellStyle name="_-* #,##0_-;-* #,##0_-;_-* &quot;-&quot;_-;_-@_-_추가충당금명세_0812_v1 2 2 7" xfId="25228"/>
    <cellStyle name="_-* #,##0_-;-* #,##0_-;_-* &quot;-&quot;_-;_-@_-_추가충당금명세_0812_v1 2 2 7 2" xfId="32408"/>
    <cellStyle name="_-* #,##0_-;-* #,##0_-;_-* &quot;-&quot;_-;_-@_-_추가충당금명세_0812_v1 2 2 8" xfId="28502"/>
    <cellStyle name="_-* #,##0_-;-* #,##0_-;_-* &quot;-&quot;_-;_-@_-_추가충당금명세_0812_v1 2 3" xfId="5891"/>
    <cellStyle name="_-* #,##0_-;-* #,##0_-;_-* &quot;-&quot;_-;_-@_-_추가충당금명세_0812_v1 2 3 2" xfId="5892"/>
    <cellStyle name="_-* #,##0_-;-* #,##0_-;_-* &quot;-&quot;_-;_-@_-_추가충당금명세_0812_v1 2 3 2 2" xfId="5893"/>
    <cellStyle name="_-* #,##0_-;-* #,##0_-;_-* &quot;-&quot;_-;_-@_-_추가충당금명세_0812_v1 2 3 2 2 2" xfId="25229"/>
    <cellStyle name="_-* #,##0_-;-* #,##0_-;_-* &quot;-&quot;_-;_-@_-_추가충당금명세_0812_v1 2 3 2 2 2 2" xfId="32409"/>
    <cellStyle name="_-* #,##0_-;-* #,##0_-;_-* &quot;-&quot;_-;_-@_-_추가충당금명세_0812_v1 2 3 2 2 3" xfId="28512"/>
    <cellStyle name="_-* #,##0_-;-* #,##0_-;_-* &quot;-&quot;_-;_-@_-_추가충당금명세_0812_v1 2 3 2 3" xfId="25230"/>
    <cellStyle name="_-* #,##0_-;-* #,##0_-;_-* &quot;-&quot;_-;_-@_-_추가충당금명세_0812_v1 2 3 2 3 2" xfId="32410"/>
    <cellStyle name="_-* #,##0_-;-* #,##0_-;_-* &quot;-&quot;_-;_-@_-_추가충당금명세_0812_v1 2 3 2 4" xfId="25231"/>
    <cellStyle name="_-* #,##0_-;-* #,##0_-;_-* &quot;-&quot;_-;_-@_-_추가충당금명세_0812_v1 2 3 2 4 2" xfId="32411"/>
    <cellStyle name="_-* #,##0_-;-* #,##0_-;_-* &quot;-&quot;_-;_-@_-_추가충당금명세_0812_v1 2 3 2 5" xfId="25232"/>
    <cellStyle name="_-* #,##0_-;-* #,##0_-;_-* &quot;-&quot;_-;_-@_-_추가충당금명세_0812_v1 2 3 2 5 2" xfId="32412"/>
    <cellStyle name="_-* #,##0_-;-* #,##0_-;_-* &quot;-&quot;_-;_-@_-_추가충당금명세_0812_v1 2 3 2 6" xfId="28511"/>
    <cellStyle name="_-* #,##0_-;-* #,##0_-;_-* &quot;-&quot;_-;_-@_-_추가충당금명세_0812_v1 2 3 3" xfId="5894"/>
    <cellStyle name="_-* #,##0_-;-* #,##0_-;_-* &quot;-&quot;_-;_-@_-_추가충당금명세_0812_v1 2 3 3 2" xfId="5895"/>
    <cellStyle name="_-* #,##0_-;-* #,##0_-;_-* &quot;-&quot;_-;_-@_-_추가충당금명세_0812_v1 2 3 3 2 2" xfId="25233"/>
    <cellStyle name="_-* #,##0_-;-* #,##0_-;_-* &quot;-&quot;_-;_-@_-_추가충당금명세_0812_v1 2 3 3 2 2 2" xfId="32413"/>
    <cellStyle name="_-* #,##0_-;-* #,##0_-;_-* &quot;-&quot;_-;_-@_-_추가충당금명세_0812_v1 2 3 3 2 3" xfId="28514"/>
    <cellStyle name="_-* #,##0_-;-* #,##0_-;_-* &quot;-&quot;_-;_-@_-_추가충당금명세_0812_v1 2 3 3 3" xfId="25234"/>
    <cellStyle name="_-* #,##0_-;-* #,##0_-;_-* &quot;-&quot;_-;_-@_-_추가충당금명세_0812_v1 2 3 3 3 2" xfId="32414"/>
    <cellStyle name="_-* #,##0_-;-* #,##0_-;_-* &quot;-&quot;_-;_-@_-_추가충당금명세_0812_v1 2 3 3 4" xfId="28513"/>
    <cellStyle name="_-* #,##0_-;-* #,##0_-;_-* &quot;-&quot;_-;_-@_-_추가충당금명세_0812_v1 2 3 4" xfId="5896"/>
    <cellStyle name="_-* #,##0_-;-* #,##0_-;_-* &quot;-&quot;_-;_-@_-_추가충당금명세_0812_v1 2 3 4 2" xfId="5897"/>
    <cellStyle name="_-* #,##0_-;-* #,##0_-;_-* &quot;-&quot;_-;_-@_-_추가충당금명세_0812_v1 2 3 4 2 2" xfId="25235"/>
    <cellStyle name="_-* #,##0_-;-* #,##0_-;_-* &quot;-&quot;_-;_-@_-_추가충당금명세_0812_v1 2 3 4 2 2 2" xfId="32415"/>
    <cellStyle name="_-* #,##0_-;-* #,##0_-;_-* &quot;-&quot;_-;_-@_-_추가충당금명세_0812_v1 2 3 4 2 3" xfId="28516"/>
    <cellStyle name="_-* #,##0_-;-* #,##0_-;_-* &quot;-&quot;_-;_-@_-_추가충당금명세_0812_v1 2 3 4 3" xfId="25236"/>
    <cellStyle name="_-* #,##0_-;-* #,##0_-;_-* &quot;-&quot;_-;_-@_-_추가충당금명세_0812_v1 2 3 4 3 2" xfId="32416"/>
    <cellStyle name="_-* #,##0_-;-* #,##0_-;_-* &quot;-&quot;_-;_-@_-_추가충당금명세_0812_v1 2 3 4 4" xfId="28515"/>
    <cellStyle name="_-* #,##0_-;-* #,##0_-;_-* &quot;-&quot;_-;_-@_-_추가충당금명세_0812_v1 2 3 5" xfId="5898"/>
    <cellStyle name="_-* #,##0_-;-* #,##0_-;_-* &quot;-&quot;_-;_-@_-_추가충당금명세_0812_v1 2 3 5 2" xfId="25237"/>
    <cellStyle name="_-* #,##0_-;-* #,##0_-;_-* &quot;-&quot;_-;_-@_-_추가충당금명세_0812_v1 2 3 5 2 2" xfId="32417"/>
    <cellStyle name="_-* #,##0_-;-* #,##0_-;_-* &quot;-&quot;_-;_-@_-_추가충당금명세_0812_v1 2 3 5 3" xfId="28517"/>
    <cellStyle name="_-* #,##0_-;-* #,##0_-;_-* &quot;-&quot;_-;_-@_-_추가충당금명세_0812_v1 2 3 6" xfId="25238"/>
    <cellStyle name="_-* #,##0_-;-* #,##0_-;_-* &quot;-&quot;_-;_-@_-_추가충당금명세_0812_v1 2 3 6 2" xfId="32418"/>
    <cellStyle name="_-* #,##0_-;-* #,##0_-;_-* &quot;-&quot;_-;_-@_-_추가충당금명세_0812_v1 2 3 7" xfId="25239"/>
    <cellStyle name="_-* #,##0_-;-* #,##0_-;_-* &quot;-&quot;_-;_-@_-_추가충당금명세_0812_v1 2 3 7 2" xfId="32419"/>
    <cellStyle name="_-* #,##0_-;-* #,##0_-;_-* &quot;-&quot;_-;_-@_-_추가충당금명세_0812_v1 2 3 8" xfId="28510"/>
    <cellStyle name="_-* #,##0_-;-* #,##0_-;_-* &quot;-&quot;_-;_-@_-_추가충당금명세_0812_v1 2 4" xfId="5899"/>
    <cellStyle name="_-* #,##0_-;-* #,##0_-;_-* &quot;-&quot;_-;_-@_-_추가충당금명세_0812_v1 2 4 2" xfId="5900"/>
    <cellStyle name="_-* #,##0_-;-* #,##0_-;_-* &quot;-&quot;_-;_-@_-_추가충당금명세_0812_v1 2 4 2 2" xfId="5901"/>
    <cellStyle name="_-* #,##0_-;-* #,##0_-;_-* &quot;-&quot;_-;_-@_-_추가충당금명세_0812_v1 2 4 2 2 2" xfId="25240"/>
    <cellStyle name="_-* #,##0_-;-* #,##0_-;_-* &quot;-&quot;_-;_-@_-_추가충당금명세_0812_v1 2 4 2 2 2 2" xfId="32420"/>
    <cellStyle name="_-* #,##0_-;-* #,##0_-;_-* &quot;-&quot;_-;_-@_-_추가충당금명세_0812_v1 2 4 2 2 3" xfId="28520"/>
    <cellStyle name="_-* #,##0_-;-* #,##0_-;_-* &quot;-&quot;_-;_-@_-_추가충당금명세_0812_v1 2 4 2 3" xfId="25241"/>
    <cellStyle name="_-* #,##0_-;-* #,##0_-;_-* &quot;-&quot;_-;_-@_-_추가충당금명세_0812_v1 2 4 2 3 2" xfId="32421"/>
    <cellStyle name="_-* #,##0_-;-* #,##0_-;_-* &quot;-&quot;_-;_-@_-_추가충당금명세_0812_v1 2 4 2 4" xfId="25242"/>
    <cellStyle name="_-* #,##0_-;-* #,##0_-;_-* &quot;-&quot;_-;_-@_-_추가충당금명세_0812_v1 2 4 2 4 2" xfId="32422"/>
    <cellStyle name="_-* #,##0_-;-* #,##0_-;_-* &quot;-&quot;_-;_-@_-_추가충당금명세_0812_v1 2 4 2 5" xfId="25243"/>
    <cellStyle name="_-* #,##0_-;-* #,##0_-;_-* &quot;-&quot;_-;_-@_-_추가충당금명세_0812_v1 2 4 2 5 2" xfId="32423"/>
    <cellStyle name="_-* #,##0_-;-* #,##0_-;_-* &quot;-&quot;_-;_-@_-_추가충당금명세_0812_v1 2 4 2 6" xfId="28519"/>
    <cellStyle name="_-* #,##0_-;-* #,##0_-;_-* &quot;-&quot;_-;_-@_-_추가충당금명세_0812_v1 2 4 3" xfId="5902"/>
    <cellStyle name="_-* #,##0_-;-* #,##0_-;_-* &quot;-&quot;_-;_-@_-_추가충당금명세_0812_v1 2 4 3 2" xfId="5903"/>
    <cellStyle name="_-* #,##0_-;-* #,##0_-;_-* &quot;-&quot;_-;_-@_-_추가충당금명세_0812_v1 2 4 3 2 2" xfId="25244"/>
    <cellStyle name="_-* #,##0_-;-* #,##0_-;_-* &quot;-&quot;_-;_-@_-_추가충당금명세_0812_v1 2 4 3 2 2 2" xfId="32424"/>
    <cellStyle name="_-* #,##0_-;-* #,##0_-;_-* &quot;-&quot;_-;_-@_-_추가충당금명세_0812_v1 2 4 3 2 3" xfId="28522"/>
    <cellStyle name="_-* #,##0_-;-* #,##0_-;_-* &quot;-&quot;_-;_-@_-_추가충당금명세_0812_v1 2 4 3 3" xfId="25245"/>
    <cellStyle name="_-* #,##0_-;-* #,##0_-;_-* &quot;-&quot;_-;_-@_-_추가충당금명세_0812_v1 2 4 3 3 2" xfId="32425"/>
    <cellStyle name="_-* #,##0_-;-* #,##0_-;_-* &quot;-&quot;_-;_-@_-_추가충당금명세_0812_v1 2 4 3 4" xfId="28521"/>
    <cellStyle name="_-* #,##0_-;-* #,##0_-;_-* &quot;-&quot;_-;_-@_-_추가충당금명세_0812_v1 2 4 4" xfId="5904"/>
    <cellStyle name="_-* #,##0_-;-* #,##0_-;_-* &quot;-&quot;_-;_-@_-_추가충당금명세_0812_v1 2 4 4 2" xfId="25246"/>
    <cellStyle name="_-* #,##0_-;-* #,##0_-;_-* &quot;-&quot;_-;_-@_-_추가충당금명세_0812_v1 2 4 4 2 2" xfId="32426"/>
    <cellStyle name="_-* #,##0_-;-* #,##0_-;_-* &quot;-&quot;_-;_-@_-_추가충당금명세_0812_v1 2 4 4 3" xfId="28523"/>
    <cellStyle name="_-* #,##0_-;-* #,##0_-;_-* &quot;-&quot;_-;_-@_-_추가충당금명세_0812_v1 2 4 5" xfId="25247"/>
    <cellStyle name="_-* #,##0_-;-* #,##0_-;_-* &quot;-&quot;_-;_-@_-_추가충당금명세_0812_v1 2 4 5 2" xfId="32427"/>
    <cellStyle name="_-* #,##0_-;-* #,##0_-;_-* &quot;-&quot;_-;_-@_-_추가충당금명세_0812_v1 2 4 6" xfId="25248"/>
    <cellStyle name="_-* #,##0_-;-* #,##0_-;_-* &quot;-&quot;_-;_-@_-_추가충당금명세_0812_v1 2 4 6 2" xfId="32428"/>
    <cellStyle name="_-* #,##0_-;-* #,##0_-;_-* &quot;-&quot;_-;_-@_-_추가충당금명세_0812_v1 2 4 7" xfId="25249"/>
    <cellStyle name="_-* #,##0_-;-* #,##0_-;_-* &quot;-&quot;_-;_-@_-_추가충당금명세_0812_v1 2 4 7 2" xfId="32429"/>
    <cellStyle name="_-* #,##0_-;-* #,##0_-;_-* &quot;-&quot;_-;_-@_-_추가충당금명세_0812_v1 2 4 8" xfId="28518"/>
    <cellStyle name="_-* #,##0_-;-* #,##0_-;_-* &quot;-&quot;_-;_-@_-_추가충당금명세_0812_v1 2 5" xfId="5905"/>
    <cellStyle name="_-* #,##0_-;-* #,##0_-;_-* &quot;-&quot;_-;_-@_-_추가충당금명세_0812_v1 2 5 2" xfId="5906"/>
    <cellStyle name="_-* #,##0_-;-* #,##0_-;_-* &quot;-&quot;_-;_-@_-_추가충당금명세_0812_v1 2 5 2 2" xfId="25250"/>
    <cellStyle name="_-* #,##0_-;-* #,##0_-;_-* &quot;-&quot;_-;_-@_-_추가충당금명세_0812_v1 2 5 2 2 2" xfId="32430"/>
    <cellStyle name="_-* #,##0_-;-* #,##0_-;_-* &quot;-&quot;_-;_-@_-_추가충당금명세_0812_v1 2 5 2 3" xfId="28525"/>
    <cellStyle name="_-* #,##0_-;-* #,##0_-;_-* &quot;-&quot;_-;_-@_-_추가충당금명세_0812_v1 2 5 3" xfId="5907"/>
    <cellStyle name="_-* #,##0_-;-* #,##0_-;_-* &quot;-&quot;_-;_-@_-_추가충당금명세_0812_v1 2 5 3 2" xfId="25251"/>
    <cellStyle name="_-* #,##0_-;-* #,##0_-;_-* &quot;-&quot;_-;_-@_-_추가충당금명세_0812_v1 2 5 3 2 2" xfId="32431"/>
    <cellStyle name="_-* #,##0_-;-* #,##0_-;_-* &quot;-&quot;_-;_-@_-_추가충당금명세_0812_v1 2 5 3 3" xfId="28526"/>
    <cellStyle name="_-* #,##0_-;-* #,##0_-;_-* &quot;-&quot;_-;_-@_-_추가충당금명세_0812_v1 2 5 4" xfId="25252"/>
    <cellStyle name="_-* #,##0_-;-* #,##0_-;_-* &quot;-&quot;_-;_-@_-_추가충당금명세_0812_v1 2 5 4 2" xfId="32432"/>
    <cellStyle name="_-* #,##0_-;-* #,##0_-;_-* &quot;-&quot;_-;_-@_-_추가충당금명세_0812_v1 2 5 5" xfId="25253"/>
    <cellStyle name="_-* #,##0_-;-* #,##0_-;_-* &quot;-&quot;_-;_-@_-_추가충당금명세_0812_v1 2 5 5 2" xfId="32433"/>
    <cellStyle name="_-* #,##0_-;-* #,##0_-;_-* &quot;-&quot;_-;_-@_-_추가충당금명세_0812_v1 2 5 6" xfId="28524"/>
    <cellStyle name="_-* #,##0_-;-* #,##0_-;_-* &quot;-&quot;_-;_-@_-_추가충당금명세_0812_v1 2 6" xfId="5908"/>
    <cellStyle name="_-* #,##0_-;-* #,##0_-;_-* &quot;-&quot;_-;_-@_-_추가충당금명세_0812_v1 2 6 2" xfId="5909"/>
    <cellStyle name="_-* #,##0_-;-* #,##0_-;_-* &quot;-&quot;_-;_-@_-_추가충당금명세_0812_v1 2 6 2 2" xfId="25254"/>
    <cellStyle name="_-* #,##0_-;-* #,##0_-;_-* &quot;-&quot;_-;_-@_-_추가충당금명세_0812_v1 2 6 2 2 2" xfId="32434"/>
    <cellStyle name="_-* #,##0_-;-* #,##0_-;_-* &quot;-&quot;_-;_-@_-_추가충당금명세_0812_v1 2 6 2 3" xfId="28528"/>
    <cellStyle name="_-* #,##0_-;-* #,##0_-;_-* &quot;-&quot;_-;_-@_-_추가충당금명세_0812_v1 2 6 3" xfId="5910"/>
    <cellStyle name="_-* #,##0_-;-* #,##0_-;_-* &quot;-&quot;_-;_-@_-_추가충당금명세_0812_v1 2 6 3 2" xfId="25255"/>
    <cellStyle name="_-* #,##0_-;-* #,##0_-;_-* &quot;-&quot;_-;_-@_-_추가충당금명세_0812_v1 2 6 3 2 2" xfId="32435"/>
    <cellStyle name="_-* #,##0_-;-* #,##0_-;_-* &quot;-&quot;_-;_-@_-_추가충당금명세_0812_v1 2 6 3 3" xfId="28529"/>
    <cellStyle name="_-* #,##0_-;-* #,##0_-;_-* &quot;-&quot;_-;_-@_-_추가충당금명세_0812_v1 2 6 4" xfId="25256"/>
    <cellStyle name="_-* #,##0_-;-* #,##0_-;_-* &quot;-&quot;_-;_-@_-_추가충당금명세_0812_v1 2 6 4 2" xfId="32436"/>
    <cellStyle name="_-* #,##0_-;-* #,##0_-;_-* &quot;-&quot;_-;_-@_-_추가충당금명세_0812_v1 2 6 5" xfId="28527"/>
    <cellStyle name="_-* #,##0_-;-* #,##0_-;_-* &quot;-&quot;_-;_-@_-_추가충당금명세_0812_v1 2 7" xfId="5911"/>
    <cellStyle name="_-* #,##0_-;-* #,##0_-;_-* &quot;-&quot;_-;_-@_-_추가충당금명세_0812_v1 2 7 2" xfId="5912"/>
    <cellStyle name="_-* #,##0_-;-* #,##0_-;_-* &quot;-&quot;_-;_-@_-_추가충당금명세_0812_v1 2 7 2 2" xfId="25257"/>
    <cellStyle name="_-* #,##0_-;-* #,##0_-;_-* &quot;-&quot;_-;_-@_-_추가충당금명세_0812_v1 2 7 2 2 2" xfId="32437"/>
    <cellStyle name="_-* #,##0_-;-* #,##0_-;_-* &quot;-&quot;_-;_-@_-_추가충당금명세_0812_v1 2 7 2 3" xfId="28531"/>
    <cellStyle name="_-* #,##0_-;-* #,##0_-;_-* &quot;-&quot;_-;_-@_-_추가충당금명세_0812_v1 2 7 3" xfId="25258"/>
    <cellStyle name="_-* #,##0_-;-* #,##0_-;_-* &quot;-&quot;_-;_-@_-_추가충당금명세_0812_v1 2 7 3 2" xfId="32438"/>
    <cellStyle name="_-* #,##0_-;-* #,##0_-;_-* &quot;-&quot;_-;_-@_-_추가충당금명세_0812_v1 2 7 4" xfId="28530"/>
    <cellStyle name="_-* #,##0_-;-* #,##0_-;_-* &quot;-&quot;_-;_-@_-_추가충당금명세_0812_v1 2 8" xfId="5913"/>
    <cellStyle name="_-* #,##0_-;-* #,##0_-;_-* &quot;-&quot;_-;_-@_-_추가충당금명세_0812_v1 2 8 2" xfId="25259"/>
    <cellStyle name="_-* #,##0_-;-* #,##0_-;_-* &quot;-&quot;_-;_-@_-_추가충당금명세_0812_v1 2 8 2 2" xfId="32439"/>
    <cellStyle name="_-* #,##0_-;-* #,##0_-;_-* &quot;-&quot;_-;_-@_-_추가충당금명세_0812_v1 2 8 3" xfId="28532"/>
    <cellStyle name="_-* #,##0_-;-* #,##0_-;_-* &quot;-&quot;_-;_-@_-_추가충당금명세_0812_v1 2 9" xfId="25260"/>
    <cellStyle name="_-* #,##0_-;-* #,##0_-;_-* &quot;-&quot;_-;_-@_-_추가충당금명세_0812_v1 2 9 2" xfId="32440"/>
    <cellStyle name="_-* #,##0_-;-* #,##0_-;_-* &quot;-&quot;_-;_-@_-_추가충당금명세_0812_v1 3" xfId="5914"/>
    <cellStyle name="_-* #,##0_-;-* #,##0_-;_-* &quot;-&quot;_-;_-@_-_추가충당금명세_0812_v1 3 10" xfId="25261"/>
    <cellStyle name="_-* #,##0_-;-* #,##0_-;_-* &quot;-&quot;_-;_-@_-_추가충당금명세_0812_v1 3 10 2" xfId="32441"/>
    <cellStyle name="_-* #,##0_-;-* #,##0_-;_-* &quot;-&quot;_-;_-@_-_추가충당금명세_0812_v1 3 11" xfId="28533"/>
    <cellStyle name="_-* #,##0_-;-* #,##0_-;_-* &quot;-&quot;_-;_-@_-_추가충당금명세_0812_v1 3 2" xfId="5915"/>
    <cellStyle name="_-* #,##0_-;-* #,##0_-;_-* &quot;-&quot;_-;_-@_-_추가충당금명세_0812_v1 3 2 2" xfId="5916"/>
    <cellStyle name="_-* #,##0_-;-* #,##0_-;_-* &quot;-&quot;_-;_-@_-_추가충당금명세_0812_v1 3 2 2 2" xfId="25262"/>
    <cellStyle name="_-* #,##0_-;-* #,##0_-;_-* &quot;-&quot;_-;_-@_-_추가충당금명세_0812_v1 3 2 2 2 2" xfId="32442"/>
    <cellStyle name="_-* #,##0_-;-* #,##0_-;_-* &quot;-&quot;_-;_-@_-_추가충당금명세_0812_v1 3 2 2 3" xfId="25263"/>
    <cellStyle name="_-* #,##0_-;-* #,##0_-;_-* &quot;-&quot;_-;_-@_-_추가충당금명세_0812_v1 3 2 2 3 2" xfId="32443"/>
    <cellStyle name="_-* #,##0_-;-* #,##0_-;_-* &quot;-&quot;_-;_-@_-_추가충당금명세_0812_v1 3 2 2 4" xfId="25264"/>
    <cellStyle name="_-* #,##0_-;-* #,##0_-;_-* &quot;-&quot;_-;_-@_-_추가충당금명세_0812_v1 3 2 2 4 2" xfId="32444"/>
    <cellStyle name="_-* #,##0_-;-* #,##0_-;_-* &quot;-&quot;_-;_-@_-_추가충당금명세_0812_v1 3 2 2 5" xfId="25265"/>
    <cellStyle name="_-* #,##0_-;-* #,##0_-;_-* &quot;-&quot;_-;_-@_-_추가충당금명세_0812_v1 3 2 2 5 2" xfId="32445"/>
    <cellStyle name="_-* #,##0_-;-* #,##0_-;_-* &quot;-&quot;_-;_-@_-_추가충당금명세_0812_v1 3 2 2 6" xfId="28535"/>
    <cellStyle name="_-* #,##0_-;-* #,##0_-;_-* &quot;-&quot;_-;_-@_-_추가충당금명세_0812_v1 3 2 3" xfId="25266"/>
    <cellStyle name="_-* #,##0_-;-* #,##0_-;_-* &quot;-&quot;_-;_-@_-_추가충당금명세_0812_v1 3 2 3 2" xfId="25267"/>
    <cellStyle name="_-* #,##0_-;-* #,##0_-;_-* &quot;-&quot;_-;_-@_-_추가충당금명세_0812_v1 3 2 3 2 2" xfId="32447"/>
    <cellStyle name="_-* #,##0_-;-* #,##0_-;_-* &quot;-&quot;_-;_-@_-_추가충당금명세_0812_v1 3 2 3 3" xfId="32446"/>
    <cellStyle name="_-* #,##0_-;-* #,##0_-;_-* &quot;-&quot;_-;_-@_-_추가충당금명세_0812_v1 3 2 4" xfId="25268"/>
    <cellStyle name="_-* #,##0_-;-* #,##0_-;_-* &quot;-&quot;_-;_-@_-_추가충당금명세_0812_v1 3 2 4 2" xfId="32448"/>
    <cellStyle name="_-* #,##0_-;-* #,##0_-;_-* &quot;-&quot;_-;_-@_-_추가충당금명세_0812_v1 3 2 5" xfId="25269"/>
    <cellStyle name="_-* #,##0_-;-* #,##0_-;_-* &quot;-&quot;_-;_-@_-_추가충당금명세_0812_v1 3 2 5 2" xfId="32449"/>
    <cellStyle name="_-* #,##0_-;-* #,##0_-;_-* &quot;-&quot;_-;_-@_-_추가충당금명세_0812_v1 3 2 6" xfId="25270"/>
    <cellStyle name="_-* #,##0_-;-* #,##0_-;_-* &quot;-&quot;_-;_-@_-_추가충당금명세_0812_v1 3 2 6 2" xfId="32450"/>
    <cellStyle name="_-* #,##0_-;-* #,##0_-;_-* &quot;-&quot;_-;_-@_-_추가충당금명세_0812_v1 3 2 7" xfId="25271"/>
    <cellStyle name="_-* #,##0_-;-* #,##0_-;_-* &quot;-&quot;_-;_-@_-_추가충당금명세_0812_v1 3 2 7 2" xfId="32451"/>
    <cellStyle name="_-* #,##0_-;-* #,##0_-;_-* &quot;-&quot;_-;_-@_-_추가충당금명세_0812_v1 3 2 8" xfId="28534"/>
    <cellStyle name="_-* #,##0_-;-* #,##0_-;_-* &quot;-&quot;_-;_-@_-_추가충당금명세_0812_v1 3 3" xfId="5917"/>
    <cellStyle name="_-* #,##0_-;-* #,##0_-;_-* &quot;-&quot;_-;_-@_-_추가충당금명세_0812_v1 3 3 2" xfId="5918"/>
    <cellStyle name="_-* #,##0_-;-* #,##0_-;_-* &quot;-&quot;_-;_-@_-_추가충당금명세_0812_v1 3 3 2 2" xfId="25272"/>
    <cellStyle name="_-* #,##0_-;-* #,##0_-;_-* &quot;-&quot;_-;_-@_-_추가충당금명세_0812_v1 3 3 2 2 2" xfId="32452"/>
    <cellStyle name="_-* #,##0_-;-* #,##0_-;_-* &quot;-&quot;_-;_-@_-_추가충당금명세_0812_v1 3 3 2 3" xfId="25273"/>
    <cellStyle name="_-* #,##0_-;-* #,##0_-;_-* &quot;-&quot;_-;_-@_-_추가충당금명세_0812_v1 3 3 2 3 2" xfId="32453"/>
    <cellStyle name="_-* #,##0_-;-* #,##0_-;_-* &quot;-&quot;_-;_-@_-_추가충당금명세_0812_v1 3 3 2 4" xfId="25274"/>
    <cellStyle name="_-* #,##0_-;-* #,##0_-;_-* &quot;-&quot;_-;_-@_-_추가충당금명세_0812_v1 3 3 2 4 2" xfId="32454"/>
    <cellStyle name="_-* #,##0_-;-* #,##0_-;_-* &quot;-&quot;_-;_-@_-_추가충당금명세_0812_v1 3 3 2 5" xfId="25275"/>
    <cellStyle name="_-* #,##0_-;-* #,##0_-;_-* &quot;-&quot;_-;_-@_-_추가충당금명세_0812_v1 3 3 2 5 2" xfId="32455"/>
    <cellStyle name="_-* #,##0_-;-* #,##0_-;_-* &quot;-&quot;_-;_-@_-_추가충당금명세_0812_v1 3 3 2 6" xfId="28537"/>
    <cellStyle name="_-* #,##0_-;-* #,##0_-;_-* &quot;-&quot;_-;_-@_-_추가충당금명세_0812_v1 3 3 3" xfId="25276"/>
    <cellStyle name="_-* #,##0_-;-* #,##0_-;_-* &quot;-&quot;_-;_-@_-_추가충당금명세_0812_v1 3 3 3 2" xfId="25277"/>
    <cellStyle name="_-* #,##0_-;-* #,##0_-;_-* &quot;-&quot;_-;_-@_-_추가충당금명세_0812_v1 3 3 3 2 2" xfId="32457"/>
    <cellStyle name="_-* #,##0_-;-* #,##0_-;_-* &quot;-&quot;_-;_-@_-_추가충당금명세_0812_v1 3 3 3 3" xfId="32456"/>
    <cellStyle name="_-* #,##0_-;-* #,##0_-;_-* &quot;-&quot;_-;_-@_-_추가충당금명세_0812_v1 3 3 4" xfId="25278"/>
    <cellStyle name="_-* #,##0_-;-* #,##0_-;_-* &quot;-&quot;_-;_-@_-_추가충당금명세_0812_v1 3 3 4 2" xfId="32458"/>
    <cellStyle name="_-* #,##0_-;-* #,##0_-;_-* &quot;-&quot;_-;_-@_-_추가충당금명세_0812_v1 3 3 5" xfId="25279"/>
    <cellStyle name="_-* #,##0_-;-* #,##0_-;_-* &quot;-&quot;_-;_-@_-_추가충당금명세_0812_v1 3 3 5 2" xfId="32459"/>
    <cellStyle name="_-* #,##0_-;-* #,##0_-;_-* &quot;-&quot;_-;_-@_-_추가충당금명세_0812_v1 3 3 6" xfId="25280"/>
    <cellStyle name="_-* #,##0_-;-* #,##0_-;_-* &quot;-&quot;_-;_-@_-_추가충당금명세_0812_v1 3 3 6 2" xfId="32460"/>
    <cellStyle name="_-* #,##0_-;-* #,##0_-;_-* &quot;-&quot;_-;_-@_-_추가충당금명세_0812_v1 3 3 7" xfId="25281"/>
    <cellStyle name="_-* #,##0_-;-* #,##0_-;_-* &quot;-&quot;_-;_-@_-_추가충당금명세_0812_v1 3 3 7 2" xfId="32461"/>
    <cellStyle name="_-* #,##0_-;-* #,##0_-;_-* &quot;-&quot;_-;_-@_-_추가충당금명세_0812_v1 3 3 8" xfId="28536"/>
    <cellStyle name="_-* #,##0_-;-* #,##0_-;_-* &quot;-&quot;_-;_-@_-_추가충당금명세_0812_v1 3 4" xfId="5919"/>
    <cellStyle name="_-* #,##0_-;-* #,##0_-;_-* &quot;-&quot;_-;_-@_-_추가충당금명세_0812_v1 3 4 2" xfId="5920"/>
    <cellStyle name="_-* #,##0_-;-* #,##0_-;_-* &quot;-&quot;_-;_-@_-_추가충당금명세_0812_v1 3 4 2 2" xfId="25282"/>
    <cellStyle name="_-* #,##0_-;-* #,##0_-;_-* &quot;-&quot;_-;_-@_-_추가충당금명세_0812_v1 3 4 2 2 2" xfId="32462"/>
    <cellStyle name="_-* #,##0_-;-* #,##0_-;_-* &quot;-&quot;_-;_-@_-_추가충당금명세_0812_v1 3 4 2 3" xfId="25283"/>
    <cellStyle name="_-* #,##0_-;-* #,##0_-;_-* &quot;-&quot;_-;_-@_-_추가충당금명세_0812_v1 3 4 2 3 2" xfId="32463"/>
    <cellStyle name="_-* #,##0_-;-* #,##0_-;_-* &quot;-&quot;_-;_-@_-_추가충당금명세_0812_v1 3 4 2 4" xfId="25284"/>
    <cellStyle name="_-* #,##0_-;-* #,##0_-;_-* &quot;-&quot;_-;_-@_-_추가충당금명세_0812_v1 3 4 2 4 2" xfId="32464"/>
    <cellStyle name="_-* #,##0_-;-* #,##0_-;_-* &quot;-&quot;_-;_-@_-_추가충당금명세_0812_v1 3 4 2 5" xfId="25285"/>
    <cellStyle name="_-* #,##0_-;-* #,##0_-;_-* &quot;-&quot;_-;_-@_-_추가충당금명세_0812_v1 3 4 2 5 2" xfId="32465"/>
    <cellStyle name="_-* #,##0_-;-* #,##0_-;_-* &quot;-&quot;_-;_-@_-_추가충당금명세_0812_v1 3 4 2 6" xfId="28539"/>
    <cellStyle name="_-* #,##0_-;-* #,##0_-;_-* &quot;-&quot;_-;_-@_-_추가충당금명세_0812_v1 3 4 3" xfId="25286"/>
    <cellStyle name="_-* #,##0_-;-* #,##0_-;_-* &quot;-&quot;_-;_-@_-_추가충당금명세_0812_v1 3 4 3 2" xfId="25287"/>
    <cellStyle name="_-* #,##0_-;-* #,##0_-;_-* &quot;-&quot;_-;_-@_-_추가충당금명세_0812_v1 3 4 3 2 2" xfId="32467"/>
    <cellStyle name="_-* #,##0_-;-* #,##0_-;_-* &quot;-&quot;_-;_-@_-_추가충당금명세_0812_v1 3 4 3 3" xfId="32466"/>
    <cellStyle name="_-* #,##0_-;-* #,##0_-;_-* &quot;-&quot;_-;_-@_-_추가충당금명세_0812_v1 3 4 4" xfId="25288"/>
    <cellStyle name="_-* #,##0_-;-* #,##0_-;_-* &quot;-&quot;_-;_-@_-_추가충당금명세_0812_v1 3 4 4 2" xfId="32468"/>
    <cellStyle name="_-* #,##0_-;-* #,##0_-;_-* &quot;-&quot;_-;_-@_-_추가충당금명세_0812_v1 3 4 5" xfId="25289"/>
    <cellStyle name="_-* #,##0_-;-* #,##0_-;_-* &quot;-&quot;_-;_-@_-_추가충당금명세_0812_v1 3 4 5 2" xfId="32469"/>
    <cellStyle name="_-* #,##0_-;-* #,##0_-;_-* &quot;-&quot;_-;_-@_-_추가충당금명세_0812_v1 3 4 6" xfId="25290"/>
    <cellStyle name="_-* #,##0_-;-* #,##0_-;_-* &quot;-&quot;_-;_-@_-_추가충당금명세_0812_v1 3 4 6 2" xfId="32470"/>
    <cellStyle name="_-* #,##0_-;-* #,##0_-;_-* &quot;-&quot;_-;_-@_-_추가충당금명세_0812_v1 3 4 7" xfId="25291"/>
    <cellStyle name="_-* #,##0_-;-* #,##0_-;_-* &quot;-&quot;_-;_-@_-_추가충당금명세_0812_v1 3 4 7 2" xfId="32471"/>
    <cellStyle name="_-* #,##0_-;-* #,##0_-;_-* &quot;-&quot;_-;_-@_-_추가충당금명세_0812_v1 3 4 8" xfId="28538"/>
    <cellStyle name="_-* #,##0_-;-* #,##0_-;_-* &quot;-&quot;_-;_-@_-_추가충당금명세_0812_v1 3 5" xfId="5921"/>
    <cellStyle name="_-* #,##0_-;-* #,##0_-;_-* &quot;-&quot;_-;_-@_-_추가충당금명세_0812_v1 3 5 2" xfId="25292"/>
    <cellStyle name="_-* #,##0_-;-* #,##0_-;_-* &quot;-&quot;_-;_-@_-_추가충당금명세_0812_v1 3 5 2 2" xfId="32472"/>
    <cellStyle name="_-* #,##0_-;-* #,##0_-;_-* &quot;-&quot;_-;_-@_-_추가충당금명세_0812_v1 3 5 3" xfId="25293"/>
    <cellStyle name="_-* #,##0_-;-* #,##0_-;_-* &quot;-&quot;_-;_-@_-_추가충당금명세_0812_v1 3 5 3 2" xfId="32473"/>
    <cellStyle name="_-* #,##0_-;-* #,##0_-;_-* &quot;-&quot;_-;_-@_-_추가충당금명세_0812_v1 3 5 4" xfId="25294"/>
    <cellStyle name="_-* #,##0_-;-* #,##0_-;_-* &quot;-&quot;_-;_-@_-_추가충당금명세_0812_v1 3 5 4 2" xfId="32474"/>
    <cellStyle name="_-* #,##0_-;-* #,##0_-;_-* &quot;-&quot;_-;_-@_-_추가충당금명세_0812_v1 3 5 5" xfId="25295"/>
    <cellStyle name="_-* #,##0_-;-* #,##0_-;_-* &quot;-&quot;_-;_-@_-_추가충당금명세_0812_v1 3 5 5 2" xfId="32475"/>
    <cellStyle name="_-* #,##0_-;-* #,##0_-;_-* &quot;-&quot;_-;_-@_-_추가충당금명세_0812_v1 3 5 6" xfId="28540"/>
    <cellStyle name="_-* #,##0_-;-* #,##0_-;_-* &quot;-&quot;_-;_-@_-_추가충당금명세_0812_v1 3 6" xfId="25296"/>
    <cellStyle name="_-* #,##0_-;-* #,##0_-;_-* &quot;-&quot;_-;_-@_-_추가충당금명세_0812_v1 3 6 2" xfId="25297"/>
    <cellStyle name="_-* #,##0_-;-* #,##0_-;_-* &quot;-&quot;_-;_-@_-_추가충당금명세_0812_v1 3 6 2 2" xfId="32477"/>
    <cellStyle name="_-* #,##0_-;-* #,##0_-;_-* &quot;-&quot;_-;_-@_-_추가충당금명세_0812_v1 3 6 3" xfId="32476"/>
    <cellStyle name="_-* #,##0_-;-* #,##0_-;_-* &quot;-&quot;_-;_-@_-_추가충당금명세_0812_v1 3 7" xfId="25298"/>
    <cellStyle name="_-* #,##0_-;-* #,##0_-;_-* &quot;-&quot;_-;_-@_-_추가충당금명세_0812_v1 3 7 2" xfId="32478"/>
    <cellStyle name="_-* #,##0_-;-* #,##0_-;_-* &quot;-&quot;_-;_-@_-_추가충당금명세_0812_v1 3 8" xfId="25299"/>
    <cellStyle name="_-* #,##0_-;-* #,##0_-;_-* &quot;-&quot;_-;_-@_-_추가충당금명세_0812_v1 3 8 2" xfId="32479"/>
    <cellStyle name="_-* #,##0_-;-* #,##0_-;_-* &quot;-&quot;_-;_-@_-_추가충당금명세_0812_v1 3 9" xfId="25300"/>
    <cellStyle name="_-* #,##0_-;-* #,##0_-;_-* &quot;-&quot;_-;_-@_-_추가충당금명세_0812_v1 3 9 2" xfId="32480"/>
    <cellStyle name="_-* #,##0_-;-* #,##0_-;_-* &quot;-&quot;_-;_-@_-_추가충당금명세_0812_v1 4" xfId="5922"/>
    <cellStyle name="_-* #,##0_-;-* #,##0_-;_-* &quot;-&quot;_-;_-@_-_추가충당금명세_0812_v1 4 2" xfId="5923"/>
    <cellStyle name="_-* #,##0_-;-* #,##0_-;_-* &quot;-&quot;_-;_-@_-_추가충당금명세_0812_v1 4 2 2" xfId="5924"/>
    <cellStyle name="_-* #,##0_-;-* #,##0_-;_-* &quot;-&quot;_-;_-@_-_추가충당금명세_0812_v1 4 2 2 2" xfId="25301"/>
    <cellStyle name="_-* #,##0_-;-* #,##0_-;_-* &quot;-&quot;_-;_-@_-_추가충당금명세_0812_v1 4 2 2 2 2" xfId="32481"/>
    <cellStyle name="_-* #,##0_-;-* #,##0_-;_-* &quot;-&quot;_-;_-@_-_추가충당금명세_0812_v1 4 2 2 3" xfId="28543"/>
    <cellStyle name="_-* #,##0_-;-* #,##0_-;_-* &quot;-&quot;_-;_-@_-_추가충당금명세_0812_v1 4 2 3" xfId="25302"/>
    <cellStyle name="_-* #,##0_-;-* #,##0_-;_-* &quot;-&quot;_-;_-@_-_추가충당금명세_0812_v1 4 2 3 2" xfId="32482"/>
    <cellStyle name="_-* #,##0_-;-* #,##0_-;_-* &quot;-&quot;_-;_-@_-_추가충당금명세_0812_v1 4 2 4" xfId="25303"/>
    <cellStyle name="_-* #,##0_-;-* #,##0_-;_-* &quot;-&quot;_-;_-@_-_추가충당금명세_0812_v1 4 2 4 2" xfId="32483"/>
    <cellStyle name="_-* #,##0_-;-* #,##0_-;_-* &quot;-&quot;_-;_-@_-_추가충당금명세_0812_v1 4 2 5" xfId="25304"/>
    <cellStyle name="_-* #,##0_-;-* #,##0_-;_-* &quot;-&quot;_-;_-@_-_추가충당금명세_0812_v1 4 2 5 2" xfId="32484"/>
    <cellStyle name="_-* #,##0_-;-* #,##0_-;_-* &quot;-&quot;_-;_-@_-_추가충당금명세_0812_v1 4 2 6" xfId="28542"/>
    <cellStyle name="_-* #,##0_-;-* #,##0_-;_-* &quot;-&quot;_-;_-@_-_추가충당금명세_0812_v1 4 3" xfId="5925"/>
    <cellStyle name="_-* #,##0_-;-* #,##0_-;_-* &quot;-&quot;_-;_-@_-_추가충당금명세_0812_v1 4 3 2" xfId="5926"/>
    <cellStyle name="_-* #,##0_-;-* #,##0_-;_-* &quot;-&quot;_-;_-@_-_추가충당금명세_0812_v1 4 3 2 2" xfId="25305"/>
    <cellStyle name="_-* #,##0_-;-* #,##0_-;_-* &quot;-&quot;_-;_-@_-_추가충당금명세_0812_v1 4 3 2 2 2" xfId="32485"/>
    <cellStyle name="_-* #,##0_-;-* #,##0_-;_-* &quot;-&quot;_-;_-@_-_추가충당금명세_0812_v1 4 3 2 3" xfId="28545"/>
    <cellStyle name="_-* #,##0_-;-* #,##0_-;_-* &quot;-&quot;_-;_-@_-_추가충당금명세_0812_v1 4 3 3" xfId="25306"/>
    <cellStyle name="_-* #,##0_-;-* #,##0_-;_-* &quot;-&quot;_-;_-@_-_추가충당금명세_0812_v1 4 3 3 2" xfId="32486"/>
    <cellStyle name="_-* #,##0_-;-* #,##0_-;_-* &quot;-&quot;_-;_-@_-_추가충당금명세_0812_v1 4 3 4" xfId="28544"/>
    <cellStyle name="_-* #,##0_-;-* #,##0_-;_-* &quot;-&quot;_-;_-@_-_추가충당금명세_0812_v1 4 4" xfId="5927"/>
    <cellStyle name="_-* #,##0_-;-* #,##0_-;_-* &quot;-&quot;_-;_-@_-_추가충당금명세_0812_v1 4 4 2" xfId="5928"/>
    <cellStyle name="_-* #,##0_-;-* #,##0_-;_-* &quot;-&quot;_-;_-@_-_추가충당금명세_0812_v1 4 4 2 2" xfId="25307"/>
    <cellStyle name="_-* #,##0_-;-* #,##0_-;_-* &quot;-&quot;_-;_-@_-_추가충당금명세_0812_v1 4 4 2 2 2" xfId="32487"/>
    <cellStyle name="_-* #,##0_-;-* #,##0_-;_-* &quot;-&quot;_-;_-@_-_추가충당금명세_0812_v1 4 4 2 3" xfId="28547"/>
    <cellStyle name="_-* #,##0_-;-* #,##0_-;_-* &quot;-&quot;_-;_-@_-_추가충당금명세_0812_v1 4 4 3" xfId="25308"/>
    <cellStyle name="_-* #,##0_-;-* #,##0_-;_-* &quot;-&quot;_-;_-@_-_추가충당금명세_0812_v1 4 4 3 2" xfId="32488"/>
    <cellStyle name="_-* #,##0_-;-* #,##0_-;_-* &quot;-&quot;_-;_-@_-_추가충당금명세_0812_v1 4 4 4" xfId="28546"/>
    <cellStyle name="_-* #,##0_-;-* #,##0_-;_-* &quot;-&quot;_-;_-@_-_추가충당금명세_0812_v1 4 5" xfId="5929"/>
    <cellStyle name="_-* #,##0_-;-* #,##0_-;_-* &quot;-&quot;_-;_-@_-_추가충당금명세_0812_v1 4 5 2" xfId="25309"/>
    <cellStyle name="_-* #,##0_-;-* #,##0_-;_-* &quot;-&quot;_-;_-@_-_추가충당금명세_0812_v1 4 5 2 2" xfId="32489"/>
    <cellStyle name="_-* #,##0_-;-* #,##0_-;_-* &quot;-&quot;_-;_-@_-_추가충당금명세_0812_v1 4 5 3" xfId="28548"/>
    <cellStyle name="_-* #,##0_-;-* #,##0_-;_-* &quot;-&quot;_-;_-@_-_추가충당금명세_0812_v1 4 6" xfId="25310"/>
    <cellStyle name="_-* #,##0_-;-* #,##0_-;_-* &quot;-&quot;_-;_-@_-_추가충당금명세_0812_v1 4 6 2" xfId="32490"/>
    <cellStyle name="_-* #,##0_-;-* #,##0_-;_-* &quot;-&quot;_-;_-@_-_추가충당금명세_0812_v1 4 7" xfId="25311"/>
    <cellStyle name="_-* #,##0_-;-* #,##0_-;_-* &quot;-&quot;_-;_-@_-_추가충당금명세_0812_v1 4 7 2" xfId="32491"/>
    <cellStyle name="_-* #,##0_-;-* #,##0_-;_-* &quot;-&quot;_-;_-@_-_추가충당금명세_0812_v1 4 8" xfId="28541"/>
    <cellStyle name="_-* #,##0_-;-* #,##0_-;_-* &quot;-&quot;_-;_-@_-_추가충당금명세_0812_v1 5" xfId="5930"/>
    <cellStyle name="_-* #,##0_-;-* #,##0_-;_-* &quot;-&quot;_-;_-@_-_추가충당금명세_0812_v1 5 2" xfId="5931"/>
    <cellStyle name="_-* #,##0_-;-* #,##0_-;_-* &quot;-&quot;_-;_-@_-_추가충당금명세_0812_v1 5 2 2" xfId="5932"/>
    <cellStyle name="_-* #,##0_-;-* #,##0_-;_-* &quot;-&quot;_-;_-@_-_추가충당금명세_0812_v1 5 2 2 2" xfId="25312"/>
    <cellStyle name="_-* #,##0_-;-* #,##0_-;_-* &quot;-&quot;_-;_-@_-_추가충당금명세_0812_v1 5 2 2 2 2" xfId="32492"/>
    <cellStyle name="_-* #,##0_-;-* #,##0_-;_-* &quot;-&quot;_-;_-@_-_추가충당금명세_0812_v1 5 2 2 3" xfId="28551"/>
    <cellStyle name="_-* #,##0_-;-* #,##0_-;_-* &quot;-&quot;_-;_-@_-_추가충당금명세_0812_v1 5 2 3" xfId="25313"/>
    <cellStyle name="_-* #,##0_-;-* #,##0_-;_-* &quot;-&quot;_-;_-@_-_추가충당금명세_0812_v1 5 2 3 2" xfId="32493"/>
    <cellStyle name="_-* #,##0_-;-* #,##0_-;_-* &quot;-&quot;_-;_-@_-_추가충당금명세_0812_v1 5 2 4" xfId="25314"/>
    <cellStyle name="_-* #,##0_-;-* #,##0_-;_-* &quot;-&quot;_-;_-@_-_추가충당금명세_0812_v1 5 2 4 2" xfId="32494"/>
    <cellStyle name="_-* #,##0_-;-* #,##0_-;_-* &quot;-&quot;_-;_-@_-_추가충당금명세_0812_v1 5 2 5" xfId="25315"/>
    <cellStyle name="_-* #,##0_-;-* #,##0_-;_-* &quot;-&quot;_-;_-@_-_추가충당금명세_0812_v1 5 2 5 2" xfId="32495"/>
    <cellStyle name="_-* #,##0_-;-* #,##0_-;_-* &quot;-&quot;_-;_-@_-_추가충당금명세_0812_v1 5 2 6" xfId="28550"/>
    <cellStyle name="_-* #,##0_-;-* #,##0_-;_-* &quot;-&quot;_-;_-@_-_추가충당금명세_0812_v1 5 3" xfId="5933"/>
    <cellStyle name="_-* #,##0_-;-* #,##0_-;_-* &quot;-&quot;_-;_-@_-_추가충당금명세_0812_v1 5 3 2" xfId="5934"/>
    <cellStyle name="_-* #,##0_-;-* #,##0_-;_-* &quot;-&quot;_-;_-@_-_추가충당금명세_0812_v1 5 3 2 2" xfId="25316"/>
    <cellStyle name="_-* #,##0_-;-* #,##0_-;_-* &quot;-&quot;_-;_-@_-_추가충당금명세_0812_v1 5 3 2 2 2" xfId="32496"/>
    <cellStyle name="_-* #,##0_-;-* #,##0_-;_-* &quot;-&quot;_-;_-@_-_추가충당금명세_0812_v1 5 3 2 3" xfId="28553"/>
    <cellStyle name="_-* #,##0_-;-* #,##0_-;_-* &quot;-&quot;_-;_-@_-_추가충당금명세_0812_v1 5 3 3" xfId="25317"/>
    <cellStyle name="_-* #,##0_-;-* #,##0_-;_-* &quot;-&quot;_-;_-@_-_추가충당금명세_0812_v1 5 3 3 2" xfId="32497"/>
    <cellStyle name="_-* #,##0_-;-* #,##0_-;_-* &quot;-&quot;_-;_-@_-_추가충당금명세_0812_v1 5 3 4" xfId="28552"/>
    <cellStyle name="_-* #,##0_-;-* #,##0_-;_-* &quot;-&quot;_-;_-@_-_추가충당금명세_0812_v1 5 4" xfId="5935"/>
    <cellStyle name="_-* #,##0_-;-* #,##0_-;_-* &quot;-&quot;_-;_-@_-_추가충당금명세_0812_v1 5 4 2" xfId="25318"/>
    <cellStyle name="_-* #,##0_-;-* #,##0_-;_-* &quot;-&quot;_-;_-@_-_추가충당금명세_0812_v1 5 4 2 2" xfId="32498"/>
    <cellStyle name="_-* #,##0_-;-* #,##0_-;_-* &quot;-&quot;_-;_-@_-_추가충당금명세_0812_v1 5 4 3" xfId="28554"/>
    <cellStyle name="_-* #,##0_-;-* #,##0_-;_-* &quot;-&quot;_-;_-@_-_추가충당금명세_0812_v1 5 5" xfId="25319"/>
    <cellStyle name="_-* #,##0_-;-* #,##0_-;_-* &quot;-&quot;_-;_-@_-_추가충당금명세_0812_v1 5 5 2" xfId="32499"/>
    <cellStyle name="_-* #,##0_-;-* #,##0_-;_-* &quot;-&quot;_-;_-@_-_추가충당금명세_0812_v1 5 6" xfId="25320"/>
    <cellStyle name="_-* #,##0_-;-* #,##0_-;_-* &quot;-&quot;_-;_-@_-_추가충당금명세_0812_v1 5 6 2" xfId="32500"/>
    <cellStyle name="_-* #,##0_-;-* #,##0_-;_-* &quot;-&quot;_-;_-@_-_추가충당금명세_0812_v1 5 7" xfId="25321"/>
    <cellStyle name="_-* #,##0_-;-* #,##0_-;_-* &quot;-&quot;_-;_-@_-_추가충당금명세_0812_v1 5 7 2" xfId="32501"/>
    <cellStyle name="_-* #,##0_-;-* #,##0_-;_-* &quot;-&quot;_-;_-@_-_추가충당금명세_0812_v1 5 8" xfId="28549"/>
    <cellStyle name="_-* #,##0_-;-* #,##0_-;_-* &quot;-&quot;_-;_-@_-_추가충당금명세_0812_v1 6" xfId="5936"/>
    <cellStyle name="_-* #,##0_-;-* #,##0_-;_-* &quot;-&quot;_-;_-@_-_추가충당금명세_0812_v1 6 2" xfId="5937"/>
    <cellStyle name="_-* #,##0_-;-* #,##0_-;_-* &quot;-&quot;_-;_-@_-_추가충당금명세_0812_v1 6 2 2" xfId="25322"/>
    <cellStyle name="_-* #,##0_-;-* #,##0_-;_-* &quot;-&quot;_-;_-@_-_추가충당금명세_0812_v1 6 2 2 2" xfId="32502"/>
    <cellStyle name="_-* #,##0_-;-* #,##0_-;_-* &quot;-&quot;_-;_-@_-_추가충당금명세_0812_v1 6 2 3" xfId="25323"/>
    <cellStyle name="_-* #,##0_-;-* #,##0_-;_-* &quot;-&quot;_-;_-@_-_추가충당금명세_0812_v1 6 2 3 2" xfId="32503"/>
    <cellStyle name="_-* #,##0_-;-* #,##0_-;_-* &quot;-&quot;_-;_-@_-_추가충당금명세_0812_v1 6 2 4" xfId="25324"/>
    <cellStyle name="_-* #,##0_-;-* #,##0_-;_-* &quot;-&quot;_-;_-@_-_추가충당금명세_0812_v1 6 2 4 2" xfId="32504"/>
    <cellStyle name="_-* #,##0_-;-* #,##0_-;_-* &quot;-&quot;_-;_-@_-_추가충당금명세_0812_v1 6 2 5" xfId="25325"/>
    <cellStyle name="_-* #,##0_-;-* #,##0_-;_-* &quot;-&quot;_-;_-@_-_추가충당금명세_0812_v1 6 2 5 2" xfId="32505"/>
    <cellStyle name="_-* #,##0_-;-* #,##0_-;_-* &quot;-&quot;_-;_-@_-_추가충당금명세_0812_v1 6 2 6" xfId="28556"/>
    <cellStyle name="_-* #,##0_-;-* #,##0_-;_-* &quot;-&quot;_-;_-@_-_추가충당금명세_0812_v1 6 3" xfId="25326"/>
    <cellStyle name="_-* #,##0_-;-* #,##0_-;_-* &quot;-&quot;_-;_-@_-_추가충당금명세_0812_v1 6 3 2" xfId="25327"/>
    <cellStyle name="_-* #,##0_-;-* #,##0_-;_-* &quot;-&quot;_-;_-@_-_추가충당금명세_0812_v1 6 3 2 2" xfId="32507"/>
    <cellStyle name="_-* #,##0_-;-* #,##0_-;_-* &quot;-&quot;_-;_-@_-_추가충당금명세_0812_v1 6 3 3" xfId="32506"/>
    <cellStyle name="_-* #,##0_-;-* #,##0_-;_-* &quot;-&quot;_-;_-@_-_추가충당금명세_0812_v1 6 4" xfId="25328"/>
    <cellStyle name="_-* #,##0_-;-* #,##0_-;_-* &quot;-&quot;_-;_-@_-_추가충당금명세_0812_v1 6 4 2" xfId="32508"/>
    <cellStyle name="_-* #,##0_-;-* #,##0_-;_-* &quot;-&quot;_-;_-@_-_추가충당금명세_0812_v1 6 5" xfId="25329"/>
    <cellStyle name="_-* #,##0_-;-* #,##0_-;_-* &quot;-&quot;_-;_-@_-_추가충당금명세_0812_v1 6 5 2" xfId="32509"/>
    <cellStyle name="_-* #,##0_-;-* #,##0_-;_-* &quot;-&quot;_-;_-@_-_추가충당금명세_0812_v1 6 6" xfId="25330"/>
    <cellStyle name="_-* #,##0_-;-* #,##0_-;_-* &quot;-&quot;_-;_-@_-_추가충당금명세_0812_v1 6 6 2" xfId="32510"/>
    <cellStyle name="_-* #,##0_-;-* #,##0_-;_-* &quot;-&quot;_-;_-@_-_추가충당금명세_0812_v1 6 7" xfId="25331"/>
    <cellStyle name="_-* #,##0_-;-* #,##0_-;_-* &quot;-&quot;_-;_-@_-_추가충당금명세_0812_v1 6 7 2" xfId="32511"/>
    <cellStyle name="_-* #,##0_-;-* #,##0_-;_-* &quot;-&quot;_-;_-@_-_추가충당금명세_0812_v1 6 8" xfId="28555"/>
    <cellStyle name="_-* #,##0_-;-* #,##0_-;_-* &quot;-&quot;_-;_-@_-_추가충당금명세_0812_v1 7" xfId="5938"/>
    <cellStyle name="_-* #,##0_-;-* #,##0_-;_-* &quot;-&quot;_-;_-@_-_추가충당금명세_0812_v1 7 2" xfId="5939"/>
    <cellStyle name="_-* #,##0_-;-* #,##0_-;_-* &quot;-&quot;_-;_-@_-_추가충당금명세_0812_v1 7 2 2" xfId="25332"/>
    <cellStyle name="_-* #,##0_-;-* #,##0_-;_-* &quot;-&quot;_-;_-@_-_추가충당금명세_0812_v1 7 2 2 2" xfId="32512"/>
    <cellStyle name="_-* #,##0_-;-* #,##0_-;_-* &quot;-&quot;_-;_-@_-_추가충당금명세_0812_v1 7 2 3" xfId="28558"/>
    <cellStyle name="_-* #,##0_-;-* #,##0_-;_-* &quot;-&quot;_-;_-@_-_추가충당금명세_0812_v1 7 3" xfId="25333"/>
    <cellStyle name="_-* #,##0_-;-* #,##0_-;_-* &quot;-&quot;_-;_-@_-_추가충당금명세_0812_v1 7 3 2" xfId="32513"/>
    <cellStyle name="_-* #,##0_-;-* #,##0_-;_-* &quot;-&quot;_-;_-@_-_추가충당금명세_0812_v1 7 4" xfId="25334"/>
    <cellStyle name="_-* #,##0_-;-* #,##0_-;_-* &quot;-&quot;_-;_-@_-_추가충당금명세_0812_v1 7 4 2" xfId="32514"/>
    <cellStyle name="_-* #,##0_-;-* #,##0_-;_-* &quot;-&quot;_-;_-@_-_추가충당금명세_0812_v1 7 5" xfId="25335"/>
    <cellStyle name="_-* #,##0_-;-* #,##0_-;_-* &quot;-&quot;_-;_-@_-_추가충당금명세_0812_v1 7 5 2" xfId="32515"/>
    <cellStyle name="_-* #,##0_-;-* #,##0_-;_-* &quot;-&quot;_-;_-@_-_추가충당금명세_0812_v1 7 6" xfId="28557"/>
    <cellStyle name="_-* #,##0_-;-* #,##0_-;_-* &quot;-&quot;_-;_-@_-_추가충당금명세_0812_v1 8" xfId="5940"/>
    <cellStyle name="_-* #,##0_-;-* #,##0_-;_-* &quot;-&quot;_-;_-@_-_추가충당금명세_0812_v1 8 2" xfId="5941"/>
    <cellStyle name="_-* #,##0_-;-* #,##0_-;_-* &quot;-&quot;_-;_-@_-_추가충당금명세_0812_v1 8 2 2" xfId="25336"/>
    <cellStyle name="_-* #,##0_-;-* #,##0_-;_-* &quot;-&quot;_-;_-@_-_추가충당금명세_0812_v1 8 2 2 2" xfId="32516"/>
    <cellStyle name="_-* #,##0_-;-* #,##0_-;_-* &quot;-&quot;_-;_-@_-_추가충당금명세_0812_v1 8 2 3" xfId="28560"/>
    <cellStyle name="_-* #,##0_-;-* #,##0_-;_-* &quot;-&quot;_-;_-@_-_추가충당금명세_0812_v1 8 3" xfId="25337"/>
    <cellStyle name="_-* #,##0_-;-* #,##0_-;_-* &quot;-&quot;_-;_-@_-_추가충당금명세_0812_v1 8 3 2" xfId="32517"/>
    <cellStyle name="_-* #,##0_-;-* #,##0_-;_-* &quot;-&quot;_-;_-@_-_추가충당금명세_0812_v1 8 4" xfId="25338"/>
    <cellStyle name="_-* #,##0_-;-* #,##0_-;_-* &quot;-&quot;_-;_-@_-_추가충당금명세_0812_v1 8 4 2" xfId="32518"/>
    <cellStyle name="_-* #,##0_-;-* #,##0_-;_-* &quot;-&quot;_-;_-@_-_추가충당금명세_0812_v1 8 5" xfId="25339"/>
    <cellStyle name="_-* #,##0_-;-* #,##0_-;_-* &quot;-&quot;_-;_-@_-_추가충당금명세_0812_v1 8 5 2" xfId="32519"/>
    <cellStyle name="_-* #,##0_-;-* #,##0_-;_-* &quot;-&quot;_-;_-@_-_추가충당금명세_0812_v1 8 6" xfId="28559"/>
    <cellStyle name="_-* #,##0_-;-* #,##0_-;_-* &quot;-&quot;_-;_-@_-_추가충당금명세_0812_v1 9" xfId="5942"/>
    <cellStyle name="_-* #,##0_-;-* #,##0_-;_-* &quot;-&quot;_-;_-@_-_추가충당금명세_0812_v1 9 2" xfId="25340"/>
    <cellStyle name="_-* #,##0_-;-* #,##0_-;_-* &quot;-&quot;_-;_-@_-_추가충당금명세_0812_v1 9 2 2" xfId="32520"/>
    <cellStyle name="_-* #,##0_-;-* #,##0_-;_-* &quot;-&quot;_-;_-@_-_추가충당금명세_0812_v1 9 3" xfId="25341"/>
    <cellStyle name="_-* #,##0_-;-* #,##0_-;_-* &quot;-&quot;_-;_-@_-_추가충당금명세_0812_v1 9 3 2" xfId="32521"/>
    <cellStyle name="_-* #,##0_-;-* #,##0_-;_-* &quot;-&quot;_-;_-@_-_추가충당금명세_0812_v1 9 4" xfId="25342"/>
    <cellStyle name="_-* #,##0_-;-* #,##0_-;_-* &quot;-&quot;_-;_-@_-_추가충당금명세_0812_v1 9 4 2" xfId="32522"/>
    <cellStyle name="_-* #,##0_-;-* #,##0_-;_-* &quot;-&quot;_-;_-@_-_추가충당금명세_0812_v1 9 5" xfId="28561"/>
    <cellStyle name="_-* #,##0_-;-* #,##0_-;_-* &quot;-&quot;_-;_-@_-_추가충당금명세_0812_v1_1211 충당금,건전성 현황_작업" xfId="5943"/>
    <cellStyle name="_-* #,##0_-;-* #,##0_-;_-* &quot;-&quot;_-;_-@_-_추가충당금명세_0812_v1_1211 충당금,건전성 현황_작업 2" xfId="25343"/>
    <cellStyle name="_-* #,##0_-;-* #,##0_-;_-* &quot;-&quot;_-;_-@_-_추가충당금명세_0812_v1_1211 충당금,건전성 현황_작업 2 2" xfId="32523"/>
    <cellStyle name="_-* #,##0_-;-* #,##0_-;_-* &quot;-&quot;_-;_-@_-_추가충당금명세_0812_v1_1211 충당금,건전성 현황_작업 3" xfId="28562"/>
    <cellStyle name="_-* #,##0_-;-* #,##0_-;_-* &quot;-&quot;_-;_-@_-_추가충당금명세_0812_v1_Hana 2011-1 Program_Data Disk_Pool B_v2(v5-1더밸류-이교민)" xfId="5944"/>
    <cellStyle name="_-* #,##0_-;-* #,##0_-;_-* &quot;-&quot;_-;_-@_-_추가충당금명세_0812_v1_Hana 2011-1 Program_Data Disk_Pool B_v2(v5-1더밸류-이교민) 2" xfId="25344"/>
    <cellStyle name="_-* #,##0_-;-* #,##0_-;_-* &quot;-&quot;_-;_-@_-_추가충당금명세_0812_v1_Hana 2011-1 Program_Data Disk_Pool B_v2(v5-1더밸류-이교민) 2 2" xfId="32524"/>
    <cellStyle name="_-* #,##0_-;-* #,##0_-;_-* &quot;-&quot;_-;_-@_-_추가충당금명세_0812_v1_Hana 2011-1 Program_Data Disk_Pool B_v2(v5-1더밸류-이교민) 3" xfId="25345"/>
    <cellStyle name="_-* #,##0_-;-* #,##0_-;_-* &quot;-&quot;_-;_-@_-_추가충당금명세_0812_v1_Hana 2011-1 Program_Data Disk_Pool B_v2(v5-1더밸류-이교민) 3 2" xfId="32525"/>
    <cellStyle name="_-* #,##0_-;-* #,##0_-;_-* &quot;-&quot;_-;_-@_-_추가충당금명세_0812_v1_Hana 2011-1 Program_Data Disk_Pool B_v2(v5-1더밸류-이교민) 4" xfId="25346"/>
    <cellStyle name="_-* #,##0_-;-* #,##0_-;_-* &quot;-&quot;_-;_-@_-_추가충당금명세_0812_v1_Hana 2011-1 Program_Data Disk_Pool B_v2(v5-1더밸류-이교민) 4 2" xfId="32526"/>
    <cellStyle name="_-* #,##0_-;-* #,##0_-;_-* &quot;-&quot;_-;_-@_-_추가충당금명세_0812_v1_Hana 2011-1 Program_Data Disk_Pool B_v2(v5-1더밸류-이교민) 5" xfId="28563"/>
    <cellStyle name="_-* #,##0_-;-* #,##0_-;_-* &quot;-&quot;_-;_-@_-_추가충당금명세_0812_v1_Hana 2011-1 Program_Data Disk_Pool B_v2(v5-1더밸류-이교민)_SHB 2011-2 Program_Data Disk_Pool C,B_v1(v2더밸류_이교민)" xfId="5945"/>
    <cellStyle name="_-* #,##0_-;-* #,##0_-;_-* &quot;-&quot;_-;_-@_-_추가충당금명세_0812_v1_Hana 2011-1 Program_Data Disk_Pool B_v2(v5-1더밸류-이교민)_SHB 2011-2 Program_Data Disk_Pool C,B_v1(v2더밸류_이교민) 2" xfId="25347"/>
    <cellStyle name="_-* #,##0_-;-* #,##0_-;_-* &quot;-&quot;_-;_-@_-_추가충당금명세_0812_v1_Hana 2011-1 Program_Data Disk_Pool B_v2(v5-1더밸류-이교민)_SHB 2011-2 Program_Data Disk_Pool C,B_v1(v2더밸류_이교민) 2 2" xfId="32527"/>
    <cellStyle name="_-* #,##0_-;-* #,##0_-;_-* &quot;-&quot;_-;_-@_-_추가충당금명세_0812_v1_Hana 2011-1 Program_Data Disk_Pool B_v2(v5-1더밸류-이교민)_SHB 2011-2 Program_Data Disk_Pool C,B_v1(v2더밸류_이교민) 3" xfId="25348"/>
    <cellStyle name="_-* #,##0_-;-* #,##0_-;_-* &quot;-&quot;_-;_-@_-_추가충당금명세_0812_v1_Hana 2011-1 Program_Data Disk_Pool B_v2(v5-1더밸류-이교민)_SHB 2011-2 Program_Data Disk_Pool C,B_v1(v2더밸류_이교민) 3 2" xfId="32528"/>
    <cellStyle name="_-* #,##0_-;-* #,##0_-;_-* &quot;-&quot;_-;_-@_-_추가충당금명세_0812_v1_Hana 2011-1 Program_Data Disk_Pool B_v2(v5-1더밸류-이교민)_SHB 2011-2 Program_Data Disk_Pool C,B_v1(v2더밸류_이교민) 4" xfId="25349"/>
    <cellStyle name="_-* #,##0_-;-* #,##0_-;_-* &quot;-&quot;_-;_-@_-_추가충당금명세_0812_v1_Hana 2011-1 Program_Data Disk_Pool B_v2(v5-1더밸류-이교민)_SHB 2011-2 Program_Data Disk_Pool C,B_v1(v2더밸류_이교민) 4 2" xfId="32529"/>
    <cellStyle name="_-* #,##0_-;-* #,##0_-;_-* &quot;-&quot;_-;_-@_-_추가충당금명세_0812_v1_Hana 2011-1 Program_Data Disk_Pool B_v2(v5-1더밸류-이교민)_SHB 2011-2 Program_Data Disk_Pool C,B_v1(v2더밸류_이교민) 5" xfId="28564"/>
    <cellStyle name="_-* #,##0_-;-* #,##0_-;_-* &quot;-&quot;_-;_-@_-_추가충당금명세_0812_v1_Hana 2011-1 Program_Data Disk_Pool B_v2(v5-1더밸류-이교민)_차주명관리_20110726_v1" xfId="5946"/>
    <cellStyle name="_-* #,##0_-;-* #,##0_-;_-* &quot;-&quot;_-;_-@_-_추가충당금명세_0812_v1_Hana 2011-1 Program_Data Disk_Pool B_v2(v5-1더밸류-이교민)_차주명관리_20110726_v1 2" xfId="25350"/>
    <cellStyle name="_-* #,##0_-;-* #,##0_-;_-* &quot;-&quot;_-;_-@_-_추가충당금명세_0812_v1_Hana 2011-1 Program_Data Disk_Pool B_v2(v5-1더밸류-이교민)_차주명관리_20110726_v1 2 2" xfId="32530"/>
    <cellStyle name="_-* #,##0_-;-* #,##0_-;_-* &quot;-&quot;_-;_-@_-_추가충당금명세_0812_v1_Hana 2011-1 Program_Data Disk_Pool B_v2(v5-1더밸류-이교민)_차주명관리_20110726_v1 3" xfId="25351"/>
    <cellStyle name="_-* #,##0_-;-* #,##0_-;_-* &quot;-&quot;_-;_-@_-_추가충당금명세_0812_v1_Hana 2011-1 Program_Data Disk_Pool B_v2(v5-1더밸류-이교민)_차주명관리_20110726_v1 3 2" xfId="32531"/>
    <cellStyle name="_-* #,##0_-;-* #,##0_-;_-* &quot;-&quot;_-;_-@_-_추가충당금명세_0812_v1_Hana 2011-1 Program_Data Disk_Pool B_v2(v5-1더밸류-이교민)_차주명관리_20110726_v1 4" xfId="25352"/>
    <cellStyle name="_-* #,##0_-;-* #,##0_-;_-* &quot;-&quot;_-;_-@_-_추가충당금명세_0812_v1_Hana 2011-1 Program_Data Disk_Pool B_v2(v5-1더밸류-이교민)_차주명관리_20110726_v1 4 2" xfId="32532"/>
    <cellStyle name="_-* #,##0_-;-* #,##0_-;_-* &quot;-&quot;_-;_-@_-_추가충당금명세_0812_v1_Hana 2011-1 Program_Data Disk_Pool B_v2(v5-1더밸류-이교민)_차주명관리_20110726_v1 5" xfId="28565"/>
    <cellStyle name="_-* #,##0_-;-* #,##0_-;_-* &quot;-&quot;_-;_-@_-_추가충당금명세_0812_v1_SHB_2011-3_담보sheet(더밸류_v6이교민)" xfId="5947"/>
    <cellStyle name="_-* #,##0_-;-* #,##0_-;_-* &quot;-&quot;_-;_-@_-_추가충당금명세_0812_v1_SHB_2011-3_담보sheet(더밸류_v6이교민) 2" xfId="25353"/>
    <cellStyle name="_-* #,##0_-;-* #,##0_-;_-* &quot;-&quot;_-;_-@_-_추가충당금명세_0812_v1_SHB_2011-3_담보sheet(더밸류_v6이교민) 2 2" xfId="32533"/>
    <cellStyle name="_-* #,##0_-;-* #,##0_-;_-* &quot;-&quot;_-;_-@_-_추가충당금명세_0812_v1_SHB_2011-3_담보sheet(더밸류_v6이교민) 3" xfId="25354"/>
    <cellStyle name="_-* #,##0_-;-* #,##0_-;_-* &quot;-&quot;_-;_-@_-_추가충당금명세_0812_v1_SHB_2011-3_담보sheet(더밸류_v6이교민) 3 2" xfId="32534"/>
    <cellStyle name="_-* #,##0_-;-* #,##0_-;_-* &quot;-&quot;_-;_-@_-_추가충당금명세_0812_v1_SHB_2011-3_담보sheet(더밸류_v6이교민) 4" xfId="25355"/>
    <cellStyle name="_-* #,##0_-;-* #,##0_-;_-* &quot;-&quot;_-;_-@_-_추가충당금명세_0812_v1_SHB_2011-3_담보sheet(더밸류_v6이교민) 4 2" xfId="32535"/>
    <cellStyle name="_-* #,##0_-;-* #,##0_-;_-* &quot;-&quot;_-;_-@_-_추가충당금명세_0812_v1_SHB_2011-3_담보sheet(더밸류_v6이교민) 5" xfId="28566"/>
    <cellStyle name="_-* #,##0_-;-* #,##0_-;_-* &quot;-&quot;_-;_-@_-_추가충당금명세_0812_v1_SHB_2011-3_담보sheet(더밸류_v6이교민)_차주명관리_20110726_v1" xfId="5948"/>
    <cellStyle name="_-* #,##0_-;-* #,##0_-;_-* &quot;-&quot;_-;_-@_-_추가충당금명세_0812_v1_SHB_2011-3_담보sheet(더밸류_v6이교민)_차주명관리_20110726_v1 2" xfId="25356"/>
    <cellStyle name="_-* #,##0_-;-* #,##0_-;_-* &quot;-&quot;_-;_-@_-_추가충당금명세_0812_v1_SHB_2011-3_담보sheet(더밸류_v6이교민)_차주명관리_20110726_v1 2 2" xfId="32536"/>
    <cellStyle name="_-* #,##0_-;-* #,##0_-;_-* &quot;-&quot;_-;_-@_-_추가충당금명세_0812_v1_SHB_2011-3_담보sheet(더밸류_v6이교민)_차주명관리_20110726_v1 3" xfId="25357"/>
    <cellStyle name="_-* #,##0_-;-* #,##0_-;_-* &quot;-&quot;_-;_-@_-_추가충당금명세_0812_v1_SHB_2011-3_담보sheet(더밸류_v6이교민)_차주명관리_20110726_v1 3 2" xfId="32537"/>
    <cellStyle name="_-* #,##0_-;-* #,##0_-;_-* &quot;-&quot;_-;_-@_-_추가충당금명세_0812_v1_SHB_2011-3_담보sheet(더밸류_v6이교민)_차주명관리_20110726_v1 4" xfId="25358"/>
    <cellStyle name="_-* #,##0_-;-* #,##0_-;_-* &quot;-&quot;_-;_-@_-_추가충당금명세_0812_v1_SHB_2011-3_담보sheet(더밸류_v6이교민)_차주명관리_20110726_v1 4 2" xfId="32538"/>
    <cellStyle name="_-* #,##0_-;-* #,##0_-;_-* &quot;-&quot;_-;_-@_-_추가충당금명세_0812_v1_SHB_2011-3_담보sheet(더밸류_v6이교민)_차주명관리_20110726_v1 5" xfId="28567"/>
    <cellStyle name="_-* #,##0_-;-* #,##0_-;_-* &quot;-&quot;_-;_-@_-_추가충당금명세_0812_v1_Sheet1" xfId="5949"/>
    <cellStyle name="_-* #,##0_-;-* #,##0_-;_-* &quot;-&quot;_-;_-@_-_추가충당금명세_0812_v1_Sheet1 2" xfId="25359"/>
    <cellStyle name="_-* #,##0_-;-* #,##0_-;_-* &quot;-&quot;_-;_-@_-_추가충당금명세_0812_v1_Sheet1 2 2" xfId="32539"/>
    <cellStyle name="_-* #,##0_-;-* #,##0_-;_-* &quot;-&quot;_-;_-@_-_추가충당금명세_0812_v1_Sheet1 3" xfId="28568"/>
    <cellStyle name="_-* #,##0_-;-* #,##0_-;_-* &quot;-&quot;_-;_-@_-_추가충당금명세_0812_v1_권리분석_v1(최초)-4" xfId="5950"/>
    <cellStyle name="_-* #,##0_-;-* #,##0_-;_-* &quot;-&quot;_-;_-@_-_추가충당금명세_0812_v1_권리분석_v1(최초)-4 2" xfId="25360"/>
    <cellStyle name="_-* #,##0_-;-* #,##0_-;_-* &quot;-&quot;_-;_-@_-_추가충당금명세_0812_v1_권리분석_v1(최초)-4 2 2" xfId="32540"/>
    <cellStyle name="_-* #,##0_-;-* #,##0_-;_-* &quot;-&quot;_-;_-@_-_추가충당금명세_0812_v1_권리분석_v1(최초)-4 3" xfId="25361"/>
    <cellStyle name="_-* #,##0_-;-* #,##0_-;_-* &quot;-&quot;_-;_-@_-_추가충당금명세_0812_v1_권리분석_v1(최초)-4 3 2" xfId="32541"/>
    <cellStyle name="_-* #,##0_-;-* #,##0_-;_-* &quot;-&quot;_-;_-@_-_추가충당금명세_0812_v1_권리분석_v1(최초)-4 4" xfId="25362"/>
    <cellStyle name="_-* #,##0_-;-* #,##0_-;_-* &quot;-&quot;_-;_-@_-_추가충당금명세_0812_v1_권리분석_v1(최초)-4 4 2" xfId="32542"/>
    <cellStyle name="_-* #,##0_-;-* #,##0_-;_-* &quot;-&quot;_-;_-@_-_추가충당금명세_0812_v1_권리분석_v1(최초)-4 5" xfId="28569"/>
    <cellStyle name="_-* #,##0_-;-* #,##0_-;_-* &quot;-&quot;_-;_-@_-_파생상품관련충당금파일0910_v2(영광스텐반영후)" xfId="55"/>
    <cellStyle name="_-* #,##0_-;-* #,##0_-;_-* &quot;-&quot;_-;_-@_-_파생상품관련충당금파일0910_v2(영광스텐반영후) 10" xfId="25363"/>
    <cellStyle name="_-* #,##0_-;-* #,##0_-;_-* &quot;-&quot;_-;_-@_-_파생상품관련충당금파일0910_v2(영광스텐반영후) 10 2" xfId="32543"/>
    <cellStyle name="_-* #,##0_-;-* #,##0_-;_-* &quot;-&quot;_-;_-@_-_파생상품관련충당금파일0910_v2(영광스텐반영후) 11" xfId="25364"/>
    <cellStyle name="_-* #,##0_-;-* #,##0_-;_-* &quot;-&quot;_-;_-@_-_파생상품관련충당금파일0910_v2(영광스텐반영후) 11 2" xfId="32544"/>
    <cellStyle name="_-* #,##0_-;-* #,##0_-;_-* &quot;-&quot;_-;_-@_-_파생상품관련충당금파일0910_v2(영광스텐반영후) 12" xfId="27619"/>
    <cellStyle name="_-* #,##0_-;-* #,##0_-;_-* &quot;-&quot;_-;_-@_-_파생상품관련충당금파일0910_v2(영광스텐반영후) 2" xfId="5951"/>
    <cellStyle name="_-* #,##0_-;-* #,##0_-;_-* &quot;-&quot;_-;_-@_-_파생상품관련충당금파일0910_v2(영광스텐반영후) 2 10" xfId="28570"/>
    <cellStyle name="_-* #,##0_-;-* #,##0_-;_-* &quot;-&quot;_-;_-@_-_파생상품관련충당금파일0910_v2(영광스텐반영후) 2 2" xfId="5952"/>
    <cellStyle name="_-* #,##0_-;-* #,##0_-;_-* &quot;-&quot;_-;_-@_-_파생상품관련충당금파일0910_v2(영광스텐반영후) 2 2 2" xfId="5953"/>
    <cellStyle name="_-* #,##0_-;-* #,##0_-;_-* &quot;-&quot;_-;_-@_-_파생상품관련충당금파일0910_v2(영광스텐반영후) 2 2 2 2" xfId="5954"/>
    <cellStyle name="_-* #,##0_-;-* #,##0_-;_-* &quot;-&quot;_-;_-@_-_파생상품관련충당금파일0910_v2(영광스텐반영후) 2 2 2 2 2" xfId="25365"/>
    <cellStyle name="_-* #,##0_-;-* #,##0_-;_-* &quot;-&quot;_-;_-@_-_파생상품관련충당금파일0910_v2(영광스텐반영후) 2 2 2 2 2 2" xfId="32545"/>
    <cellStyle name="_-* #,##0_-;-* #,##0_-;_-* &quot;-&quot;_-;_-@_-_파생상품관련충당금파일0910_v2(영광스텐반영후) 2 2 2 2 3" xfId="28573"/>
    <cellStyle name="_-* #,##0_-;-* #,##0_-;_-* &quot;-&quot;_-;_-@_-_파생상품관련충당금파일0910_v2(영광스텐반영후) 2 2 2 3" xfId="25366"/>
    <cellStyle name="_-* #,##0_-;-* #,##0_-;_-* &quot;-&quot;_-;_-@_-_파생상품관련충당금파일0910_v2(영광스텐반영후) 2 2 2 3 2" xfId="32546"/>
    <cellStyle name="_-* #,##0_-;-* #,##0_-;_-* &quot;-&quot;_-;_-@_-_파생상품관련충당금파일0910_v2(영광스텐반영후) 2 2 2 4" xfId="25367"/>
    <cellStyle name="_-* #,##0_-;-* #,##0_-;_-* &quot;-&quot;_-;_-@_-_파생상품관련충당금파일0910_v2(영광스텐반영후) 2 2 2 4 2" xfId="32547"/>
    <cellStyle name="_-* #,##0_-;-* #,##0_-;_-* &quot;-&quot;_-;_-@_-_파생상품관련충당금파일0910_v2(영광스텐반영후) 2 2 2 5" xfId="25368"/>
    <cellStyle name="_-* #,##0_-;-* #,##0_-;_-* &quot;-&quot;_-;_-@_-_파생상품관련충당금파일0910_v2(영광스텐반영후) 2 2 2 5 2" xfId="32548"/>
    <cellStyle name="_-* #,##0_-;-* #,##0_-;_-* &quot;-&quot;_-;_-@_-_파생상품관련충당금파일0910_v2(영광스텐반영후) 2 2 2 6" xfId="28572"/>
    <cellStyle name="_-* #,##0_-;-* #,##0_-;_-* &quot;-&quot;_-;_-@_-_파생상품관련충당금파일0910_v2(영광스텐반영후) 2 2 3" xfId="5955"/>
    <cellStyle name="_-* #,##0_-;-* #,##0_-;_-* &quot;-&quot;_-;_-@_-_파생상품관련충당금파일0910_v2(영광스텐반영후) 2 2 3 2" xfId="5956"/>
    <cellStyle name="_-* #,##0_-;-* #,##0_-;_-* &quot;-&quot;_-;_-@_-_파생상품관련충당금파일0910_v2(영광스텐반영후) 2 2 3 2 2" xfId="25369"/>
    <cellStyle name="_-* #,##0_-;-* #,##0_-;_-* &quot;-&quot;_-;_-@_-_파생상품관련충당금파일0910_v2(영광스텐반영후) 2 2 3 2 2 2" xfId="32549"/>
    <cellStyle name="_-* #,##0_-;-* #,##0_-;_-* &quot;-&quot;_-;_-@_-_파생상품관련충당금파일0910_v2(영광스텐반영후) 2 2 3 2 3" xfId="28575"/>
    <cellStyle name="_-* #,##0_-;-* #,##0_-;_-* &quot;-&quot;_-;_-@_-_파생상품관련충당금파일0910_v2(영광스텐반영후) 2 2 3 3" xfId="25370"/>
    <cellStyle name="_-* #,##0_-;-* #,##0_-;_-* &quot;-&quot;_-;_-@_-_파생상품관련충당금파일0910_v2(영광스텐반영후) 2 2 3 3 2" xfId="32550"/>
    <cellStyle name="_-* #,##0_-;-* #,##0_-;_-* &quot;-&quot;_-;_-@_-_파생상품관련충당금파일0910_v2(영광스텐반영후) 2 2 3 4" xfId="28574"/>
    <cellStyle name="_-* #,##0_-;-* #,##0_-;_-* &quot;-&quot;_-;_-@_-_파생상품관련충당금파일0910_v2(영광스텐반영후) 2 2 4" xfId="5957"/>
    <cellStyle name="_-* #,##0_-;-* #,##0_-;_-* &quot;-&quot;_-;_-@_-_파생상품관련충당금파일0910_v2(영광스텐반영후) 2 2 4 2" xfId="5958"/>
    <cellStyle name="_-* #,##0_-;-* #,##0_-;_-* &quot;-&quot;_-;_-@_-_파생상품관련충당금파일0910_v2(영광스텐반영후) 2 2 4 2 2" xfId="25371"/>
    <cellStyle name="_-* #,##0_-;-* #,##0_-;_-* &quot;-&quot;_-;_-@_-_파생상품관련충당금파일0910_v2(영광스텐반영후) 2 2 4 2 2 2" xfId="32551"/>
    <cellStyle name="_-* #,##0_-;-* #,##0_-;_-* &quot;-&quot;_-;_-@_-_파생상품관련충당금파일0910_v2(영광스텐반영후) 2 2 4 2 3" xfId="28577"/>
    <cellStyle name="_-* #,##0_-;-* #,##0_-;_-* &quot;-&quot;_-;_-@_-_파생상품관련충당금파일0910_v2(영광스텐반영후) 2 2 4 3" xfId="25372"/>
    <cellStyle name="_-* #,##0_-;-* #,##0_-;_-* &quot;-&quot;_-;_-@_-_파생상품관련충당금파일0910_v2(영광스텐반영후) 2 2 4 3 2" xfId="32552"/>
    <cellStyle name="_-* #,##0_-;-* #,##0_-;_-* &quot;-&quot;_-;_-@_-_파생상품관련충당금파일0910_v2(영광스텐반영후) 2 2 4 4" xfId="28576"/>
    <cellStyle name="_-* #,##0_-;-* #,##0_-;_-* &quot;-&quot;_-;_-@_-_파생상품관련충당금파일0910_v2(영광스텐반영후) 2 2 5" xfId="5959"/>
    <cellStyle name="_-* #,##0_-;-* #,##0_-;_-* &quot;-&quot;_-;_-@_-_파생상품관련충당금파일0910_v2(영광스텐반영후) 2 2 5 2" xfId="25373"/>
    <cellStyle name="_-* #,##0_-;-* #,##0_-;_-* &quot;-&quot;_-;_-@_-_파생상품관련충당금파일0910_v2(영광스텐반영후) 2 2 5 2 2" xfId="32553"/>
    <cellStyle name="_-* #,##0_-;-* #,##0_-;_-* &quot;-&quot;_-;_-@_-_파생상품관련충당금파일0910_v2(영광스텐반영후) 2 2 5 3" xfId="28578"/>
    <cellStyle name="_-* #,##0_-;-* #,##0_-;_-* &quot;-&quot;_-;_-@_-_파생상품관련충당금파일0910_v2(영광스텐반영후) 2 2 6" xfId="25374"/>
    <cellStyle name="_-* #,##0_-;-* #,##0_-;_-* &quot;-&quot;_-;_-@_-_파생상품관련충당금파일0910_v2(영광스텐반영후) 2 2 6 2" xfId="32554"/>
    <cellStyle name="_-* #,##0_-;-* #,##0_-;_-* &quot;-&quot;_-;_-@_-_파생상품관련충당금파일0910_v2(영광스텐반영후) 2 2 7" xfId="25375"/>
    <cellStyle name="_-* #,##0_-;-* #,##0_-;_-* &quot;-&quot;_-;_-@_-_파생상품관련충당금파일0910_v2(영광스텐반영후) 2 2 7 2" xfId="32555"/>
    <cellStyle name="_-* #,##0_-;-* #,##0_-;_-* &quot;-&quot;_-;_-@_-_파생상품관련충당금파일0910_v2(영광스텐반영후) 2 2 8" xfId="28571"/>
    <cellStyle name="_-* #,##0_-;-* #,##0_-;_-* &quot;-&quot;_-;_-@_-_파생상품관련충당금파일0910_v2(영광스텐반영후) 2 3" xfId="5960"/>
    <cellStyle name="_-* #,##0_-;-* #,##0_-;_-* &quot;-&quot;_-;_-@_-_파생상품관련충당금파일0910_v2(영광스텐반영후) 2 3 2" xfId="5961"/>
    <cellStyle name="_-* #,##0_-;-* #,##0_-;_-* &quot;-&quot;_-;_-@_-_파생상품관련충당금파일0910_v2(영광스텐반영후) 2 3 2 2" xfId="5962"/>
    <cellStyle name="_-* #,##0_-;-* #,##0_-;_-* &quot;-&quot;_-;_-@_-_파생상품관련충당금파일0910_v2(영광스텐반영후) 2 3 2 2 2" xfId="25376"/>
    <cellStyle name="_-* #,##0_-;-* #,##0_-;_-* &quot;-&quot;_-;_-@_-_파생상품관련충당금파일0910_v2(영광스텐반영후) 2 3 2 2 2 2" xfId="32556"/>
    <cellStyle name="_-* #,##0_-;-* #,##0_-;_-* &quot;-&quot;_-;_-@_-_파생상품관련충당금파일0910_v2(영광스텐반영후) 2 3 2 2 3" xfId="28581"/>
    <cellStyle name="_-* #,##0_-;-* #,##0_-;_-* &quot;-&quot;_-;_-@_-_파생상품관련충당금파일0910_v2(영광스텐반영후) 2 3 2 3" xfId="25377"/>
    <cellStyle name="_-* #,##0_-;-* #,##0_-;_-* &quot;-&quot;_-;_-@_-_파생상품관련충당금파일0910_v2(영광스텐반영후) 2 3 2 3 2" xfId="32557"/>
    <cellStyle name="_-* #,##0_-;-* #,##0_-;_-* &quot;-&quot;_-;_-@_-_파생상품관련충당금파일0910_v2(영광스텐반영후) 2 3 2 4" xfId="25378"/>
    <cellStyle name="_-* #,##0_-;-* #,##0_-;_-* &quot;-&quot;_-;_-@_-_파생상품관련충당금파일0910_v2(영광스텐반영후) 2 3 2 4 2" xfId="32558"/>
    <cellStyle name="_-* #,##0_-;-* #,##0_-;_-* &quot;-&quot;_-;_-@_-_파생상품관련충당금파일0910_v2(영광스텐반영후) 2 3 2 5" xfId="25379"/>
    <cellStyle name="_-* #,##0_-;-* #,##0_-;_-* &quot;-&quot;_-;_-@_-_파생상품관련충당금파일0910_v2(영광스텐반영후) 2 3 2 5 2" xfId="32559"/>
    <cellStyle name="_-* #,##0_-;-* #,##0_-;_-* &quot;-&quot;_-;_-@_-_파생상품관련충당금파일0910_v2(영광스텐반영후) 2 3 2 6" xfId="28580"/>
    <cellStyle name="_-* #,##0_-;-* #,##0_-;_-* &quot;-&quot;_-;_-@_-_파생상품관련충당금파일0910_v2(영광스텐반영후) 2 3 3" xfId="5963"/>
    <cellStyle name="_-* #,##0_-;-* #,##0_-;_-* &quot;-&quot;_-;_-@_-_파생상품관련충당금파일0910_v2(영광스텐반영후) 2 3 3 2" xfId="5964"/>
    <cellStyle name="_-* #,##0_-;-* #,##0_-;_-* &quot;-&quot;_-;_-@_-_파생상품관련충당금파일0910_v2(영광스텐반영후) 2 3 3 2 2" xfId="25380"/>
    <cellStyle name="_-* #,##0_-;-* #,##0_-;_-* &quot;-&quot;_-;_-@_-_파생상품관련충당금파일0910_v2(영광스텐반영후) 2 3 3 2 2 2" xfId="32560"/>
    <cellStyle name="_-* #,##0_-;-* #,##0_-;_-* &quot;-&quot;_-;_-@_-_파생상품관련충당금파일0910_v2(영광스텐반영후) 2 3 3 2 3" xfId="28583"/>
    <cellStyle name="_-* #,##0_-;-* #,##0_-;_-* &quot;-&quot;_-;_-@_-_파생상품관련충당금파일0910_v2(영광스텐반영후) 2 3 3 3" xfId="25381"/>
    <cellStyle name="_-* #,##0_-;-* #,##0_-;_-* &quot;-&quot;_-;_-@_-_파생상품관련충당금파일0910_v2(영광스텐반영후) 2 3 3 3 2" xfId="32561"/>
    <cellStyle name="_-* #,##0_-;-* #,##0_-;_-* &quot;-&quot;_-;_-@_-_파생상품관련충당금파일0910_v2(영광스텐반영후) 2 3 3 4" xfId="28582"/>
    <cellStyle name="_-* #,##0_-;-* #,##0_-;_-* &quot;-&quot;_-;_-@_-_파생상품관련충당금파일0910_v2(영광스텐반영후) 2 3 4" xfId="5965"/>
    <cellStyle name="_-* #,##0_-;-* #,##0_-;_-* &quot;-&quot;_-;_-@_-_파생상품관련충당금파일0910_v2(영광스텐반영후) 2 3 4 2" xfId="5966"/>
    <cellStyle name="_-* #,##0_-;-* #,##0_-;_-* &quot;-&quot;_-;_-@_-_파생상품관련충당금파일0910_v2(영광스텐반영후) 2 3 4 2 2" xfId="25382"/>
    <cellStyle name="_-* #,##0_-;-* #,##0_-;_-* &quot;-&quot;_-;_-@_-_파생상품관련충당금파일0910_v2(영광스텐반영후) 2 3 4 2 2 2" xfId="32562"/>
    <cellStyle name="_-* #,##0_-;-* #,##0_-;_-* &quot;-&quot;_-;_-@_-_파생상품관련충당금파일0910_v2(영광스텐반영후) 2 3 4 2 3" xfId="28585"/>
    <cellStyle name="_-* #,##0_-;-* #,##0_-;_-* &quot;-&quot;_-;_-@_-_파생상품관련충당금파일0910_v2(영광스텐반영후) 2 3 4 3" xfId="25383"/>
    <cellStyle name="_-* #,##0_-;-* #,##0_-;_-* &quot;-&quot;_-;_-@_-_파생상품관련충당금파일0910_v2(영광스텐반영후) 2 3 4 3 2" xfId="32563"/>
    <cellStyle name="_-* #,##0_-;-* #,##0_-;_-* &quot;-&quot;_-;_-@_-_파생상품관련충당금파일0910_v2(영광스텐반영후) 2 3 4 4" xfId="28584"/>
    <cellStyle name="_-* #,##0_-;-* #,##0_-;_-* &quot;-&quot;_-;_-@_-_파생상품관련충당금파일0910_v2(영광스텐반영후) 2 3 5" xfId="5967"/>
    <cellStyle name="_-* #,##0_-;-* #,##0_-;_-* &quot;-&quot;_-;_-@_-_파생상품관련충당금파일0910_v2(영광스텐반영후) 2 3 5 2" xfId="25384"/>
    <cellStyle name="_-* #,##0_-;-* #,##0_-;_-* &quot;-&quot;_-;_-@_-_파생상품관련충당금파일0910_v2(영광스텐반영후) 2 3 5 2 2" xfId="32564"/>
    <cellStyle name="_-* #,##0_-;-* #,##0_-;_-* &quot;-&quot;_-;_-@_-_파생상품관련충당금파일0910_v2(영광스텐반영후) 2 3 5 3" xfId="28586"/>
    <cellStyle name="_-* #,##0_-;-* #,##0_-;_-* &quot;-&quot;_-;_-@_-_파생상품관련충당금파일0910_v2(영광스텐반영후) 2 3 6" xfId="25385"/>
    <cellStyle name="_-* #,##0_-;-* #,##0_-;_-* &quot;-&quot;_-;_-@_-_파생상품관련충당금파일0910_v2(영광스텐반영후) 2 3 6 2" xfId="32565"/>
    <cellStyle name="_-* #,##0_-;-* #,##0_-;_-* &quot;-&quot;_-;_-@_-_파생상품관련충당금파일0910_v2(영광스텐반영후) 2 3 7" xfId="25386"/>
    <cellStyle name="_-* #,##0_-;-* #,##0_-;_-* &quot;-&quot;_-;_-@_-_파생상품관련충당금파일0910_v2(영광스텐반영후) 2 3 7 2" xfId="32566"/>
    <cellStyle name="_-* #,##0_-;-* #,##0_-;_-* &quot;-&quot;_-;_-@_-_파생상품관련충당금파일0910_v2(영광스텐반영후) 2 3 8" xfId="28579"/>
    <cellStyle name="_-* #,##0_-;-* #,##0_-;_-* &quot;-&quot;_-;_-@_-_파생상품관련충당금파일0910_v2(영광스텐반영후) 2 4" xfId="5968"/>
    <cellStyle name="_-* #,##0_-;-* #,##0_-;_-* &quot;-&quot;_-;_-@_-_파생상품관련충당금파일0910_v2(영광스텐반영후) 2 4 2" xfId="5969"/>
    <cellStyle name="_-* #,##0_-;-* #,##0_-;_-* &quot;-&quot;_-;_-@_-_파생상품관련충당금파일0910_v2(영광스텐반영후) 2 4 2 2" xfId="5970"/>
    <cellStyle name="_-* #,##0_-;-* #,##0_-;_-* &quot;-&quot;_-;_-@_-_파생상품관련충당금파일0910_v2(영광스텐반영후) 2 4 2 2 2" xfId="25387"/>
    <cellStyle name="_-* #,##0_-;-* #,##0_-;_-* &quot;-&quot;_-;_-@_-_파생상품관련충당금파일0910_v2(영광스텐반영후) 2 4 2 2 2 2" xfId="32567"/>
    <cellStyle name="_-* #,##0_-;-* #,##0_-;_-* &quot;-&quot;_-;_-@_-_파생상품관련충당금파일0910_v2(영광스텐반영후) 2 4 2 2 3" xfId="28589"/>
    <cellStyle name="_-* #,##0_-;-* #,##0_-;_-* &quot;-&quot;_-;_-@_-_파생상품관련충당금파일0910_v2(영광스텐반영후) 2 4 2 3" xfId="25388"/>
    <cellStyle name="_-* #,##0_-;-* #,##0_-;_-* &quot;-&quot;_-;_-@_-_파생상품관련충당금파일0910_v2(영광스텐반영후) 2 4 2 3 2" xfId="32568"/>
    <cellStyle name="_-* #,##0_-;-* #,##0_-;_-* &quot;-&quot;_-;_-@_-_파생상품관련충당금파일0910_v2(영광스텐반영후) 2 4 2 4" xfId="25389"/>
    <cellStyle name="_-* #,##0_-;-* #,##0_-;_-* &quot;-&quot;_-;_-@_-_파생상품관련충당금파일0910_v2(영광스텐반영후) 2 4 2 4 2" xfId="32569"/>
    <cellStyle name="_-* #,##0_-;-* #,##0_-;_-* &quot;-&quot;_-;_-@_-_파생상품관련충당금파일0910_v2(영광스텐반영후) 2 4 2 5" xfId="25390"/>
    <cellStyle name="_-* #,##0_-;-* #,##0_-;_-* &quot;-&quot;_-;_-@_-_파생상품관련충당금파일0910_v2(영광스텐반영후) 2 4 2 5 2" xfId="32570"/>
    <cellStyle name="_-* #,##0_-;-* #,##0_-;_-* &quot;-&quot;_-;_-@_-_파생상품관련충당금파일0910_v2(영광스텐반영후) 2 4 2 6" xfId="28588"/>
    <cellStyle name="_-* #,##0_-;-* #,##0_-;_-* &quot;-&quot;_-;_-@_-_파생상품관련충당금파일0910_v2(영광스텐반영후) 2 4 3" xfId="5971"/>
    <cellStyle name="_-* #,##0_-;-* #,##0_-;_-* &quot;-&quot;_-;_-@_-_파생상품관련충당금파일0910_v2(영광스텐반영후) 2 4 3 2" xfId="5972"/>
    <cellStyle name="_-* #,##0_-;-* #,##0_-;_-* &quot;-&quot;_-;_-@_-_파생상품관련충당금파일0910_v2(영광스텐반영후) 2 4 3 2 2" xfId="25391"/>
    <cellStyle name="_-* #,##0_-;-* #,##0_-;_-* &quot;-&quot;_-;_-@_-_파생상품관련충당금파일0910_v2(영광스텐반영후) 2 4 3 2 2 2" xfId="32571"/>
    <cellStyle name="_-* #,##0_-;-* #,##0_-;_-* &quot;-&quot;_-;_-@_-_파생상품관련충당금파일0910_v2(영광스텐반영후) 2 4 3 2 3" xfId="28591"/>
    <cellStyle name="_-* #,##0_-;-* #,##0_-;_-* &quot;-&quot;_-;_-@_-_파생상품관련충당금파일0910_v2(영광스텐반영후) 2 4 3 3" xfId="25392"/>
    <cellStyle name="_-* #,##0_-;-* #,##0_-;_-* &quot;-&quot;_-;_-@_-_파생상품관련충당금파일0910_v2(영광스텐반영후) 2 4 3 3 2" xfId="32572"/>
    <cellStyle name="_-* #,##0_-;-* #,##0_-;_-* &quot;-&quot;_-;_-@_-_파생상품관련충당금파일0910_v2(영광스텐반영후) 2 4 3 4" xfId="28590"/>
    <cellStyle name="_-* #,##0_-;-* #,##0_-;_-* &quot;-&quot;_-;_-@_-_파생상품관련충당금파일0910_v2(영광스텐반영후) 2 4 4" xfId="5973"/>
    <cellStyle name="_-* #,##0_-;-* #,##0_-;_-* &quot;-&quot;_-;_-@_-_파생상품관련충당금파일0910_v2(영광스텐반영후) 2 4 4 2" xfId="25393"/>
    <cellStyle name="_-* #,##0_-;-* #,##0_-;_-* &quot;-&quot;_-;_-@_-_파생상품관련충당금파일0910_v2(영광스텐반영후) 2 4 4 2 2" xfId="32573"/>
    <cellStyle name="_-* #,##0_-;-* #,##0_-;_-* &quot;-&quot;_-;_-@_-_파생상품관련충당금파일0910_v2(영광스텐반영후) 2 4 4 3" xfId="28592"/>
    <cellStyle name="_-* #,##0_-;-* #,##0_-;_-* &quot;-&quot;_-;_-@_-_파생상품관련충당금파일0910_v2(영광스텐반영후) 2 4 5" xfId="25394"/>
    <cellStyle name="_-* #,##0_-;-* #,##0_-;_-* &quot;-&quot;_-;_-@_-_파생상품관련충당금파일0910_v2(영광스텐반영후) 2 4 5 2" xfId="32574"/>
    <cellStyle name="_-* #,##0_-;-* #,##0_-;_-* &quot;-&quot;_-;_-@_-_파생상품관련충당금파일0910_v2(영광스텐반영후) 2 4 6" xfId="25395"/>
    <cellStyle name="_-* #,##0_-;-* #,##0_-;_-* &quot;-&quot;_-;_-@_-_파생상품관련충당금파일0910_v2(영광스텐반영후) 2 4 6 2" xfId="32575"/>
    <cellStyle name="_-* #,##0_-;-* #,##0_-;_-* &quot;-&quot;_-;_-@_-_파생상품관련충당금파일0910_v2(영광스텐반영후) 2 4 7" xfId="25396"/>
    <cellStyle name="_-* #,##0_-;-* #,##0_-;_-* &quot;-&quot;_-;_-@_-_파생상품관련충당금파일0910_v2(영광스텐반영후) 2 4 7 2" xfId="32576"/>
    <cellStyle name="_-* #,##0_-;-* #,##0_-;_-* &quot;-&quot;_-;_-@_-_파생상품관련충당금파일0910_v2(영광스텐반영후) 2 4 8" xfId="28587"/>
    <cellStyle name="_-* #,##0_-;-* #,##0_-;_-* &quot;-&quot;_-;_-@_-_파생상품관련충당금파일0910_v2(영광스텐반영후) 2 5" xfId="5974"/>
    <cellStyle name="_-* #,##0_-;-* #,##0_-;_-* &quot;-&quot;_-;_-@_-_파생상품관련충당금파일0910_v2(영광스텐반영후) 2 5 2" xfId="5975"/>
    <cellStyle name="_-* #,##0_-;-* #,##0_-;_-* &quot;-&quot;_-;_-@_-_파생상품관련충당금파일0910_v2(영광스텐반영후) 2 5 2 2" xfId="25397"/>
    <cellStyle name="_-* #,##0_-;-* #,##0_-;_-* &quot;-&quot;_-;_-@_-_파생상품관련충당금파일0910_v2(영광스텐반영후) 2 5 2 2 2" xfId="32577"/>
    <cellStyle name="_-* #,##0_-;-* #,##0_-;_-* &quot;-&quot;_-;_-@_-_파생상품관련충당금파일0910_v2(영광스텐반영후) 2 5 2 3" xfId="28594"/>
    <cellStyle name="_-* #,##0_-;-* #,##0_-;_-* &quot;-&quot;_-;_-@_-_파생상품관련충당금파일0910_v2(영광스텐반영후) 2 5 3" xfId="5976"/>
    <cellStyle name="_-* #,##0_-;-* #,##0_-;_-* &quot;-&quot;_-;_-@_-_파생상품관련충당금파일0910_v2(영광스텐반영후) 2 5 3 2" xfId="25398"/>
    <cellStyle name="_-* #,##0_-;-* #,##0_-;_-* &quot;-&quot;_-;_-@_-_파생상품관련충당금파일0910_v2(영광스텐반영후) 2 5 3 2 2" xfId="32578"/>
    <cellStyle name="_-* #,##0_-;-* #,##0_-;_-* &quot;-&quot;_-;_-@_-_파생상품관련충당금파일0910_v2(영광스텐반영후) 2 5 3 3" xfId="28595"/>
    <cellStyle name="_-* #,##0_-;-* #,##0_-;_-* &quot;-&quot;_-;_-@_-_파생상품관련충당금파일0910_v2(영광스텐반영후) 2 5 4" xfId="25399"/>
    <cellStyle name="_-* #,##0_-;-* #,##0_-;_-* &quot;-&quot;_-;_-@_-_파생상품관련충당금파일0910_v2(영광스텐반영후) 2 5 4 2" xfId="32579"/>
    <cellStyle name="_-* #,##0_-;-* #,##0_-;_-* &quot;-&quot;_-;_-@_-_파생상품관련충당금파일0910_v2(영광스텐반영후) 2 5 5" xfId="25400"/>
    <cellStyle name="_-* #,##0_-;-* #,##0_-;_-* &quot;-&quot;_-;_-@_-_파생상품관련충당금파일0910_v2(영광스텐반영후) 2 5 5 2" xfId="32580"/>
    <cellStyle name="_-* #,##0_-;-* #,##0_-;_-* &quot;-&quot;_-;_-@_-_파생상품관련충당금파일0910_v2(영광스텐반영후) 2 5 6" xfId="28593"/>
    <cellStyle name="_-* #,##0_-;-* #,##0_-;_-* &quot;-&quot;_-;_-@_-_파생상품관련충당금파일0910_v2(영광스텐반영후) 2 6" xfId="5977"/>
    <cellStyle name="_-* #,##0_-;-* #,##0_-;_-* &quot;-&quot;_-;_-@_-_파생상품관련충당금파일0910_v2(영광스텐반영후) 2 6 2" xfId="5978"/>
    <cellStyle name="_-* #,##0_-;-* #,##0_-;_-* &quot;-&quot;_-;_-@_-_파생상품관련충당금파일0910_v2(영광스텐반영후) 2 6 2 2" xfId="25401"/>
    <cellStyle name="_-* #,##0_-;-* #,##0_-;_-* &quot;-&quot;_-;_-@_-_파생상품관련충당금파일0910_v2(영광스텐반영후) 2 6 2 2 2" xfId="32581"/>
    <cellStyle name="_-* #,##0_-;-* #,##0_-;_-* &quot;-&quot;_-;_-@_-_파생상품관련충당금파일0910_v2(영광스텐반영후) 2 6 2 3" xfId="28597"/>
    <cellStyle name="_-* #,##0_-;-* #,##0_-;_-* &quot;-&quot;_-;_-@_-_파생상품관련충당금파일0910_v2(영광스텐반영후) 2 6 3" xfId="5979"/>
    <cellStyle name="_-* #,##0_-;-* #,##0_-;_-* &quot;-&quot;_-;_-@_-_파생상품관련충당금파일0910_v2(영광스텐반영후) 2 6 3 2" xfId="25402"/>
    <cellStyle name="_-* #,##0_-;-* #,##0_-;_-* &quot;-&quot;_-;_-@_-_파생상품관련충당금파일0910_v2(영광스텐반영후) 2 6 3 2 2" xfId="32582"/>
    <cellStyle name="_-* #,##0_-;-* #,##0_-;_-* &quot;-&quot;_-;_-@_-_파생상품관련충당금파일0910_v2(영광스텐반영후) 2 6 3 3" xfId="28598"/>
    <cellStyle name="_-* #,##0_-;-* #,##0_-;_-* &quot;-&quot;_-;_-@_-_파생상품관련충당금파일0910_v2(영광스텐반영후) 2 6 4" xfId="25403"/>
    <cellStyle name="_-* #,##0_-;-* #,##0_-;_-* &quot;-&quot;_-;_-@_-_파생상품관련충당금파일0910_v2(영광스텐반영후) 2 6 4 2" xfId="32583"/>
    <cellStyle name="_-* #,##0_-;-* #,##0_-;_-* &quot;-&quot;_-;_-@_-_파생상품관련충당금파일0910_v2(영광스텐반영후) 2 6 5" xfId="28596"/>
    <cellStyle name="_-* #,##0_-;-* #,##0_-;_-* &quot;-&quot;_-;_-@_-_파생상품관련충당금파일0910_v2(영광스텐반영후) 2 7" xfId="5980"/>
    <cellStyle name="_-* #,##0_-;-* #,##0_-;_-* &quot;-&quot;_-;_-@_-_파생상품관련충당금파일0910_v2(영광스텐반영후) 2 7 2" xfId="5981"/>
    <cellStyle name="_-* #,##0_-;-* #,##0_-;_-* &quot;-&quot;_-;_-@_-_파생상품관련충당금파일0910_v2(영광스텐반영후) 2 7 2 2" xfId="25404"/>
    <cellStyle name="_-* #,##0_-;-* #,##0_-;_-* &quot;-&quot;_-;_-@_-_파생상품관련충당금파일0910_v2(영광스텐반영후) 2 7 2 2 2" xfId="32584"/>
    <cellStyle name="_-* #,##0_-;-* #,##0_-;_-* &quot;-&quot;_-;_-@_-_파생상품관련충당금파일0910_v2(영광스텐반영후) 2 7 2 3" xfId="28600"/>
    <cellStyle name="_-* #,##0_-;-* #,##0_-;_-* &quot;-&quot;_-;_-@_-_파생상품관련충당금파일0910_v2(영광스텐반영후) 2 7 3" xfId="25405"/>
    <cellStyle name="_-* #,##0_-;-* #,##0_-;_-* &quot;-&quot;_-;_-@_-_파생상품관련충당금파일0910_v2(영광스텐반영후) 2 7 3 2" xfId="32585"/>
    <cellStyle name="_-* #,##0_-;-* #,##0_-;_-* &quot;-&quot;_-;_-@_-_파생상품관련충당금파일0910_v2(영광스텐반영후) 2 7 4" xfId="28599"/>
    <cellStyle name="_-* #,##0_-;-* #,##0_-;_-* &quot;-&quot;_-;_-@_-_파생상품관련충당금파일0910_v2(영광스텐반영후) 2 8" xfId="5982"/>
    <cellStyle name="_-* #,##0_-;-* #,##0_-;_-* &quot;-&quot;_-;_-@_-_파생상품관련충당금파일0910_v2(영광스텐반영후) 2 8 2" xfId="25406"/>
    <cellStyle name="_-* #,##0_-;-* #,##0_-;_-* &quot;-&quot;_-;_-@_-_파생상품관련충당금파일0910_v2(영광스텐반영후) 2 8 2 2" xfId="32586"/>
    <cellStyle name="_-* #,##0_-;-* #,##0_-;_-* &quot;-&quot;_-;_-@_-_파생상품관련충당금파일0910_v2(영광스텐반영후) 2 8 3" xfId="28601"/>
    <cellStyle name="_-* #,##0_-;-* #,##0_-;_-* &quot;-&quot;_-;_-@_-_파생상품관련충당금파일0910_v2(영광스텐반영후) 2 9" xfId="25407"/>
    <cellStyle name="_-* #,##0_-;-* #,##0_-;_-* &quot;-&quot;_-;_-@_-_파생상품관련충당금파일0910_v2(영광스텐반영후) 2 9 2" xfId="32587"/>
    <cellStyle name="_-* #,##0_-;-* #,##0_-;_-* &quot;-&quot;_-;_-@_-_파생상품관련충당금파일0910_v2(영광스텐반영후) 3" xfId="5983"/>
    <cellStyle name="_-* #,##0_-;-* #,##0_-;_-* &quot;-&quot;_-;_-@_-_파생상품관련충당금파일0910_v2(영광스텐반영후) 3 10" xfId="25408"/>
    <cellStyle name="_-* #,##0_-;-* #,##0_-;_-* &quot;-&quot;_-;_-@_-_파생상품관련충당금파일0910_v2(영광스텐반영후) 3 10 2" xfId="32588"/>
    <cellStyle name="_-* #,##0_-;-* #,##0_-;_-* &quot;-&quot;_-;_-@_-_파생상품관련충당금파일0910_v2(영광스텐반영후) 3 11" xfId="28602"/>
    <cellStyle name="_-* #,##0_-;-* #,##0_-;_-* &quot;-&quot;_-;_-@_-_파생상품관련충당금파일0910_v2(영광스텐반영후) 3 2" xfId="5984"/>
    <cellStyle name="_-* #,##0_-;-* #,##0_-;_-* &quot;-&quot;_-;_-@_-_파생상품관련충당금파일0910_v2(영광스텐반영후) 3 2 2" xfId="5985"/>
    <cellStyle name="_-* #,##0_-;-* #,##0_-;_-* &quot;-&quot;_-;_-@_-_파생상품관련충당금파일0910_v2(영광스텐반영후) 3 2 2 2" xfId="25409"/>
    <cellStyle name="_-* #,##0_-;-* #,##0_-;_-* &quot;-&quot;_-;_-@_-_파생상품관련충당금파일0910_v2(영광스텐반영후) 3 2 2 2 2" xfId="32589"/>
    <cellStyle name="_-* #,##0_-;-* #,##0_-;_-* &quot;-&quot;_-;_-@_-_파생상품관련충당금파일0910_v2(영광스텐반영후) 3 2 2 3" xfId="25410"/>
    <cellStyle name="_-* #,##0_-;-* #,##0_-;_-* &quot;-&quot;_-;_-@_-_파생상품관련충당금파일0910_v2(영광스텐반영후) 3 2 2 3 2" xfId="32590"/>
    <cellStyle name="_-* #,##0_-;-* #,##0_-;_-* &quot;-&quot;_-;_-@_-_파생상품관련충당금파일0910_v2(영광스텐반영후) 3 2 2 4" xfId="25411"/>
    <cellStyle name="_-* #,##0_-;-* #,##0_-;_-* &quot;-&quot;_-;_-@_-_파생상품관련충당금파일0910_v2(영광스텐반영후) 3 2 2 4 2" xfId="32591"/>
    <cellStyle name="_-* #,##0_-;-* #,##0_-;_-* &quot;-&quot;_-;_-@_-_파생상품관련충당금파일0910_v2(영광스텐반영후) 3 2 2 5" xfId="25412"/>
    <cellStyle name="_-* #,##0_-;-* #,##0_-;_-* &quot;-&quot;_-;_-@_-_파생상품관련충당금파일0910_v2(영광스텐반영후) 3 2 2 5 2" xfId="32592"/>
    <cellStyle name="_-* #,##0_-;-* #,##0_-;_-* &quot;-&quot;_-;_-@_-_파생상품관련충당금파일0910_v2(영광스텐반영후) 3 2 2 6" xfId="28604"/>
    <cellStyle name="_-* #,##0_-;-* #,##0_-;_-* &quot;-&quot;_-;_-@_-_파생상품관련충당금파일0910_v2(영광스텐반영후) 3 2 3" xfId="25413"/>
    <cellStyle name="_-* #,##0_-;-* #,##0_-;_-* &quot;-&quot;_-;_-@_-_파생상품관련충당금파일0910_v2(영광스텐반영후) 3 2 3 2" xfId="25414"/>
    <cellStyle name="_-* #,##0_-;-* #,##0_-;_-* &quot;-&quot;_-;_-@_-_파생상품관련충당금파일0910_v2(영광스텐반영후) 3 2 3 2 2" xfId="32594"/>
    <cellStyle name="_-* #,##0_-;-* #,##0_-;_-* &quot;-&quot;_-;_-@_-_파생상품관련충당금파일0910_v2(영광스텐반영후) 3 2 3 3" xfId="32593"/>
    <cellStyle name="_-* #,##0_-;-* #,##0_-;_-* &quot;-&quot;_-;_-@_-_파생상품관련충당금파일0910_v2(영광스텐반영후) 3 2 4" xfId="25415"/>
    <cellStyle name="_-* #,##0_-;-* #,##0_-;_-* &quot;-&quot;_-;_-@_-_파생상품관련충당금파일0910_v2(영광스텐반영후) 3 2 4 2" xfId="32595"/>
    <cellStyle name="_-* #,##0_-;-* #,##0_-;_-* &quot;-&quot;_-;_-@_-_파생상품관련충당금파일0910_v2(영광스텐반영후) 3 2 5" xfId="25416"/>
    <cellStyle name="_-* #,##0_-;-* #,##0_-;_-* &quot;-&quot;_-;_-@_-_파생상품관련충당금파일0910_v2(영광스텐반영후) 3 2 5 2" xfId="32596"/>
    <cellStyle name="_-* #,##0_-;-* #,##0_-;_-* &quot;-&quot;_-;_-@_-_파생상품관련충당금파일0910_v2(영광스텐반영후) 3 2 6" xfId="25417"/>
    <cellStyle name="_-* #,##0_-;-* #,##0_-;_-* &quot;-&quot;_-;_-@_-_파생상품관련충당금파일0910_v2(영광스텐반영후) 3 2 6 2" xfId="32597"/>
    <cellStyle name="_-* #,##0_-;-* #,##0_-;_-* &quot;-&quot;_-;_-@_-_파생상품관련충당금파일0910_v2(영광스텐반영후) 3 2 7" xfId="25418"/>
    <cellStyle name="_-* #,##0_-;-* #,##0_-;_-* &quot;-&quot;_-;_-@_-_파생상품관련충당금파일0910_v2(영광스텐반영후) 3 2 7 2" xfId="32598"/>
    <cellStyle name="_-* #,##0_-;-* #,##0_-;_-* &quot;-&quot;_-;_-@_-_파생상품관련충당금파일0910_v2(영광스텐반영후) 3 2 8" xfId="28603"/>
    <cellStyle name="_-* #,##0_-;-* #,##0_-;_-* &quot;-&quot;_-;_-@_-_파생상품관련충당금파일0910_v2(영광스텐반영후) 3 3" xfId="5986"/>
    <cellStyle name="_-* #,##0_-;-* #,##0_-;_-* &quot;-&quot;_-;_-@_-_파생상품관련충당금파일0910_v2(영광스텐반영후) 3 3 2" xfId="5987"/>
    <cellStyle name="_-* #,##0_-;-* #,##0_-;_-* &quot;-&quot;_-;_-@_-_파생상품관련충당금파일0910_v2(영광스텐반영후) 3 3 2 2" xfId="25419"/>
    <cellStyle name="_-* #,##0_-;-* #,##0_-;_-* &quot;-&quot;_-;_-@_-_파생상품관련충당금파일0910_v2(영광스텐반영후) 3 3 2 2 2" xfId="32599"/>
    <cellStyle name="_-* #,##0_-;-* #,##0_-;_-* &quot;-&quot;_-;_-@_-_파생상품관련충당금파일0910_v2(영광스텐반영후) 3 3 2 3" xfId="25420"/>
    <cellStyle name="_-* #,##0_-;-* #,##0_-;_-* &quot;-&quot;_-;_-@_-_파생상품관련충당금파일0910_v2(영광스텐반영후) 3 3 2 3 2" xfId="32600"/>
    <cellStyle name="_-* #,##0_-;-* #,##0_-;_-* &quot;-&quot;_-;_-@_-_파생상품관련충당금파일0910_v2(영광스텐반영후) 3 3 2 4" xfId="25421"/>
    <cellStyle name="_-* #,##0_-;-* #,##0_-;_-* &quot;-&quot;_-;_-@_-_파생상품관련충당금파일0910_v2(영광스텐반영후) 3 3 2 4 2" xfId="32601"/>
    <cellStyle name="_-* #,##0_-;-* #,##0_-;_-* &quot;-&quot;_-;_-@_-_파생상품관련충당금파일0910_v2(영광스텐반영후) 3 3 2 5" xfId="25422"/>
    <cellStyle name="_-* #,##0_-;-* #,##0_-;_-* &quot;-&quot;_-;_-@_-_파생상품관련충당금파일0910_v2(영광스텐반영후) 3 3 2 5 2" xfId="32602"/>
    <cellStyle name="_-* #,##0_-;-* #,##0_-;_-* &quot;-&quot;_-;_-@_-_파생상품관련충당금파일0910_v2(영광스텐반영후) 3 3 2 6" xfId="28606"/>
    <cellStyle name="_-* #,##0_-;-* #,##0_-;_-* &quot;-&quot;_-;_-@_-_파생상품관련충당금파일0910_v2(영광스텐반영후) 3 3 3" xfId="25423"/>
    <cellStyle name="_-* #,##0_-;-* #,##0_-;_-* &quot;-&quot;_-;_-@_-_파생상품관련충당금파일0910_v2(영광스텐반영후) 3 3 3 2" xfId="25424"/>
    <cellStyle name="_-* #,##0_-;-* #,##0_-;_-* &quot;-&quot;_-;_-@_-_파생상품관련충당금파일0910_v2(영광스텐반영후) 3 3 3 2 2" xfId="32604"/>
    <cellStyle name="_-* #,##0_-;-* #,##0_-;_-* &quot;-&quot;_-;_-@_-_파생상품관련충당금파일0910_v2(영광스텐반영후) 3 3 3 3" xfId="32603"/>
    <cellStyle name="_-* #,##0_-;-* #,##0_-;_-* &quot;-&quot;_-;_-@_-_파생상품관련충당금파일0910_v2(영광스텐반영후) 3 3 4" xfId="25425"/>
    <cellStyle name="_-* #,##0_-;-* #,##0_-;_-* &quot;-&quot;_-;_-@_-_파생상품관련충당금파일0910_v2(영광스텐반영후) 3 3 4 2" xfId="32605"/>
    <cellStyle name="_-* #,##0_-;-* #,##0_-;_-* &quot;-&quot;_-;_-@_-_파생상품관련충당금파일0910_v2(영광스텐반영후) 3 3 5" xfId="25426"/>
    <cellStyle name="_-* #,##0_-;-* #,##0_-;_-* &quot;-&quot;_-;_-@_-_파생상품관련충당금파일0910_v2(영광스텐반영후) 3 3 5 2" xfId="32606"/>
    <cellStyle name="_-* #,##0_-;-* #,##0_-;_-* &quot;-&quot;_-;_-@_-_파생상품관련충당금파일0910_v2(영광스텐반영후) 3 3 6" xfId="25427"/>
    <cellStyle name="_-* #,##0_-;-* #,##0_-;_-* &quot;-&quot;_-;_-@_-_파생상품관련충당금파일0910_v2(영광스텐반영후) 3 3 6 2" xfId="32607"/>
    <cellStyle name="_-* #,##0_-;-* #,##0_-;_-* &quot;-&quot;_-;_-@_-_파생상품관련충당금파일0910_v2(영광스텐반영후) 3 3 7" xfId="25428"/>
    <cellStyle name="_-* #,##0_-;-* #,##0_-;_-* &quot;-&quot;_-;_-@_-_파생상품관련충당금파일0910_v2(영광스텐반영후) 3 3 7 2" xfId="32608"/>
    <cellStyle name="_-* #,##0_-;-* #,##0_-;_-* &quot;-&quot;_-;_-@_-_파생상품관련충당금파일0910_v2(영광스텐반영후) 3 3 8" xfId="28605"/>
    <cellStyle name="_-* #,##0_-;-* #,##0_-;_-* &quot;-&quot;_-;_-@_-_파생상품관련충당금파일0910_v2(영광스텐반영후) 3 4" xfId="5988"/>
    <cellStyle name="_-* #,##0_-;-* #,##0_-;_-* &quot;-&quot;_-;_-@_-_파생상품관련충당금파일0910_v2(영광스텐반영후) 3 4 2" xfId="5989"/>
    <cellStyle name="_-* #,##0_-;-* #,##0_-;_-* &quot;-&quot;_-;_-@_-_파생상품관련충당금파일0910_v2(영광스텐반영후) 3 4 2 2" xfId="25429"/>
    <cellStyle name="_-* #,##0_-;-* #,##0_-;_-* &quot;-&quot;_-;_-@_-_파생상품관련충당금파일0910_v2(영광스텐반영후) 3 4 2 2 2" xfId="32609"/>
    <cellStyle name="_-* #,##0_-;-* #,##0_-;_-* &quot;-&quot;_-;_-@_-_파생상품관련충당금파일0910_v2(영광스텐반영후) 3 4 2 3" xfId="25430"/>
    <cellStyle name="_-* #,##0_-;-* #,##0_-;_-* &quot;-&quot;_-;_-@_-_파생상품관련충당금파일0910_v2(영광스텐반영후) 3 4 2 3 2" xfId="32610"/>
    <cellStyle name="_-* #,##0_-;-* #,##0_-;_-* &quot;-&quot;_-;_-@_-_파생상품관련충당금파일0910_v2(영광스텐반영후) 3 4 2 4" xfId="25431"/>
    <cellStyle name="_-* #,##0_-;-* #,##0_-;_-* &quot;-&quot;_-;_-@_-_파생상품관련충당금파일0910_v2(영광스텐반영후) 3 4 2 4 2" xfId="32611"/>
    <cellStyle name="_-* #,##0_-;-* #,##0_-;_-* &quot;-&quot;_-;_-@_-_파생상품관련충당금파일0910_v2(영광스텐반영후) 3 4 2 5" xfId="25432"/>
    <cellStyle name="_-* #,##0_-;-* #,##0_-;_-* &quot;-&quot;_-;_-@_-_파생상품관련충당금파일0910_v2(영광스텐반영후) 3 4 2 5 2" xfId="32612"/>
    <cellStyle name="_-* #,##0_-;-* #,##0_-;_-* &quot;-&quot;_-;_-@_-_파생상품관련충당금파일0910_v2(영광스텐반영후) 3 4 2 6" xfId="28608"/>
    <cellStyle name="_-* #,##0_-;-* #,##0_-;_-* &quot;-&quot;_-;_-@_-_파생상품관련충당금파일0910_v2(영광스텐반영후) 3 4 3" xfId="25433"/>
    <cellStyle name="_-* #,##0_-;-* #,##0_-;_-* &quot;-&quot;_-;_-@_-_파생상품관련충당금파일0910_v2(영광스텐반영후) 3 4 3 2" xfId="25434"/>
    <cellStyle name="_-* #,##0_-;-* #,##0_-;_-* &quot;-&quot;_-;_-@_-_파생상품관련충당금파일0910_v2(영광스텐반영후) 3 4 3 2 2" xfId="32614"/>
    <cellStyle name="_-* #,##0_-;-* #,##0_-;_-* &quot;-&quot;_-;_-@_-_파생상품관련충당금파일0910_v2(영광스텐반영후) 3 4 3 3" xfId="32613"/>
    <cellStyle name="_-* #,##0_-;-* #,##0_-;_-* &quot;-&quot;_-;_-@_-_파생상품관련충당금파일0910_v2(영광스텐반영후) 3 4 4" xfId="25435"/>
    <cellStyle name="_-* #,##0_-;-* #,##0_-;_-* &quot;-&quot;_-;_-@_-_파생상품관련충당금파일0910_v2(영광스텐반영후) 3 4 4 2" xfId="32615"/>
    <cellStyle name="_-* #,##0_-;-* #,##0_-;_-* &quot;-&quot;_-;_-@_-_파생상품관련충당금파일0910_v2(영광스텐반영후) 3 4 5" xfId="25436"/>
    <cellStyle name="_-* #,##0_-;-* #,##0_-;_-* &quot;-&quot;_-;_-@_-_파생상품관련충당금파일0910_v2(영광스텐반영후) 3 4 5 2" xfId="32616"/>
    <cellStyle name="_-* #,##0_-;-* #,##0_-;_-* &quot;-&quot;_-;_-@_-_파생상품관련충당금파일0910_v2(영광스텐반영후) 3 4 6" xfId="25437"/>
    <cellStyle name="_-* #,##0_-;-* #,##0_-;_-* &quot;-&quot;_-;_-@_-_파생상품관련충당금파일0910_v2(영광스텐반영후) 3 4 6 2" xfId="32617"/>
    <cellStyle name="_-* #,##0_-;-* #,##0_-;_-* &quot;-&quot;_-;_-@_-_파생상품관련충당금파일0910_v2(영광스텐반영후) 3 4 7" xfId="25438"/>
    <cellStyle name="_-* #,##0_-;-* #,##0_-;_-* &quot;-&quot;_-;_-@_-_파생상품관련충당금파일0910_v2(영광스텐반영후) 3 4 7 2" xfId="32618"/>
    <cellStyle name="_-* #,##0_-;-* #,##0_-;_-* &quot;-&quot;_-;_-@_-_파생상품관련충당금파일0910_v2(영광스텐반영후) 3 4 8" xfId="28607"/>
    <cellStyle name="_-* #,##0_-;-* #,##0_-;_-* &quot;-&quot;_-;_-@_-_파생상품관련충당금파일0910_v2(영광스텐반영후) 3 5" xfId="5990"/>
    <cellStyle name="_-* #,##0_-;-* #,##0_-;_-* &quot;-&quot;_-;_-@_-_파생상품관련충당금파일0910_v2(영광스텐반영후) 3 5 2" xfId="25439"/>
    <cellStyle name="_-* #,##0_-;-* #,##0_-;_-* &quot;-&quot;_-;_-@_-_파생상품관련충당금파일0910_v2(영광스텐반영후) 3 5 2 2" xfId="32619"/>
    <cellStyle name="_-* #,##0_-;-* #,##0_-;_-* &quot;-&quot;_-;_-@_-_파생상품관련충당금파일0910_v2(영광스텐반영후) 3 5 3" xfId="25440"/>
    <cellStyle name="_-* #,##0_-;-* #,##0_-;_-* &quot;-&quot;_-;_-@_-_파생상품관련충당금파일0910_v2(영광스텐반영후) 3 5 3 2" xfId="32620"/>
    <cellStyle name="_-* #,##0_-;-* #,##0_-;_-* &quot;-&quot;_-;_-@_-_파생상품관련충당금파일0910_v2(영광스텐반영후) 3 5 4" xfId="25441"/>
    <cellStyle name="_-* #,##0_-;-* #,##0_-;_-* &quot;-&quot;_-;_-@_-_파생상품관련충당금파일0910_v2(영광스텐반영후) 3 5 4 2" xfId="32621"/>
    <cellStyle name="_-* #,##0_-;-* #,##0_-;_-* &quot;-&quot;_-;_-@_-_파생상품관련충당금파일0910_v2(영광스텐반영후) 3 5 5" xfId="25442"/>
    <cellStyle name="_-* #,##0_-;-* #,##0_-;_-* &quot;-&quot;_-;_-@_-_파생상품관련충당금파일0910_v2(영광스텐반영후) 3 5 5 2" xfId="32622"/>
    <cellStyle name="_-* #,##0_-;-* #,##0_-;_-* &quot;-&quot;_-;_-@_-_파생상품관련충당금파일0910_v2(영광스텐반영후) 3 5 6" xfId="28609"/>
    <cellStyle name="_-* #,##0_-;-* #,##0_-;_-* &quot;-&quot;_-;_-@_-_파생상품관련충당금파일0910_v2(영광스텐반영후) 3 6" xfId="25443"/>
    <cellStyle name="_-* #,##0_-;-* #,##0_-;_-* &quot;-&quot;_-;_-@_-_파생상품관련충당금파일0910_v2(영광스텐반영후) 3 6 2" xfId="25444"/>
    <cellStyle name="_-* #,##0_-;-* #,##0_-;_-* &quot;-&quot;_-;_-@_-_파생상품관련충당금파일0910_v2(영광스텐반영후) 3 6 2 2" xfId="32624"/>
    <cellStyle name="_-* #,##0_-;-* #,##0_-;_-* &quot;-&quot;_-;_-@_-_파생상품관련충당금파일0910_v2(영광스텐반영후) 3 6 3" xfId="32623"/>
    <cellStyle name="_-* #,##0_-;-* #,##0_-;_-* &quot;-&quot;_-;_-@_-_파생상품관련충당금파일0910_v2(영광스텐반영후) 3 7" xfId="25445"/>
    <cellStyle name="_-* #,##0_-;-* #,##0_-;_-* &quot;-&quot;_-;_-@_-_파생상품관련충당금파일0910_v2(영광스텐반영후) 3 7 2" xfId="32625"/>
    <cellStyle name="_-* #,##0_-;-* #,##0_-;_-* &quot;-&quot;_-;_-@_-_파생상품관련충당금파일0910_v2(영광스텐반영후) 3 8" xfId="25446"/>
    <cellStyle name="_-* #,##0_-;-* #,##0_-;_-* &quot;-&quot;_-;_-@_-_파생상품관련충당금파일0910_v2(영광스텐반영후) 3 8 2" xfId="32626"/>
    <cellStyle name="_-* #,##0_-;-* #,##0_-;_-* &quot;-&quot;_-;_-@_-_파생상품관련충당금파일0910_v2(영광스텐반영후) 3 9" xfId="25447"/>
    <cellStyle name="_-* #,##0_-;-* #,##0_-;_-* &quot;-&quot;_-;_-@_-_파생상품관련충당금파일0910_v2(영광스텐반영후) 3 9 2" xfId="32627"/>
    <cellStyle name="_-* #,##0_-;-* #,##0_-;_-* &quot;-&quot;_-;_-@_-_파생상품관련충당금파일0910_v2(영광스텐반영후) 4" xfId="5991"/>
    <cellStyle name="_-* #,##0_-;-* #,##0_-;_-* &quot;-&quot;_-;_-@_-_파생상품관련충당금파일0910_v2(영광스텐반영후) 4 2" xfId="5992"/>
    <cellStyle name="_-* #,##0_-;-* #,##0_-;_-* &quot;-&quot;_-;_-@_-_파생상품관련충당금파일0910_v2(영광스텐반영후) 4 2 2" xfId="5993"/>
    <cellStyle name="_-* #,##0_-;-* #,##0_-;_-* &quot;-&quot;_-;_-@_-_파생상품관련충당금파일0910_v2(영광스텐반영후) 4 2 2 2" xfId="25448"/>
    <cellStyle name="_-* #,##0_-;-* #,##0_-;_-* &quot;-&quot;_-;_-@_-_파생상품관련충당금파일0910_v2(영광스텐반영후) 4 2 2 2 2" xfId="32628"/>
    <cellStyle name="_-* #,##0_-;-* #,##0_-;_-* &quot;-&quot;_-;_-@_-_파생상품관련충당금파일0910_v2(영광스텐반영후) 4 2 2 3" xfId="28612"/>
    <cellStyle name="_-* #,##0_-;-* #,##0_-;_-* &quot;-&quot;_-;_-@_-_파생상품관련충당금파일0910_v2(영광스텐반영후) 4 2 3" xfId="25449"/>
    <cellStyle name="_-* #,##0_-;-* #,##0_-;_-* &quot;-&quot;_-;_-@_-_파생상품관련충당금파일0910_v2(영광스텐반영후) 4 2 3 2" xfId="32629"/>
    <cellStyle name="_-* #,##0_-;-* #,##0_-;_-* &quot;-&quot;_-;_-@_-_파생상품관련충당금파일0910_v2(영광스텐반영후) 4 2 4" xfId="25450"/>
    <cellStyle name="_-* #,##0_-;-* #,##0_-;_-* &quot;-&quot;_-;_-@_-_파생상품관련충당금파일0910_v2(영광스텐반영후) 4 2 4 2" xfId="32630"/>
    <cellStyle name="_-* #,##0_-;-* #,##0_-;_-* &quot;-&quot;_-;_-@_-_파생상품관련충당금파일0910_v2(영광스텐반영후) 4 2 5" xfId="25451"/>
    <cellStyle name="_-* #,##0_-;-* #,##0_-;_-* &quot;-&quot;_-;_-@_-_파생상품관련충당금파일0910_v2(영광스텐반영후) 4 2 5 2" xfId="32631"/>
    <cellStyle name="_-* #,##0_-;-* #,##0_-;_-* &quot;-&quot;_-;_-@_-_파생상품관련충당금파일0910_v2(영광스텐반영후) 4 2 6" xfId="28611"/>
    <cellStyle name="_-* #,##0_-;-* #,##0_-;_-* &quot;-&quot;_-;_-@_-_파생상품관련충당금파일0910_v2(영광스텐반영후) 4 3" xfId="5994"/>
    <cellStyle name="_-* #,##0_-;-* #,##0_-;_-* &quot;-&quot;_-;_-@_-_파생상품관련충당금파일0910_v2(영광스텐반영후) 4 3 2" xfId="5995"/>
    <cellStyle name="_-* #,##0_-;-* #,##0_-;_-* &quot;-&quot;_-;_-@_-_파생상품관련충당금파일0910_v2(영광스텐반영후) 4 3 2 2" xfId="25452"/>
    <cellStyle name="_-* #,##0_-;-* #,##0_-;_-* &quot;-&quot;_-;_-@_-_파생상품관련충당금파일0910_v2(영광스텐반영후) 4 3 2 2 2" xfId="32632"/>
    <cellStyle name="_-* #,##0_-;-* #,##0_-;_-* &quot;-&quot;_-;_-@_-_파생상품관련충당금파일0910_v2(영광스텐반영후) 4 3 2 3" xfId="28614"/>
    <cellStyle name="_-* #,##0_-;-* #,##0_-;_-* &quot;-&quot;_-;_-@_-_파생상품관련충당금파일0910_v2(영광스텐반영후) 4 3 3" xfId="25453"/>
    <cellStyle name="_-* #,##0_-;-* #,##0_-;_-* &quot;-&quot;_-;_-@_-_파생상품관련충당금파일0910_v2(영광스텐반영후) 4 3 3 2" xfId="32633"/>
    <cellStyle name="_-* #,##0_-;-* #,##0_-;_-* &quot;-&quot;_-;_-@_-_파생상품관련충당금파일0910_v2(영광스텐반영후) 4 3 4" xfId="28613"/>
    <cellStyle name="_-* #,##0_-;-* #,##0_-;_-* &quot;-&quot;_-;_-@_-_파생상품관련충당금파일0910_v2(영광스텐반영후) 4 4" xfId="5996"/>
    <cellStyle name="_-* #,##0_-;-* #,##0_-;_-* &quot;-&quot;_-;_-@_-_파생상품관련충당금파일0910_v2(영광스텐반영후) 4 4 2" xfId="5997"/>
    <cellStyle name="_-* #,##0_-;-* #,##0_-;_-* &quot;-&quot;_-;_-@_-_파생상품관련충당금파일0910_v2(영광스텐반영후) 4 4 2 2" xfId="25454"/>
    <cellStyle name="_-* #,##0_-;-* #,##0_-;_-* &quot;-&quot;_-;_-@_-_파생상품관련충당금파일0910_v2(영광스텐반영후) 4 4 2 2 2" xfId="32634"/>
    <cellStyle name="_-* #,##0_-;-* #,##0_-;_-* &quot;-&quot;_-;_-@_-_파생상품관련충당금파일0910_v2(영광스텐반영후) 4 4 2 3" xfId="28616"/>
    <cellStyle name="_-* #,##0_-;-* #,##0_-;_-* &quot;-&quot;_-;_-@_-_파생상품관련충당금파일0910_v2(영광스텐반영후) 4 4 3" xfId="25455"/>
    <cellStyle name="_-* #,##0_-;-* #,##0_-;_-* &quot;-&quot;_-;_-@_-_파생상품관련충당금파일0910_v2(영광스텐반영후) 4 4 3 2" xfId="32635"/>
    <cellStyle name="_-* #,##0_-;-* #,##0_-;_-* &quot;-&quot;_-;_-@_-_파생상품관련충당금파일0910_v2(영광스텐반영후) 4 4 4" xfId="28615"/>
    <cellStyle name="_-* #,##0_-;-* #,##0_-;_-* &quot;-&quot;_-;_-@_-_파생상품관련충당금파일0910_v2(영광스텐반영후) 4 5" xfId="5998"/>
    <cellStyle name="_-* #,##0_-;-* #,##0_-;_-* &quot;-&quot;_-;_-@_-_파생상품관련충당금파일0910_v2(영광스텐반영후) 4 5 2" xfId="25456"/>
    <cellStyle name="_-* #,##0_-;-* #,##0_-;_-* &quot;-&quot;_-;_-@_-_파생상품관련충당금파일0910_v2(영광스텐반영후) 4 5 2 2" xfId="32636"/>
    <cellStyle name="_-* #,##0_-;-* #,##0_-;_-* &quot;-&quot;_-;_-@_-_파생상품관련충당금파일0910_v2(영광스텐반영후) 4 5 3" xfId="28617"/>
    <cellStyle name="_-* #,##0_-;-* #,##0_-;_-* &quot;-&quot;_-;_-@_-_파생상품관련충당금파일0910_v2(영광스텐반영후) 4 6" xfId="25457"/>
    <cellStyle name="_-* #,##0_-;-* #,##0_-;_-* &quot;-&quot;_-;_-@_-_파생상품관련충당금파일0910_v2(영광스텐반영후) 4 6 2" xfId="32637"/>
    <cellStyle name="_-* #,##0_-;-* #,##0_-;_-* &quot;-&quot;_-;_-@_-_파생상품관련충당금파일0910_v2(영광스텐반영후) 4 7" xfId="25458"/>
    <cellStyle name="_-* #,##0_-;-* #,##0_-;_-* &quot;-&quot;_-;_-@_-_파생상품관련충당금파일0910_v2(영광스텐반영후) 4 7 2" xfId="32638"/>
    <cellStyle name="_-* #,##0_-;-* #,##0_-;_-* &quot;-&quot;_-;_-@_-_파생상품관련충당금파일0910_v2(영광스텐반영후) 4 8" xfId="28610"/>
    <cellStyle name="_-* #,##0_-;-* #,##0_-;_-* &quot;-&quot;_-;_-@_-_파생상품관련충당금파일0910_v2(영광스텐반영후) 5" xfId="5999"/>
    <cellStyle name="_-* #,##0_-;-* #,##0_-;_-* &quot;-&quot;_-;_-@_-_파생상품관련충당금파일0910_v2(영광스텐반영후) 5 2" xfId="6000"/>
    <cellStyle name="_-* #,##0_-;-* #,##0_-;_-* &quot;-&quot;_-;_-@_-_파생상품관련충당금파일0910_v2(영광스텐반영후) 5 2 2" xfId="6001"/>
    <cellStyle name="_-* #,##0_-;-* #,##0_-;_-* &quot;-&quot;_-;_-@_-_파생상품관련충당금파일0910_v2(영광스텐반영후) 5 2 2 2" xfId="25459"/>
    <cellStyle name="_-* #,##0_-;-* #,##0_-;_-* &quot;-&quot;_-;_-@_-_파생상품관련충당금파일0910_v2(영광스텐반영후) 5 2 2 2 2" xfId="32639"/>
    <cellStyle name="_-* #,##0_-;-* #,##0_-;_-* &quot;-&quot;_-;_-@_-_파생상품관련충당금파일0910_v2(영광스텐반영후) 5 2 2 3" xfId="28620"/>
    <cellStyle name="_-* #,##0_-;-* #,##0_-;_-* &quot;-&quot;_-;_-@_-_파생상품관련충당금파일0910_v2(영광스텐반영후) 5 2 3" xfId="25460"/>
    <cellStyle name="_-* #,##0_-;-* #,##0_-;_-* &quot;-&quot;_-;_-@_-_파생상품관련충당금파일0910_v2(영광스텐반영후) 5 2 3 2" xfId="32640"/>
    <cellStyle name="_-* #,##0_-;-* #,##0_-;_-* &quot;-&quot;_-;_-@_-_파생상품관련충당금파일0910_v2(영광스텐반영후) 5 2 4" xfId="25461"/>
    <cellStyle name="_-* #,##0_-;-* #,##0_-;_-* &quot;-&quot;_-;_-@_-_파생상품관련충당금파일0910_v2(영광스텐반영후) 5 2 4 2" xfId="32641"/>
    <cellStyle name="_-* #,##0_-;-* #,##0_-;_-* &quot;-&quot;_-;_-@_-_파생상품관련충당금파일0910_v2(영광스텐반영후) 5 2 5" xfId="25462"/>
    <cellStyle name="_-* #,##0_-;-* #,##0_-;_-* &quot;-&quot;_-;_-@_-_파생상품관련충당금파일0910_v2(영광스텐반영후) 5 2 5 2" xfId="32642"/>
    <cellStyle name="_-* #,##0_-;-* #,##0_-;_-* &quot;-&quot;_-;_-@_-_파생상품관련충당금파일0910_v2(영광스텐반영후) 5 2 6" xfId="28619"/>
    <cellStyle name="_-* #,##0_-;-* #,##0_-;_-* &quot;-&quot;_-;_-@_-_파생상품관련충당금파일0910_v2(영광스텐반영후) 5 3" xfId="6002"/>
    <cellStyle name="_-* #,##0_-;-* #,##0_-;_-* &quot;-&quot;_-;_-@_-_파생상품관련충당금파일0910_v2(영광스텐반영후) 5 3 2" xfId="6003"/>
    <cellStyle name="_-* #,##0_-;-* #,##0_-;_-* &quot;-&quot;_-;_-@_-_파생상품관련충당금파일0910_v2(영광스텐반영후) 5 3 2 2" xfId="25463"/>
    <cellStyle name="_-* #,##0_-;-* #,##0_-;_-* &quot;-&quot;_-;_-@_-_파생상품관련충당금파일0910_v2(영광스텐반영후) 5 3 2 2 2" xfId="32643"/>
    <cellStyle name="_-* #,##0_-;-* #,##0_-;_-* &quot;-&quot;_-;_-@_-_파생상품관련충당금파일0910_v2(영광스텐반영후) 5 3 2 3" xfId="28622"/>
    <cellStyle name="_-* #,##0_-;-* #,##0_-;_-* &quot;-&quot;_-;_-@_-_파생상품관련충당금파일0910_v2(영광스텐반영후) 5 3 3" xfId="25464"/>
    <cellStyle name="_-* #,##0_-;-* #,##0_-;_-* &quot;-&quot;_-;_-@_-_파생상품관련충당금파일0910_v2(영광스텐반영후) 5 3 3 2" xfId="32644"/>
    <cellStyle name="_-* #,##0_-;-* #,##0_-;_-* &quot;-&quot;_-;_-@_-_파생상품관련충당금파일0910_v2(영광스텐반영후) 5 3 4" xfId="28621"/>
    <cellStyle name="_-* #,##0_-;-* #,##0_-;_-* &quot;-&quot;_-;_-@_-_파생상품관련충당금파일0910_v2(영광스텐반영후) 5 4" xfId="6004"/>
    <cellStyle name="_-* #,##0_-;-* #,##0_-;_-* &quot;-&quot;_-;_-@_-_파생상품관련충당금파일0910_v2(영광스텐반영후) 5 4 2" xfId="25465"/>
    <cellStyle name="_-* #,##0_-;-* #,##0_-;_-* &quot;-&quot;_-;_-@_-_파생상품관련충당금파일0910_v2(영광스텐반영후) 5 4 2 2" xfId="32645"/>
    <cellStyle name="_-* #,##0_-;-* #,##0_-;_-* &quot;-&quot;_-;_-@_-_파생상품관련충당금파일0910_v2(영광스텐반영후) 5 4 3" xfId="28623"/>
    <cellStyle name="_-* #,##0_-;-* #,##0_-;_-* &quot;-&quot;_-;_-@_-_파생상품관련충당금파일0910_v2(영광스텐반영후) 5 5" xfId="25466"/>
    <cellStyle name="_-* #,##0_-;-* #,##0_-;_-* &quot;-&quot;_-;_-@_-_파생상품관련충당금파일0910_v2(영광스텐반영후) 5 5 2" xfId="32646"/>
    <cellStyle name="_-* #,##0_-;-* #,##0_-;_-* &quot;-&quot;_-;_-@_-_파생상품관련충당금파일0910_v2(영광스텐반영후) 5 6" xfId="25467"/>
    <cellStyle name="_-* #,##0_-;-* #,##0_-;_-* &quot;-&quot;_-;_-@_-_파생상품관련충당금파일0910_v2(영광스텐반영후) 5 6 2" xfId="32647"/>
    <cellStyle name="_-* #,##0_-;-* #,##0_-;_-* &quot;-&quot;_-;_-@_-_파생상품관련충당금파일0910_v2(영광스텐반영후) 5 7" xfId="25468"/>
    <cellStyle name="_-* #,##0_-;-* #,##0_-;_-* &quot;-&quot;_-;_-@_-_파생상품관련충당금파일0910_v2(영광스텐반영후) 5 7 2" xfId="32648"/>
    <cellStyle name="_-* #,##0_-;-* #,##0_-;_-* &quot;-&quot;_-;_-@_-_파생상품관련충당금파일0910_v2(영광스텐반영후) 5 8" xfId="28618"/>
    <cellStyle name="_-* #,##0_-;-* #,##0_-;_-* &quot;-&quot;_-;_-@_-_파생상품관련충당금파일0910_v2(영광스텐반영후) 6" xfId="6005"/>
    <cellStyle name="_-* #,##0_-;-* #,##0_-;_-* &quot;-&quot;_-;_-@_-_파생상품관련충당금파일0910_v2(영광스텐반영후) 6 2" xfId="6006"/>
    <cellStyle name="_-* #,##0_-;-* #,##0_-;_-* &quot;-&quot;_-;_-@_-_파생상품관련충당금파일0910_v2(영광스텐반영후) 6 2 2" xfId="25469"/>
    <cellStyle name="_-* #,##0_-;-* #,##0_-;_-* &quot;-&quot;_-;_-@_-_파생상품관련충당금파일0910_v2(영광스텐반영후) 6 2 2 2" xfId="32649"/>
    <cellStyle name="_-* #,##0_-;-* #,##0_-;_-* &quot;-&quot;_-;_-@_-_파생상품관련충당금파일0910_v2(영광스텐반영후) 6 2 3" xfId="25470"/>
    <cellStyle name="_-* #,##0_-;-* #,##0_-;_-* &quot;-&quot;_-;_-@_-_파생상품관련충당금파일0910_v2(영광스텐반영후) 6 2 3 2" xfId="32650"/>
    <cellStyle name="_-* #,##0_-;-* #,##0_-;_-* &quot;-&quot;_-;_-@_-_파생상품관련충당금파일0910_v2(영광스텐반영후) 6 2 4" xfId="25471"/>
    <cellStyle name="_-* #,##0_-;-* #,##0_-;_-* &quot;-&quot;_-;_-@_-_파생상품관련충당금파일0910_v2(영광스텐반영후) 6 2 4 2" xfId="32651"/>
    <cellStyle name="_-* #,##0_-;-* #,##0_-;_-* &quot;-&quot;_-;_-@_-_파생상품관련충당금파일0910_v2(영광스텐반영후) 6 2 5" xfId="25472"/>
    <cellStyle name="_-* #,##0_-;-* #,##0_-;_-* &quot;-&quot;_-;_-@_-_파생상품관련충당금파일0910_v2(영광스텐반영후) 6 2 5 2" xfId="32652"/>
    <cellStyle name="_-* #,##0_-;-* #,##0_-;_-* &quot;-&quot;_-;_-@_-_파생상품관련충당금파일0910_v2(영광스텐반영후) 6 2 6" xfId="28625"/>
    <cellStyle name="_-* #,##0_-;-* #,##0_-;_-* &quot;-&quot;_-;_-@_-_파생상품관련충당금파일0910_v2(영광스텐반영후) 6 3" xfId="25473"/>
    <cellStyle name="_-* #,##0_-;-* #,##0_-;_-* &quot;-&quot;_-;_-@_-_파생상품관련충당금파일0910_v2(영광스텐반영후) 6 3 2" xfId="25474"/>
    <cellStyle name="_-* #,##0_-;-* #,##0_-;_-* &quot;-&quot;_-;_-@_-_파생상품관련충당금파일0910_v2(영광스텐반영후) 6 3 2 2" xfId="32654"/>
    <cellStyle name="_-* #,##0_-;-* #,##0_-;_-* &quot;-&quot;_-;_-@_-_파생상품관련충당금파일0910_v2(영광스텐반영후) 6 3 3" xfId="32653"/>
    <cellStyle name="_-* #,##0_-;-* #,##0_-;_-* &quot;-&quot;_-;_-@_-_파생상품관련충당금파일0910_v2(영광스텐반영후) 6 4" xfId="25475"/>
    <cellStyle name="_-* #,##0_-;-* #,##0_-;_-* &quot;-&quot;_-;_-@_-_파생상품관련충당금파일0910_v2(영광스텐반영후) 6 4 2" xfId="32655"/>
    <cellStyle name="_-* #,##0_-;-* #,##0_-;_-* &quot;-&quot;_-;_-@_-_파생상품관련충당금파일0910_v2(영광스텐반영후) 6 5" xfId="25476"/>
    <cellStyle name="_-* #,##0_-;-* #,##0_-;_-* &quot;-&quot;_-;_-@_-_파생상품관련충당금파일0910_v2(영광스텐반영후) 6 5 2" xfId="32656"/>
    <cellStyle name="_-* #,##0_-;-* #,##0_-;_-* &quot;-&quot;_-;_-@_-_파생상품관련충당금파일0910_v2(영광스텐반영후) 6 6" xfId="25477"/>
    <cellStyle name="_-* #,##0_-;-* #,##0_-;_-* &quot;-&quot;_-;_-@_-_파생상품관련충당금파일0910_v2(영광스텐반영후) 6 6 2" xfId="32657"/>
    <cellStyle name="_-* #,##0_-;-* #,##0_-;_-* &quot;-&quot;_-;_-@_-_파생상품관련충당금파일0910_v2(영광스텐반영후) 6 7" xfId="25478"/>
    <cellStyle name="_-* #,##0_-;-* #,##0_-;_-* &quot;-&quot;_-;_-@_-_파생상품관련충당금파일0910_v2(영광스텐반영후) 6 7 2" xfId="32658"/>
    <cellStyle name="_-* #,##0_-;-* #,##0_-;_-* &quot;-&quot;_-;_-@_-_파생상품관련충당금파일0910_v2(영광스텐반영후) 6 8" xfId="28624"/>
    <cellStyle name="_-* #,##0_-;-* #,##0_-;_-* &quot;-&quot;_-;_-@_-_파생상품관련충당금파일0910_v2(영광스텐반영후) 7" xfId="6007"/>
    <cellStyle name="_-* #,##0_-;-* #,##0_-;_-* &quot;-&quot;_-;_-@_-_파생상품관련충당금파일0910_v2(영광스텐반영후) 7 2" xfId="6008"/>
    <cellStyle name="_-* #,##0_-;-* #,##0_-;_-* &quot;-&quot;_-;_-@_-_파생상품관련충당금파일0910_v2(영광스텐반영후) 7 2 2" xfId="25479"/>
    <cellStyle name="_-* #,##0_-;-* #,##0_-;_-* &quot;-&quot;_-;_-@_-_파생상품관련충당금파일0910_v2(영광스텐반영후) 7 2 2 2" xfId="32659"/>
    <cellStyle name="_-* #,##0_-;-* #,##0_-;_-* &quot;-&quot;_-;_-@_-_파생상품관련충당금파일0910_v2(영광스텐반영후) 7 2 3" xfId="28627"/>
    <cellStyle name="_-* #,##0_-;-* #,##0_-;_-* &quot;-&quot;_-;_-@_-_파생상품관련충당금파일0910_v2(영광스텐반영후) 7 3" xfId="25480"/>
    <cellStyle name="_-* #,##0_-;-* #,##0_-;_-* &quot;-&quot;_-;_-@_-_파생상품관련충당금파일0910_v2(영광스텐반영후) 7 3 2" xfId="32660"/>
    <cellStyle name="_-* #,##0_-;-* #,##0_-;_-* &quot;-&quot;_-;_-@_-_파생상품관련충당금파일0910_v2(영광스텐반영후) 7 4" xfId="25481"/>
    <cellStyle name="_-* #,##0_-;-* #,##0_-;_-* &quot;-&quot;_-;_-@_-_파생상품관련충당금파일0910_v2(영광스텐반영후) 7 4 2" xfId="32661"/>
    <cellStyle name="_-* #,##0_-;-* #,##0_-;_-* &quot;-&quot;_-;_-@_-_파생상품관련충당금파일0910_v2(영광스텐반영후) 7 5" xfId="25482"/>
    <cellStyle name="_-* #,##0_-;-* #,##0_-;_-* &quot;-&quot;_-;_-@_-_파생상품관련충당금파일0910_v2(영광스텐반영후) 7 5 2" xfId="32662"/>
    <cellStyle name="_-* #,##0_-;-* #,##0_-;_-* &quot;-&quot;_-;_-@_-_파생상품관련충당금파일0910_v2(영광스텐반영후) 7 6" xfId="28626"/>
    <cellStyle name="_-* #,##0_-;-* #,##0_-;_-* &quot;-&quot;_-;_-@_-_파생상품관련충당금파일0910_v2(영광스텐반영후) 8" xfId="6009"/>
    <cellStyle name="_-* #,##0_-;-* #,##0_-;_-* &quot;-&quot;_-;_-@_-_파생상품관련충당금파일0910_v2(영광스텐반영후) 8 2" xfId="6010"/>
    <cellStyle name="_-* #,##0_-;-* #,##0_-;_-* &quot;-&quot;_-;_-@_-_파생상품관련충당금파일0910_v2(영광스텐반영후) 8 2 2" xfId="25483"/>
    <cellStyle name="_-* #,##0_-;-* #,##0_-;_-* &quot;-&quot;_-;_-@_-_파생상품관련충당금파일0910_v2(영광스텐반영후) 8 2 2 2" xfId="32663"/>
    <cellStyle name="_-* #,##0_-;-* #,##0_-;_-* &quot;-&quot;_-;_-@_-_파생상품관련충당금파일0910_v2(영광스텐반영후) 8 2 3" xfId="28629"/>
    <cellStyle name="_-* #,##0_-;-* #,##0_-;_-* &quot;-&quot;_-;_-@_-_파생상품관련충당금파일0910_v2(영광스텐반영후) 8 3" xfId="25484"/>
    <cellStyle name="_-* #,##0_-;-* #,##0_-;_-* &quot;-&quot;_-;_-@_-_파생상품관련충당금파일0910_v2(영광스텐반영후) 8 3 2" xfId="32664"/>
    <cellStyle name="_-* #,##0_-;-* #,##0_-;_-* &quot;-&quot;_-;_-@_-_파생상품관련충당금파일0910_v2(영광스텐반영후) 8 4" xfId="25485"/>
    <cellStyle name="_-* #,##0_-;-* #,##0_-;_-* &quot;-&quot;_-;_-@_-_파생상품관련충당금파일0910_v2(영광스텐반영후) 8 4 2" xfId="32665"/>
    <cellStyle name="_-* #,##0_-;-* #,##0_-;_-* &quot;-&quot;_-;_-@_-_파생상품관련충당금파일0910_v2(영광스텐반영후) 8 5" xfId="25486"/>
    <cellStyle name="_-* #,##0_-;-* #,##0_-;_-* &quot;-&quot;_-;_-@_-_파생상품관련충당금파일0910_v2(영광스텐반영후) 8 5 2" xfId="32666"/>
    <cellStyle name="_-* #,##0_-;-* #,##0_-;_-* &quot;-&quot;_-;_-@_-_파생상품관련충당금파일0910_v2(영광스텐반영후) 8 6" xfId="28628"/>
    <cellStyle name="_-* #,##0_-;-* #,##0_-;_-* &quot;-&quot;_-;_-@_-_파생상품관련충당금파일0910_v2(영광스텐반영후) 9" xfId="6011"/>
    <cellStyle name="_-* #,##0_-;-* #,##0_-;_-* &quot;-&quot;_-;_-@_-_파생상품관련충당금파일0910_v2(영광스텐반영후) 9 2" xfId="25487"/>
    <cellStyle name="_-* #,##0_-;-* #,##0_-;_-* &quot;-&quot;_-;_-@_-_파생상품관련충당금파일0910_v2(영광스텐반영후) 9 2 2" xfId="32667"/>
    <cellStyle name="_-* #,##0_-;-* #,##0_-;_-* &quot;-&quot;_-;_-@_-_파생상품관련충당금파일0910_v2(영광스텐반영후) 9 3" xfId="25488"/>
    <cellStyle name="_-* #,##0_-;-* #,##0_-;_-* &quot;-&quot;_-;_-@_-_파생상품관련충당금파일0910_v2(영광스텐반영후) 9 3 2" xfId="32668"/>
    <cellStyle name="_-* #,##0_-;-* #,##0_-;_-* &quot;-&quot;_-;_-@_-_파생상품관련충당금파일0910_v2(영광스텐반영후) 9 4" xfId="25489"/>
    <cellStyle name="_-* #,##0_-;-* #,##0_-;_-* &quot;-&quot;_-;_-@_-_파생상품관련충당금파일0910_v2(영광스텐반영후) 9 4 2" xfId="32669"/>
    <cellStyle name="_-* #,##0_-;-* #,##0_-;_-* &quot;-&quot;_-;_-@_-_파생상품관련충당금파일0910_v2(영광스텐반영후) 9 5" xfId="28630"/>
    <cellStyle name="_-* #,##0_-;-* #,##0_-;_-* &quot;-&quot;_-;_-@_-_파생상품관련충당금파일0910_v2(영광스텐반영후)_1211 충당금,건전성 현황_작업" xfId="6012"/>
    <cellStyle name="_-* #,##0_-;-* #,##0_-;_-* &quot;-&quot;_-;_-@_-_파생상품관련충당금파일0910_v2(영광스텐반영후)_1211 충당금,건전성 현황_작업 2" xfId="25490"/>
    <cellStyle name="_-* #,##0_-;-* #,##0_-;_-* &quot;-&quot;_-;_-@_-_파생상품관련충당금파일0910_v2(영광스텐반영후)_1211 충당금,건전성 현황_작업 2 2" xfId="32670"/>
    <cellStyle name="_-* #,##0_-;-* #,##0_-;_-* &quot;-&quot;_-;_-@_-_파생상품관련충당금파일0910_v2(영광스텐반영후)_1211 충당금,건전성 현황_작업 3" xfId="28631"/>
    <cellStyle name="_-* #,##0_-;-* #,##0_-;_-* &quot;-&quot;_-;_-@_-_파생상품관련충당금파일0910_v2(영광스텐반영후)_Hana 2011-1 Program_Data Disk_Pool B_v2(v5-1더밸류-이교민)" xfId="6013"/>
    <cellStyle name="_-* #,##0_-;-* #,##0_-;_-* &quot;-&quot;_-;_-@_-_파생상품관련충당금파일0910_v2(영광스텐반영후)_Hana 2011-1 Program_Data Disk_Pool B_v2(v5-1더밸류-이교민) 2" xfId="25491"/>
    <cellStyle name="_-* #,##0_-;-* #,##0_-;_-* &quot;-&quot;_-;_-@_-_파생상품관련충당금파일0910_v2(영광스텐반영후)_Hana 2011-1 Program_Data Disk_Pool B_v2(v5-1더밸류-이교민) 2 2" xfId="32671"/>
    <cellStyle name="_-* #,##0_-;-* #,##0_-;_-* &quot;-&quot;_-;_-@_-_파생상품관련충당금파일0910_v2(영광스텐반영후)_Hana 2011-1 Program_Data Disk_Pool B_v2(v5-1더밸류-이교민) 3" xfId="25492"/>
    <cellStyle name="_-* #,##0_-;-* #,##0_-;_-* &quot;-&quot;_-;_-@_-_파생상품관련충당금파일0910_v2(영광스텐반영후)_Hana 2011-1 Program_Data Disk_Pool B_v2(v5-1더밸류-이교민) 3 2" xfId="32672"/>
    <cellStyle name="_-* #,##0_-;-* #,##0_-;_-* &quot;-&quot;_-;_-@_-_파생상품관련충당금파일0910_v2(영광스텐반영후)_Hana 2011-1 Program_Data Disk_Pool B_v2(v5-1더밸류-이교민) 4" xfId="25493"/>
    <cellStyle name="_-* #,##0_-;-* #,##0_-;_-* &quot;-&quot;_-;_-@_-_파생상품관련충당금파일0910_v2(영광스텐반영후)_Hana 2011-1 Program_Data Disk_Pool B_v2(v5-1더밸류-이교민) 4 2" xfId="32673"/>
    <cellStyle name="_-* #,##0_-;-* #,##0_-;_-* &quot;-&quot;_-;_-@_-_파생상품관련충당금파일0910_v2(영광스텐반영후)_Hana 2011-1 Program_Data Disk_Pool B_v2(v5-1더밸류-이교민) 5" xfId="28632"/>
    <cellStyle name="_-* #,##0_-;-* #,##0_-;_-* &quot;-&quot;_-;_-@_-_파생상품관련충당금파일0910_v2(영광스텐반영후)_Hana 2011-1 Program_Data Disk_Pool B_v2(v5-1더밸류-이교민)_SHB 2011-2 Program_Data Disk_Pool C,B_v1(v2더밸류_이교민)" xfId="6014"/>
    <cellStyle name="_-* #,##0_-;-* #,##0_-;_-* &quot;-&quot;_-;_-@_-_파생상품관련충당금파일0910_v2(영광스텐반영후)_Hana 2011-1 Program_Data Disk_Pool B_v2(v5-1더밸류-이교민)_SHB 2011-2 Program_Data Disk_Pool C,B_v1(v2더밸류_이교민) 2" xfId="25494"/>
    <cellStyle name="_-* #,##0_-;-* #,##0_-;_-* &quot;-&quot;_-;_-@_-_파생상품관련충당금파일0910_v2(영광스텐반영후)_Hana 2011-1 Program_Data Disk_Pool B_v2(v5-1더밸류-이교민)_SHB 2011-2 Program_Data Disk_Pool C,B_v1(v2더밸류_이교민) 2 2" xfId="32674"/>
    <cellStyle name="_-* #,##0_-;-* #,##0_-;_-* &quot;-&quot;_-;_-@_-_파생상품관련충당금파일0910_v2(영광스텐반영후)_Hana 2011-1 Program_Data Disk_Pool B_v2(v5-1더밸류-이교민)_SHB 2011-2 Program_Data Disk_Pool C,B_v1(v2더밸류_이교민) 3" xfId="25495"/>
    <cellStyle name="_-* #,##0_-;-* #,##0_-;_-* &quot;-&quot;_-;_-@_-_파생상품관련충당금파일0910_v2(영광스텐반영후)_Hana 2011-1 Program_Data Disk_Pool B_v2(v5-1더밸류-이교민)_SHB 2011-2 Program_Data Disk_Pool C,B_v1(v2더밸류_이교민) 3 2" xfId="32675"/>
    <cellStyle name="_-* #,##0_-;-* #,##0_-;_-* &quot;-&quot;_-;_-@_-_파생상품관련충당금파일0910_v2(영광스텐반영후)_Hana 2011-1 Program_Data Disk_Pool B_v2(v5-1더밸류-이교민)_SHB 2011-2 Program_Data Disk_Pool C,B_v1(v2더밸류_이교민) 4" xfId="25496"/>
    <cellStyle name="_-* #,##0_-;-* #,##0_-;_-* &quot;-&quot;_-;_-@_-_파생상품관련충당금파일0910_v2(영광스텐반영후)_Hana 2011-1 Program_Data Disk_Pool B_v2(v5-1더밸류-이교민)_SHB 2011-2 Program_Data Disk_Pool C,B_v1(v2더밸류_이교민) 4 2" xfId="32676"/>
    <cellStyle name="_-* #,##0_-;-* #,##0_-;_-* &quot;-&quot;_-;_-@_-_파생상품관련충당금파일0910_v2(영광스텐반영후)_Hana 2011-1 Program_Data Disk_Pool B_v2(v5-1더밸류-이교민)_SHB 2011-2 Program_Data Disk_Pool C,B_v1(v2더밸류_이교민) 5" xfId="28633"/>
    <cellStyle name="_-* #,##0_-;-* #,##0_-;_-* &quot;-&quot;_-;_-@_-_파생상품관련충당금파일0910_v2(영광스텐반영후)_Hana 2011-1 Program_Data Disk_Pool B_v2(v5-1더밸류-이교민)_차주명관리_20110726_v1" xfId="6015"/>
    <cellStyle name="_-* #,##0_-;-* #,##0_-;_-* &quot;-&quot;_-;_-@_-_파생상품관련충당금파일0910_v2(영광스텐반영후)_Hana 2011-1 Program_Data Disk_Pool B_v2(v5-1더밸류-이교민)_차주명관리_20110726_v1 2" xfId="25497"/>
    <cellStyle name="_-* #,##0_-;-* #,##0_-;_-* &quot;-&quot;_-;_-@_-_파생상품관련충당금파일0910_v2(영광스텐반영후)_Hana 2011-1 Program_Data Disk_Pool B_v2(v5-1더밸류-이교민)_차주명관리_20110726_v1 2 2" xfId="32677"/>
    <cellStyle name="_-* #,##0_-;-* #,##0_-;_-* &quot;-&quot;_-;_-@_-_파생상품관련충당금파일0910_v2(영광스텐반영후)_Hana 2011-1 Program_Data Disk_Pool B_v2(v5-1더밸류-이교민)_차주명관리_20110726_v1 3" xfId="25498"/>
    <cellStyle name="_-* #,##0_-;-* #,##0_-;_-* &quot;-&quot;_-;_-@_-_파생상품관련충당금파일0910_v2(영광스텐반영후)_Hana 2011-1 Program_Data Disk_Pool B_v2(v5-1더밸류-이교민)_차주명관리_20110726_v1 3 2" xfId="32678"/>
    <cellStyle name="_-* #,##0_-;-* #,##0_-;_-* &quot;-&quot;_-;_-@_-_파생상품관련충당금파일0910_v2(영광스텐반영후)_Hana 2011-1 Program_Data Disk_Pool B_v2(v5-1더밸류-이교민)_차주명관리_20110726_v1 4" xfId="25499"/>
    <cellStyle name="_-* #,##0_-;-* #,##0_-;_-* &quot;-&quot;_-;_-@_-_파생상품관련충당금파일0910_v2(영광스텐반영후)_Hana 2011-1 Program_Data Disk_Pool B_v2(v5-1더밸류-이교민)_차주명관리_20110726_v1 4 2" xfId="32679"/>
    <cellStyle name="_-* #,##0_-;-* #,##0_-;_-* &quot;-&quot;_-;_-@_-_파생상품관련충당금파일0910_v2(영광스텐반영후)_Hana 2011-1 Program_Data Disk_Pool B_v2(v5-1더밸류-이교민)_차주명관리_20110726_v1 5" xfId="28634"/>
    <cellStyle name="_-* #,##0_-;-* #,##0_-;_-* &quot;-&quot;_-;_-@_-_파생상품관련충당금파일0910_v2(영광스텐반영후)_SHB_2011-3_담보sheet(더밸류_v6이교민)" xfId="6016"/>
    <cellStyle name="_-* #,##0_-;-* #,##0_-;_-* &quot;-&quot;_-;_-@_-_파생상품관련충당금파일0910_v2(영광스텐반영후)_SHB_2011-3_담보sheet(더밸류_v6이교민) 2" xfId="25500"/>
    <cellStyle name="_-* #,##0_-;-* #,##0_-;_-* &quot;-&quot;_-;_-@_-_파생상품관련충당금파일0910_v2(영광스텐반영후)_SHB_2011-3_담보sheet(더밸류_v6이교민) 2 2" xfId="32680"/>
    <cellStyle name="_-* #,##0_-;-* #,##0_-;_-* &quot;-&quot;_-;_-@_-_파생상품관련충당금파일0910_v2(영광스텐반영후)_SHB_2011-3_담보sheet(더밸류_v6이교민) 3" xfId="25501"/>
    <cellStyle name="_-* #,##0_-;-* #,##0_-;_-* &quot;-&quot;_-;_-@_-_파생상품관련충당금파일0910_v2(영광스텐반영후)_SHB_2011-3_담보sheet(더밸류_v6이교민) 3 2" xfId="32681"/>
    <cellStyle name="_-* #,##0_-;-* #,##0_-;_-* &quot;-&quot;_-;_-@_-_파생상품관련충당금파일0910_v2(영광스텐반영후)_SHB_2011-3_담보sheet(더밸류_v6이교민) 4" xfId="25502"/>
    <cellStyle name="_-* #,##0_-;-* #,##0_-;_-* &quot;-&quot;_-;_-@_-_파생상품관련충당금파일0910_v2(영광스텐반영후)_SHB_2011-3_담보sheet(더밸류_v6이교민) 4 2" xfId="32682"/>
    <cellStyle name="_-* #,##0_-;-* #,##0_-;_-* &quot;-&quot;_-;_-@_-_파생상품관련충당금파일0910_v2(영광스텐반영후)_SHB_2011-3_담보sheet(더밸류_v6이교민) 5" xfId="28635"/>
    <cellStyle name="_-* #,##0_-;-* #,##0_-;_-* &quot;-&quot;_-;_-@_-_파생상품관련충당금파일0910_v2(영광스텐반영후)_SHB_2011-3_담보sheet(더밸류_v6이교민)_차주명관리_20110726_v1" xfId="6017"/>
    <cellStyle name="_-* #,##0_-;-* #,##0_-;_-* &quot;-&quot;_-;_-@_-_파생상품관련충당금파일0910_v2(영광스텐반영후)_SHB_2011-3_담보sheet(더밸류_v6이교민)_차주명관리_20110726_v1 2" xfId="25503"/>
    <cellStyle name="_-* #,##0_-;-* #,##0_-;_-* &quot;-&quot;_-;_-@_-_파생상품관련충당금파일0910_v2(영광스텐반영후)_SHB_2011-3_담보sheet(더밸류_v6이교민)_차주명관리_20110726_v1 2 2" xfId="32683"/>
    <cellStyle name="_-* #,##0_-;-* #,##0_-;_-* &quot;-&quot;_-;_-@_-_파생상품관련충당금파일0910_v2(영광스텐반영후)_SHB_2011-3_담보sheet(더밸류_v6이교민)_차주명관리_20110726_v1 3" xfId="25504"/>
    <cellStyle name="_-* #,##0_-;-* #,##0_-;_-* &quot;-&quot;_-;_-@_-_파생상품관련충당금파일0910_v2(영광스텐반영후)_SHB_2011-3_담보sheet(더밸류_v6이교민)_차주명관리_20110726_v1 3 2" xfId="32684"/>
    <cellStyle name="_-* #,##0_-;-* #,##0_-;_-* &quot;-&quot;_-;_-@_-_파생상품관련충당금파일0910_v2(영광스텐반영후)_SHB_2011-3_담보sheet(더밸류_v6이교민)_차주명관리_20110726_v1 4" xfId="25505"/>
    <cellStyle name="_-* #,##0_-;-* #,##0_-;_-* &quot;-&quot;_-;_-@_-_파생상품관련충당금파일0910_v2(영광스텐반영후)_SHB_2011-3_담보sheet(더밸류_v6이교민)_차주명관리_20110726_v1 4 2" xfId="32685"/>
    <cellStyle name="_-* #,##0_-;-* #,##0_-;_-* &quot;-&quot;_-;_-@_-_파생상품관련충당금파일0910_v2(영광스텐반영후)_SHB_2011-3_담보sheet(더밸류_v6이교민)_차주명관리_20110726_v1 5" xfId="28636"/>
    <cellStyle name="_-* #,##0_-;-* #,##0_-;_-* &quot;-&quot;_-;_-@_-_파생상품관련충당금파일0910_v2(영광스텐반영후)_Sheet1" xfId="6018"/>
    <cellStyle name="_-* #,##0_-;-* #,##0_-;_-* &quot;-&quot;_-;_-@_-_파생상품관련충당금파일0910_v2(영광스텐반영후)_Sheet1 2" xfId="25506"/>
    <cellStyle name="_-* #,##0_-;-* #,##0_-;_-* &quot;-&quot;_-;_-@_-_파생상품관련충당금파일0910_v2(영광스텐반영후)_Sheet1 2 2" xfId="32686"/>
    <cellStyle name="_-* #,##0_-;-* #,##0_-;_-* &quot;-&quot;_-;_-@_-_파생상품관련충당금파일0910_v2(영광스텐반영후)_Sheet1 3" xfId="28637"/>
    <cellStyle name="_-* #,##0_-;-* #,##0_-;_-* &quot;-&quot;_-;_-@_-_파생상품관련충당금파일0910_v2(영광스텐반영후)_권리분석_v1(최초)-4" xfId="6019"/>
    <cellStyle name="_-* #,##0_-;-* #,##0_-;_-* &quot;-&quot;_-;_-@_-_파생상품관련충당금파일0910_v2(영광스텐반영후)_권리분석_v1(최초)-4 2" xfId="25507"/>
    <cellStyle name="_-* #,##0_-;-* #,##0_-;_-* &quot;-&quot;_-;_-@_-_파생상품관련충당금파일0910_v2(영광스텐반영후)_권리분석_v1(최초)-4 2 2" xfId="32687"/>
    <cellStyle name="_-* #,##0_-;-* #,##0_-;_-* &quot;-&quot;_-;_-@_-_파생상품관련충당금파일0910_v2(영광스텐반영후)_권리분석_v1(최초)-4 3" xfId="25508"/>
    <cellStyle name="_-* #,##0_-;-* #,##0_-;_-* &quot;-&quot;_-;_-@_-_파생상품관련충당금파일0910_v2(영광스텐반영후)_권리분석_v1(최초)-4 3 2" xfId="32688"/>
    <cellStyle name="_-* #,##0_-;-* #,##0_-;_-* &quot;-&quot;_-;_-@_-_파생상품관련충당금파일0910_v2(영광스텐반영후)_권리분석_v1(최초)-4 4" xfId="25509"/>
    <cellStyle name="_-* #,##0_-;-* #,##0_-;_-* &quot;-&quot;_-;_-@_-_파생상품관련충당금파일0910_v2(영광스텐반영후)_권리분석_v1(최초)-4 4 2" xfId="32689"/>
    <cellStyle name="_-* #,##0_-;-* #,##0_-;_-* &quot;-&quot;_-;_-@_-_파생상품관련충당금파일0910_v2(영광스텐반영후)_권리분석_v1(최초)-4 5" xfId="28638"/>
    <cellStyle name="__ [0]_New weekly report.Sep.3" xfId="18818"/>
    <cellStyle name="___[0]_New weekly report.Sep.3" xfId="18819"/>
    <cellStyle name="___[0]_New weekly report.Sep.3 2" xfId="18820"/>
    <cellStyle name="___[0]_New weekly report.Sep.3 2 2" xfId="18821"/>
    <cellStyle name="___[0]_New weekly report.Sep.3 3" xfId="18822"/>
    <cellStyle name="____New weekly report.Sep.3" xfId="18823"/>
    <cellStyle name="____New weekly report.Sep.3 2" xfId="18824"/>
    <cellStyle name="____New weekly report.Sep.3 2 2" xfId="18825"/>
    <cellStyle name="____New weekly report.Sep.3 3" xfId="18826"/>
    <cellStyle name="___New weekly report.Sep.3" xfId="18827"/>
    <cellStyle name="___New weekly report.Sep.3_247 media - australia" xfId="18828"/>
    <cellStyle name="___New weekly report.Sep.3_247 media - singapore" xfId="18829"/>
    <cellStyle name="___New weekly report.Sep.3_247 media - thailand" xfId="18830"/>
    <cellStyle name="___New weekly report.Sep.3_dae.budget.6.00" xfId="18831"/>
    <cellStyle name="__apimp01" xfId="18832"/>
    <cellStyle name="__APIMPT01" xfId="18833"/>
    <cellStyle name="_~8500402" xfId="6020"/>
    <cellStyle name="_~MF3326" xfId="56"/>
    <cellStyle name="_~MF3326 2" xfId="6021"/>
    <cellStyle name="_~MF3326 3" xfId="6022"/>
    <cellStyle name="_~MF3326_1" xfId="57"/>
    <cellStyle name="_~MF3326_1 2" xfId="6023"/>
    <cellStyle name="_~MF3326_1 3" xfId="6024"/>
    <cellStyle name="_~MF3326_2" xfId="58"/>
    <cellStyle name="_~MF3326_2 2" xfId="6025"/>
    <cellStyle name="_~MF3326_2 3" xfId="6026"/>
    <cellStyle name="_~MF3326_3" xfId="59"/>
    <cellStyle name="_~MF3326_3 2" xfId="6027"/>
    <cellStyle name="_~MF3326_3 3" xfId="6028"/>
    <cellStyle name="_~MF3326_4" xfId="60"/>
    <cellStyle name="_~MF3326_4 2" xfId="6029"/>
    <cellStyle name="_~MF3326_4 2 2" xfId="18834"/>
    <cellStyle name="_~MF3326_4 3" xfId="18835"/>
    <cellStyle name="_~MF3326_5" xfId="61"/>
    <cellStyle name="_~MF3326_자회사배당익불산고려(7(1).18)" xfId="62"/>
    <cellStyle name="_~MF3326_자회사배당익불산고려(7(1).18) 2" xfId="6030"/>
    <cellStyle name="_~MF3326_자회사배당익불산고려(7(1).18) 3" xfId="6031"/>
    <cellStyle name="_※ 매각기표판_2010.6.29(5)_기표일 환율 반영(김구현_VER1)" xfId="63"/>
    <cellStyle name="_※ 매각기표판_2010.6.29(6)_최종(김구현차장님)_REAL FINAL22" xfId="64"/>
    <cellStyle name="_※가지급금(tetaase21_계좌+고객식별자)_2010.11.29" xfId="65"/>
    <cellStyle name="_※매각기표판(입찰매각)_Final(임성수)" xfId="66"/>
    <cellStyle name="_※직매각기표_ver10_20100504(20100622작성)_성수 작업" xfId="67"/>
    <cellStyle name="_0.보고_연결재무제표(2002.12)" xfId="25510"/>
    <cellStyle name="_00 개정내용(종합)(2400~2500)(개정)" xfId="68"/>
    <cellStyle name="_00 개정내용(종합)(2400~2500)(개정) 2" xfId="6032"/>
    <cellStyle name="_00 개정내용(종합)(2400~2500)(개정) 3" xfId="6033"/>
    <cellStyle name="_00,01년인원인건비정리" xfId="6034"/>
    <cellStyle name="_00. 2003년8월재무제표_보고" xfId="25511"/>
    <cellStyle name="_00. 영업외수익 및 비용 추정(수정)" xfId="25512"/>
    <cellStyle name="_00.재무제표(보고용_1분기_AJE반영)0303" xfId="25513"/>
    <cellStyle name="_001-인원및일반관리비" xfId="6035"/>
    <cellStyle name="_00년재무제표 감사후조정" xfId="6036"/>
    <cellStyle name="_00년재무제표 감사후조정_동창종합건재(20081126)_청산가치" xfId="6037"/>
    <cellStyle name="_00년재무제표 감사후조정_동창종합건재(20081126)_청산가치_동창종합건재(20081126)_청산가치" xfId="6038"/>
    <cellStyle name="_00년재무제표 감사후조정_우남계속기업가치 - 최종표본" xfId="6039"/>
    <cellStyle name="_00년재무제표 감사후조정_우남계속기업가치 - 최종표본_동창종합건재(20081126)_청산가치" xfId="6040"/>
    <cellStyle name="_00년재무제표 감사후조정_우남계속기업가치 - 최종표본_동창종합건재(20081126)_청산가치_동창종합건재(20081126)_청산가치" xfId="6041"/>
    <cellStyle name="_01 Jan_AR2002" xfId="18836"/>
    <cellStyle name="_0101" xfId="18837"/>
    <cellStyle name="_'01TR조서-deferred income tax" xfId="18838"/>
    <cellStyle name="_01-건축공사" xfId="6042"/>
    <cellStyle name="_01건축실행(오쇠동A)" xfId="6043"/>
    <cellStyle name="_'01기말-경산개발" xfId="6044"/>
    <cellStyle name="_'01기말-동원금속공업" xfId="6045"/>
    <cellStyle name="_'01기말-아진산업" xfId="6046"/>
    <cellStyle name="_'01기말-진안섬유" xfId="6047"/>
    <cellStyle name="_01년매출계획" xfId="6048"/>
    <cellStyle name="_01년임율" xfId="6049"/>
    <cellStyle name="_01'삼성산업-기말감사" xfId="6050"/>
    <cellStyle name="_01-우리주택기말" xfId="6051"/>
    <cellStyle name="_01-화성기말" xfId="6052"/>
    <cellStyle name="_02 Feb_AR2002" xfId="18839"/>
    <cellStyle name="_02 결산안(5월)0705" xfId="25514"/>
    <cellStyle name="_0203-최종" xfId="6053"/>
    <cellStyle name="_02FS(한일도요)-초안" xfId="18840"/>
    <cellStyle name="_02기말_cwi" xfId="18841"/>
    <cellStyle name="_02년 유형자산 처분명세" xfId="18842"/>
    <cellStyle name="_02년 유형자산명세서(12월)" xfId="18843"/>
    <cellStyle name="_02년사업계획제양식(B4)" xfId="6054"/>
    <cellStyle name="_02-도급공사비내역" xfId="6055"/>
    <cellStyle name="_02매출(진도)" xfId="6056"/>
    <cellStyle name="_02매출전체(진도)" xfId="6057"/>
    <cellStyle name="_02수익금액부가가치세과표대사" xfId="18844"/>
    <cellStyle name="_03. 계정명세서sum(4월)" xfId="25515"/>
    <cellStyle name="_03_Audit_Hynix_현금흐름표(홍성훈-최종)" xfId="25516"/>
    <cellStyle name="_030820 Final 확정업무보고서(2003.2분기)" xfId="69"/>
    <cellStyle name="_030820 Final 확정업무보고서(2003.2분기) 2" xfId="6058"/>
    <cellStyle name="_030820 Final 확정업무보고서(2003.2분기) 3" xfId="6059"/>
    <cellStyle name="_03에어결산재무재표(1231)" xfId="6060"/>
    <cellStyle name="_04 건축-인테리어(주거)공내역" xfId="6061"/>
    <cellStyle name="-_04.10월 손익보정 내역(04.10.15~)" xfId="18845"/>
    <cellStyle name="-_04.10월 손익보정 내역(04.10.15~) 2" xfId="18846"/>
    <cellStyle name="-_04.10월 손익보정 내역(04.10.15~) 2 2" xfId="18847"/>
    <cellStyle name="-_04.10월 손익보정 내역(04.10.15~) 3" xfId="18848"/>
    <cellStyle name="-_04.10월 손익보정 내역(04.10.15~)_04.10월 손익보정 내역(04.10.15~)" xfId="18849"/>
    <cellStyle name="-_04.10월 손익보정 내역(04.10.15~)_04.10월 손익보정 내역(04.10.15~) 2" xfId="18850"/>
    <cellStyle name="-_04.10월 손익보정 내역(04.10.15~)_04.10월 손익보정 내역(04.10.15~) 2 2" xfId="18851"/>
    <cellStyle name="-_04.10월 손익보정 내역(04.10.15~)_04.10월 손익보정 내역(04.10.15~) 3" xfId="18852"/>
    <cellStyle name="-_04.10월 손익보정 내역(04.10.15~)_04.10월 손익보정 내역(04.10.15~)_1.창업관련 회계처리" xfId="18853"/>
    <cellStyle name="-_04.10월 손익보정 내역(04.10.15~)_04.10월 손익보정 내역(04.10.15~)_1.창업관련 회계처리 2" xfId="18854"/>
    <cellStyle name="-_04.10월 손익보정 내역(04.10.15~)_04.10월 손익보정 내역(04.10.15~)_1.창업관련 회계처리 2 2" xfId="18855"/>
    <cellStyle name="-_04.10월 손익보정 내역(04.10.15~)_04.10월 손익보정 내역(04.10.15~)_1.창업관련 회계처리 3" xfId="18856"/>
    <cellStyle name="-_04.10월 손익보정 내역(04.10.15~)_04.10월 손익보정 내역(04.10.15~)_1.창업관련 회계처리_I2 6월 결산 검증서_복합대출상품_20101119" xfId="18857"/>
    <cellStyle name="-_04.10월 손익보정 내역(04.10.15~)_04.10월 손익보정 내역(04.10.15~)_1.창업관련 회계처리_I2 6월 결산 검증서_복합대출상품_20101119 2" xfId="18858"/>
    <cellStyle name="-_04.10월 손익보정 내역(04.10.15~)_04.10월 손익보정 내역(04.10.15~)_1.창업관련 회계처리_I2 6월 결산 검증서_복합대출상품_20101119 2 2" xfId="18859"/>
    <cellStyle name="-_04.10월 손익보정 내역(04.10.15~)_04.10월 손익보정 내역(04.10.15~)_1.창업관련 회계처리_I2 6월 결산 검증서_복합대출상품_20101126" xfId="18860"/>
    <cellStyle name="-_04.10월 손익보정 내역(04.10.15~)_04.10월 손익보정 내역(04.10.15~)_1.창업관련 회계처리_I2 6월 결산 검증서_복합대출상품_20101126 2" xfId="18861"/>
    <cellStyle name="-_04.10월 손익보정 내역(04.10.15~)_04.10월 손익보정 내역(04.10.15~)_1.창업관련 회계처리_I2 6월 결산 검증서_복합대출상품_20101126 2 2" xfId="18862"/>
    <cellStyle name="-_04.10월 손익보정 내역(04.10.15~)_04.10월 손익보정 내역(04.10.15~)_1.창업관련 회계처리_Template회사작성분 검토_PEF(2)" xfId="18863"/>
    <cellStyle name="-_04.10월 손익보정 내역(04.10.15~)_04.10월 손익보정 내역(04.10.15~)_1.창업관련 회계처리_Template회사작성분 검토_PEF(2) 2" xfId="18864"/>
    <cellStyle name="-_04.10월 손익보정 내역(04.10.15~)_04.10월 손익보정 내역(04.10.15~)_1.창업관련 회계처리_Template회사작성분 검토_PEF(2) 2 2" xfId="18865"/>
    <cellStyle name="-_04.10월 손익보정 내역(04.10.15~)_04.10월 손익보정 내역(04.10.15~)_1.창업관련 회계처리_Template회사작성분 검토_PEF(2) 3" xfId="18866"/>
    <cellStyle name="-_04.10월 손익보정 내역(04.10.15~)_04.10월 손익보정 내역(04.10.15~)_1.창업관련 회계처리_Template회사작성분 검토_PEF(2)_I2 6월 결산 검증서_복합대출상품_20101119" xfId="18867"/>
    <cellStyle name="-_04.10월 손익보정 내역(04.10.15~)_04.10월 손익보정 내역(04.10.15~)_1.창업관련 회계처리_Template회사작성분 검토_PEF(2)_I2 6월 결산 검증서_복합대출상품_20101119 2" xfId="18868"/>
    <cellStyle name="-_04.10월 손익보정 내역(04.10.15~)_04.10월 손익보정 내역(04.10.15~)_1.창업관련 회계처리_Template회사작성분 검토_PEF(2)_I2 6월 결산 검증서_복합대출상품_20101119 2 2" xfId="18869"/>
    <cellStyle name="-_04.10월 손익보정 내역(04.10.15~)_04.10월 손익보정 내역(04.10.15~)_1.창업관련 회계처리_Template회사작성분 검토_PEF(2)_I2 6월 결산 검증서_복합대출상품_20101126" xfId="18870"/>
    <cellStyle name="-_04.10월 손익보정 내역(04.10.15~)_04.10월 손익보정 내역(04.10.15~)_1.창업관련 회계처리_Template회사작성분 검토_PEF(2)_I2 6월 결산 검증서_복합대출상품_20101126 2" xfId="18871"/>
    <cellStyle name="-_04.10월 손익보정 내역(04.10.15~)_04.10월 손익보정 내역(04.10.15~)_1.창업관련 회계처리_Template회사작성분 검토_PEF(2)_I2 6월 결산 검증서_복합대출상품_20101126 2 2" xfId="18872"/>
    <cellStyle name="-_04.10월 손익보정 내역(04.10.15~)_04.10월 손익보정 내역(04.10.15~)_I2 6월 결산 검증서_복합대출상품_20101119" xfId="18873"/>
    <cellStyle name="-_04.10월 손익보정 내역(04.10.15~)_04.10월 손익보정 내역(04.10.15~)_I2 6월 결산 검증서_복합대출상품_20101119 2" xfId="18874"/>
    <cellStyle name="-_04.10월 손익보정 내역(04.10.15~)_04.10월 손익보정 내역(04.10.15~)_I2 6월 결산 검증서_복합대출상품_20101119 2 2" xfId="18875"/>
    <cellStyle name="-_04.10월 손익보정 내역(04.10.15~)_04.10월 손익보정 내역(04.10.15~)_I2 6월 결산 검증서_복합대출상품_20101126" xfId="18876"/>
    <cellStyle name="-_04.10월 손익보정 내역(04.10.15~)_04.10월 손익보정 내역(04.10.15~)_I2 6월 결산 검증서_복합대출상품_20101126 2" xfId="18877"/>
    <cellStyle name="-_04.10월 손익보정 내역(04.10.15~)_04.10월 손익보정 내역(04.10.15~)_I2 6월 결산 검증서_복합대출상품_20101126 2 2" xfId="18878"/>
    <cellStyle name="-_04.10월 손익보정 내역(04.10.15~)_04.10월 손익보정 내역(04.10.15~)_name of fund" xfId="18879"/>
    <cellStyle name="-_04.10월 손익보정 내역(04.10.15~)_04.10월 손익보정 내역(04.10.15~)_name of fund 2" xfId="18880"/>
    <cellStyle name="-_04.10월 손익보정 내역(04.10.15~)_04.10월 손익보정 내역(04.10.15~)_name of fund 2 2" xfId="18881"/>
    <cellStyle name="-_04.10월 손익보정 내역(04.10.15~)_04.10월 손익보정 내역(04.10.15~)_name of fund 3" xfId="18882"/>
    <cellStyle name="-_04.10월 손익보정 내역(04.10.15~)_04.10월 손익보정 내역(04.10.15~)_name of fund_I2 6월 결산 검증서_복합대출상품_20101119" xfId="18883"/>
    <cellStyle name="-_04.10월 손익보정 내역(04.10.15~)_04.10월 손익보정 내역(04.10.15~)_name of fund_I2 6월 결산 검증서_복합대출상품_20101119 2" xfId="18884"/>
    <cellStyle name="-_04.10월 손익보정 내역(04.10.15~)_04.10월 손익보정 내역(04.10.15~)_name of fund_I2 6월 결산 검증서_복합대출상품_20101119 2 2" xfId="18885"/>
    <cellStyle name="-_04.10월 손익보정 내역(04.10.15~)_04.10월 손익보정 내역(04.10.15~)_name of fund_name of fund" xfId="18886"/>
    <cellStyle name="-_04.10월 손익보정 내역(04.10.15~)_04.10월 손익보정 내역(04.10.15~)_name of fund_name of fund 2" xfId="18887"/>
    <cellStyle name="-_04.10월 손익보정 내역(04.10.15~)_04.10월 손익보정 내역(04.10.15~)_name of fund_name of fund 2 2" xfId="18888"/>
    <cellStyle name="-_04.10월 손익보정 내역(04.10.15~)_04.10월 손익보정 내역(04.10.15~)_name of fund_name of fund 3" xfId="18889"/>
    <cellStyle name="-_04.10월 손익보정 내역(04.10.15~)_04.10월 손익보정 내역(04.10.15~)_name of fund_name of fund_I2 6월 결산 검증서_복합대출상품_20101119" xfId="18890"/>
    <cellStyle name="-_04.10월 손익보정 내역(04.10.15~)_04.10월 손익보정 내역(04.10.15~)_name of fund_name of fund_I2 6월 결산 검증서_복합대출상품_20101119 2" xfId="18891"/>
    <cellStyle name="-_04.10월 손익보정 내역(04.10.15~)_04.10월 손익보정 내역(04.10.15~)_name of fund_name of fund_I2 6월 결산 검증서_복합대출상품_20101119 2 2" xfId="18892"/>
    <cellStyle name="-_04.10월 손익보정 내역(04.10.15~)_04.10월 손익보정 내역(04.10.15~)_name of fund_name of fund_Template회사작성분 검토_PEF(2)" xfId="18893"/>
    <cellStyle name="-_04.10월 손익보정 내역(04.10.15~)_04.10월 손익보정 내역(04.10.15~)_name of fund_name of fund_Template회사작성분 검토_PEF(2) 2" xfId="18894"/>
    <cellStyle name="-_04.10월 손익보정 내역(04.10.15~)_04.10월 손익보정 내역(04.10.15~)_name of fund_name of fund_Template회사작성분 검토_PEF(2) 2 2" xfId="18895"/>
    <cellStyle name="-_04.10월 손익보정 내역(04.10.15~)_04.10월 손익보정 내역(04.10.15~)_name of fund_name of fund_Template회사작성분 검토_PEF(2) 3" xfId="18896"/>
    <cellStyle name="-_04.10월 손익보정 내역(04.10.15~)_04.10월 손익보정 내역(04.10.15~)_name of fund_name of fund_Template회사작성분 검토_PEF(2)_I2 6월 결산 검증서_복합대출상품_20101119" xfId="18897"/>
    <cellStyle name="-_04.10월 손익보정 내역(04.10.15~)_04.10월 손익보정 내역(04.10.15~)_name of fund_name of fund_Template회사작성분 검토_PEF(2)_I2 6월 결산 검증서_복합대출상품_20101119 2" xfId="18898"/>
    <cellStyle name="-_04.10월 손익보정 내역(04.10.15~)_04.10월 손익보정 내역(04.10.15~)_name of fund_name of fund_Template회사작성분 검토_PEF(2)_I2 6월 결산 검증서_복합대출상품_20101119 2 2" xfId="18899"/>
    <cellStyle name="-_04.10월 손익보정 내역(04.10.15~)_04.10월 손익보정 내역(04.10.15~)_name of fund_Template회사작성분 검토_PEF(2)" xfId="18900"/>
    <cellStyle name="-_04.10월 손익보정 내역(04.10.15~)_04.10월 손익보정 내역(04.10.15~)_name of fund_Template회사작성분 검토_PEF(2) 2" xfId="18901"/>
    <cellStyle name="-_04.10월 손익보정 내역(04.10.15~)_04.10월 손익보정 내역(04.10.15~)_name of fund_Template회사작성분 검토_PEF(2) 2 2" xfId="18902"/>
    <cellStyle name="-_04.10월 손익보정 내역(04.10.15~)_04.10월 손익보정 내역(04.10.15~)_name of fund_Template회사작성분 검토_PEF(2) 3" xfId="18903"/>
    <cellStyle name="-_04.10월 손익보정 내역(04.10.15~)_04.10월 손익보정 내역(04.10.15~)_name of fund_Template회사작성분 검토_PEF(2)_I2 6월 결산 검증서_복합대출상품_20101119" xfId="18904"/>
    <cellStyle name="-_04.10월 손익보정 내역(04.10.15~)_04.10월 손익보정 내역(04.10.15~)_name of fund_Template회사작성분 검토_PEF(2)_I2 6월 결산 검증서_복합대출상품_20101119 2" xfId="18905"/>
    <cellStyle name="-_04.10월 손익보정 내역(04.10.15~)_04.10월 손익보정 내역(04.10.15~)_name of fund_Template회사작성분 검토_PEF(2)_I2 6월 결산 검증서_복합대출상품_20101119 2 2" xfId="18906"/>
    <cellStyle name="-_04.10월 손익보정 내역(04.10.15~)_04.10월 손익보정 내역(04.10.15~)_SUN 입력용fund" xfId="18907"/>
    <cellStyle name="-_04.10월 손익보정 내역(04.10.15~)_04.10월 손익보정 내역(04.10.15~)_SUN 입력용fund 2" xfId="18908"/>
    <cellStyle name="-_04.10월 손익보정 내역(04.10.15~)_04.10월 손익보정 내역(04.10.15~)_SUN 입력용fund 2 2" xfId="18909"/>
    <cellStyle name="-_04.10월 손익보정 내역(04.10.15~)_04.10월 손익보정 내역(04.10.15~)_SUN 입력용fund 3" xfId="18910"/>
    <cellStyle name="-_04.10월 손익보정 내역(04.10.15~)_04.10월 손익보정 내역(04.10.15~)_SUN 입력용fund_I2 6월 결산 검증서_복합대출상품_20101119" xfId="18911"/>
    <cellStyle name="-_04.10월 손익보정 내역(04.10.15~)_04.10월 손익보정 내역(04.10.15~)_SUN 입력용fund_I2 6월 결산 검증서_복합대출상품_20101119 2" xfId="18912"/>
    <cellStyle name="-_04.10월 손익보정 내역(04.10.15~)_04.10월 손익보정 내역(04.10.15~)_SUN 입력용fund_I2 6월 결산 검증서_복합대출상품_20101119 2 2" xfId="18913"/>
    <cellStyle name="-_04.10월 손익보정 내역(04.10.15~)_04.10월 손익보정 내역(04.10.15~)_SUN 입력용fund_name of fund" xfId="18914"/>
    <cellStyle name="-_04.10월 손익보정 내역(04.10.15~)_04.10월 손익보정 내역(04.10.15~)_SUN 입력용fund_name of fund 2" xfId="18915"/>
    <cellStyle name="-_04.10월 손익보정 내역(04.10.15~)_04.10월 손익보정 내역(04.10.15~)_SUN 입력용fund_name of fund 2 2" xfId="18916"/>
    <cellStyle name="-_04.10월 손익보정 내역(04.10.15~)_04.10월 손익보정 내역(04.10.15~)_SUN 입력용fund_name of fund 3" xfId="18917"/>
    <cellStyle name="-_04.10월 손익보정 내역(04.10.15~)_04.10월 손익보정 내역(04.10.15~)_SUN 입력용fund_name of fund_I2 6월 결산 검증서_복합대출상품_20101119" xfId="18918"/>
    <cellStyle name="-_04.10월 손익보정 내역(04.10.15~)_04.10월 손익보정 내역(04.10.15~)_SUN 입력용fund_name of fund_I2 6월 결산 검증서_복합대출상품_20101119 2" xfId="18919"/>
    <cellStyle name="-_04.10월 손익보정 내역(04.10.15~)_04.10월 손익보정 내역(04.10.15~)_SUN 입력용fund_name of fund_I2 6월 결산 검증서_복합대출상품_20101119 2 2" xfId="18920"/>
    <cellStyle name="-_04.10월 손익보정 내역(04.10.15~)_04.10월 손익보정 내역(04.10.15~)_SUN 입력용fund_name of fund_Template회사작성분 검토_PEF(2)" xfId="18921"/>
    <cellStyle name="-_04.10월 손익보정 내역(04.10.15~)_04.10월 손익보정 내역(04.10.15~)_SUN 입력용fund_name of fund_Template회사작성분 검토_PEF(2) 2" xfId="18922"/>
    <cellStyle name="-_04.10월 손익보정 내역(04.10.15~)_04.10월 손익보정 내역(04.10.15~)_SUN 입력용fund_name of fund_Template회사작성분 검토_PEF(2) 2 2" xfId="18923"/>
    <cellStyle name="-_04.10월 손익보정 내역(04.10.15~)_04.10월 손익보정 내역(04.10.15~)_SUN 입력용fund_name of fund_Template회사작성분 검토_PEF(2) 3" xfId="18924"/>
    <cellStyle name="-_04.10월 손익보정 내역(04.10.15~)_04.10월 손익보정 내역(04.10.15~)_SUN 입력용fund_name of fund_Template회사작성분 검토_PEF(2)_I2 6월 결산 검증서_복합대출상품_20101119" xfId="18925"/>
    <cellStyle name="-_04.10월 손익보정 내역(04.10.15~)_04.10월 손익보정 내역(04.10.15~)_SUN 입력용fund_name of fund_Template회사작성분 검토_PEF(2)_I2 6월 결산 검증서_복합대출상품_20101119 2" xfId="18926"/>
    <cellStyle name="-_04.10월 손익보정 내역(04.10.15~)_04.10월 손익보정 내역(04.10.15~)_SUN 입력용fund_name of fund_Template회사작성분 검토_PEF(2)_I2 6월 결산 검증서_복합대출상품_20101119 2 2" xfId="18927"/>
    <cellStyle name="-_04.10월 손익보정 내역(04.10.15~)_04.10월 손익보정 내역(04.10.15~)_SUN 입력용fund_Template회사작성분 검토_PEF(2)" xfId="18928"/>
    <cellStyle name="-_04.10월 손익보정 내역(04.10.15~)_04.10월 손익보정 내역(04.10.15~)_SUN 입력용fund_Template회사작성분 검토_PEF(2) 2" xfId="18929"/>
    <cellStyle name="-_04.10월 손익보정 내역(04.10.15~)_04.10월 손익보정 내역(04.10.15~)_SUN 입력용fund_Template회사작성분 검토_PEF(2) 2 2" xfId="18930"/>
    <cellStyle name="-_04.10월 손익보정 내역(04.10.15~)_04.10월 손익보정 내역(04.10.15~)_SUN 입력용fund_Template회사작성분 검토_PEF(2) 3" xfId="18931"/>
    <cellStyle name="-_04.10월 손익보정 내역(04.10.15~)_04.10월 손익보정 내역(04.10.15~)_SUN 입력용fund_Template회사작성분 검토_PEF(2)_I2 6월 결산 검증서_복합대출상품_20101119" xfId="18932"/>
    <cellStyle name="-_04.10월 손익보정 내역(04.10.15~)_04.10월 손익보정 내역(04.10.15~)_SUN 입력용fund_Template회사작성분 검토_PEF(2)_I2 6월 결산 검증서_복합대출상품_20101119 2" xfId="18933"/>
    <cellStyle name="-_04.10월 손익보정 내역(04.10.15~)_04.10월 손익보정 내역(04.10.15~)_SUN 입력용fund_Template회사작성분 검토_PEF(2)_I2 6월 결산 검증서_복합대출상품_20101119 2 2" xfId="18934"/>
    <cellStyle name="-_04.10월 손익보정 내역(04.10.15~)_04.10월 손익보정 내역(04.10.15~)_Template회사작성분 검토_PEF(2)" xfId="18935"/>
    <cellStyle name="-_04.10월 손익보정 내역(04.10.15~)_04.10월 손익보정 내역(04.10.15~)_Template회사작성분 검토_PEF(2) 2" xfId="18936"/>
    <cellStyle name="-_04.10월 손익보정 내역(04.10.15~)_04.10월 손익보정 내역(04.10.15~)_Template회사작성분 검토_PEF(2) 2 2" xfId="18937"/>
    <cellStyle name="-_04.10월 손익보정 내역(04.10.15~)_04.10월 손익보정 내역(04.10.15~)_Template회사작성분 검토_PEF(2) 3" xfId="18938"/>
    <cellStyle name="-_04.10월 손익보정 내역(04.10.15~)_04.10월 손익보정 내역(04.10.15~)_Template회사작성분 검토_PEF(2)_I2 6월 결산 검증서_복합대출상품_20101119" xfId="18939"/>
    <cellStyle name="-_04.10월 손익보정 내역(04.10.15~)_04.10월 손익보정 내역(04.10.15~)_Template회사작성분 검토_PEF(2)_I2 6월 결산 검증서_복합대출상품_20101119 2" xfId="18940"/>
    <cellStyle name="-_04.10월 손익보정 내역(04.10.15~)_04.10월 손익보정 내역(04.10.15~)_Template회사작성분 검토_PEF(2)_I2 6월 결산 검증서_복합대출상품_20101119 2 2" xfId="18941"/>
    <cellStyle name="-_04.10월 손익보정 내역(04.10.15~)_04.10월 손익보정 내역(04.10.26~)" xfId="18942"/>
    <cellStyle name="-_04.10월 손익보정 내역(04.10.15~)_04.10월 손익보정 내역(04.10.26~) 2" xfId="18943"/>
    <cellStyle name="-_04.10월 손익보정 내역(04.10.15~)_04.10월 손익보정 내역(04.10.26~) 2 2" xfId="18944"/>
    <cellStyle name="-_04.10월 손익보정 내역(04.10.15~)_04.10월 손익보정 내역(04.10.26~) 3" xfId="18945"/>
    <cellStyle name="-_04.10월 손익보정 내역(04.10.15~)_04.10월 손익보정 내역(04.10.26~)_1.창업관련 회계처리" xfId="18946"/>
    <cellStyle name="-_04.10월 손익보정 내역(04.10.15~)_04.10월 손익보정 내역(04.10.26~)_1.창업관련 회계처리 2" xfId="18947"/>
    <cellStyle name="-_04.10월 손익보정 내역(04.10.15~)_04.10월 손익보정 내역(04.10.26~)_1.창업관련 회계처리 2 2" xfId="18948"/>
    <cellStyle name="-_04.10월 손익보정 내역(04.10.15~)_04.10월 손익보정 내역(04.10.26~)_1.창업관련 회계처리 3" xfId="18949"/>
    <cellStyle name="-_04.10월 손익보정 내역(04.10.15~)_04.10월 손익보정 내역(04.10.26~)_1.창업관련 회계처리_I2 6월 결산 검증서_복합대출상품_20101119" xfId="18950"/>
    <cellStyle name="-_04.10월 손익보정 내역(04.10.15~)_04.10월 손익보정 내역(04.10.26~)_1.창업관련 회계처리_I2 6월 결산 검증서_복합대출상품_20101119 2" xfId="18951"/>
    <cellStyle name="-_04.10월 손익보정 내역(04.10.15~)_04.10월 손익보정 내역(04.10.26~)_1.창업관련 회계처리_I2 6월 결산 검증서_복합대출상품_20101119 2 2" xfId="18952"/>
    <cellStyle name="-_04.10월 손익보정 내역(04.10.15~)_04.10월 손익보정 내역(04.10.26~)_1.창업관련 회계처리_Template회사작성분 검토_PEF(2)" xfId="18953"/>
    <cellStyle name="-_04.10월 손익보정 내역(04.10.15~)_04.10월 손익보정 내역(04.10.26~)_1.창업관련 회계처리_Template회사작성분 검토_PEF(2) 2" xfId="18954"/>
    <cellStyle name="-_04.10월 손익보정 내역(04.10.15~)_04.10월 손익보정 내역(04.10.26~)_1.창업관련 회계처리_Template회사작성분 검토_PEF(2) 2 2" xfId="18955"/>
    <cellStyle name="-_04.10월 손익보정 내역(04.10.15~)_04.10월 손익보정 내역(04.10.26~)_1.창업관련 회계처리_Template회사작성분 검토_PEF(2) 3" xfId="18956"/>
    <cellStyle name="-_04.10월 손익보정 내역(04.10.15~)_04.10월 손익보정 내역(04.10.26~)_1.창업관련 회계처리_Template회사작성분 검토_PEF(2)_I2 6월 결산 검증서_복합대출상품_20101119" xfId="18957"/>
    <cellStyle name="-_04.10월 손익보정 내역(04.10.15~)_04.10월 손익보정 내역(04.10.26~)_1.창업관련 회계처리_Template회사작성분 검토_PEF(2)_I2 6월 결산 검증서_복합대출상품_20101119 2" xfId="18958"/>
    <cellStyle name="-_04.10월 손익보정 내역(04.10.15~)_04.10월 손익보정 내역(04.10.26~)_1.창업관련 회계처리_Template회사작성분 검토_PEF(2)_I2 6월 결산 검증서_복합대출상품_20101119 2 2" xfId="18959"/>
    <cellStyle name="-_04.10월 손익보정 내역(04.10.15~)_04.10월 손익보정 내역(04.10.26~)_I2 6월 결산 검증서_복합대출상품_20101119" xfId="18960"/>
    <cellStyle name="-_04.10월 손익보정 내역(04.10.15~)_04.10월 손익보정 내역(04.10.26~)_I2 6월 결산 검증서_복합대출상품_20101119 2" xfId="18961"/>
    <cellStyle name="-_04.10월 손익보정 내역(04.10.15~)_04.10월 손익보정 내역(04.10.26~)_I2 6월 결산 검증서_복합대출상품_20101119 2 2" xfId="18962"/>
    <cellStyle name="-_04.10월 손익보정 내역(04.10.15~)_04.10월 손익보정 내역(04.10.26~)_name of fund" xfId="18963"/>
    <cellStyle name="-_04.10월 손익보정 내역(04.10.15~)_04.10월 손익보정 내역(04.10.26~)_name of fund 2" xfId="18964"/>
    <cellStyle name="-_04.10월 손익보정 내역(04.10.15~)_04.10월 손익보정 내역(04.10.26~)_name of fund 2 2" xfId="18965"/>
    <cellStyle name="-_04.10월 손익보정 내역(04.10.15~)_04.10월 손익보정 내역(04.10.26~)_name of fund 3" xfId="18966"/>
    <cellStyle name="-_04.10월 손익보정 내역(04.10.15~)_04.10월 손익보정 내역(04.10.26~)_name of fund_I2 6월 결산 검증서_복합대출상품_20101119" xfId="18967"/>
    <cellStyle name="-_04.10월 손익보정 내역(04.10.15~)_04.10월 손익보정 내역(04.10.26~)_name of fund_I2 6월 결산 검증서_복합대출상품_20101119 2" xfId="18968"/>
    <cellStyle name="-_04.10월 손익보정 내역(04.10.15~)_04.10월 손익보정 내역(04.10.26~)_name of fund_I2 6월 결산 검증서_복합대출상품_20101119 2 2" xfId="18969"/>
    <cellStyle name="-_04.10월 손익보정 내역(04.10.15~)_04.10월 손익보정 내역(04.10.26~)_name of fund_name of fund" xfId="18970"/>
    <cellStyle name="-_04.10월 손익보정 내역(04.10.15~)_04.10월 손익보정 내역(04.10.26~)_name of fund_name of fund 2" xfId="18971"/>
    <cellStyle name="-_04.10월 손익보정 내역(04.10.15~)_04.10월 손익보정 내역(04.10.26~)_name of fund_name of fund 2 2" xfId="18972"/>
    <cellStyle name="-_04.10월 손익보정 내역(04.10.15~)_04.10월 손익보정 내역(04.10.26~)_name of fund_name of fund 3" xfId="18973"/>
    <cellStyle name="-_04.10월 손익보정 내역(04.10.15~)_04.10월 손익보정 내역(04.10.26~)_name of fund_name of fund_I2 6월 결산 검증서_복합대출상품_20101119" xfId="18974"/>
    <cellStyle name="-_04.10월 손익보정 내역(04.10.15~)_04.10월 손익보정 내역(04.10.26~)_name of fund_name of fund_I2 6월 결산 검증서_복합대출상품_20101119 2" xfId="18975"/>
    <cellStyle name="-_04.10월 손익보정 내역(04.10.15~)_04.10월 손익보정 내역(04.10.26~)_name of fund_name of fund_I2 6월 결산 검증서_복합대출상품_20101119 2 2" xfId="18976"/>
    <cellStyle name="-_04.10월 손익보정 내역(04.10.15~)_04.10월 손익보정 내역(04.10.26~)_name of fund_name of fund_Template회사작성분 검토_PEF(2)" xfId="18977"/>
    <cellStyle name="-_04.10월 손익보정 내역(04.10.15~)_04.10월 손익보정 내역(04.10.26~)_name of fund_name of fund_Template회사작성분 검토_PEF(2) 2" xfId="18978"/>
    <cellStyle name="-_04.10월 손익보정 내역(04.10.15~)_04.10월 손익보정 내역(04.10.26~)_name of fund_name of fund_Template회사작성분 검토_PEF(2) 2 2" xfId="18979"/>
    <cellStyle name="-_04.10월 손익보정 내역(04.10.15~)_04.10월 손익보정 내역(04.10.26~)_name of fund_name of fund_Template회사작성분 검토_PEF(2) 3" xfId="18980"/>
    <cellStyle name="-_04.10월 손익보정 내역(04.10.15~)_04.10월 손익보정 내역(04.10.26~)_name of fund_name of fund_Template회사작성분 검토_PEF(2)_I2 6월 결산 검증서_복합대출상품_20101119" xfId="18981"/>
    <cellStyle name="-_04.10월 손익보정 내역(04.10.15~)_04.10월 손익보정 내역(04.10.26~)_name of fund_name of fund_Template회사작성분 검토_PEF(2)_I2 6월 결산 검증서_복합대출상품_20101119 2" xfId="18982"/>
    <cellStyle name="-_04.10월 손익보정 내역(04.10.15~)_04.10월 손익보정 내역(04.10.26~)_name of fund_name of fund_Template회사작성분 검토_PEF(2)_I2 6월 결산 검증서_복합대출상품_20101119 2 2" xfId="18983"/>
    <cellStyle name="-_04.10월 손익보정 내역(04.10.15~)_04.10월 손익보정 내역(04.10.26~)_name of fund_Template회사작성분 검토_PEF(2)" xfId="18984"/>
    <cellStyle name="-_04.10월 손익보정 내역(04.10.15~)_04.10월 손익보정 내역(04.10.26~)_name of fund_Template회사작성분 검토_PEF(2) 2" xfId="18985"/>
    <cellStyle name="-_04.10월 손익보정 내역(04.10.15~)_04.10월 손익보정 내역(04.10.26~)_name of fund_Template회사작성분 검토_PEF(2) 2 2" xfId="18986"/>
    <cellStyle name="-_04.10월 손익보정 내역(04.10.15~)_04.10월 손익보정 내역(04.10.26~)_name of fund_Template회사작성분 검토_PEF(2) 3" xfId="18987"/>
    <cellStyle name="-_04.10월 손익보정 내역(04.10.15~)_04.10월 손익보정 내역(04.10.26~)_name of fund_Template회사작성분 검토_PEF(2)_I2 6월 결산 검증서_복합대출상품_20101119" xfId="18988"/>
    <cellStyle name="-_04.10월 손익보정 내역(04.10.15~)_04.10월 손익보정 내역(04.10.26~)_name of fund_Template회사작성분 검토_PEF(2)_I2 6월 결산 검증서_복합대출상품_20101119 2" xfId="18989"/>
    <cellStyle name="-_04.10월 손익보정 내역(04.10.15~)_04.10월 손익보정 내역(04.10.26~)_name of fund_Template회사작성분 검토_PEF(2)_I2 6월 결산 검증서_복합대출상품_20101119 2 2" xfId="18990"/>
    <cellStyle name="-_04.10월 손익보정 내역(04.10.15~)_04.10월 손익보정 내역(04.10.26~)_SUN 입력용fund" xfId="18991"/>
    <cellStyle name="-_04.10월 손익보정 내역(04.10.15~)_04.10월 손익보정 내역(04.10.26~)_SUN 입력용fund 2" xfId="18992"/>
    <cellStyle name="-_04.10월 손익보정 내역(04.10.15~)_04.10월 손익보정 내역(04.10.26~)_SUN 입력용fund 2 2" xfId="18993"/>
    <cellStyle name="-_04.10월 손익보정 내역(04.10.15~)_04.10월 손익보정 내역(04.10.26~)_SUN 입력용fund 3" xfId="18994"/>
    <cellStyle name="-_04.10월 손익보정 내역(04.10.15~)_04.10월 손익보정 내역(04.10.26~)_SUN 입력용fund_I2 6월 결산 검증서_복합대출상품_20101119" xfId="18995"/>
    <cellStyle name="-_04.10월 손익보정 내역(04.10.15~)_04.10월 손익보정 내역(04.10.26~)_SUN 입력용fund_I2 6월 결산 검증서_복합대출상품_20101119 2" xfId="18996"/>
    <cellStyle name="-_04.10월 손익보정 내역(04.10.15~)_04.10월 손익보정 내역(04.10.26~)_SUN 입력용fund_I2 6월 결산 검증서_복합대출상품_20101119 2 2" xfId="18997"/>
    <cellStyle name="-_04.10월 손익보정 내역(04.10.15~)_04.10월 손익보정 내역(04.10.26~)_SUN 입력용fund_name of fund" xfId="18998"/>
    <cellStyle name="-_04.10월 손익보정 내역(04.10.15~)_04.10월 손익보정 내역(04.10.26~)_SUN 입력용fund_name of fund 2" xfId="18999"/>
    <cellStyle name="-_04.10월 손익보정 내역(04.10.15~)_04.10월 손익보정 내역(04.10.26~)_SUN 입력용fund_name of fund 2 2" xfId="19000"/>
    <cellStyle name="-_04.10월 손익보정 내역(04.10.15~)_04.10월 손익보정 내역(04.10.26~)_SUN 입력용fund_name of fund 3" xfId="19001"/>
    <cellStyle name="-_04.10월 손익보정 내역(04.10.15~)_04.10월 손익보정 내역(04.10.26~)_SUN 입력용fund_name of fund_I2 6월 결산 검증서_복합대출상품_20101119" xfId="19002"/>
    <cellStyle name="-_04.10월 손익보정 내역(04.10.15~)_04.10월 손익보정 내역(04.10.26~)_SUN 입력용fund_name of fund_I2 6월 결산 검증서_복합대출상품_20101119 2" xfId="19003"/>
    <cellStyle name="-_04.10월 손익보정 내역(04.10.15~)_04.10월 손익보정 내역(04.10.26~)_SUN 입력용fund_name of fund_I2 6월 결산 검증서_복합대출상품_20101119 2 2" xfId="19004"/>
    <cellStyle name="-_04.10월 손익보정 내역(04.10.15~)_04.10월 손익보정 내역(04.10.26~)_SUN 입력용fund_name of fund_Template회사작성분 검토_PEF(2)" xfId="19005"/>
    <cellStyle name="-_04.10월 손익보정 내역(04.10.15~)_04.10월 손익보정 내역(04.10.26~)_SUN 입력용fund_name of fund_Template회사작성분 검토_PEF(2) 2" xfId="19006"/>
    <cellStyle name="-_04.10월 손익보정 내역(04.10.15~)_04.10월 손익보정 내역(04.10.26~)_SUN 입력용fund_name of fund_Template회사작성분 검토_PEF(2) 2 2" xfId="19007"/>
    <cellStyle name="-_04.10월 손익보정 내역(04.10.15~)_04.10월 손익보정 내역(04.10.26~)_SUN 입력용fund_name of fund_Template회사작성분 검토_PEF(2) 3" xfId="19008"/>
    <cellStyle name="-_04.10월 손익보정 내역(04.10.15~)_04.10월 손익보정 내역(04.10.26~)_SUN 입력용fund_name of fund_Template회사작성분 검토_PEF(2)_I2 6월 결산 검증서_복합대출상품_20101119" xfId="19009"/>
    <cellStyle name="-_04.10월 손익보정 내역(04.10.15~)_04.10월 손익보정 내역(04.10.26~)_SUN 입력용fund_name of fund_Template회사작성분 검토_PEF(2)_I2 6월 결산 검증서_복합대출상품_20101119 2" xfId="19010"/>
    <cellStyle name="-_04.10월 손익보정 내역(04.10.15~)_04.10월 손익보정 내역(04.10.26~)_SUN 입력용fund_name of fund_Template회사작성분 검토_PEF(2)_I2 6월 결산 검증서_복합대출상품_20101119 2 2" xfId="19011"/>
    <cellStyle name="-_04.10월 손익보정 내역(04.10.15~)_04.10월 손익보정 내역(04.10.26~)_SUN 입력용fund_Template회사작성분 검토_PEF(2)" xfId="19012"/>
    <cellStyle name="-_04.10월 손익보정 내역(04.10.15~)_04.10월 손익보정 내역(04.10.26~)_SUN 입력용fund_Template회사작성분 검토_PEF(2) 2" xfId="19013"/>
    <cellStyle name="-_04.10월 손익보정 내역(04.10.15~)_04.10월 손익보정 내역(04.10.26~)_SUN 입력용fund_Template회사작성분 검토_PEF(2) 2 2" xfId="19014"/>
    <cellStyle name="-_04.10월 손익보정 내역(04.10.15~)_04.10월 손익보정 내역(04.10.26~)_SUN 입력용fund_Template회사작성분 검토_PEF(2) 3" xfId="19015"/>
    <cellStyle name="-_04.10월 손익보정 내역(04.10.15~)_04.10월 손익보정 내역(04.10.26~)_SUN 입력용fund_Template회사작성분 검토_PEF(2)_I2 6월 결산 검증서_복합대출상품_20101119" xfId="19016"/>
    <cellStyle name="-_04.10월 손익보정 내역(04.10.15~)_04.10월 손익보정 내역(04.10.26~)_SUN 입력용fund_Template회사작성분 검토_PEF(2)_I2 6월 결산 검증서_복합대출상품_20101119 2" xfId="19017"/>
    <cellStyle name="-_04.10월 손익보정 내역(04.10.15~)_04.10월 손익보정 내역(04.10.26~)_SUN 입력용fund_Template회사작성분 검토_PEF(2)_I2 6월 결산 검증서_복합대출상품_20101119 2 2" xfId="19018"/>
    <cellStyle name="-_04.10월 손익보정 내역(04.10.15~)_04.10월 손익보정 내역(04.10.26~)_Template회사작성분 검토_PEF(2)" xfId="19019"/>
    <cellStyle name="-_04.10월 손익보정 내역(04.10.15~)_04.10월 손익보정 내역(04.10.26~)_Template회사작성분 검토_PEF(2) 2" xfId="19020"/>
    <cellStyle name="-_04.10월 손익보정 내역(04.10.15~)_04.10월 손익보정 내역(04.10.26~)_Template회사작성분 검토_PEF(2) 2 2" xfId="19021"/>
    <cellStyle name="-_04.10월 손익보정 내역(04.10.15~)_04.10월 손익보정 내역(04.10.26~)_Template회사작성분 검토_PEF(2) 3" xfId="19022"/>
    <cellStyle name="-_04.10월 손익보정 내역(04.10.15~)_04.10월 손익보정 내역(04.10.26~)_Template회사작성분 검토_PEF(2)_I2 6월 결산 검증서_복합대출상품_20101119" xfId="19023"/>
    <cellStyle name="-_04.10월 손익보정 내역(04.10.15~)_04.10월 손익보정 내역(04.10.26~)_Template회사작성분 검토_PEF(2)_I2 6월 결산 검증서_복합대출상품_20101119 2" xfId="19024"/>
    <cellStyle name="-_04.10월 손익보정 내역(04.10.15~)_04.10월 손익보정 내역(04.10.26~)_Template회사작성분 검토_PEF(2)_I2 6월 결산 검증서_복합대출상품_20101119 2 2" xfId="19025"/>
    <cellStyle name="-_04.10월 손익보정 내역(04.10.15~)_1.창업관련 회계처리" xfId="19026"/>
    <cellStyle name="-_04.10월 손익보정 내역(04.10.15~)_1.창업관련 회계처리 2" xfId="19027"/>
    <cellStyle name="-_04.10월 손익보정 내역(04.10.15~)_1.창업관련 회계처리 2 2" xfId="19028"/>
    <cellStyle name="-_04.10월 손익보정 내역(04.10.15~)_1.창업관련 회계처리 3" xfId="19029"/>
    <cellStyle name="-_04.10월 손익보정 내역(04.10.15~)_1.창업관련 회계처리_1.창업관련 회계처리" xfId="19030"/>
    <cellStyle name="-_04.10월 손익보정 내역(04.10.15~)_1.창업관련 회계처리_1.창업관련 회계처리 2" xfId="19031"/>
    <cellStyle name="-_04.10월 손익보정 내역(04.10.15~)_1.창업관련 회계처리_1.창업관련 회계처리 2 2" xfId="19032"/>
    <cellStyle name="-_04.10월 손익보정 내역(04.10.15~)_1.창업관련 회계처리_1.창업관련 회계처리 3" xfId="19033"/>
    <cellStyle name="-_04.10월 손익보정 내역(04.10.15~)_1.창업관련 회계처리_1.창업관련 회계처리_I2 6월 결산 검증서_복합대출상품_20101119" xfId="19034"/>
    <cellStyle name="-_04.10월 손익보정 내역(04.10.15~)_1.창업관련 회계처리_1.창업관련 회계처리_I2 6월 결산 검증서_복합대출상품_20101119 2" xfId="19035"/>
    <cellStyle name="-_04.10월 손익보정 내역(04.10.15~)_1.창업관련 회계처리_1.창업관련 회계처리_I2 6월 결산 검증서_복합대출상품_20101119 2 2" xfId="19036"/>
    <cellStyle name="-_04.10월 손익보정 내역(04.10.15~)_1.창업관련 회계처리_1.창업관련 회계처리_Template회사작성분 검토_PEF(2)" xfId="19037"/>
    <cellStyle name="-_04.10월 손익보정 내역(04.10.15~)_1.창업관련 회계처리_1.창업관련 회계처리_Template회사작성분 검토_PEF(2) 2" xfId="19038"/>
    <cellStyle name="-_04.10월 손익보정 내역(04.10.15~)_1.창업관련 회계처리_1.창업관련 회계처리_Template회사작성분 검토_PEF(2) 2 2" xfId="19039"/>
    <cellStyle name="-_04.10월 손익보정 내역(04.10.15~)_1.창업관련 회계처리_1.창업관련 회계처리_Template회사작성분 검토_PEF(2) 3" xfId="19040"/>
    <cellStyle name="-_04.10월 손익보정 내역(04.10.15~)_1.창업관련 회계처리_1.창업관련 회계처리_Template회사작성분 검토_PEF(2)_I2 6월 결산 검증서_복합대출상품_20101119" xfId="19041"/>
    <cellStyle name="-_04.10월 손익보정 내역(04.10.15~)_1.창업관련 회계처리_1.창업관련 회계처리_Template회사작성분 검토_PEF(2)_I2 6월 결산 검증서_복합대출상품_20101119 2" xfId="19042"/>
    <cellStyle name="-_04.10월 손익보정 내역(04.10.15~)_1.창업관련 회계처리_1.창업관련 회계처리_Template회사작성분 검토_PEF(2)_I2 6월 결산 검증서_복합대출상품_20101119 2 2" xfId="19043"/>
    <cellStyle name="-_04.10월 손익보정 내역(04.10.15~)_1.창업관련 회계처리_I2 6월 결산 검증서_복합대출상품_20101119" xfId="19044"/>
    <cellStyle name="-_04.10월 손익보정 내역(04.10.15~)_1.창업관련 회계처리_I2 6월 결산 검증서_복합대출상품_20101119 2" xfId="19045"/>
    <cellStyle name="-_04.10월 손익보정 내역(04.10.15~)_1.창업관련 회계처리_I2 6월 결산 검증서_복합대출상품_20101119 2 2" xfId="19046"/>
    <cellStyle name="-_04.10월 손익보정 내역(04.10.15~)_1.창업관련 회계처리_name of fund" xfId="19047"/>
    <cellStyle name="-_04.10월 손익보정 내역(04.10.15~)_1.창업관련 회계처리_name of fund 2" xfId="19048"/>
    <cellStyle name="-_04.10월 손익보정 내역(04.10.15~)_1.창업관련 회계처리_name of fund 2 2" xfId="19049"/>
    <cellStyle name="-_04.10월 손익보정 내역(04.10.15~)_1.창업관련 회계처리_name of fund 3" xfId="19050"/>
    <cellStyle name="-_04.10월 손익보정 내역(04.10.15~)_1.창업관련 회계처리_name of fund_I2 6월 결산 검증서_복합대출상품_20101119" xfId="19051"/>
    <cellStyle name="-_04.10월 손익보정 내역(04.10.15~)_1.창업관련 회계처리_name of fund_I2 6월 결산 검증서_복합대출상품_20101119 2" xfId="19052"/>
    <cellStyle name="-_04.10월 손익보정 내역(04.10.15~)_1.창업관련 회계처리_name of fund_I2 6월 결산 검증서_복합대출상품_20101119 2 2" xfId="19053"/>
    <cellStyle name="-_04.10월 손익보정 내역(04.10.15~)_1.창업관련 회계처리_name of fund_Template회사작성분 검토_PEF(2)" xfId="19054"/>
    <cellStyle name="-_04.10월 손익보정 내역(04.10.15~)_1.창업관련 회계처리_name of fund_Template회사작성분 검토_PEF(2) 2" xfId="19055"/>
    <cellStyle name="-_04.10월 손익보정 내역(04.10.15~)_1.창업관련 회계처리_name of fund_Template회사작성분 검토_PEF(2) 2 2" xfId="19056"/>
    <cellStyle name="-_04.10월 손익보정 내역(04.10.15~)_1.창업관련 회계처리_name of fund_Template회사작성분 검토_PEF(2) 3" xfId="19057"/>
    <cellStyle name="-_04.10월 손익보정 내역(04.10.15~)_1.창업관련 회계처리_name of fund_Template회사작성분 검토_PEF(2)_I2 6월 결산 검증서_복합대출상품_20101119" xfId="19058"/>
    <cellStyle name="-_04.10월 손익보정 내역(04.10.15~)_1.창업관련 회계처리_name of fund_Template회사작성분 검토_PEF(2)_I2 6월 결산 검증서_복합대출상품_20101119 2" xfId="19059"/>
    <cellStyle name="-_04.10월 손익보정 내역(04.10.15~)_1.창업관련 회계처리_name of fund_Template회사작성분 검토_PEF(2)_I2 6월 결산 검증서_복합대출상품_20101119 2 2" xfId="19060"/>
    <cellStyle name="-_04.10월 손익보정 내역(04.10.15~)_1.창업관련 회계처리_Template회사작성분 검토_PEF(2)" xfId="19061"/>
    <cellStyle name="-_04.10월 손익보정 내역(04.10.15~)_1.창업관련 회계처리_Template회사작성분 검토_PEF(2) 2" xfId="19062"/>
    <cellStyle name="-_04.10월 손익보정 내역(04.10.15~)_1.창업관련 회계처리_Template회사작성분 검토_PEF(2) 2 2" xfId="19063"/>
    <cellStyle name="-_04.10월 손익보정 내역(04.10.15~)_1.창업관련 회계처리_Template회사작성분 검토_PEF(2) 3" xfId="19064"/>
    <cellStyle name="-_04.10월 손익보정 내역(04.10.15~)_1.창업관련 회계처리_Template회사작성분 검토_PEF(2)_I2 6월 결산 검증서_복합대출상품_20101119" xfId="19065"/>
    <cellStyle name="-_04.10월 손익보정 내역(04.10.15~)_1.창업관련 회계처리_Template회사작성분 검토_PEF(2)_I2 6월 결산 검증서_복합대출상품_20101119 2" xfId="19066"/>
    <cellStyle name="-_04.10월 손익보정 내역(04.10.15~)_1.창업관련 회계처리_Template회사작성분 검토_PEF(2)_I2 6월 결산 검증서_복합대출상품_20101119 2 2" xfId="19067"/>
    <cellStyle name="-_04.10월 손익보정 내역(04.10.15~)_3.미수이자 보정내역  4.대손충당금" xfId="19068"/>
    <cellStyle name="-_04.10월 손익보정 내역(04.10.15~)_3.미수이자 보정내역  4.대손충당금 2" xfId="19069"/>
    <cellStyle name="-_04.10월 손익보정 내역(04.10.15~)_3.미수이자 보정내역  4.대손충당금 2 2" xfId="19070"/>
    <cellStyle name="-_04.10월 손익보정 내역(04.10.15~)_3.미수이자 보정내역  4.대손충당금 3" xfId="19071"/>
    <cellStyle name="-_04.10월 손익보정 내역(04.10.15~)_3.미수이자 보정내역  4.대손충당금_1.창업관련 회계처리" xfId="19072"/>
    <cellStyle name="-_04.10월 손익보정 내역(04.10.15~)_3.미수이자 보정내역  4.대손충당금_1.창업관련 회계처리 2" xfId="19073"/>
    <cellStyle name="-_04.10월 손익보정 내역(04.10.15~)_3.미수이자 보정내역  4.대손충당금_1.창업관련 회계처리 2 2" xfId="19074"/>
    <cellStyle name="-_04.10월 손익보정 내역(04.10.15~)_3.미수이자 보정내역  4.대손충당금_1.창업관련 회계처리 3" xfId="19075"/>
    <cellStyle name="-_04.10월 손익보정 내역(04.10.15~)_3.미수이자 보정내역  4.대손충당금_1.창업관련 회계처리_I2 6월 결산 검증서_복합대출상품_20101119" xfId="19076"/>
    <cellStyle name="-_04.10월 손익보정 내역(04.10.15~)_3.미수이자 보정내역  4.대손충당금_1.창업관련 회계처리_I2 6월 결산 검증서_복합대출상품_20101119 2" xfId="19077"/>
    <cellStyle name="-_04.10월 손익보정 내역(04.10.15~)_3.미수이자 보정내역  4.대손충당금_1.창업관련 회계처리_I2 6월 결산 검증서_복합대출상품_20101119 2 2" xfId="19078"/>
    <cellStyle name="-_04.10월 손익보정 내역(04.10.15~)_3.미수이자 보정내역  4.대손충당금_1.창업관련 회계처리_Template회사작성분 검토_PEF(2)" xfId="19079"/>
    <cellStyle name="-_04.10월 손익보정 내역(04.10.15~)_3.미수이자 보정내역  4.대손충당금_1.창업관련 회계처리_Template회사작성분 검토_PEF(2) 2" xfId="19080"/>
    <cellStyle name="-_04.10월 손익보정 내역(04.10.15~)_3.미수이자 보정내역  4.대손충당금_1.창업관련 회계처리_Template회사작성분 검토_PEF(2) 2 2" xfId="19081"/>
    <cellStyle name="-_04.10월 손익보정 내역(04.10.15~)_3.미수이자 보정내역  4.대손충당금_1.창업관련 회계처리_Template회사작성분 검토_PEF(2) 3" xfId="19082"/>
    <cellStyle name="-_04.10월 손익보정 내역(04.10.15~)_3.미수이자 보정내역  4.대손충당금_1.창업관련 회계처리_Template회사작성분 검토_PEF(2)_I2 6월 결산 검증서_복합대출상품_20101119" xfId="19083"/>
    <cellStyle name="-_04.10월 손익보정 내역(04.10.15~)_3.미수이자 보정내역  4.대손충당금_1.창업관련 회계처리_Template회사작성분 검토_PEF(2)_I2 6월 결산 검증서_복합대출상품_20101119 2" xfId="19084"/>
    <cellStyle name="-_04.10월 손익보정 내역(04.10.15~)_3.미수이자 보정내역  4.대손충당금_1.창업관련 회계처리_Template회사작성분 검토_PEF(2)_I2 6월 결산 검증서_복합대출상품_20101119 2 2" xfId="19085"/>
    <cellStyle name="-_04.10월 손익보정 내역(04.10.15~)_3.미수이자 보정내역  4.대손충당금_I2 6월 결산 검증서_복합대출상품_20101119" xfId="19086"/>
    <cellStyle name="-_04.10월 손익보정 내역(04.10.15~)_3.미수이자 보정내역  4.대손충당금_I2 6월 결산 검증서_복합대출상품_20101119 2" xfId="19087"/>
    <cellStyle name="-_04.10월 손익보정 내역(04.10.15~)_3.미수이자 보정내역  4.대손충당금_I2 6월 결산 검증서_복합대출상품_20101119 2 2" xfId="19088"/>
    <cellStyle name="-_04.10월 손익보정 내역(04.10.15~)_3.미수이자 보정내역  4.대손충당금_Template회사작성분 검토_PEF(2)" xfId="19089"/>
    <cellStyle name="-_04.10월 손익보정 내역(04.10.15~)_3.미수이자 보정내역  4.대손충당금_Template회사작성분 검토_PEF(2) 2" xfId="19090"/>
    <cellStyle name="-_04.10월 손익보정 내역(04.10.15~)_3.미수이자 보정내역  4.대손충당금_Template회사작성분 검토_PEF(2) 2 2" xfId="19091"/>
    <cellStyle name="-_04.10월 손익보정 내역(04.10.15~)_3.미수이자 보정내역  4.대손충당금_Template회사작성분 검토_PEF(2) 3" xfId="19092"/>
    <cellStyle name="-_04.10월 손익보정 내역(04.10.15~)_3.미수이자 보정내역  4.대손충당금_Template회사작성분 검토_PEF(2)_I2 6월 결산 검증서_복합대출상품_20101119" xfId="19093"/>
    <cellStyle name="-_04.10월 손익보정 내역(04.10.15~)_3.미수이자 보정내역  4.대손충당금_Template회사작성분 검토_PEF(2)_I2 6월 결산 검증서_복합대출상품_20101119 2" xfId="19094"/>
    <cellStyle name="-_04.10월 손익보정 내역(04.10.15~)_3.미수이자 보정내역  4.대손충당금_Template회사작성분 검토_PEF(2)_I2 6월 결산 검증서_복합대출상품_20101119 2 2" xfId="19095"/>
    <cellStyle name="-_04.10월 손익보정 내역(04.10.15~)_6.선급비용" xfId="19096"/>
    <cellStyle name="-_04.10월 손익보정 내역(04.10.15~)_6.선급비용 2" xfId="19097"/>
    <cellStyle name="-_04.10월 손익보정 내역(04.10.15~)_6.선급비용 2 2" xfId="19098"/>
    <cellStyle name="-_04.10월 손익보정 내역(04.10.15~)_6.선급비용 3" xfId="19099"/>
    <cellStyle name="-_04.10월 손익보정 내역(04.10.15~)_6.선급비용_1.창업관련 회계처리" xfId="19100"/>
    <cellStyle name="-_04.10월 손익보정 내역(04.10.15~)_6.선급비용_1.창업관련 회계처리 2" xfId="19101"/>
    <cellStyle name="-_04.10월 손익보정 내역(04.10.15~)_6.선급비용_1.창업관련 회계처리 2 2" xfId="19102"/>
    <cellStyle name="-_04.10월 손익보정 내역(04.10.15~)_6.선급비용_1.창업관련 회계처리 3" xfId="19103"/>
    <cellStyle name="-_04.10월 손익보정 내역(04.10.15~)_6.선급비용_1.창업관련 회계처리_I2 6월 결산 검증서_복합대출상품_20101119" xfId="19104"/>
    <cellStyle name="-_04.10월 손익보정 내역(04.10.15~)_6.선급비용_1.창업관련 회계처리_I2 6월 결산 검증서_복합대출상품_20101119 2" xfId="19105"/>
    <cellStyle name="-_04.10월 손익보정 내역(04.10.15~)_6.선급비용_1.창업관련 회계처리_I2 6월 결산 검증서_복합대출상품_20101119 2 2" xfId="19106"/>
    <cellStyle name="-_04.10월 손익보정 내역(04.10.15~)_6.선급비용_1.창업관련 회계처리_Template회사작성분 검토_PEF(2)" xfId="19107"/>
    <cellStyle name="-_04.10월 손익보정 내역(04.10.15~)_6.선급비용_1.창업관련 회계처리_Template회사작성분 검토_PEF(2) 2" xfId="19108"/>
    <cellStyle name="-_04.10월 손익보정 내역(04.10.15~)_6.선급비용_1.창업관련 회계처리_Template회사작성분 검토_PEF(2) 2 2" xfId="19109"/>
    <cellStyle name="-_04.10월 손익보정 내역(04.10.15~)_6.선급비용_1.창업관련 회계처리_Template회사작성분 검토_PEF(2) 3" xfId="19110"/>
    <cellStyle name="-_04.10월 손익보정 내역(04.10.15~)_6.선급비용_1.창업관련 회계처리_Template회사작성분 검토_PEF(2)_I2 6월 결산 검증서_복합대출상품_20101119" xfId="19111"/>
    <cellStyle name="-_04.10월 손익보정 내역(04.10.15~)_6.선급비용_1.창업관련 회계처리_Template회사작성분 검토_PEF(2)_I2 6월 결산 검증서_복합대출상품_20101119 2" xfId="19112"/>
    <cellStyle name="-_04.10월 손익보정 내역(04.10.15~)_6.선급비용_1.창업관련 회계처리_Template회사작성분 검토_PEF(2)_I2 6월 결산 검증서_복합대출상품_20101119 2 2" xfId="19113"/>
    <cellStyle name="-_04.10월 손익보정 내역(04.10.15~)_6.선급비용_I2 6월 결산 검증서_복합대출상품_20101119" xfId="19114"/>
    <cellStyle name="-_04.10월 손익보정 내역(04.10.15~)_6.선급비용_I2 6월 결산 검증서_복합대출상품_20101119 2" xfId="19115"/>
    <cellStyle name="-_04.10월 손익보정 내역(04.10.15~)_6.선급비용_I2 6월 결산 검증서_복합대출상품_20101119 2 2" xfId="19116"/>
    <cellStyle name="-_04.10월 손익보정 내역(04.10.15~)_6.선급비용_name of fund" xfId="19117"/>
    <cellStyle name="-_04.10월 손익보정 내역(04.10.15~)_6.선급비용_name of fund 2" xfId="19118"/>
    <cellStyle name="-_04.10월 손익보정 내역(04.10.15~)_6.선급비용_name of fund 2 2" xfId="19119"/>
    <cellStyle name="-_04.10월 손익보정 내역(04.10.15~)_6.선급비용_name of fund 3" xfId="19120"/>
    <cellStyle name="-_04.10월 손익보정 내역(04.10.15~)_6.선급비용_name of fund_I2 6월 결산 검증서_복합대출상품_20101119" xfId="19121"/>
    <cellStyle name="-_04.10월 손익보정 내역(04.10.15~)_6.선급비용_name of fund_I2 6월 결산 검증서_복합대출상품_20101119 2" xfId="19122"/>
    <cellStyle name="-_04.10월 손익보정 내역(04.10.15~)_6.선급비용_name of fund_I2 6월 결산 검증서_복합대출상품_20101119 2 2" xfId="19123"/>
    <cellStyle name="-_04.10월 손익보정 내역(04.10.15~)_6.선급비용_name of fund_Template회사작성분 검토_PEF(2)" xfId="19124"/>
    <cellStyle name="-_04.10월 손익보정 내역(04.10.15~)_6.선급비용_name of fund_Template회사작성분 검토_PEF(2) 2" xfId="19125"/>
    <cellStyle name="-_04.10월 손익보정 내역(04.10.15~)_6.선급비용_name of fund_Template회사작성분 검토_PEF(2) 2 2" xfId="19126"/>
    <cellStyle name="-_04.10월 손익보정 내역(04.10.15~)_6.선급비용_name of fund_Template회사작성분 검토_PEF(2) 3" xfId="19127"/>
    <cellStyle name="-_04.10월 손익보정 내역(04.10.15~)_6.선급비용_name of fund_Template회사작성분 검토_PEF(2)_I2 6월 결산 검증서_복합대출상품_20101119" xfId="19128"/>
    <cellStyle name="-_04.10월 손익보정 내역(04.10.15~)_6.선급비용_name of fund_Template회사작성분 검토_PEF(2)_I2 6월 결산 검증서_복합대출상품_20101119 2" xfId="19129"/>
    <cellStyle name="-_04.10월 손익보정 내역(04.10.15~)_6.선급비용_name of fund_Template회사작성분 검토_PEF(2)_I2 6월 결산 검증서_복합대출상품_20101119 2 2" xfId="19130"/>
    <cellStyle name="-_04.10월 손익보정 내역(04.10.15~)_6.선급비용_Template회사작성분 검토_PEF(2)" xfId="19131"/>
    <cellStyle name="-_04.10월 손익보정 내역(04.10.15~)_6.선급비용_Template회사작성분 검토_PEF(2) 2" xfId="19132"/>
    <cellStyle name="-_04.10월 손익보정 내역(04.10.15~)_6.선급비용_Template회사작성분 검토_PEF(2) 2 2" xfId="19133"/>
    <cellStyle name="-_04.10월 손익보정 내역(04.10.15~)_6.선급비용_Template회사작성분 검토_PEF(2) 3" xfId="19134"/>
    <cellStyle name="-_04.10월 손익보정 내역(04.10.15~)_6.선급비용_Template회사작성분 검토_PEF(2)_I2 6월 결산 검증서_복합대출상품_20101119" xfId="19135"/>
    <cellStyle name="-_04.10월 손익보정 내역(04.10.15~)_6.선급비용_Template회사작성분 검토_PEF(2)_I2 6월 결산 검증서_복합대출상품_20101119 2" xfId="19136"/>
    <cellStyle name="-_04.10월 손익보정 내역(04.10.15~)_6.선급비용_Template회사작성분 검토_PEF(2)_I2 6월 결산 검증서_복합대출상품_20101119 2 2" xfId="19137"/>
    <cellStyle name="-_04.10월 손익보정 내역(04.10.15~)_8.퇴직급여 8-1.보너스충당금" xfId="19138"/>
    <cellStyle name="-_04.10월 손익보정 내역(04.10.15~)_8.퇴직급여 8-1.보너스충당금 2" xfId="19139"/>
    <cellStyle name="-_04.10월 손익보정 내역(04.10.15~)_8.퇴직급여 8-1.보너스충당금 2 2" xfId="19140"/>
    <cellStyle name="-_04.10월 손익보정 내역(04.10.15~)_8.퇴직급여 8-1.보너스충당금 3" xfId="19141"/>
    <cellStyle name="-_04.10월 손익보정 내역(04.10.15~)_8.퇴직급여 8-1.보너스충당금_1.창업관련 회계처리" xfId="19142"/>
    <cellStyle name="-_04.10월 손익보정 내역(04.10.15~)_8.퇴직급여 8-1.보너스충당금_1.창업관련 회계처리 2" xfId="19143"/>
    <cellStyle name="-_04.10월 손익보정 내역(04.10.15~)_8.퇴직급여 8-1.보너스충당금_1.창업관련 회계처리 2 2" xfId="19144"/>
    <cellStyle name="-_04.10월 손익보정 내역(04.10.15~)_8.퇴직급여 8-1.보너스충당금_1.창업관련 회계처리 3" xfId="19145"/>
    <cellStyle name="-_04.10월 손익보정 내역(04.10.15~)_8.퇴직급여 8-1.보너스충당금_1.창업관련 회계처리_I2 6월 결산 검증서_복합대출상품_20101119" xfId="19146"/>
    <cellStyle name="-_04.10월 손익보정 내역(04.10.15~)_8.퇴직급여 8-1.보너스충당금_1.창업관련 회계처리_I2 6월 결산 검증서_복합대출상품_20101119 2" xfId="19147"/>
    <cellStyle name="-_04.10월 손익보정 내역(04.10.15~)_8.퇴직급여 8-1.보너스충당금_1.창업관련 회계처리_I2 6월 결산 검증서_복합대출상품_20101119 2 2" xfId="19148"/>
    <cellStyle name="-_04.10월 손익보정 내역(04.10.15~)_8.퇴직급여 8-1.보너스충당금_1.창업관련 회계처리_Template회사작성분 검토_PEF(2)" xfId="19149"/>
    <cellStyle name="-_04.10월 손익보정 내역(04.10.15~)_8.퇴직급여 8-1.보너스충당금_1.창업관련 회계처리_Template회사작성분 검토_PEF(2) 2" xfId="19150"/>
    <cellStyle name="-_04.10월 손익보정 내역(04.10.15~)_8.퇴직급여 8-1.보너스충당금_1.창업관련 회계처리_Template회사작성분 검토_PEF(2) 2 2" xfId="19151"/>
    <cellStyle name="-_04.10월 손익보정 내역(04.10.15~)_8.퇴직급여 8-1.보너스충당금_1.창업관련 회계처리_Template회사작성분 검토_PEF(2) 3" xfId="19152"/>
    <cellStyle name="-_04.10월 손익보정 내역(04.10.15~)_8.퇴직급여 8-1.보너스충당금_1.창업관련 회계처리_Template회사작성분 검토_PEF(2)_I2 6월 결산 검증서_복합대출상품_20101119" xfId="19153"/>
    <cellStyle name="-_04.10월 손익보정 내역(04.10.15~)_8.퇴직급여 8-1.보너스충당금_1.창업관련 회계처리_Template회사작성분 검토_PEF(2)_I2 6월 결산 검증서_복합대출상품_20101119 2" xfId="19154"/>
    <cellStyle name="-_04.10월 손익보정 내역(04.10.15~)_8.퇴직급여 8-1.보너스충당금_1.창업관련 회계처리_Template회사작성분 검토_PEF(2)_I2 6월 결산 검증서_복합대출상품_20101119 2 2" xfId="19155"/>
    <cellStyle name="-_04.10월 손익보정 내역(04.10.15~)_8.퇴직급여 8-1.보너스충당금_I2 6월 결산 검증서_복합대출상품_20101119" xfId="19156"/>
    <cellStyle name="-_04.10월 손익보정 내역(04.10.15~)_8.퇴직급여 8-1.보너스충당금_I2 6월 결산 검증서_복합대출상품_20101119 2" xfId="19157"/>
    <cellStyle name="-_04.10월 손익보정 내역(04.10.15~)_8.퇴직급여 8-1.보너스충당금_I2 6월 결산 검증서_복합대출상품_20101119 2 2" xfId="19158"/>
    <cellStyle name="-_04.10월 손익보정 내역(04.10.15~)_8.퇴직급여 8-1.보너스충당금_name of fund" xfId="19159"/>
    <cellStyle name="-_04.10월 손익보정 내역(04.10.15~)_8.퇴직급여 8-1.보너스충당금_name of fund 2" xfId="19160"/>
    <cellStyle name="-_04.10월 손익보정 내역(04.10.15~)_8.퇴직급여 8-1.보너스충당금_name of fund 2 2" xfId="19161"/>
    <cellStyle name="-_04.10월 손익보정 내역(04.10.15~)_8.퇴직급여 8-1.보너스충당금_name of fund 3" xfId="19162"/>
    <cellStyle name="-_04.10월 손익보정 내역(04.10.15~)_8.퇴직급여 8-1.보너스충당금_name of fund_I2 6월 결산 검증서_복합대출상품_20101119" xfId="19163"/>
    <cellStyle name="-_04.10월 손익보정 내역(04.10.15~)_8.퇴직급여 8-1.보너스충당금_name of fund_I2 6월 결산 검증서_복합대출상품_20101119 2" xfId="19164"/>
    <cellStyle name="-_04.10월 손익보정 내역(04.10.15~)_8.퇴직급여 8-1.보너스충당금_name of fund_I2 6월 결산 검증서_복합대출상품_20101119 2 2" xfId="19165"/>
    <cellStyle name="-_04.10월 손익보정 내역(04.10.15~)_8.퇴직급여 8-1.보너스충당금_name of fund_Template회사작성분 검토_PEF(2)" xfId="19166"/>
    <cellStyle name="-_04.10월 손익보정 내역(04.10.15~)_8.퇴직급여 8-1.보너스충당금_name of fund_Template회사작성분 검토_PEF(2) 2" xfId="19167"/>
    <cellStyle name="-_04.10월 손익보정 내역(04.10.15~)_8.퇴직급여 8-1.보너스충당금_name of fund_Template회사작성분 검토_PEF(2) 2 2" xfId="19168"/>
    <cellStyle name="-_04.10월 손익보정 내역(04.10.15~)_8.퇴직급여 8-1.보너스충당금_name of fund_Template회사작성분 검토_PEF(2) 3" xfId="19169"/>
    <cellStyle name="-_04.10월 손익보정 내역(04.10.15~)_8.퇴직급여 8-1.보너스충당금_name of fund_Template회사작성분 검토_PEF(2)_I2 6월 결산 검증서_복합대출상품_20101119" xfId="19170"/>
    <cellStyle name="-_04.10월 손익보정 내역(04.10.15~)_8.퇴직급여 8-1.보너스충당금_name of fund_Template회사작성분 검토_PEF(2)_I2 6월 결산 검증서_복합대출상품_20101119 2" xfId="19171"/>
    <cellStyle name="-_04.10월 손익보정 내역(04.10.15~)_8.퇴직급여 8-1.보너스충당금_name of fund_Template회사작성분 검토_PEF(2)_I2 6월 결산 검증서_복합대출상품_20101119 2 2" xfId="19172"/>
    <cellStyle name="-_04.10월 손익보정 내역(04.10.15~)_8.퇴직급여 8-1.보너스충당금_Template회사작성분 검토_PEF(2)" xfId="19173"/>
    <cellStyle name="-_04.10월 손익보정 내역(04.10.15~)_8.퇴직급여 8-1.보너스충당금_Template회사작성분 검토_PEF(2) 2" xfId="19174"/>
    <cellStyle name="-_04.10월 손익보정 내역(04.10.15~)_8.퇴직급여 8-1.보너스충당금_Template회사작성분 검토_PEF(2) 2 2" xfId="19175"/>
    <cellStyle name="-_04.10월 손익보정 내역(04.10.15~)_8.퇴직급여 8-1.보너스충당금_Template회사작성분 검토_PEF(2) 3" xfId="19176"/>
    <cellStyle name="-_04.10월 손익보정 내역(04.10.15~)_8.퇴직급여 8-1.보너스충당금_Template회사작성분 검토_PEF(2)_I2 6월 결산 검증서_복합대출상품_20101119" xfId="19177"/>
    <cellStyle name="-_04.10월 손익보정 내역(04.10.15~)_8.퇴직급여 8-1.보너스충당금_Template회사작성분 검토_PEF(2)_I2 6월 결산 검증서_복합대출상품_20101119 2" xfId="19178"/>
    <cellStyle name="-_04.10월 손익보정 내역(04.10.15~)_8.퇴직급여 8-1.보너스충당금_Template회사작성분 검토_PEF(2)_I2 6월 결산 검증서_복합대출상품_20101119 2 2" xfId="19179"/>
    <cellStyle name="-_04.10월 손익보정 내역(04.10.15~)_Book1" xfId="19180"/>
    <cellStyle name="-_04.10월 손익보정 내역(04.10.15~)_Book1 2" xfId="19181"/>
    <cellStyle name="-_04.10월 손익보정 내역(04.10.15~)_Book1 2 2" xfId="19182"/>
    <cellStyle name="-_04.10월 손익보정 내역(04.10.15~)_Book1 3" xfId="19183"/>
    <cellStyle name="-_04.10월 손익보정 내역(04.10.15~)_Book1_1.창업관련 회계처리" xfId="19184"/>
    <cellStyle name="-_04.10월 손익보정 내역(04.10.15~)_Book1_1.창업관련 회계처리 2" xfId="19185"/>
    <cellStyle name="-_04.10월 손익보정 내역(04.10.15~)_Book1_1.창업관련 회계처리 2 2" xfId="19186"/>
    <cellStyle name="-_04.10월 손익보정 내역(04.10.15~)_Book1_1.창업관련 회계처리 3" xfId="19187"/>
    <cellStyle name="-_04.10월 손익보정 내역(04.10.15~)_Book1_1.창업관련 회계처리_I2 6월 결산 검증서_복합대출상품_20101119" xfId="19188"/>
    <cellStyle name="-_04.10월 손익보정 내역(04.10.15~)_Book1_1.창업관련 회계처리_I2 6월 결산 검증서_복합대출상품_20101119 2" xfId="19189"/>
    <cellStyle name="-_04.10월 손익보정 내역(04.10.15~)_Book1_1.창업관련 회계처리_I2 6월 결산 검증서_복합대출상품_20101119 2 2" xfId="19190"/>
    <cellStyle name="-_04.10월 손익보정 내역(04.10.15~)_Book1_1.창업관련 회계처리_Template회사작성분 검토_PEF(2)" xfId="19191"/>
    <cellStyle name="-_04.10월 손익보정 내역(04.10.15~)_Book1_1.창업관련 회계처리_Template회사작성분 검토_PEF(2) 2" xfId="19192"/>
    <cellStyle name="-_04.10월 손익보정 내역(04.10.15~)_Book1_1.창업관련 회계처리_Template회사작성분 검토_PEF(2) 2 2" xfId="19193"/>
    <cellStyle name="-_04.10월 손익보정 내역(04.10.15~)_Book1_1.창업관련 회계처리_Template회사작성분 검토_PEF(2) 3" xfId="19194"/>
    <cellStyle name="-_04.10월 손익보정 내역(04.10.15~)_Book1_1.창업관련 회계처리_Template회사작성분 검토_PEF(2)_I2 6월 결산 검증서_복합대출상품_20101119" xfId="19195"/>
    <cellStyle name="-_04.10월 손익보정 내역(04.10.15~)_Book1_1.창업관련 회계처리_Template회사작성분 검토_PEF(2)_I2 6월 결산 검증서_복합대출상품_20101119 2" xfId="19196"/>
    <cellStyle name="-_04.10월 손익보정 내역(04.10.15~)_Book1_1.창업관련 회계처리_Template회사작성분 검토_PEF(2)_I2 6월 결산 검증서_복합대출상품_20101119 2 2" xfId="19197"/>
    <cellStyle name="-_04.10월 손익보정 내역(04.10.15~)_Book1_I2 6월 결산 검증서_복합대출상품_20101119" xfId="19198"/>
    <cellStyle name="-_04.10월 손익보정 내역(04.10.15~)_Book1_I2 6월 결산 검증서_복합대출상품_20101119 2" xfId="19199"/>
    <cellStyle name="-_04.10월 손익보정 내역(04.10.15~)_Book1_I2 6월 결산 검증서_복합대출상품_20101119 2 2" xfId="19200"/>
    <cellStyle name="-_04.10월 손익보정 내역(04.10.15~)_Book1_name of fund" xfId="19201"/>
    <cellStyle name="-_04.10월 손익보정 내역(04.10.15~)_Book1_name of fund 2" xfId="19202"/>
    <cellStyle name="-_04.10월 손익보정 내역(04.10.15~)_Book1_name of fund 2 2" xfId="19203"/>
    <cellStyle name="-_04.10월 손익보정 내역(04.10.15~)_Book1_name of fund 3" xfId="19204"/>
    <cellStyle name="-_04.10월 손익보정 내역(04.10.15~)_Book1_name of fund_I2 6월 결산 검증서_복합대출상품_20101119" xfId="19205"/>
    <cellStyle name="-_04.10월 손익보정 내역(04.10.15~)_Book1_name of fund_I2 6월 결산 검증서_복합대출상품_20101119 2" xfId="19206"/>
    <cellStyle name="-_04.10월 손익보정 내역(04.10.15~)_Book1_name of fund_I2 6월 결산 검증서_복합대출상품_20101119 2 2" xfId="19207"/>
    <cellStyle name="-_04.10월 손익보정 내역(04.10.15~)_Book1_name of fund_Template회사작성분 검토_PEF(2)" xfId="19208"/>
    <cellStyle name="-_04.10월 손익보정 내역(04.10.15~)_Book1_name of fund_Template회사작성분 검토_PEF(2) 2" xfId="19209"/>
    <cellStyle name="-_04.10월 손익보정 내역(04.10.15~)_Book1_name of fund_Template회사작성분 검토_PEF(2) 2 2" xfId="19210"/>
    <cellStyle name="-_04.10월 손익보정 내역(04.10.15~)_Book1_name of fund_Template회사작성분 검토_PEF(2) 3" xfId="19211"/>
    <cellStyle name="-_04.10월 손익보정 내역(04.10.15~)_Book1_name of fund_Template회사작성분 검토_PEF(2)_I2 6월 결산 검증서_복합대출상품_20101119" xfId="19212"/>
    <cellStyle name="-_04.10월 손익보정 내역(04.10.15~)_Book1_name of fund_Template회사작성분 검토_PEF(2)_I2 6월 결산 검증서_복합대출상품_20101119 2" xfId="19213"/>
    <cellStyle name="-_04.10월 손익보정 내역(04.10.15~)_Book1_name of fund_Template회사작성분 검토_PEF(2)_I2 6월 결산 검증서_복합대출상품_20101119 2 2" xfId="19214"/>
    <cellStyle name="-_04.10월 손익보정 내역(04.10.15~)_Book1_Template회사작성분 검토_PEF(2)" xfId="19215"/>
    <cellStyle name="-_04.10월 손익보정 내역(04.10.15~)_Book1_Template회사작성분 검토_PEF(2) 2" xfId="19216"/>
    <cellStyle name="-_04.10월 손익보정 내역(04.10.15~)_Book1_Template회사작성분 검토_PEF(2) 2 2" xfId="19217"/>
    <cellStyle name="-_04.10월 손익보정 내역(04.10.15~)_Book1_Template회사작성분 검토_PEF(2) 3" xfId="19218"/>
    <cellStyle name="-_04.10월 손익보정 내역(04.10.15~)_Book1_Template회사작성분 검토_PEF(2)_I2 6월 결산 검증서_복합대출상품_20101119" xfId="19219"/>
    <cellStyle name="-_04.10월 손익보정 내역(04.10.15~)_Book1_Template회사작성분 검토_PEF(2)_I2 6월 결산 검증서_복합대출상품_20101119 2" xfId="19220"/>
    <cellStyle name="-_04.10월 손익보정 내역(04.10.15~)_Book1_Template회사작성분 검토_PEF(2)_I2 6월 결산 검증서_복합대출상품_20101119 2 2" xfId="19221"/>
    <cellStyle name="-_04.10월 손익보정 내역(04.10.15~)_I2 6월 결산 검증서_복합대출상품_20101119" xfId="19222"/>
    <cellStyle name="-_04.10월 손익보정 내역(04.10.15~)_I2 6월 결산 검증서_복합대출상품_20101119 2" xfId="19223"/>
    <cellStyle name="-_04.10월 손익보정 내역(04.10.15~)_I2 6월 결산 검증서_복합대출상품_20101119 2 2" xfId="19224"/>
    <cellStyle name="-_04.10월 손익보정 내역(04.10.15~)_I2 6월 결산 검증서_복합대출상품_20101126" xfId="19225"/>
    <cellStyle name="-_04.10월 손익보정 내역(04.10.15~)_I2 6월 결산 검증서_복합대출상품_20101126 2" xfId="19226"/>
    <cellStyle name="-_04.10월 손익보정 내역(04.10.15~)_I2 6월 결산 검증서_복합대출상품_20101126 2 2" xfId="19227"/>
    <cellStyle name="-_04.10월 손익보정 내역(04.10.15~)_name of fund" xfId="19228"/>
    <cellStyle name="-_04.10월 손익보정 내역(04.10.15~)_name of fund 2" xfId="19229"/>
    <cellStyle name="-_04.10월 손익보정 내역(04.10.15~)_name of fund 2 2" xfId="19230"/>
    <cellStyle name="-_04.10월 손익보정 내역(04.10.15~)_name of fund 3" xfId="19231"/>
    <cellStyle name="-_04.10월 손익보정 내역(04.10.15~)_name of fund_I2 6월 결산 검증서_복합대출상품_20101119" xfId="19232"/>
    <cellStyle name="-_04.10월 손익보정 내역(04.10.15~)_name of fund_I2 6월 결산 검증서_복합대출상품_20101119 2" xfId="19233"/>
    <cellStyle name="-_04.10월 손익보정 내역(04.10.15~)_name of fund_I2 6월 결산 검증서_복합대출상품_20101119 2 2" xfId="19234"/>
    <cellStyle name="-_04.10월 손익보정 내역(04.10.15~)_name of fund_Template회사작성분 검토_PEF(2)" xfId="19235"/>
    <cellStyle name="-_04.10월 손익보정 내역(04.10.15~)_name of fund_Template회사작성분 검토_PEF(2) 2" xfId="19236"/>
    <cellStyle name="-_04.10월 손익보정 내역(04.10.15~)_name of fund_Template회사작성분 검토_PEF(2) 2 2" xfId="19237"/>
    <cellStyle name="-_04.10월 손익보정 내역(04.10.15~)_name of fund_Template회사작성분 검토_PEF(2) 3" xfId="19238"/>
    <cellStyle name="-_04.10월 손익보정 내역(04.10.15~)_name of fund_Template회사작성분 검토_PEF(2)_I2 6월 결산 검증서_복합대출상품_20101119" xfId="19239"/>
    <cellStyle name="-_04.10월 손익보정 내역(04.10.15~)_name of fund_Template회사작성분 검토_PEF(2)_I2 6월 결산 검증서_복합대출상품_20101119 2" xfId="19240"/>
    <cellStyle name="-_04.10월 손익보정 내역(04.10.15~)_name of fund_Template회사작성분 검토_PEF(2)_I2 6월 결산 검증서_복합대출상품_20101119 2 2" xfId="19241"/>
    <cellStyle name="-_04.10월 손익보정 내역(04.10.15~)_Template회사작성분 검토_PEF(2)" xfId="19242"/>
    <cellStyle name="-_04.10월 손익보정 내역(04.10.15~)_Template회사작성분 검토_PEF(2) 2" xfId="19243"/>
    <cellStyle name="-_04.10월 손익보정 내역(04.10.15~)_Template회사작성분 검토_PEF(2) 2 2" xfId="19244"/>
    <cellStyle name="-_04.10월 손익보정 내역(04.10.15~)_Template회사작성분 검토_PEF(2) 3" xfId="19245"/>
    <cellStyle name="-_04.10월 손익보정 내역(04.10.15~)_Template회사작성분 검토_PEF(2)_I2 6월 결산 검증서_복합대출상품_20101119" xfId="19246"/>
    <cellStyle name="-_04.10월 손익보정 내역(04.10.15~)_Template회사작성분 검토_PEF(2)_I2 6월 결산 검증서_복합대출상품_20101119 2" xfId="19247"/>
    <cellStyle name="-_04.10월 손익보정 내역(04.10.15~)_Template회사작성분 검토_PEF(2)_I2 6월 결산 검증서_복합대출상품_20101119 2 2" xfId="19248"/>
    <cellStyle name="-_04.10월 손익보정 내역(04.10.15~)_제2기 손익보정 내역(05.4.1~06.3.31)" xfId="19249"/>
    <cellStyle name="-_04.10월 손익보정 내역(04.10.15~)_제2기 손익보정 내역(05.4.1~06.3.31) 2" xfId="19250"/>
    <cellStyle name="-_04.10월 손익보정 내역(04.10.15~)_제2기 손익보정 내역(05.4.1~06.3.31) 2 2" xfId="19251"/>
    <cellStyle name="-_04.10월 손익보정 내역(04.10.15~)_제2기 손익보정 내역(05.4.1~06.3.31) 3" xfId="19252"/>
    <cellStyle name="-_04.10월 손익보정 내역(04.10.15~)_제2기 손익보정 내역(05.4.1~06.3.31)_1.창업관련 회계처리" xfId="19253"/>
    <cellStyle name="-_04.10월 손익보정 내역(04.10.15~)_제2기 손익보정 내역(05.4.1~06.3.31)_1.창업관련 회계처리 2" xfId="19254"/>
    <cellStyle name="-_04.10월 손익보정 내역(04.10.15~)_제2기 손익보정 내역(05.4.1~06.3.31)_1.창업관련 회계처리 2 2" xfId="19255"/>
    <cellStyle name="-_04.10월 손익보정 내역(04.10.15~)_제2기 손익보정 내역(05.4.1~06.3.31)_1.창업관련 회계처리 3" xfId="19256"/>
    <cellStyle name="-_04.10월 손익보정 내역(04.10.15~)_제2기 손익보정 내역(05.4.1~06.3.31)_1.창업관련 회계처리_I2 6월 결산 검증서_복합대출상품_20101119" xfId="19257"/>
    <cellStyle name="-_04.10월 손익보정 내역(04.10.15~)_제2기 손익보정 내역(05.4.1~06.3.31)_1.창업관련 회계처리_I2 6월 결산 검증서_복합대출상품_20101119 2" xfId="19258"/>
    <cellStyle name="-_04.10월 손익보정 내역(04.10.15~)_제2기 손익보정 내역(05.4.1~06.3.31)_1.창업관련 회계처리_I2 6월 결산 검증서_복합대출상품_20101119 2 2" xfId="19259"/>
    <cellStyle name="-_04.10월 손익보정 내역(04.10.15~)_제2기 손익보정 내역(05.4.1~06.3.31)_1.창업관련 회계처리_Template회사작성분 검토_PEF(2)" xfId="19260"/>
    <cellStyle name="-_04.10월 손익보정 내역(04.10.15~)_제2기 손익보정 내역(05.4.1~06.3.31)_1.창업관련 회계처리_Template회사작성분 검토_PEF(2) 2" xfId="19261"/>
    <cellStyle name="-_04.10월 손익보정 내역(04.10.15~)_제2기 손익보정 내역(05.4.1~06.3.31)_1.창업관련 회계처리_Template회사작성분 검토_PEF(2) 2 2" xfId="19262"/>
    <cellStyle name="-_04.10월 손익보정 내역(04.10.15~)_제2기 손익보정 내역(05.4.1~06.3.31)_1.창업관련 회계처리_Template회사작성분 검토_PEF(2) 3" xfId="19263"/>
    <cellStyle name="-_04.10월 손익보정 내역(04.10.15~)_제2기 손익보정 내역(05.4.1~06.3.31)_1.창업관련 회계처리_Template회사작성분 검토_PEF(2)_I2 6월 결산 검증서_복합대출상품_20101119" xfId="19264"/>
    <cellStyle name="-_04.10월 손익보정 내역(04.10.15~)_제2기 손익보정 내역(05.4.1~06.3.31)_1.창업관련 회계처리_Template회사작성분 검토_PEF(2)_I2 6월 결산 검증서_복합대출상품_20101119 2" xfId="19265"/>
    <cellStyle name="-_04.10월 손익보정 내역(04.10.15~)_제2기 손익보정 내역(05.4.1~06.3.31)_1.창업관련 회계처리_Template회사작성분 검토_PEF(2)_I2 6월 결산 검증서_복합대출상품_20101119 2 2" xfId="19266"/>
    <cellStyle name="-_04.10월 손익보정 내역(04.10.15~)_제2기 손익보정 내역(05.4.1~06.3.31)_I2 6월 결산 검증서_복합대출상품_20101119" xfId="19267"/>
    <cellStyle name="-_04.10월 손익보정 내역(04.10.15~)_제2기 손익보정 내역(05.4.1~06.3.31)_I2 6월 결산 검증서_복합대출상품_20101119 2" xfId="19268"/>
    <cellStyle name="-_04.10월 손익보정 내역(04.10.15~)_제2기 손익보정 내역(05.4.1~06.3.31)_I2 6월 결산 검증서_복합대출상품_20101119 2 2" xfId="19269"/>
    <cellStyle name="-_04.10월 손익보정 내역(04.10.15~)_제2기 손익보정 내역(05.4.1~06.3.31)_name of fund" xfId="19270"/>
    <cellStyle name="-_04.10월 손익보정 내역(04.10.15~)_제2기 손익보정 내역(05.4.1~06.3.31)_name of fund 2" xfId="19271"/>
    <cellStyle name="-_04.10월 손익보정 내역(04.10.15~)_제2기 손익보정 내역(05.4.1~06.3.31)_name of fund 2 2" xfId="19272"/>
    <cellStyle name="-_04.10월 손익보정 내역(04.10.15~)_제2기 손익보정 내역(05.4.1~06.3.31)_name of fund 3" xfId="19273"/>
    <cellStyle name="-_04.10월 손익보정 내역(04.10.15~)_제2기 손익보정 내역(05.4.1~06.3.31)_name of fund_I2 6월 결산 검증서_복합대출상품_20101119" xfId="19274"/>
    <cellStyle name="-_04.10월 손익보정 내역(04.10.15~)_제2기 손익보정 내역(05.4.1~06.3.31)_name of fund_I2 6월 결산 검증서_복합대출상품_20101119 2" xfId="19275"/>
    <cellStyle name="-_04.10월 손익보정 내역(04.10.15~)_제2기 손익보정 내역(05.4.1~06.3.31)_name of fund_I2 6월 결산 검증서_복합대출상품_20101119 2 2" xfId="19276"/>
    <cellStyle name="-_04.10월 손익보정 내역(04.10.15~)_제2기 손익보정 내역(05.4.1~06.3.31)_name of fund_name of fund" xfId="19277"/>
    <cellStyle name="-_04.10월 손익보정 내역(04.10.15~)_제2기 손익보정 내역(05.4.1~06.3.31)_name of fund_name of fund 2" xfId="19278"/>
    <cellStyle name="-_04.10월 손익보정 내역(04.10.15~)_제2기 손익보정 내역(05.4.1~06.3.31)_name of fund_name of fund 2 2" xfId="19279"/>
    <cellStyle name="-_04.10월 손익보정 내역(04.10.15~)_제2기 손익보정 내역(05.4.1~06.3.31)_name of fund_name of fund 3" xfId="19280"/>
    <cellStyle name="-_04.10월 손익보정 내역(04.10.15~)_제2기 손익보정 내역(05.4.1~06.3.31)_name of fund_name of fund_I2 6월 결산 검증서_복합대출상품_20101119" xfId="19281"/>
    <cellStyle name="-_04.10월 손익보정 내역(04.10.15~)_제2기 손익보정 내역(05.4.1~06.3.31)_name of fund_name of fund_I2 6월 결산 검증서_복합대출상품_20101119 2" xfId="19282"/>
    <cellStyle name="-_04.10월 손익보정 내역(04.10.15~)_제2기 손익보정 내역(05.4.1~06.3.31)_name of fund_name of fund_I2 6월 결산 검증서_복합대출상품_20101119 2 2" xfId="19283"/>
    <cellStyle name="-_04.10월 손익보정 내역(04.10.15~)_제2기 손익보정 내역(05.4.1~06.3.31)_name of fund_name of fund_Template회사작성분 검토_PEF(2)" xfId="19284"/>
    <cellStyle name="-_04.10월 손익보정 내역(04.10.15~)_제2기 손익보정 내역(05.4.1~06.3.31)_name of fund_name of fund_Template회사작성분 검토_PEF(2) 2" xfId="19285"/>
    <cellStyle name="-_04.10월 손익보정 내역(04.10.15~)_제2기 손익보정 내역(05.4.1~06.3.31)_name of fund_name of fund_Template회사작성분 검토_PEF(2) 2 2" xfId="19286"/>
    <cellStyle name="-_04.10월 손익보정 내역(04.10.15~)_제2기 손익보정 내역(05.4.1~06.3.31)_name of fund_name of fund_Template회사작성분 검토_PEF(2) 3" xfId="19287"/>
    <cellStyle name="-_04.10월 손익보정 내역(04.10.15~)_제2기 손익보정 내역(05.4.1~06.3.31)_name of fund_name of fund_Template회사작성분 검토_PEF(2)_I2 6월 결산 검증서_복합대출상품_20101119" xfId="19288"/>
    <cellStyle name="-_04.10월 손익보정 내역(04.10.15~)_제2기 손익보정 내역(05.4.1~06.3.31)_name of fund_name of fund_Template회사작성분 검토_PEF(2)_I2 6월 결산 검증서_복합대출상품_20101119 2" xfId="19289"/>
    <cellStyle name="-_04.10월 손익보정 내역(04.10.15~)_제2기 손익보정 내역(05.4.1~06.3.31)_name of fund_name of fund_Template회사작성분 검토_PEF(2)_I2 6월 결산 검증서_복합대출상품_20101119 2 2" xfId="19290"/>
    <cellStyle name="-_04.10월 손익보정 내역(04.10.15~)_제2기 손익보정 내역(05.4.1~06.3.31)_name of fund_Template회사작성분 검토_PEF(2)" xfId="19291"/>
    <cellStyle name="-_04.10월 손익보정 내역(04.10.15~)_제2기 손익보정 내역(05.4.1~06.3.31)_name of fund_Template회사작성분 검토_PEF(2) 2" xfId="19292"/>
    <cellStyle name="-_04.10월 손익보정 내역(04.10.15~)_제2기 손익보정 내역(05.4.1~06.3.31)_name of fund_Template회사작성분 검토_PEF(2) 2 2" xfId="19293"/>
    <cellStyle name="-_04.10월 손익보정 내역(04.10.15~)_제2기 손익보정 내역(05.4.1~06.3.31)_name of fund_Template회사작성분 검토_PEF(2) 3" xfId="19294"/>
    <cellStyle name="-_04.10월 손익보정 내역(04.10.15~)_제2기 손익보정 내역(05.4.1~06.3.31)_name of fund_Template회사작성분 검토_PEF(2)_I2 6월 결산 검증서_복합대출상품_20101119" xfId="19295"/>
    <cellStyle name="-_04.10월 손익보정 내역(04.10.15~)_제2기 손익보정 내역(05.4.1~06.3.31)_name of fund_Template회사작성분 검토_PEF(2)_I2 6월 결산 검증서_복합대출상품_20101119 2" xfId="19296"/>
    <cellStyle name="-_04.10월 손익보정 내역(04.10.15~)_제2기 손익보정 내역(05.4.1~06.3.31)_name of fund_Template회사작성분 검토_PEF(2)_I2 6월 결산 검증서_복합대출상품_20101119 2 2" xfId="19297"/>
    <cellStyle name="-_04.10월 손익보정 내역(04.10.15~)_제2기 손익보정 내역(05.4.1~06.3.31)_SUN 입력용fund" xfId="19298"/>
    <cellStyle name="-_04.10월 손익보정 내역(04.10.15~)_제2기 손익보정 내역(05.4.1~06.3.31)_SUN 입력용fund 2" xfId="19299"/>
    <cellStyle name="-_04.10월 손익보정 내역(04.10.15~)_제2기 손익보정 내역(05.4.1~06.3.31)_SUN 입력용fund 2 2" xfId="19300"/>
    <cellStyle name="-_04.10월 손익보정 내역(04.10.15~)_제2기 손익보정 내역(05.4.1~06.3.31)_SUN 입력용fund 3" xfId="19301"/>
    <cellStyle name="-_04.10월 손익보정 내역(04.10.15~)_제2기 손익보정 내역(05.4.1~06.3.31)_SUN 입력용fund_I2 6월 결산 검증서_복합대출상품_20101119" xfId="19302"/>
    <cellStyle name="-_04.10월 손익보정 내역(04.10.15~)_제2기 손익보정 내역(05.4.1~06.3.31)_SUN 입력용fund_I2 6월 결산 검증서_복합대출상품_20101119 2" xfId="19303"/>
    <cellStyle name="-_04.10월 손익보정 내역(04.10.15~)_제2기 손익보정 내역(05.4.1~06.3.31)_SUN 입력용fund_I2 6월 결산 검증서_복합대출상품_20101119 2 2" xfId="19304"/>
    <cellStyle name="-_04.10월 손익보정 내역(04.10.15~)_제2기 손익보정 내역(05.4.1~06.3.31)_SUN 입력용fund_name of fund" xfId="19305"/>
    <cellStyle name="-_04.10월 손익보정 내역(04.10.15~)_제2기 손익보정 내역(05.4.1~06.3.31)_SUN 입력용fund_name of fund 2" xfId="19306"/>
    <cellStyle name="-_04.10월 손익보정 내역(04.10.15~)_제2기 손익보정 내역(05.4.1~06.3.31)_SUN 입력용fund_name of fund 2 2" xfId="19307"/>
    <cellStyle name="-_04.10월 손익보정 내역(04.10.15~)_제2기 손익보정 내역(05.4.1~06.3.31)_SUN 입력용fund_name of fund 3" xfId="19308"/>
    <cellStyle name="-_04.10월 손익보정 내역(04.10.15~)_제2기 손익보정 내역(05.4.1~06.3.31)_SUN 입력용fund_name of fund_I2 6월 결산 검증서_복합대출상품_20101119" xfId="19309"/>
    <cellStyle name="-_04.10월 손익보정 내역(04.10.15~)_제2기 손익보정 내역(05.4.1~06.3.31)_SUN 입력용fund_name of fund_I2 6월 결산 검증서_복합대출상품_20101119 2" xfId="19310"/>
    <cellStyle name="-_04.10월 손익보정 내역(04.10.15~)_제2기 손익보정 내역(05.4.1~06.3.31)_SUN 입력용fund_name of fund_I2 6월 결산 검증서_복합대출상품_20101119 2 2" xfId="19311"/>
    <cellStyle name="-_04.10월 손익보정 내역(04.10.15~)_제2기 손익보정 내역(05.4.1~06.3.31)_SUN 입력용fund_name of fund_Template회사작성분 검토_PEF(2)" xfId="19312"/>
    <cellStyle name="-_04.10월 손익보정 내역(04.10.15~)_제2기 손익보정 내역(05.4.1~06.3.31)_SUN 입력용fund_name of fund_Template회사작성분 검토_PEF(2) 2" xfId="19313"/>
    <cellStyle name="-_04.10월 손익보정 내역(04.10.15~)_제2기 손익보정 내역(05.4.1~06.3.31)_SUN 입력용fund_name of fund_Template회사작성분 검토_PEF(2) 2 2" xfId="19314"/>
    <cellStyle name="-_04.10월 손익보정 내역(04.10.15~)_제2기 손익보정 내역(05.4.1~06.3.31)_SUN 입력용fund_name of fund_Template회사작성분 검토_PEF(2) 3" xfId="19315"/>
    <cellStyle name="-_04.10월 손익보정 내역(04.10.15~)_제2기 손익보정 내역(05.4.1~06.3.31)_SUN 입력용fund_name of fund_Template회사작성분 검토_PEF(2)_I2 6월 결산 검증서_복합대출상품_20101119" xfId="19316"/>
    <cellStyle name="-_04.10월 손익보정 내역(04.10.15~)_제2기 손익보정 내역(05.4.1~06.3.31)_SUN 입력용fund_name of fund_Template회사작성분 검토_PEF(2)_I2 6월 결산 검증서_복합대출상품_20101119 2" xfId="19317"/>
    <cellStyle name="-_04.10월 손익보정 내역(04.10.15~)_제2기 손익보정 내역(05.4.1~06.3.31)_SUN 입력용fund_name of fund_Template회사작성분 검토_PEF(2)_I2 6월 결산 검증서_복합대출상품_20101119 2 2" xfId="19318"/>
    <cellStyle name="-_04.10월 손익보정 내역(04.10.15~)_제2기 손익보정 내역(05.4.1~06.3.31)_SUN 입력용fund_Template회사작성분 검토_PEF(2)" xfId="19319"/>
    <cellStyle name="-_04.10월 손익보정 내역(04.10.15~)_제2기 손익보정 내역(05.4.1~06.3.31)_SUN 입력용fund_Template회사작성분 검토_PEF(2) 2" xfId="19320"/>
    <cellStyle name="-_04.10월 손익보정 내역(04.10.15~)_제2기 손익보정 내역(05.4.1~06.3.31)_SUN 입력용fund_Template회사작성분 검토_PEF(2) 2 2" xfId="19321"/>
    <cellStyle name="-_04.10월 손익보정 내역(04.10.15~)_제2기 손익보정 내역(05.4.1~06.3.31)_SUN 입력용fund_Template회사작성분 검토_PEF(2) 3" xfId="19322"/>
    <cellStyle name="-_04.10월 손익보정 내역(04.10.15~)_제2기 손익보정 내역(05.4.1~06.3.31)_SUN 입력용fund_Template회사작성분 검토_PEF(2)_I2 6월 결산 검증서_복합대출상품_20101119" xfId="19323"/>
    <cellStyle name="-_04.10월 손익보정 내역(04.10.15~)_제2기 손익보정 내역(05.4.1~06.3.31)_SUN 입력용fund_Template회사작성분 검토_PEF(2)_I2 6월 결산 검증서_복합대출상품_20101119 2" xfId="19324"/>
    <cellStyle name="-_04.10월 손익보정 내역(04.10.15~)_제2기 손익보정 내역(05.4.1~06.3.31)_SUN 입력용fund_Template회사작성분 검토_PEF(2)_I2 6월 결산 검증서_복합대출상품_20101119 2 2" xfId="19325"/>
    <cellStyle name="-_04.10월 손익보정 내역(04.10.15~)_제2기 손익보정 내역(05.4.1~06.3.31)_Template회사작성분 검토_PEF(2)" xfId="19326"/>
    <cellStyle name="-_04.10월 손익보정 내역(04.10.15~)_제2기 손익보정 내역(05.4.1~06.3.31)_Template회사작성분 검토_PEF(2) 2" xfId="19327"/>
    <cellStyle name="-_04.10월 손익보정 내역(04.10.15~)_제2기 손익보정 내역(05.4.1~06.3.31)_Template회사작성분 검토_PEF(2) 2 2" xfId="19328"/>
    <cellStyle name="-_04.10월 손익보정 내역(04.10.15~)_제2기 손익보정 내역(05.4.1~06.3.31)_Template회사작성분 검토_PEF(2) 3" xfId="19329"/>
    <cellStyle name="-_04.10월 손익보정 내역(04.10.15~)_제2기 손익보정 내역(05.4.1~06.3.31)_Template회사작성분 검토_PEF(2)_I2 6월 결산 검증서_복합대출상품_20101119" xfId="19330"/>
    <cellStyle name="-_04.10월 손익보정 내역(04.10.15~)_제2기 손익보정 내역(05.4.1~06.3.31)_Template회사작성분 검토_PEF(2)_I2 6월 결산 검증서_복합대출상품_20101119 2" xfId="19331"/>
    <cellStyle name="-_04.10월 손익보정 내역(04.10.15~)_제2기 손익보정 내역(05.4.1~06.3.31)_Template회사작성분 검토_PEF(2)_I2 6월 결산 검증서_복합대출상품_20101119 2 2" xfId="19332"/>
    <cellStyle name="_04년 결산정리사항(0325-손장호)" xfId="19333"/>
    <cellStyle name="_04년결산서(총괄)" xfId="6062"/>
    <cellStyle name="_05 건축-인테리어(상업)공내역" xfId="6063"/>
    <cellStyle name="_050222_가실행(고대구로병원)(최종1)" xfId="6064"/>
    <cellStyle name="_050413_가실행(탑승동A)" xfId="6065"/>
    <cellStyle name="_0514회의확정자료" xfId="6066"/>
    <cellStyle name="_05년재무제표(회계감사용)" xfId="6067"/>
    <cellStyle name="_0609 해외여신잔액" xfId="70"/>
    <cellStyle name="_0609 해외여신잔액 2" xfId="6068"/>
    <cellStyle name="_0609 해외여신잔액 3" xfId="6069"/>
    <cellStyle name="_060kimsf" xfId="19334"/>
    <cellStyle name="_0618SDS" xfId="6070"/>
    <cellStyle name="_062Kimsf" xfId="19335"/>
    <cellStyle name="_06ims" xfId="19336"/>
    <cellStyle name="_072Kimsf" xfId="19337"/>
    <cellStyle name="_07IMS" xfId="19338"/>
    <cellStyle name="_08_3Q_A840 Job-Assignment_KE" xfId="19339"/>
    <cellStyle name="_08_3Q_A840 Job-Assignment_KE_I2 6월 결산 검증서_복합대출상품_20101119" xfId="19340"/>
    <cellStyle name="_08_공지_영업본부편성상세" xfId="71"/>
    <cellStyle name="_08_공지_영업본부편성상세 2" xfId="6071"/>
    <cellStyle name="_08_공지_영업본부편성상세 3" xfId="6072"/>
    <cellStyle name="_08-가실행내역" xfId="6073"/>
    <cellStyle name="_08년12월 18일결산자료-(주)세영" xfId="6074"/>
    <cellStyle name="_08년12월말 결산자료-(주)세영 확정" xfId="6075"/>
    <cellStyle name="_0901작업1-금액분리" xfId="6076"/>
    <cellStyle name="_1. 삼성동 실행 030225(조적추가)" xfId="6077"/>
    <cellStyle name="_1. 삼성동 실행(030329)" xfId="6078"/>
    <cellStyle name="_1. 송도신도시현장관리비전순일검토" xfId="6079"/>
    <cellStyle name="_1.2차구조조정_20090630_v1.0(완료)" xfId="72"/>
    <cellStyle name="_1.2차구조조정_20090630_v1.0(완료) 2" xfId="6080"/>
    <cellStyle name="_1.2차구조조정_20090630_v1.0(완료) 3" xfId="6081"/>
    <cellStyle name="_1.IBK-IFRS-통합테스트2차(개시BS)-개시BS산출_(CATUS)_v1.0(090930)@20091030" xfId="19341"/>
    <cellStyle name="_1.시스팩_산업은행 (05.15)" xfId="6082"/>
    <cellStyle name="_1.업추자료" xfId="73"/>
    <cellStyle name="_1.정원엔_삼성SDS(040511)_rp5470_ML350G3_견적서2" xfId="6083"/>
    <cellStyle name="-_1.창업관련 회계처리" xfId="19342"/>
    <cellStyle name="-_1.창업관련 회계처리 2" xfId="19343"/>
    <cellStyle name="-_1.창업관련 회계처리 2 2" xfId="19344"/>
    <cellStyle name="-_1.창업관련 회계처리 3" xfId="19345"/>
    <cellStyle name="-_1.창업관련 회계처리_I2 6월 결산 검증서_복합대출상품_20101119" xfId="19346"/>
    <cellStyle name="-_1.창업관련 회계처리_I2 6월 결산 검증서_복합대출상품_20101119 2" xfId="19347"/>
    <cellStyle name="-_1.창업관련 회계처리_I2 6월 결산 검증서_복합대출상품_20101119 2 2" xfId="19348"/>
    <cellStyle name="-_1.창업관련 회계처리_Template회사작성분 검토_PEF(2)" xfId="19349"/>
    <cellStyle name="-_1.창업관련 회계처리_Template회사작성분 검토_PEF(2) 2" xfId="19350"/>
    <cellStyle name="-_1.창업관련 회계처리_Template회사작성분 검토_PEF(2) 2 2" xfId="19351"/>
    <cellStyle name="-_1.창업관련 회계처리_Template회사작성분 검토_PEF(2) 3" xfId="19352"/>
    <cellStyle name="-_1.창업관련 회계처리_Template회사작성분 검토_PEF(2)_I2 6월 결산 검증서_복합대출상품_20101119" xfId="19353"/>
    <cellStyle name="-_1.창업관련 회계처리_Template회사작성분 검토_PEF(2)_I2 6월 결산 검증서_복합대출상품_20101119 2" xfId="19354"/>
    <cellStyle name="-_1.창업관련 회계처리_Template회사작성분 검토_PEF(2)_I2 6월 결산 검증서_복합대출상품_20101119 2 2" xfId="19355"/>
    <cellStyle name="_1_multipart_x005f_xF8FF_2_03년 임투세액공제 자료.xls" xfId="19356"/>
    <cellStyle name="_10상증법평가_Lotte Shopping Rus Ltd_2" xfId="25517"/>
    <cellStyle name="_1144-Halongbay-Legrand" xfId="6084"/>
    <cellStyle name="_1144-Halongbay-Legrand separate 30-10-06" xfId="6085"/>
    <cellStyle name="_12월말계정명세sum" xfId="25518"/>
    <cellStyle name="_1-4분기업평점수(구신한,시너지,적립식자동이체)(1)" xfId="74"/>
    <cellStyle name="_1-4분기업평점수(구신한,시너지,적립식자동이체)(1) 2" xfId="6086"/>
    <cellStyle name="_1-4분기업평점수(구신한,시너지,적립식자동이체)(1) 3" xfId="6087"/>
    <cellStyle name="_1610  Parbs &amp; Parpl" xfId="19357"/>
    <cellStyle name="_175기3분기주석(통합은행)" xfId="75"/>
    <cellStyle name="_175기3분기주석(통합은행) 2" xfId="6088"/>
    <cellStyle name="_175기3분기주석(통합은행) 3" xfId="6089"/>
    <cellStyle name="_175기주석(양식)" xfId="76"/>
    <cellStyle name="_175기주석(양식) 2" xfId="6090"/>
    <cellStyle name="_175기주석(양식) 3" xfId="6091"/>
    <cellStyle name="_19기 계정명세서(황금)-2차 수정" xfId="6092"/>
    <cellStyle name="_1월말 업체별 파생평가값" xfId="6093"/>
    <cellStyle name="_2. 2009.7월말 전체업체 선물환 잔액 및 평가값_제출(수정후)" xfId="6094"/>
    <cellStyle name="_2. 서초동 오피스 개략(실행) 원본" xfId="6095"/>
    <cellStyle name="_2000TOOLS&amp;DIE" xfId="19358"/>
    <cellStyle name="_2000TOOLS&amp;DIE_2002년 DDPI 종합 - 8.11 본사" xfId="19359"/>
    <cellStyle name="_2000년 가결산.12.12일본사 집계xls" xfId="19360"/>
    <cellStyle name="_2000년 사업실적" xfId="6096"/>
    <cellStyle name="_2000년 현지인 성과급" xfId="19361"/>
    <cellStyle name="_2000년 현지인 성과급-1차확정" xfId="19362"/>
    <cellStyle name="_2000년 현지인 성과급-2XLS" xfId="19363"/>
    <cellStyle name="_2000사업계획" xfId="19364"/>
    <cellStyle name="_2000사업계획서종합3" xfId="19365"/>
    <cellStyle name="_2000사업계획서종합3 2" xfId="19366"/>
    <cellStyle name="_2000사업계획서종합3 2 2" xfId="19367"/>
    <cellStyle name="_2000사업계획서종합3 3" xfId="19368"/>
    <cellStyle name="_2000현지인급여인상세부2-최종-임의조정2" xfId="19369"/>
    <cellStyle name="_2001_링스텍_FS" xfId="6097"/>
    <cellStyle name="_2001_링스텍_FS_서원양행-2002 FS - 양애리" xfId="6098"/>
    <cellStyle name="_2001년 10월 관리 계획 종합" xfId="19370"/>
    <cellStyle name="_2001년 12월말현재퇴직충당금" xfId="6099"/>
    <cellStyle name="_2001년 8월 관리 계획 종합" xfId="19371"/>
    <cellStyle name="_2001년 8월 전기 요금 예상" xfId="19372"/>
    <cellStyle name="_2001년 9월 관리 계획 종합" xfId="19373"/>
    <cellStyle name="_2001년 가결산.2001.12.17 본사 " xfId="19374"/>
    <cellStyle name="_2001년 가결산.2002.01.22 본사 " xfId="19375"/>
    <cellStyle name="_2001년 업무실적" xfId="6100"/>
    <cellStyle name="_2001년 원가 절감-관리 종합" xfId="19376"/>
    <cellStyle name="_2001년 주재원 급여 조정-본사" xfId="19377"/>
    <cellStyle name="_2001년 주재원 급여 조정-본사 확정xls" xfId="19378"/>
    <cellStyle name="_2001년 주재원수당조정" xfId="19379"/>
    <cellStyle name="_2001년 현지인 성과급 지급(안)" xfId="19380"/>
    <cellStyle name="_2001년사업계획.2001.07.13-김이사 하반기" xfId="19381"/>
    <cellStyle name="_2001년수립지침" xfId="19382"/>
    <cellStyle name="_2001전북도청 실행예산" xfId="6101"/>
    <cellStyle name="_2002_반기검토-삼건베리클" xfId="6102"/>
    <cellStyle name="_20021231final_030216" xfId="19383"/>
    <cellStyle name="_2002년 DDPI 종합 - 8.11 본사" xfId="19384"/>
    <cellStyle name="_2002년 사업계획-하반기" xfId="19385"/>
    <cellStyle name="_2002년 상반기 결산" xfId="19386"/>
    <cellStyle name="_2002년 상반기 결산 - 2" xfId="19387"/>
    <cellStyle name="_2002년 업무팀 정보제공 평가표(1)" xfId="25519"/>
    <cellStyle name="_2002년 재무제표(주총)_3" xfId="25520"/>
    <cellStyle name="_2002년 주재원 급여 조정" xfId="19388"/>
    <cellStyle name="_2002년 주재원수당조정-2002.1.15" xfId="19389"/>
    <cellStyle name="_2002년5월결산보고" xfId="25521"/>
    <cellStyle name="_2002년말이자비용(보고용삭제)" xfId="25522"/>
    <cellStyle name="_2002년사전원가계산서-20020925" xfId="6103"/>
    <cellStyle name="_2002년사전원가계산서-20020925_090601_인원계획_V1.0(제출용포함)" xfId="6104"/>
    <cellStyle name="_2002년사전원가계산서-20020925_090602_인원계획_V1.1(제출용포함)" xfId="6105"/>
    <cellStyle name="_2002년사전원가계산서-20020925_090602_인원계획_V1.2(제출용포함)_ybokseo" xfId="6106"/>
    <cellStyle name="_2002년사전원가계산서-20020925_090603_인원계획_V1.4(제출용포함)" xfId="6107"/>
    <cellStyle name="_2002년사전원가계산서-20020925_pwc_인력투입실적표(4월까지)_제출본" xfId="6108"/>
    <cellStyle name="_2002년사전원가계산서-20020925_pwc_인력투입실적표(4월까지)_제출본_090601_인원계획_V1.0(제출용포함)" xfId="6109"/>
    <cellStyle name="_2002년사전원가계산서-20020925_pwc_인력투입실적표(4월까지)_제출본_090602_인원계획_V1.1(제출용포함)" xfId="6110"/>
    <cellStyle name="_2002년사전원가계산서-20020925_pwc_인력투입실적표(4월까지)_제출본_090602_인원계획_V1.2(제출용포함)_ybokseo" xfId="6111"/>
    <cellStyle name="_2002년사전원가계산서-20020925_pwc_인력투입실적표(4월까지)_제출본_090603_인원계획_V1.4(제출용포함)" xfId="6112"/>
    <cellStyle name="_2002년사전원가계산서-배포용(최종)" xfId="6113"/>
    <cellStyle name="_2002년사전원가계산서-배포용(최종)_090601_인원계획_V1.0(제출용포함)" xfId="6114"/>
    <cellStyle name="_2002년사전원가계산서-배포용(최종)_090602_인원계획_V1.1(제출용포함)" xfId="6115"/>
    <cellStyle name="_2002년사전원가계산서-배포용(최종)_090602_인원계획_V1.2(제출용포함)_ybokseo" xfId="6116"/>
    <cellStyle name="_2002년사전원가계산서-배포용(최종)_090603_인원계획_V1.4(제출용포함)" xfId="6117"/>
    <cellStyle name="_2002년사전원가계산서-배포용(최종)_pwc_인력투입실적표(4월까지)_제출본" xfId="6118"/>
    <cellStyle name="_2002년사전원가계산서-배포용(최종)_pwc_인력투입실적표(4월까지)_제출본_090601_인원계획_V1.0(제출용포함)" xfId="6119"/>
    <cellStyle name="_2002년사전원가계산서-배포용(최종)_pwc_인력투입실적표(4월까지)_제출본_090602_인원계획_V1.1(제출용포함)" xfId="6120"/>
    <cellStyle name="_2002년사전원가계산서-배포용(최종)_pwc_인력투입실적표(4월까지)_제출본_090602_인원계획_V1.2(제출용포함)_ybokseo" xfId="6121"/>
    <cellStyle name="_2002년사전원가계산서-배포용(최종)_pwc_인력투입실적표(4월까지)_제출본_090603_인원계획_V1.4(제출용포함)" xfId="6122"/>
    <cellStyle name="_2002년유류대지급내역" xfId="6123"/>
    <cellStyle name="_2002반기-네오바이오텍" xfId="6124"/>
    <cellStyle name="_2002반기-네오바이오텍(정준형)" xfId="6125"/>
    <cellStyle name="_2003 6월 재무제표(4)" xfId="25523"/>
    <cellStyle name="_2003.3_4분기_경영관리팀_82~83_제출_현호씨" xfId="77"/>
    <cellStyle name="_2003.3_4분기_경영관리팀_82~83_제출_현호씨 2" xfId="6126"/>
    <cellStyle name="_2003.3_4분기_경영관리팀_82~83_제출_현호씨 3" xfId="6127"/>
    <cellStyle name="_2003.3_4분기_경영관리팀_할부금융,비용" xfId="78"/>
    <cellStyle name="_2003.3_4분기_경영관리팀_할부금융,비용 2" xfId="6128"/>
    <cellStyle name="_2003.3_4분기_경영관리팀_할부금융,비용 3" xfId="6129"/>
    <cellStyle name="_2003.4_4분기_경영관리팀(김기배대리)" xfId="79"/>
    <cellStyle name="_2003.4_4분기_경영관리팀(김기배대리) 2" xfId="6130"/>
    <cellStyle name="_2003.4_4분기_경영관리팀(김기배대리) 3" xfId="6131"/>
    <cellStyle name="_2003.4_4분기_경영관리팀(김기배대리)_20040316" xfId="80"/>
    <cellStyle name="_2003.4_4분기_경영관리팀(김기배대리)_20040316 2" xfId="6132"/>
    <cellStyle name="_2003.4_4분기_경영관리팀(김기배대리)_20040316 3" xfId="6133"/>
    <cellStyle name="_2003.6월 정산표및재무제표" xfId="6134"/>
    <cellStyle name="_200301월청구내역1" xfId="6135"/>
    <cellStyle name="_200301월청구내역1_090601_인원계획_V1.0(제출용포함)" xfId="6136"/>
    <cellStyle name="_200301월청구내역1_090602_인원계획_V1.1(제출용포함)" xfId="6137"/>
    <cellStyle name="_200301월청구내역1_090602_인원계획_V1.2(제출용포함)_ybokseo" xfId="6138"/>
    <cellStyle name="_200301월청구내역1_090603_인원계획_V1.4(제출용포함)" xfId="6139"/>
    <cellStyle name="_200301월청구내역1_pwc_인력투입실적표(4월까지)_제출본" xfId="6140"/>
    <cellStyle name="_200301월청구내역1_pwc_인력투입실적표(4월까지)_제출본_090601_인원계획_V1.0(제출용포함)" xfId="6141"/>
    <cellStyle name="_200301월청구내역1_pwc_인력투입실적표(4월까지)_제출본_090602_인원계획_V1.1(제출용포함)" xfId="6142"/>
    <cellStyle name="_200301월청구내역1_pwc_인력투입실적표(4월까지)_제출본_090602_인원계획_V1.2(제출용포함)_ybokseo" xfId="6143"/>
    <cellStyle name="_200301월청구내역1_pwc_인력투입실적표(4월까지)_제출본_090603_인원계획_V1.4(제출용포함)" xfId="6144"/>
    <cellStyle name="_200302월청구내역1" xfId="6145"/>
    <cellStyle name="_200302월청구내역1_090601_인원계획_V1.0(제출용포함)" xfId="6146"/>
    <cellStyle name="_200302월청구내역1_090602_인원계획_V1.1(제출용포함)" xfId="6147"/>
    <cellStyle name="_200302월청구내역1_090602_인원계획_V1.2(제출용포함)_ybokseo" xfId="6148"/>
    <cellStyle name="_200302월청구내역1_090603_인원계획_V1.4(제출용포함)" xfId="6149"/>
    <cellStyle name="_200302월청구내역1_pwc_인력투입실적표(4월까지)_제출본" xfId="6150"/>
    <cellStyle name="_200302월청구내역1_pwc_인력투입실적표(4월까지)_제출본_090601_인원계획_V1.0(제출용포함)" xfId="6151"/>
    <cellStyle name="_200302월청구내역1_pwc_인력투입실적표(4월까지)_제출본_090602_인원계획_V1.1(제출용포함)" xfId="6152"/>
    <cellStyle name="_200302월청구내역1_pwc_인력투입실적표(4월까지)_제출본_090602_인원계획_V1.2(제출용포함)_ybokseo" xfId="6153"/>
    <cellStyle name="_200302월청구내역1_pwc_인력투입실적표(4월까지)_제출본_090603_인원계획_V1.4(제출용포함)" xfId="6154"/>
    <cellStyle name="_200303월청구내역1" xfId="6155"/>
    <cellStyle name="_200303월청구내역1_090601_인원계획_V1.0(제출용포함)" xfId="6156"/>
    <cellStyle name="_200303월청구내역1_090602_인원계획_V1.1(제출용포함)" xfId="6157"/>
    <cellStyle name="_200303월청구내역1_090602_인원계획_V1.2(제출용포함)_ybokseo" xfId="6158"/>
    <cellStyle name="_200303월청구내역1_090603_인원계획_V1.4(제출용포함)" xfId="6159"/>
    <cellStyle name="_200303월청구내역1_pwc_인력투입실적표(4월까지)_제출본" xfId="6160"/>
    <cellStyle name="_200303월청구내역1_pwc_인력투입실적표(4월까지)_제출본_090601_인원계획_V1.0(제출용포함)" xfId="6161"/>
    <cellStyle name="_200303월청구내역1_pwc_인력투입실적표(4월까지)_제출본_090602_인원계획_V1.1(제출용포함)" xfId="6162"/>
    <cellStyle name="_200303월청구내역1_pwc_인력투입실적표(4월까지)_제출본_090602_인원계획_V1.2(제출용포함)_ybokseo" xfId="6163"/>
    <cellStyle name="_200303월청구내역1_pwc_인력투입실적표(4월까지)_제출본_090603_인원계획_V1.4(제출용포함)" xfId="6164"/>
    <cellStyle name="_200304월청구내역1" xfId="6165"/>
    <cellStyle name="_200304월청구내역1_090601_인원계획_V1.0(제출용포함)" xfId="6166"/>
    <cellStyle name="_200304월청구내역1_090602_인원계획_V1.1(제출용포함)" xfId="6167"/>
    <cellStyle name="_200304월청구내역1_090602_인원계획_V1.2(제출용포함)_ybokseo" xfId="6168"/>
    <cellStyle name="_200304월청구내역1_090603_인원계획_V1.4(제출용포함)" xfId="6169"/>
    <cellStyle name="_200304월청구내역1_pwc_인력투입실적표(4월까지)_제출본" xfId="6170"/>
    <cellStyle name="_200304월청구내역1_pwc_인력투입실적표(4월까지)_제출본_090601_인원계획_V1.0(제출용포함)" xfId="6171"/>
    <cellStyle name="_200304월청구내역1_pwc_인력투입실적표(4월까지)_제출본_090602_인원계획_V1.1(제출용포함)" xfId="6172"/>
    <cellStyle name="_200304월청구내역1_pwc_인력투입실적표(4월까지)_제출본_090602_인원계획_V1.2(제출용포함)_ybokseo" xfId="6173"/>
    <cellStyle name="_200304월청구내역1_pwc_인력투입실적표(4월까지)_제출본_090603_인원계획_V1.4(제출용포함)" xfId="6174"/>
    <cellStyle name="_200305월청구내역1" xfId="6175"/>
    <cellStyle name="_200305월청구내역1_090601_인원계획_V1.0(제출용포함)" xfId="6176"/>
    <cellStyle name="_200305월청구내역1_090602_인원계획_V1.1(제출용포함)" xfId="6177"/>
    <cellStyle name="_200305월청구내역1_090602_인원계획_V1.2(제출용포함)_ybokseo" xfId="6178"/>
    <cellStyle name="_200305월청구내역1_090603_인원계획_V1.4(제출용포함)" xfId="6179"/>
    <cellStyle name="_200305월청구내역1_pwc_인력투입실적표(4월까지)_제출본" xfId="6180"/>
    <cellStyle name="_200305월청구내역1_pwc_인력투입실적표(4월까지)_제출본_090601_인원계획_V1.0(제출용포함)" xfId="6181"/>
    <cellStyle name="_200305월청구내역1_pwc_인력투입실적표(4월까지)_제출본_090602_인원계획_V1.1(제출용포함)" xfId="6182"/>
    <cellStyle name="_200305월청구내역1_pwc_인력투입실적표(4월까지)_제출본_090602_인원계획_V1.2(제출용포함)_ybokseo" xfId="6183"/>
    <cellStyle name="_200305월청구내역1_pwc_인력투입실적표(4월까지)_제출본_090603_인원계획_V1.4(제출용포함)" xfId="6184"/>
    <cellStyle name="_200306월청구내역1" xfId="6185"/>
    <cellStyle name="_200306월청구내역1_090601_인원계획_V1.0(제출용포함)" xfId="6186"/>
    <cellStyle name="_200306월청구내역1_090602_인원계획_V1.1(제출용포함)" xfId="6187"/>
    <cellStyle name="_200306월청구내역1_090602_인원계획_V1.2(제출용포함)_ybokseo" xfId="6188"/>
    <cellStyle name="_200306월청구내역1_090603_인원계획_V1.4(제출용포함)" xfId="6189"/>
    <cellStyle name="_200306월청구내역1_pwc_인력투입실적표(4월까지)_제출본" xfId="6190"/>
    <cellStyle name="_200306월청구내역1_pwc_인력투입실적표(4월까지)_제출본_090601_인원계획_V1.0(제출용포함)" xfId="6191"/>
    <cellStyle name="_200306월청구내역1_pwc_인력투입실적표(4월까지)_제출본_090602_인원계획_V1.1(제출용포함)" xfId="6192"/>
    <cellStyle name="_200306월청구내역1_pwc_인력투입실적표(4월까지)_제출본_090602_인원계획_V1.2(제출용포함)_ybokseo" xfId="6193"/>
    <cellStyle name="_200306월청구내역1_pwc_인력투입실적표(4월까지)_제출본_090603_인원계획_V1.4(제출용포함)" xfId="6194"/>
    <cellStyle name="_200307월청구내역1" xfId="6195"/>
    <cellStyle name="_200307월청구내역1_090601_인원계획_V1.0(제출용포함)" xfId="6196"/>
    <cellStyle name="_200307월청구내역1_090602_인원계획_V1.1(제출용포함)" xfId="6197"/>
    <cellStyle name="_200307월청구내역1_090602_인원계획_V1.2(제출용포함)_ybokseo" xfId="6198"/>
    <cellStyle name="_200307월청구내역1_090603_인원계획_V1.4(제출용포함)" xfId="6199"/>
    <cellStyle name="_200307월청구내역1_pwc_인력투입실적표(4월까지)_제출본" xfId="6200"/>
    <cellStyle name="_200307월청구내역1_pwc_인력투입실적표(4월까지)_제출본_090601_인원계획_V1.0(제출용포함)" xfId="6201"/>
    <cellStyle name="_200307월청구내역1_pwc_인력투입실적표(4월까지)_제출본_090602_인원계획_V1.1(제출용포함)" xfId="6202"/>
    <cellStyle name="_200307월청구내역1_pwc_인력투입실적표(4월까지)_제출본_090602_인원계획_V1.2(제출용포함)_ybokseo" xfId="6203"/>
    <cellStyle name="_200307월청구내역1_pwc_인력투입실적표(4월까지)_제출본_090603_인원계획_V1.4(제출용포함)" xfId="6204"/>
    <cellStyle name="_20030807-TGIF견적" xfId="6205"/>
    <cellStyle name="_200308월청구내역1" xfId="6206"/>
    <cellStyle name="_200308월청구내역1_090601_인원계획_V1.0(제출용포함)" xfId="6207"/>
    <cellStyle name="_200308월청구내역1_090602_인원계획_V1.1(제출용포함)" xfId="6208"/>
    <cellStyle name="_200308월청구내역1_090602_인원계획_V1.2(제출용포함)_ybokseo" xfId="6209"/>
    <cellStyle name="_200308월청구내역1_090603_인원계획_V1.4(제출용포함)" xfId="6210"/>
    <cellStyle name="_200308월청구내역1_pwc_인력투입실적표(4월까지)_제출본" xfId="6211"/>
    <cellStyle name="_200308월청구내역1_pwc_인력투입실적표(4월까지)_제출본_090601_인원계획_V1.0(제출용포함)" xfId="6212"/>
    <cellStyle name="_200308월청구내역1_pwc_인력투입실적표(4월까지)_제출본_090602_인원계획_V1.1(제출용포함)" xfId="6213"/>
    <cellStyle name="_200308월청구내역1_pwc_인력투입실적표(4월까지)_제출본_090602_인원계획_V1.2(제출용포함)_ybokseo" xfId="6214"/>
    <cellStyle name="_200308월청구내역1_pwc_인력투입실적표(4월까지)_제출본_090603_인원계획_V1.4(제출용포함)" xfId="6215"/>
    <cellStyle name="_200309월청구내역1" xfId="6216"/>
    <cellStyle name="_200309월청구내역1_090601_인원계획_V1.0(제출용포함)" xfId="6217"/>
    <cellStyle name="_200309월청구내역1_090602_인원계획_V1.1(제출용포함)" xfId="6218"/>
    <cellStyle name="_200309월청구내역1_090602_인원계획_V1.2(제출용포함)_ybokseo" xfId="6219"/>
    <cellStyle name="_200309월청구내역1_090603_인원계획_V1.4(제출용포함)" xfId="6220"/>
    <cellStyle name="_200309월청구내역1_pwc_인력투입실적표(4월까지)_제출본" xfId="6221"/>
    <cellStyle name="_200309월청구내역1_pwc_인력투입실적표(4월까지)_제출본_090601_인원계획_V1.0(제출용포함)" xfId="6222"/>
    <cellStyle name="_200309월청구내역1_pwc_인력투입실적표(4월까지)_제출본_090602_인원계획_V1.1(제출용포함)" xfId="6223"/>
    <cellStyle name="_200309월청구내역1_pwc_인력투입실적표(4월까지)_제출본_090602_인원계획_V1.2(제출용포함)_ybokseo" xfId="6224"/>
    <cellStyle name="_200309월청구내역1_pwc_인력투입실적표(4월까지)_제출본_090603_인원계획_V1.4(제출용포함)" xfId="6225"/>
    <cellStyle name="_200310월청구내역1" xfId="6226"/>
    <cellStyle name="_200310월청구내역1_090601_인원계획_V1.0(제출용포함)" xfId="6227"/>
    <cellStyle name="_200310월청구내역1_090602_인원계획_V1.1(제출용포함)" xfId="6228"/>
    <cellStyle name="_200310월청구내역1_090602_인원계획_V1.2(제출용포함)_ybokseo" xfId="6229"/>
    <cellStyle name="_200310월청구내역1_090603_인원계획_V1.4(제출용포함)" xfId="6230"/>
    <cellStyle name="_200310월청구내역1_pwc_인력투입실적표(4월까지)_제출본" xfId="6231"/>
    <cellStyle name="_200310월청구내역1_pwc_인력투입실적표(4월까지)_제출본_090601_인원계획_V1.0(제출용포함)" xfId="6232"/>
    <cellStyle name="_200310월청구내역1_pwc_인력투입실적표(4월까지)_제출본_090602_인원계획_V1.1(제출용포함)" xfId="6233"/>
    <cellStyle name="_200310월청구내역1_pwc_인력투입실적표(4월까지)_제출본_090602_인원계획_V1.2(제출용포함)_ybokseo" xfId="6234"/>
    <cellStyle name="_200310월청구내역1_pwc_인력투입실적표(4월까지)_제출본_090603_인원계획_V1.4(제출용포함)" xfId="6235"/>
    <cellStyle name="_200311월청구내역1" xfId="6236"/>
    <cellStyle name="_200311월청구내역1_090601_인원계획_V1.0(제출용포함)" xfId="6237"/>
    <cellStyle name="_200311월청구내역1_090602_인원계획_V1.1(제출용포함)" xfId="6238"/>
    <cellStyle name="_200311월청구내역1_090602_인원계획_V1.2(제출용포함)_ybokseo" xfId="6239"/>
    <cellStyle name="_200311월청구내역1_090603_인원계획_V1.4(제출용포함)" xfId="6240"/>
    <cellStyle name="_200311월청구내역1_pwc_인력투입실적표(4월까지)_제출본" xfId="6241"/>
    <cellStyle name="_200311월청구내역1_pwc_인력투입실적표(4월까지)_제출본_090601_인원계획_V1.0(제출용포함)" xfId="6242"/>
    <cellStyle name="_200311월청구내역1_pwc_인력투입실적표(4월까지)_제출본_090602_인원계획_V1.1(제출용포함)" xfId="6243"/>
    <cellStyle name="_200311월청구내역1_pwc_인력투입실적표(4월까지)_제출본_090602_인원계획_V1.2(제출용포함)_ybokseo" xfId="6244"/>
    <cellStyle name="_200311월청구내역1_pwc_인력투입실적표(4월까지)_제출본_090603_인원계획_V1.4(제출용포함)" xfId="6245"/>
    <cellStyle name="_200312월청구내역1" xfId="6246"/>
    <cellStyle name="_200312월청구내역1_090601_인원계획_V1.0(제출용포함)" xfId="6247"/>
    <cellStyle name="_200312월청구내역1_090602_인원계획_V1.1(제출용포함)" xfId="6248"/>
    <cellStyle name="_200312월청구내역1_090602_인원계획_V1.2(제출용포함)_ybokseo" xfId="6249"/>
    <cellStyle name="_200312월청구내역1_090603_인원계획_V1.4(제출용포함)" xfId="6250"/>
    <cellStyle name="_200312월청구내역1_pwc_인력투입실적표(4월까지)_제출본" xfId="6251"/>
    <cellStyle name="_200312월청구내역1_pwc_인력투입실적표(4월까지)_제출본_090601_인원계획_V1.0(제출용포함)" xfId="6252"/>
    <cellStyle name="_200312월청구내역1_pwc_인력투입실적표(4월까지)_제출본_090602_인원계획_V1.1(제출용포함)" xfId="6253"/>
    <cellStyle name="_200312월청구내역1_pwc_인력투입실적표(4월까지)_제출본_090602_인원계획_V1.2(제출용포함)_ybokseo" xfId="6254"/>
    <cellStyle name="_200312월청구내역1_pwc_인력투입실적표(4월까지)_제출본_090603_인원계획_V1.4(제출용포함)" xfId="6255"/>
    <cellStyle name="_2003TR(grunpospump)" xfId="19390"/>
    <cellStyle name="_2003년 상반기전략회의 기획실 발표자료" xfId="6256"/>
    <cellStyle name="_2003년 하반기 업무팀 정보제공 평가" xfId="25524"/>
    <cellStyle name="_2003년5월재무제표(보고용)" xfId="25525"/>
    <cellStyle name="_2004 Hangangi-Lead(김기열)ver08" xfId="19391"/>
    <cellStyle name="_2004기말CTR검토사항" xfId="19392"/>
    <cellStyle name="_2004년전망-POS" xfId="6257"/>
    <cellStyle name="_20050623_개략견적(신내2지구)2nd" xfId="6258"/>
    <cellStyle name="_2005년회의일정별참석자현황-보고" xfId="6259"/>
    <cellStyle name="_2006녀 예상손실자료_최종" xfId="25526"/>
    <cellStyle name="_2006년 상반기 중소기업 총예금 추진실적게시용(3월 31일)" xfId="25527"/>
    <cellStyle name="_2007_12파생주석(스왑자료)" xfId="25528"/>
    <cellStyle name="_2007_12파생주석(스왑자료)_파생 현금흐름표(최종)" xfId="25529"/>
    <cellStyle name="_2007_12파생주석(스왑자료)_파생 현금흐름표(최종)_파생상품요청양식(080211)(1)_최종" xfId="25530"/>
    <cellStyle name="_2008년 예산편성액(FIS)_20080421" xfId="25531"/>
    <cellStyle name="_20090702133640734케이비제13차매각기표(최종확정)_최성우_FINAL" xfId="81"/>
    <cellStyle name="_2009년 10월말 통화옵션 잔액 및 평가값_완료" xfId="6260"/>
    <cellStyle name="_2010년1월 본부관리업체(기개본)_게시용" xfId="6261"/>
    <cellStyle name="_20110621_손익관련(순수매각기표_VER1)_성수" xfId="6262"/>
    <cellStyle name="_2011년 4분기 매각대상채권기표_20111216_Ver1" xfId="6263"/>
    <cellStyle name="-_20120703 6월 관리업체 게시용(고객식별자)" xfId="25532"/>
    <cellStyle name="-_20120709 ♣2012년 6월 관리채권v-1(파생제외)" xfId="25533"/>
    <cellStyle name="-_20120802 2012년 7월 관리업체(게시용)(1)" xfId="25534"/>
    <cellStyle name="_21년자금실적" xfId="6264"/>
    <cellStyle name="_2262 수정사항집계표" xfId="19393"/>
    <cellStyle name="_2Q말판관비" xfId="25535"/>
    <cellStyle name="_2기lead" xfId="6265"/>
    <cellStyle name="_2기리드" xfId="19394"/>
    <cellStyle name="-_2기분석조서" xfId="6266"/>
    <cellStyle name="-_2기분석조서_감사절차지시서-2003년1(1)" xfId="6267"/>
    <cellStyle name="-_2기분석조서_감사절차지시서-2003년1(1)_04년 중간(04.12.9)" xfId="6268"/>
    <cellStyle name="-_2기분석조서_감사절차지시서-2003년1(1)_interim(PAY ROLL)" xfId="6269"/>
    <cellStyle name="-_2기분석조서_감사절차지시서-2003년1(1)_interim-PAY ROLL" xfId="6270"/>
    <cellStyle name="-_2기분석조서_감사절차지시서-jonghari" xfId="6271"/>
    <cellStyle name="-_2기분석조서_감사절차지시서-jonghari_04년 중간(04.12.9)" xfId="6272"/>
    <cellStyle name="-_2기분석조서_감사절차지시서-jonghari_interim(PAY ROLL)" xfId="6273"/>
    <cellStyle name="-_2기분석조서_감사절차지시서-jonghari_interim-PAY ROLL" xfId="6274"/>
    <cellStyle name="-_2기분석조서_반도산업조서2003(용)" xfId="6275"/>
    <cellStyle name="-_2기분석조서_반도산업조서2003(용)_04년 중간(04.12.9)" xfId="6276"/>
    <cellStyle name="-_2기분석조서_반도산업조서2003(용)_interim(PAY ROLL)" xfId="6277"/>
    <cellStyle name="-_2기분석조서_반도산업조서2003(용)_interim-PAY ROLL" xfId="6278"/>
    <cellStyle name="-_2기분석조서_반도중간(04.11.30)" xfId="6279"/>
    <cellStyle name="-_2기분석조서_반도중간(04.11.30)_04년 중간(04.12.9)" xfId="6280"/>
    <cellStyle name="-_2기분석조서_반도중간(04.11.30)_interim(PAY ROLL)" xfId="6281"/>
    <cellStyle name="-_2기분석조서_반도중간(04.11.30)_interim-PAY ROLL" xfId="6282"/>
    <cellStyle name="-_2기분석조서_태성2003조서(이종하)" xfId="6283"/>
    <cellStyle name="-_2기분석조서_태성2003조서(이종하)_04년 중간(04.12.9)" xfId="6284"/>
    <cellStyle name="-_2기분석조서_태성2003조서(이종하)_interim(PAY ROLL)" xfId="6285"/>
    <cellStyle name="-_2기분석조서_태성2003조서(이종하)_interim-PAY ROLL" xfId="6286"/>
    <cellStyle name="_2라_자산건전성(051223)" xfId="82"/>
    <cellStyle name="_2라_자산건전성(051223) 2" xfId="6287"/>
    <cellStyle name="_2라_자산건전성(051223) 3" xfId="6288"/>
    <cellStyle name="_2마_수익성(061222)" xfId="83"/>
    <cellStyle name="_2마_수익성(061222) 2" xfId="6289"/>
    <cellStyle name="_2마_수익성(061222) 3" xfId="6290"/>
    <cellStyle name="_2상증법평가_Lotte Europe Holdings B.V" xfId="25536"/>
    <cellStyle name="_2월말 파생 손실현황" xfId="6291"/>
    <cellStyle name="_3(1). 2009년 9월말 통화옵션 잔액 및 평가값_완료" xfId="6292"/>
    <cellStyle name="_3. 인천간석동현장관리비전순일 분석" xfId="6293"/>
    <cellStyle name="_3Q말판관비" xfId="25537"/>
    <cellStyle name="_3Q인센티브한도" xfId="25538"/>
    <cellStyle name="_3Q재무제표(보고용)" xfId="25539"/>
    <cellStyle name="_3Q재무제표(보고용)_021028" xfId="25540"/>
    <cellStyle name="_3개년BP_Draft" xfId="19395"/>
    <cellStyle name="_3개년BP_최종(안)" xfId="19396"/>
    <cellStyle name="_3개년BP_최종(안)_예비비반영후" xfId="19397"/>
    <cellStyle name="_3분기 재무제표" xfId="19398"/>
    <cellStyle name="_3분기외주실적" xfId="6294"/>
    <cellStyle name="_3분기이자비용" xfId="25541"/>
    <cellStyle name="_4. 2009년 3월말 통화옵션 잔액 및 평가값_완료" xfId="6295"/>
    <cellStyle name="_4. 파주 변경 현장안20030128" xfId="6296"/>
    <cellStyle name="_4Q요약손익추정" xfId="25542"/>
    <cellStyle name="_4기 감사" xfId="19399"/>
    <cellStyle name="_4기 세무조정" xfId="19400"/>
    <cellStyle name="_4기리드" xfId="19401"/>
    <cellStyle name="_4분기명세_F_I(091115)" xfId="84"/>
    <cellStyle name="_4분기명세_F_I(091115) 2" xfId="85"/>
    <cellStyle name="_4분기명세_F_I(091115) 3" xfId="86"/>
    <cellStyle name="_4분기명세_F_I(091115)_~5999479" xfId="87"/>
    <cellStyle name="_4분기명세_F_I(091115)_~5999479 2" xfId="88"/>
    <cellStyle name="_4분기명세_F_I(091115)_~5999479 3" xfId="89"/>
    <cellStyle name="_4분기명세_F_I(091115)_Project O_Valuation(KAMCO)_v11.2" xfId="90"/>
    <cellStyle name="_4분기명세_F_I(091115)_Project O_Valuation(KAMCO)_v11.2 2" xfId="91"/>
    <cellStyle name="_4분기명세_F_I(091115)_Project O_Valuation(KAMCO)_v11.2 3" xfId="92"/>
    <cellStyle name="_4분기명세_F_I(091115)_Project O_Valuation(KAMCO기준)_091126v10_가압류추가" xfId="93"/>
    <cellStyle name="_4분기명세_F_I(091115)_Project O_Valuation(KAMCO기준)_091126v10_가압류추가 2" xfId="94"/>
    <cellStyle name="_4분기명세_F_I(091115)_Project O_Valuation(KAMCO기준)_091126v10_가압류추가 3" xfId="95"/>
    <cellStyle name="_4분기명세_F_I(091115)_Project O_Valuation(KAMCO기준)_091126v4" xfId="96"/>
    <cellStyle name="_4분기명세_F_I(091115)_Project O_Valuation(KAMCO기준)_091126v4 2" xfId="97"/>
    <cellStyle name="_4분기명세_F_I(091115)_Project O_Valuation(KAMCO기준)_091126v4 3" xfId="98"/>
    <cellStyle name="_4분기명세_F_I(091115)_Project O_Valuation(KAMCO기준)_091126v9" xfId="99"/>
    <cellStyle name="_4분기명세_F_I(091115)_Project O_Valuation(KAMCO기준)_091126v9 2" xfId="100"/>
    <cellStyle name="_4분기명세_F_I(091115)_Project O_Valuation(KAMCO기준)_091126v9 3" xfId="101"/>
    <cellStyle name="_4분기명세_F_I(091115)_Project O_Valuation_1124" xfId="102"/>
    <cellStyle name="_4분기명세_F_I(091115)_Project O_Valuation_1124 2" xfId="103"/>
    <cellStyle name="_4분기명세_F_I(091115)_Project O_Valuation_1124 3" xfId="104"/>
    <cellStyle name="_4분기명세_F_I(091115)_Project O_Valuation_1125_오후" xfId="105"/>
    <cellStyle name="_4분기명세_F_I(091115)_Project O_Valuation_1125_오후 2" xfId="106"/>
    <cellStyle name="_4분기명세_F_I(091115)_Project O_Valuation_1125_오후 3" xfId="107"/>
    <cellStyle name="_4분기명세_F_I(091115)_Project O_Valuation_1126_오전" xfId="108"/>
    <cellStyle name="_4분기명세_F_I(091115)_Project O_Valuation_1126_오전 2" xfId="109"/>
    <cellStyle name="_4분기명세_F_I(091115)_Project O_Valuation_1126_오전 3" xfId="110"/>
    <cellStyle name="_4분기명세_F_I(091115)_Project O_Valuation_1126_저녁" xfId="111"/>
    <cellStyle name="_4분기명세_F_I(091115)_Project O_Valuation_1126_저녁 2" xfId="112"/>
    <cellStyle name="_4분기명세_F_I(091115)_Project O_Valuation_1126_저녁 3" xfId="113"/>
    <cellStyle name="_4분기명세_F_I(091115)_Project O_Valuation_v1" xfId="114"/>
    <cellStyle name="_4분기명세_F_I(091115)_Project O_Valuation_v1 2" xfId="115"/>
    <cellStyle name="_4분기명세_F_I(091115)_Project O_Valuation_v1 3" xfId="116"/>
    <cellStyle name="_4분기명세_F_I(091115)_Project O_Valuation_v3.0" xfId="117"/>
    <cellStyle name="_4분기명세_F_I(091115)_Project O_Valuation_v3.0 2" xfId="118"/>
    <cellStyle name="_4분기명세_F_I(091115)_Project O_Valuation_v3.0 3" xfId="119"/>
    <cellStyle name="_4분기명세_F_I(091115)_Project O_Valuation_v3.5" xfId="120"/>
    <cellStyle name="_4분기명세_F_I(091115)_Project O_Valuation_v3.5 2" xfId="121"/>
    <cellStyle name="_4분기명세_F_I(091115)_Project O_Valuation_v3.5 3" xfId="122"/>
    <cellStyle name="_4분기명세_F_I(091115)_Project O_Valuation_v7.0" xfId="123"/>
    <cellStyle name="_4분기명세_F_I(091115)_Project O2_Valuation_v1.3" xfId="124"/>
    <cellStyle name="_4분기명세_F_I(091115)_WR Bank 2009 4Q 지석 1124" xfId="125"/>
    <cellStyle name="_4분기명세_F_I(091115)_WR Bank 2009 4Q 지석 1124 2" xfId="126"/>
    <cellStyle name="_4분기명세_F_I(091115)_WR Bank 2009 4Q 지석 1124 3" xfId="127"/>
    <cellStyle name="_4분기명세_F_I(091115)_WR Bank 2010 1Q 공담분석_0221" xfId="128"/>
    <cellStyle name="_4분기명세_F_I(091115)_WR Bank 2010 1Q 유덕현(0212)" xfId="129"/>
    <cellStyle name="_4분기명세_F_I(091115)_WR Bank 2010 1Q 지석 취합자료(0217)" xfId="130"/>
    <cellStyle name="_4분기명세_F_I(091115)_낙찰가율정리3" xfId="131"/>
    <cellStyle name="_4분기명세_F_I(091115)_낙찰가율정리3 2" xfId="132"/>
    <cellStyle name="_4분기명세_F_I(091115)_낙찰가율정리3 3" xfId="133"/>
    <cellStyle name="_4사분기추정대충금(회사)" xfId="19402"/>
    <cellStyle name="_4상증법평가_CJSC LOTTE RUS" xfId="25543"/>
    <cellStyle name="_4회의보고" xfId="6297"/>
    <cellStyle name="_55_제출7_이사회보고_재무관리부제출자료_20071116" xfId="25544"/>
    <cellStyle name="_56_제출8_06~07,07~08 인건비 증감내역_20071122" xfId="25545"/>
    <cellStyle name="_5기세무" xfId="19403"/>
    <cellStyle name="_5기세무최종" xfId="19404"/>
    <cellStyle name="_6.Fixed Liabilities(0630)_PBC" xfId="19405"/>
    <cellStyle name="_6기 lead" xfId="19406"/>
    <cellStyle name="_6기일반조서" xfId="19407"/>
    <cellStyle name="_6상증법평가_LOTTE CONFECTIONERY RUS LLC" xfId="25546"/>
    <cellStyle name="_6월-감사준비자료총괄리스트" xfId="6298"/>
    <cellStyle name="_6월말계정명세sum_12월비교" xfId="25547"/>
    <cellStyle name="_6월말계정명세sum_3월비교" xfId="25548"/>
    <cellStyle name="_6월자산건전성분류(최종)8월26일s" xfId="134"/>
    <cellStyle name="_6월자산건전성분류(최종)8월26일s 2" xfId="6299"/>
    <cellStyle name="_6월자산건전성분류(최종)8월26일s 3" xfId="6300"/>
    <cellStyle name="_6월자산건전성분류_최종" xfId="135"/>
    <cellStyle name="_6월자산건전성분류_최종 2" xfId="6301"/>
    <cellStyle name="_6월자산건전성분류_최종 3" xfId="6302"/>
    <cellStyle name="_7" xfId="6303"/>
    <cellStyle name="_7기 lead" xfId="19408"/>
    <cellStyle name="_7기 기말분석" xfId="19409"/>
    <cellStyle name="_7기일반조서" xfId="19410"/>
    <cellStyle name="_7월 경영검토자료 " xfId="6304"/>
    <cellStyle name="_7월누적투자" xfId="136"/>
    <cellStyle name="_7월누적투자 2" xfId="6305"/>
    <cellStyle name="_7월누적투자 3" xfId="6306"/>
    <cellStyle name="_8340 인건비 Overall test" xfId="19411"/>
    <cellStyle name="_8상증법평가_Operator-Lotte-DutyFree Ltd" xfId="25549"/>
    <cellStyle name="_8월손익및차이분석" xfId="19412"/>
    <cellStyle name="_9810총집계" xfId="137"/>
    <cellStyle name="_9810총집계 2" xfId="6307"/>
    <cellStyle name="_9810총집계 3" xfId="6308"/>
    <cellStyle name="_9810총집계_1" xfId="138"/>
    <cellStyle name="_9810총집계_2" xfId="139"/>
    <cellStyle name="_9810총집계_2 2" xfId="6309"/>
    <cellStyle name="_9810총집계_2 3" xfId="6310"/>
    <cellStyle name="_9810총집계_3" xfId="140"/>
    <cellStyle name="_9810총집계_3 2" xfId="6311"/>
    <cellStyle name="_9810총집계_3 3" xfId="6312"/>
    <cellStyle name="_9810총집계_4" xfId="141"/>
    <cellStyle name="_9810총집계_4 2" xfId="6313"/>
    <cellStyle name="_9810총집계_4 3" xfId="6314"/>
    <cellStyle name="_9810총집계_5" xfId="142"/>
    <cellStyle name="_9810총집계_5 2" xfId="6315"/>
    <cellStyle name="_9810총집계_5 3" xfId="6316"/>
    <cellStyle name="_9810총집계_6" xfId="143"/>
    <cellStyle name="_9810총집계_6 2" xfId="6317"/>
    <cellStyle name="_9810총집계_6 3" xfId="6318"/>
    <cellStyle name="_9810총집계_7" xfId="144"/>
    <cellStyle name="_9810총집계_7 2" xfId="6319"/>
    <cellStyle name="_9810총집계_7 3" xfId="6320"/>
    <cellStyle name="_9810총집계_8" xfId="145"/>
    <cellStyle name="_9810총집계_8 2" xfId="6321"/>
    <cellStyle name="_9810총집계_8 3" xfId="6322"/>
    <cellStyle name="_9810총집계_9" xfId="146"/>
    <cellStyle name="_9810총집계_9 2" xfId="6323"/>
    <cellStyle name="_9810총집계_9 3" xfId="6324"/>
    <cellStyle name="_9810총집계_A" xfId="147"/>
    <cellStyle name="_9810총집계_A 2" xfId="6325"/>
    <cellStyle name="_9810총집계_A 3" xfId="6326"/>
    <cellStyle name="_9810총집계_B" xfId="148"/>
    <cellStyle name="_9810총집계_B 2" xfId="6327"/>
    <cellStyle name="_9810총집계_B 3" xfId="6328"/>
    <cellStyle name="_9810총집계_C" xfId="149"/>
    <cellStyle name="_9810총집계_C 2" xfId="6329"/>
    <cellStyle name="_9810총집계_C 3" xfId="6330"/>
    <cellStyle name="_9810총집계_D" xfId="150"/>
    <cellStyle name="_9810총집계_D 2" xfId="6331"/>
    <cellStyle name="_9810총집계_D 3" xfId="6332"/>
    <cellStyle name="_9810총집계_E" xfId="151"/>
    <cellStyle name="_9810총집계_E 2" xfId="6333"/>
    <cellStyle name="_9810총집계_E 3" xfId="6334"/>
    <cellStyle name="_99 Lead" xfId="6335"/>
    <cellStyle name="_9910-구매업무보고-05" xfId="19413"/>
    <cellStyle name="_9910-구매업무보고-05 2" xfId="19414"/>
    <cellStyle name="_9910-구매업무보고-05 2 2" xfId="19415"/>
    <cellStyle name="_9910-구매업무보고-05 3" xfId="19416"/>
    <cellStyle name="_9910-구매업무보고-05_1" xfId="19417"/>
    <cellStyle name="_9910-구매업무보고-05_1 2" xfId="19418"/>
    <cellStyle name="_9910-구매업무보고-05_1 2 2" xfId="19419"/>
    <cellStyle name="_9910-구매업무보고-05_1 3" xfId="19420"/>
    <cellStyle name="_991관리" xfId="19421"/>
    <cellStyle name="_991관리 2" xfId="19422"/>
    <cellStyle name="_991관리 2 2" xfId="19423"/>
    <cellStyle name="_991관리 3" xfId="19424"/>
    <cellStyle name="_99경리팀" xfId="19425"/>
    <cellStyle name="_99경리팀_1" xfId="19426"/>
    <cellStyle name="_99경리팀_2" xfId="19427"/>
    <cellStyle name="_'99상반기경영개선활동결과(게시용)" xfId="6336"/>
    <cellStyle name="_9ct2wjhVUP8s0ZPSbNxjaUl2F" xfId="6337"/>
    <cellStyle name="_9월말계정명세sum" xfId="25550"/>
    <cellStyle name="_9월말계정명세sum_021014" xfId="25551"/>
    <cellStyle name="_9월손익및차이분석" xfId="19428"/>
    <cellStyle name="_A" xfId="6338"/>
    <cellStyle name="_A03 세미콘테크 BSPL" xfId="19429"/>
    <cellStyle name="_A0509-가실행(파주)" xfId="6339"/>
    <cellStyle name="_A-0902건축공사확정(대안포함)" xfId="6340"/>
    <cellStyle name="_A-0902조경공사확정(대안포함)" xfId="6341"/>
    <cellStyle name="_A4 of softgram_2003 half" xfId="19430"/>
    <cellStyle name="_A4(Ciba_2003)" xfId="19431"/>
    <cellStyle name="_ABS" xfId="25552"/>
    <cellStyle name="_abs우리모아1차(6월)" xfId="25553"/>
    <cellStyle name="_Accrual조서(11월)" xfId="19432"/>
    <cellStyle name="_Accrued" xfId="19433"/>
    <cellStyle name="_activity plan 41.xls Chart 11" xfId="19434"/>
    <cellStyle name="_activity plan 41.xls Chart 2" xfId="19435"/>
    <cellStyle name="_activity plan 41.xls Chart 4" xfId="19436"/>
    <cellStyle name="_A-file(국영지앤엠-기말)" xfId="19437"/>
    <cellStyle name="_A-file(국영지앤엠-반기)" xfId="19438"/>
    <cellStyle name="_A-file(하이스코트02-기말)" xfId="19439"/>
    <cellStyle name="_A-file(한성레미콘-02기말)" xfId="19440"/>
    <cellStyle name="_A-file-Elex02-기말" xfId="19441"/>
    <cellStyle name="_AJE LIST" xfId="6342"/>
    <cellStyle name="_AJE LIST_서원양행-2002 FS - 양애리" xfId="6343"/>
    <cellStyle name="_Annual" xfId="19442"/>
    <cellStyle name="_Annual.xls Chart 1" xfId="19443"/>
    <cellStyle name="_Annual.xls Chart 2" xfId="19444"/>
    <cellStyle name="_ÀÓ¿¬1" xfId="6344"/>
    <cellStyle name="_APIMPT00" xfId="19445"/>
    <cellStyle name="_APIMPT01" xfId="19446"/>
    <cellStyle name="_ARF1" xfId="19447"/>
    <cellStyle name="_ARFIMP~1" xfId="19448"/>
    <cellStyle name="_Aug_AR2001" xfId="19449"/>
    <cellStyle name="_A발주자참고내역003-전기공사" xfId="6345"/>
    <cellStyle name="_b2402-shb-0609-총괄(1)" xfId="152"/>
    <cellStyle name="_b2402-shb-0609-총괄(1) 2" xfId="6346"/>
    <cellStyle name="_b2402-shb-0609-총괄(1) 3" xfId="6347"/>
    <cellStyle name="_B2403F5(0606)_060710" xfId="153"/>
    <cellStyle name="_B2403F5(0606)_060710 2" xfId="6348"/>
    <cellStyle name="_B2403F5(0606)_060710 3" xfId="6349"/>
    <cellStyle name="_B2403F5(0606)_060710(최종)" xfId="154"/>
    <cellStyle name="_B2403F5(0606)_060710(최종) 2" xfId="6350"/>
    <cellStyle name="_B2403F5(0606)_060710(최종) 3" xfId="6351"/>
    <cellStyle name="_B2403F5(0610)_061115" xfId="155"/>
    <cellStyle name="_B2403F5(0610)_061115 2" xfId="6352"/>
    <cellStyle name="_B2403F5(0610)_061115 3" xfId="6353"/>
    <cellStyle name="_B2506(구조흥)200609" xfId="156"/>
    <cellStyle name="_B2506(구조흥)200609 2" xfId="6354"/>
    <cellStyle name="_B2506(구조흥)200609 3" xfId="6355"/>
    <cellStyle name="_bang chon NCC" xfId="6356"/>
    <cellStyle name="_BEP계산" xfId="6357"/>
    <cellStyle name="_BEXCO" xfId="6358"/>
    <cellStyle name="_Book1" xfId="157"/>
    <cellStyle name="_Book1 2" xfId="6359"/>
    <cellStyle name="_Book1 3" xfId="6360"/>
    <cellStyle name="_Book1_1" xfId="6361"/>
    <cellStyle name="_Book1_1_Happy Land Quotation_04May09(1)-english" xfId="6362"/>
    <cellStyle name="_Book1_2" xfId="6363"/>
    <cellStyle name="_Book1_3" xfId="6364"/>
    <cellStyle name="_Book1_bang chon NCC" xfId="6365"/>
    <cellStyle name="_Book1_Book1" xfId="6366"/>
    <cellStyle name="_Book1_Happy Land Quotation_04May09(1)-english" xfId="6367"/>
    <cellStyle name="_Book1_SONADEZI" xfId="6368"/>
    <cellStyle name="_Book1_권리분석" xfId="6369"/>
    <cellStyle name="_Book1_서원양행-2002 FS - 양애리" xfId="6370"/>
    <cellStyle name="_Book2" xfId="6371"/>
    <cellStyle name="_Book2 Chart 1" xfId="19450"/>
    <cellStyle name="_Book2_050222_가실행(고대구로병원)(최종1)" xfId="6372"/>
    <cellStyle name="_Book2_050413_가실행(탑승동A)" xfId="6373"/>
    <cellStyle name="_Book2_2002년 DDPI 종합 - 8.11 본사" xfId="19451"/>
    <cellStyle name="_Book2_54.퇴직급여(보험)충당금(200812)_1R" xfId="25554"/>
    <cellStyle name="_Book2_Happy Land Quotation_04May09(1)-english" xfId="6374"/>
    <cellStyle name="_Book2_서원양행-2002 FS - 양애리" xfId="6375"/>
    <cellStyle name="_Book3" xfId="19452"/>
    <cellStyle name="_Book3_E130 대손충당금" xfId="19453"/>
    <cellStyle name="_BOQ_ME_without price - Ford Foundation" xfId="6376"/>
    <cellStyle name="_Bostonwp03" xfId="19454"/>
    <cellStyle name="_BSC재무제표양식_연결" xfId="25555"/>
    <cellStyle name="_BTL AR 03-132 (2)" xfId="19455"/>
    <cellStyle name="_BTL AR BALANCE (07-31) " xfId="19456"/>
    <cellStyle name="_BTL-Financial model_전북대(7.20)_사본" xfId="6377"/>
    <cellStyle name="_C01 두산중공업 BSPL" xfId="19457"/>
    <cellStyle name="_C05 HSD 엔진 BSPL" xfId="19458"/>
    <cellStyle name="_CD_Leadschedule0112" xfId="6378"/>
    <cellStyle name="_Chieu sang, Nhon Trach sua" xfId="6379"/>
    <cellStyle name="_cjk1" xfId="6380"/>
    <cellStyle name="_CMS서버" xfId="6381"/>
    <cellStyle name="_cr후 손익)" xfId="6382"/>
    <cellStyle name="_CWI(반기)2002" xfId="19459"/>
    <cellStyle name="_CWI(반기)2002-최악의경우" xfId="19460"/>
    <cellStyle name="_DB_CUR" xfId="19461"/>
    <cellStyle name="_DB_CUR 2" xfId="19462"/>
    <cellStyle name="_DB_CUR 2 2" xfId="19463"/>
    <cellStyle name="_DDI AR BAL.  (03-16-02)" xfId="19464"/>
    <cellStyle name="_DECEMBER" xfId="19465"/>
    <cellStyle name="_dimon" xfId="6383"/>
    <cellStyle name="_Dong Chang(청산가치)-LJG" xfId="6384"/>
    <cellStyle name="_dutch  lady 3  (25-3)" xfId="6385"/>
    <cellStyle name="_E130 대손충당금" xfId="19466"/>
    <cellStyle name="_E88B0-가수금명세" xfId="6386"/>
    <cellStyle name="_E88B0-가수금명세_1" xfId="6387"/>
    <cellStyle name="_Electric BOQ of Macro Force 11-09-08" xfId="6388"/>
    <cellStyle name="_Excomm 자료_연결" xfId="25556"/>
    <cellStyle name="_EXPORT 8  (AUG)" xfId="19467"/>
    <cellStyle name="_FCST (2)" xfId="6389"/>
    <cellStyle name="_FEB" xfId="19468"/>
    <cellStyle name="_Feb_AR2001" xfId="19469"/>
    <cellStyle name="_FEBINV" xfId="19470"/>
    <cellStyle name="_FLOW(1) " xfId="19471"/>
    <cellStyle name="_foxz" xfId="158"/>
    <cellStyle name="_foxz 2" xfId="6390"/>
    <cellStyle name="_foxz 3" xfId="6391"/>
    <cellStyle name="_foxz_KNE-06.반기-MIB" xfId="6392"/>
    <cellStyle name="_foxz_KNE-06.반기-MIB_건미종합건설-계속기업" xfId="6393"/>
    <cellStyle name="_foxz_KNE-06.반기-MIB_건미종합건설-계속기업_동창종합건재(20081126)_청산가치" xfId="6394"/>
    <cellStyle name="_foxz_KNE-06.반기-MIB_건미종합건설-계속기업_동창종합건재(20081126)_청산가치_동창종합건재(20081126)_청산가치" xfId="6395"/>
    <cellStyle name="_foxz_KNE-06.반기-MIB_건미종합건설-청산가치" xfId="6396"/>
    <cellStyle name="_foxz_KNE-06.반기-MIB_건미종합건설-청산가치_동창종합건재(20081126)_청산가치" xfId="6397"/>
    <cellStyle name="_foxz_KNE-06.반기-MIB_건미종합건설-청산가치_동창종합건재(20081126)_청산가치_동창종합건재(20081126)_청산가치" xfId="6398"/>
    <cellStyle name="_foxz_KNE-06.반기-MIB_동창건재-재고자산" xfId="6399"/>
    <cellStyle name="_foxz_KNE-06.반기-MIB_동창종합건재(20081126)_청산가치" xfId="6400"/>
    <cellStyle name="_foxz_KNE-06.반기-MIB_우남계속기업가치 - 최종표본" xfId="6401"/>
    <cellStyle name="_foxz_KNE-06.반기-MIB_우남계속기업가치 - 최종표본_동창종합건재(20081126)_청산가치" xfId="6402"/>
    <cellStyle name="_foxz_KNE-06.반기-MIB_우남계속기업가치 - 최종표본_동창종합건재(20081126)_청산가치_동창종합건재(20081126)_청산가치" xfId="6403"/>
    <cellStyle name="_foxz_KNE-06.반기-MIB_정부개발-재무제표확정-진행기준미인식1220-sms" xfId="6404"/>
    <cellStyle name="_foxz_KNE-06.반기-MIB_정부개발-청산가치-1227-sms" xfId="6405"/>
    <cellStyle name="_foxz_KNE-06.반기-MIB_정부개발-청산가치-1231-sms" xfId="6406"/>
    <cellStyle name="_foxz_건미종합건설-계속기업" xfId="6407"/>
    <cellStyle name="_foxz_건미종합건설-계속기업_동창종합건재(20081126)_청산가치" xfId="6408"/>
    <cellStyle name="_foxz_건미종합건설-계속기업_동창종합건재(20081126)_청산가치_동창종합건재(20081126)_청산가치" xfId="6409"/>
    <cellStyle name="_foxz_건미종합건설-청산가치" xfId="6410"/>
    <cellStyle name="_foxz_건미종합건설-청산가치_동창종합건재(20081126)_청산가치" xfId="6411"/>
    <cellStyle name="_foxz_건미종합건설-청산가치_동창종합건재(20081126)_청산가치_동창종합건재(20081126)_청산가치" xfId="6412"/>
    <cellStyle name="_foxz_동창건재-재고자산" xfId="6413"/>
    <cellStyle name="_foxz_동창종합건재(20081126)_청산가치" xfId="6414"/>
    <cellStyle name="_foxz_우남계속기업가치 - 최종표본" xfId="6415"/>
    <cellStyle name="_foxz_우남계속기업가치 - 최종표본_동창종합건재(20081126)_청산가치" xfId="6416"/>
    <cellStyle name="_foxz_우남계속기업가치 - 최종표본_동창종합건재(20081126)_청산가치_동창종합건재(20081126)_청산가치" xfId="6417"/>
    <cellStyle name="_foxz_정부개발-재무제표확정-진행기준미인식1220-sms" xfId="6418"/>
    <cellStyle name="_foxz_정부개발-청산가치-1227-sms" xfId="6419"/>
    <cellStyle name="_foxz_정부개발-청산가치-1231-sms" xfId="6420"/>
    <cellStyle name="_FS03.07" xfId="25557"/>
    <cellStyle name="_FS취합(040331)_연결후수정반영" xfId="25558"/>
    <cellStyle name="_FS취합(040331)_연결후수정반영_financial statements-MKOI,MTIL,WSUI-(2007-09-30)jy" xfId="25559"/>
    <cellStyle name="_FS취합(040331)_연결후수정반영_롯데유럽홀딩스-NAV(2008-05-30)" xfId="25560"/>
    <cellStyle name="_FS취합(040331)_연결후수정반영_롯데유럽홀딩스-NAV(2008-06-30)" xfId="25561"/>
    <cellStyle name="_Giai Doan 3 Hong Ngu" xfId="6421"/>
    <cellStyle name="_G-PJT(0102업무)" xfId="6422"/>
    <cellStyle name="_gritti" xfId="6423"/>
    <cellStyle name="_Gritti 31-3" xfId="6424"/>
    <cellStyle name="_G업무분석" xfId="6425"/>
    <cellStyle name="_G업무분석_◇ 3분기 경영평가_생산ES" xfId="6426"/>
    <cellStyle name="_G업무분석_01년 상반기 전략회의자료_팀장" xfId="6427"/>
    <cellStyle name="_G업무분석_01년월별실적" xfId="6428"/>
    <cellStyle name="_G업무분석_01년월별-팀별" xfId="6429"/>
    <cellStyle name="_G업무분석_02.03y_중점업무" xfId="6430"/>
    <cellStyle name="_G업무분석_02매출전체(진도)" xfId="6431"/>
    <cellStyle name="_G업무분석_03년업2무" xfId="6432"/>
    <cellStyle name="_G업무분석_03년주요업무계획(안)" xfId="6433"/>
    <cellStyle name="_G업무분석_1사분기 전략회의_생산관리팀" xfId="6434"/>
    <cellStyle name="_G업무분석_1사분기_여ESN(관리)" xfId="6435"/>
    <cellStyle name="_G업무분석_2001년도업무" xfId="6436"/>
    <cellStyle name="_G업무분석_2001년월별실적" xfId="6437"/>
    <cellStyle name="_G업무분석_2002년 업무" xfId="6438"/>
    <cellStyle name="_G업무분석_2002년 업무(근숙)" xfId="6439"/>
    <cellStyle name="_G업무분석_2002년도 외주가공비 실적보고" xfId="6440"/>
    <cellStyle name="_G업무분석_2002전략-사업부양식" xfId="6441"/>
    <cellStyle name="_G업무분석_2003년 업무" xfId="6442"/>
    <cellStyle name="_G업무분석_23.전산팀" xfId="6443"/>
    <cellStyle name="_G업무분석_G02계획" xfId="6444"/>
    <cellStyle name="_G업무분석_G-02계획" xfId="6445"/>
    <cellStyle name="_G업무분석_G-PJT(02년03년업무)" xfId="6446"/>
    <cellStyle name="_G업무분석_G-PJT(02년03년업무)김중태" xfId="6447"/>
    <cellStyle name="_G업무분석_G-PJT業體分析現況" xfId="6448"/>
    <cellStyle name="_G업무분석_g-pro" xfId="6449"/>
    <cellStyle name="_G업무분석_work shop" xfId="6450"/>
    <cellStyle name="_G업무분석_금형(여기요)" xfId="6451"/>
    <cellStyle name="_G업무분석_생산관리(팀장님꺼)" xfId="6452"/>
    <cellStyle name="_G업무분석_설비투자(사장님발표자료)" xfId="6453"/>
    <cellStyle name="_G업무분석_운영회의" xfId="6454"/>
    <cellStyle name="_G업무분석_투자내역" xfId="6455"/>
    <cellStyle name="_G업무분석_투자내역20011218" xfId="6456"/>
    <cellStyle name="_HANA I&amp;S 05 -A 5(0114)" xfId="19472"/>
    <cellStyle name="_Hard Closing 배상일" xfId="19473"/>
    <cellStyle name="_HKPRU3,3-1" xfId="6457"/>
    <cellStyle name="_HONG" xfId="19474"/>
    <cellStyle name="_HONG_Oct" xfId="19475"/>
    <cellStyle name="_HYNIX_요약정산표" xfId="25562"/>
    <cellStyle name="-_I2 6월 결산 검증서_복합대출상품_20101119" xfId="19476"/>
    <cellStyle name="-_I2 6월 결산 검증서_복합대출상품_20101119 2" xfId="19477"/>
    <cellStyle name="-_I2 6월 결산 검증서_복합대출상품_20101119 2 2" xfId="19478"/>
    <cellStyle name="-_I2 6월 결산 검증서_복합대출상품_20101126" xfId="19479"/>
    <cellStyle name="-_I2 6월 결산 검증서_복합대출상품_20101126 2" xfId="19480"/>
    <cellStyle name="-_I2 6월 결산 검증서_복합대출상품_20101126 2 2" xfId="19481"/>
    <cellStyle name="_IB2-LAU-AN-06(인터페이스정의서)-V1.2" xfId="19482"/>
    <cellStyle name="_IBK_예산사무지원시스템_추출요건_v2.4" xfId="19483"/>
    <cellStyle name="_IBK-IFRS-DV04-통합테스트 케이스_(시스템명_N차)_v1.5(090825)" xfId="19484"/>
    <cellStyle name="_imm-LS" xfId="6458"/>
    <cellStyle name="_imm창투기말-KHO" xfId="6459"/>
    <cellStyle name="_imm창투기말-KHO_서원양행-2002 FS - 양애리" xfId="6460"/>
    <cellStyle name="_IMP~ Aug 01" xfId="19485"/>
    <cellStyle name="_IMP~Jan" xfId="19486"/>
    <cellStyle name="_IMP~July 01" xfId="19487"/>
    <cellStyle name="_IMP~June 01" xfId="19488"/>
    <cellStyle name="_IMP~May 01" xfId="19489"/>
    <cellStyle name="_INV.LIST" xfId="19490"/>
    <cellStyle name="_J3-CS-01_3차 통합테스트_위험회피회계_v2.1" xfId="19491"/>
    <cellStyle name="_JAN" xfId="19492"/>
    <cellStyle name="_Jul_AR2001" xfId="19493"/>
    <cellStyle name="_Jun_AR2001" xfId="19494"/>
    <cellStyle name="_KCC 견적-SDS-040512-홍진표 수석수정본-재수정KCC-040515" xfId="6461"/>
    <cellStyle name="_KEC_주식MAT" xfId="6462"/>
    <cellStyle name="_KLTT DUOC PHAM (16-6)" xfId="6463"/>
    <cellStyle name="_KNE-06.반기-MIB" xfId="6464"/>
    <cellStyle name="_KNE-06.반기-MIB_건미종합건설-계속기업" xfId="6465"/>
    <cellStyle name="_KNE-06.반기-MIB_건미종합건설-계속기업_동창종합건재(20081126)_청산가치" xfId="6466"/>
    <cellStyle name="_KNE-06.반기-MIB_건미종합건설-계속기업_동창종합건재(20081126)_청산가치_동창종합건재(20081126)_청산가치" xfId="6467"/>
    <cellStyle name="_KNE-06.반기-MIB_건미종합건설-청산가치" xfId="6468"/>
    <cellStyle name="_KNE-06.반기-MIB_건미종합건설-청산가치_동창종합건재(20081126)_청산가치" xfId="6469"/>
    <cellStyle name="_KNE-06.반기-MIB_건미종합건설-청산가치_동창종합건재(20081126)_청산가치_동창종합건재(20081126)_청산가치" xfId="6470"/>
    <cellStyle name="_KNE-06.반기-MIB_동창건재-재고자산" xfId="6471"/>
    <cellStyle name="_KNE-06.반기-MIB_동창종합건재(20081126)_청산가치" xfId="6472"/>
    <cellStyle name="_KNE-06.반기-MIB_우남계속기업가치 - 최종표본" xfId="6473"/>
    <cellStyle name="_KNE-06.반기-MIB_우남계속기업가치 - 최종표본_동창종합건재(20081126)_청산가치" xfId="6474"/>
    <cellStyle name="_KNE-06.반기-MIB_우남계속기업가치 - 최종표본_동창종합건재(20081126)_청산가치_동창종합건재(20081126)_청산가치" xfId="6475"/>
    <cellStyle name="_KNE-06.반기-MIB_정부개발-재무제표확정-진행기준미인식1220-sms" xfId="6476"/>
    <cellStyle name="_KNE-06.반기-MIB_정부개발-청산가치-1227-sms" xfId="6477"/>
    <cellStyle name="_KNE-06.반기-MIB_정부개발-청산가치-1231-sms" xfId="6478"/>
    <cellStyle name="_KRIF Balance sheet  Income ststement" xfId="25563"/>
    <cellStyle name="_KRIF Balance sheet  Income ststement (Nov)" xfId="25564"/>
    <cellStyle name="_KRIF Balance sheet  Income ststement (Nov)_-2004()" xfId="25565"/>
    <cellStyle name="_KRIF Balance sheet  Income ststement (Nov)_-2004()_financial statements-MKOI,MTIL,WSUI-(2007-09-30)jy" xfId="25566"/>
    <cellStyle name="_KRIF Balance sheet  Income ststement (Nov)_-2004()_롯데유럽홀딩스-NAV(2008-05-30)" xfId="25567"/>
    <cellStyle name="_KRIF Balance sheet  Income ststement (Nov)_-2004()_롯데유럽홀딩스-NAV(2008-06-30)" xfId="25568"/>
    <cellStyle name="_KRIF Balance sheet  Income ststement (Nov)_22001_1" xfId="25569"/>
    <cellStyle name="_KRIF Balance sheet  Income ststement (Nov)_22001_1_financial statements-MKOI,MTIL,WSUI-(2007-09-30)jy" xfId="25570"/>
    <cellStyle name="_KRIF Balance sheet  Income ststement (Nov)_22001_1_롯데유럽홀딩스-NAV(2008-05-30)" xfId="25571"/>
    <cellStyle name="_KRIF Balance sheet  Income ststement (Nov)_22001_1_롯데유럽홀딩스-NAV(2008-06-30)" xfId="25572"/>
    <cellStyle name="_KRIF Balance sheet  Income ststement (Nov)_22626_1" xfId="25573"/>
    <cellStyle name="_KRIF Balance sheet  Income ststement (Nov)_22626_1_financial statements-MKOI,MTIL,WSUI-(2007-09-30)jy" xfId="25574"/>
    <cellStyle name="_KRIF Balance sheet  Income ststement (Nov)_22626_1_롯데유럽홀딩스-NAV(2008-05-30)" xfId="25575"/>
    <cellStyle name="_KRIF Balance sheet  Income ststement (Nov)_22626_1_롯데유럽홀딩스-NAV(2008-06-30)" xfId="25576"/>
    <cellStyle name="_KRIF Balance sheet  Income ststement (Nov)_25978_1" xfId="25577"/>
    <cellStyle name="_KRIF Balance sheet  Income ststement (Nov)_25978_1_financial statements-MKOI,MTIL,WSUI-(2007-09-30)jy" xfId="25578"/>
    <cellStyle name="_KRIF Balance sheet  Income ststement (Nov)_25978_1_롯데유럽홀딩스-NAV(2008-05-30)" xfId="25579"/>
    <cellStyle name="_KRIF Balance sheet  Income ststement (Nov)_25978_1_롯데유럽홀딩스-NAV(2008-06-30)" xfId="25580"/>
    <cellStyle name="_KRIF Balance sheet  Income ststement (Nov)_26859_1" xfId="25581"/>
    <cellStyle name="_KRIF Balance sheet  Income ststement (Nov)_26859_1_financial statements-MKOI,MTIL,WSUI-(2007-09-30)jy" xfId="25582"/>
    <cellStyle name="_KRIF Balance sheet  Income ststement (Nov)_26859_1_롯데유럽홀딩스-NAV(2008-05-30)" xfId="25583"/>
    <cellStyle name="_KRIF Balance sheet  Income ststement (Nov)_26859_1_롯데유럽홀딩스-NAV(2008-06-30)" xfId="25584"/>
    <cellStyle name="_KRIF Balance sheet  Income ststement (Nov)_26973_1" xfId="25585"/>
    <cellStyle name="_KRIF Balance sheet  Income ststement (Nov)_26973_1_financial statements-MKOI,MTIL,WSUI-(2007-09-30)jy" xfId="25586"/>
    <cellStyle name="_KRIF Balance sheet  Income ststement (Nov)_26973_1_롯데유럽홀딩스-NAV(2008-05-30)" xfId="25587"/>
    <cellStyle name="_KRIF Balance sheet  Income ststement (Nov)_26973_1_롯데유럽홀딩스-NAV(2008-06-30)" xfId="25588"/>
    <cellStyle name="_KRIF Balance sheet  Income ststement (Nov)_27057_1" xfId="25589"/>
    <cellStyle name="_KRIF Balance sheet  Income ststement (Nov)_27057_1_financial statements-MKOI,MTIL,WSUI-(2007-09-30)jy" xfId="25590"/>
    <cellStyle name="_KRIF Balance sheet  Income ststement (Nov)_27057_1_롯데유럽홀딩스-NAV(2008-05-30)" xfId="25591"/>
    <cellStyle name="_KRIF Balance sheet  Income ststement (Nov)_27057_1_롯데유럽홀딩스-NAV(2008-06-30)" xfId="25592"/>
    <cellStyle name="_KRIF Balance sheet  Income ststement (Nov)_27105_1" xfId="25593"/>
    <cellStyle name="_KRIF Balance sheet  Income ststement (Nov)_27105_1_financial statements-MKOI,MTIL,WSUI-(2007-09-30)jy" xfId="25594"/>
    <cellStyle name="_KRIF Balance sheet  Income ststement (Nov)_27105_1_롯데유럽홀딩스-NAV(2008-05-30)" xfId="25595"/>
    <cellStyle name="_KRIF Balance sheet  Income ststement (Nov)_27105_1_롯데유럽홀딩스-NAV(2008-06-30)" xfId="25596"/>
    <cellStyle name="_KRIF Balance sheet  Income ststement (Nov)_27709_1" xfId="25597"/>
    <cellStyle name="_KRIF Balance sheet  Income ststement (Nov)_27709_1_financial statements-MKOI,MTIL,WSUI-(2007-09-30)jy" xfId="25598"/>
    <cellStyle name="_KRIF Balance sheet  Income ststement (Nov)_27709_1_롯데유럽홀딩스-NAV(2008-05-30)" xfId="25599"/>
    <cellStyle name="_KRIF Balance sheet  Income ststement (Nov)_27709_1_롯데유럽홀딩스-NAV(2008-06-30)" xfId="25600"/>
    <cellStyle name="_KRIF Balance sheet  Income ststement (Nov)_9260_1" xfId="25601"/>
    <cellStyle name="_KRIF Balance sheet  Income ststement (Nov)_9260_1_financial statements-MKOI,MTIL,WSUI-(2007-09-30)jy" xfId="25602"/>
    <cellStyle name="_KRIF Balance sheet  Income ststement (Nov)_9260_1_롯데유럽홀딩스-NAV(2008-05-30)" xfId="25603"/>
    <cellStyle name="_KRIF Balance sheet  Income ststement (Nov)_9260_1_롯데유럽홀딩스-NAV(2008-06-30)" xfId="25604"/>
    <cellStyle name="_KRIF Balance sheet  Income ststement (Nov)_financial statements-MKOI,MTIL,WSUI-(2007-09-30)jy" xfId="25605"/>
    <cellStyle name="_KRIF Balance sheet  Income ststement (Nov)_KRIF BS REC 0407" xfId="25606"/>
    <cellStyle name="_KRIF Balance sheet  Income ststement (Nov)_KRIF BS REC 0407_financial statements-MKOI,MTIL,WSUI-(2007-09-30)jy" xfId="25607"/>
    <cellStyle name="_KRIF Balance sheet  Income ststement (Nov)_KRIF BS REC 0407_롯데유럽홀딩스-NAV(2008-05-30)" xfId="25608"/>
    <cellStyle name="_KRIF Balance sheet  Income ststement (Nov)_KRIF BS REC 0407_롯데유럽홀딩스-NAV(2008-06-30)" xfId="25609"/>
    <cellStyle name="_KRIF Balance sheet  Income ststement (Nov)_KRIF BS REC 0408" xfId="25610"/>
    <cellStyle name="_KRIF Balance sheet  Income ststement (Nov)_KRIF BS REC 0408_financial statements-MKOI,MTIL,WSUI-(2007-09-30)jy" xfId="25611"/>
    <cellStyle name="_KRIF Balance sheet  Income ststement (Nov)_KRIF BS REC 0408_롯데유럽홀딩스-NAV(2008-05-30)" xfId="25612"/>
    <cellStyle name="_KRIF Balance sheet  Income ststement (Nov)_KRIF BS REC 0408_롯데유럽홀딩스-NAV(2008-06-30)" xfId="25613"/>
    <cellStyle name="_KRIF Balance sheet  Income ststement (Nov)_MSIM BS REC 07 2004" xfId="25614"/>
    <cellStyle name="_KRIF Balance sheet  Income ststement (Nov)_MSIM BS REC 07 2004_financial statements-MKOI,MTIL,WSUI-(2007-09-30)jy" xfId="25615"/>
    <cellStyle name="_KRIF Balance sheet  Income ststement (Nov)_MSIM BS REC 07 2004_롯데유럽홀딩스-NAV(2008-05-30)" xfId="25616"/>
    <cellStyle name="_KRIF Balance sheet  Income ststement (Nov)_MSIM BS REC 07 2004_롯데유럽홀딩스-NAV(2008-06-30)" xfId="25617"/>
    <cellStyle name="_KRIF Balance sheet  Income ststement (Nov)_MSIM BS REC 08 2004" xfId="25618"/>
    <cellStyle name="_KRIF Balance sheet  Income ststement (Nov)_MSIM BS REC 08 2004_financial statements-MKOI,MTIL,WSUI-(2007-09-30)jy" xfId="25619"/>
    <cellStyle name="_KRIF Balance sheet  Income ststement (Nov)_MSIM BS REC 08 2004_롯데유럽홀딩스-NAV(2008-05-30)" xfId="25620"/>
    <cellStyle name="_KRIF Balance sheet  Income ststement (Nov)_MSIM BS REC 08 2004_롯데유럽홀딩스-NAV(2008-06-30)" xfId="25621"/>
    <cellStyle name="_KRIF Balance sheet  Income ststement (Nov)_MSIM BS REC 10 2004" xfId="25622"/>
    <cellStyle name="_KRIF Balance sheet  Income ststement (Nov)_MSIM BS REC 10 2004_financial statements-MKOI,MTIL,WSUI-(2007-09-30)jy" xfId="25623"/>
    <cellStyle name="_KRIF Balance sheet  Income ststement (Nov)_MSIM BS REC 10 2004_롯데유럽홀딩스-NAV(2008-05-30)" xfId="25624"/>
    <cellStyle name="_KRIF Balance sheet  Income ststement (Nov)_MSIM BS REC 10 2004_롯데유럽홀딩스-NAV(2008-06-30)" xfId="25625"/>
    <cellStyle name="_KRIF Balance sheet  Income ststement (Nov)_MSIM BS REC 11 2004" xfId="25626"/>
    <cellStyle name="_KRIF Balance sheet  Income ststement (Nov)_MSIM BS REC 11 2004_financial statements-MKOI,MTIL,WSUI-(2007-09-30)jy" xfId="25627"/>
    <cellStyle name="_KRIF Balance sheet  Income ststement (Nov)_MSIM BS REC 11 2004_롯데유럽홀딩스-NAV(2008-05-30)" xfId="25628"/>
    <cellStyle name="_KRIF Balance sheet  Income ststement (Nov)_MSIM BS REC 11 2004_롯데유럽홀딩스-NAV(2008-06-30)" xfId="25629"/>
    <cellStyle name="_KRIF Balance sheet  Income ststement (Nov)_MSIM BS REC 12 2004" xfId="25630"/>
    <cellStyle name="_KRIF Balance sheet  Income ststement (Nov)_MSIM BS REC 12 2004_financial statements-MKOI,MTIL,WSUI-(2007-09-30)jy" xfId="25631"/>
    <cellStyle name="_KRIF Balance sheet  Income ststement (Nov)_MSIM BS REC 12 2004_롯데유럽홀딩스-NAV(2008-05-30)" xfId="25632"/>
    <cellStyle name="_KRIF Balance sheet  Income ststement (Nov)_MSIM BS REC 12 2004_롯데유럽홀딩스-NAV(2008-06-30)" xfId="25633"/>
    <cellStyle name="_KRIF Balance sheet  Income ststement (Nov)_Quarter ending 31 Dec 2003" xfId="25634"/>
    <cellStyle name="_KRIF Balance sheet  Income ststement (Nov)_Quarter ending 31 Dec 2003_-2004()" xfId="25635"/>
    <cellStyle name="_KRIF Balance sheet  Income ststement (Nov)_Quarter ending 31 Dec 2003_-2004()_financial statements-MKOI,MTIL,WSUI-(2007-09-30)jy" xfId="25636"/>
    <cellStyle name="_KRIF Balance sheet  Income ststement (Nov)_Quarter ending 31 Dec 2003_-2004()_롯데유럽홀딩스-NAV(2008-05-30)" xfId="25637"/>
    <cellStyle name="_KRIF Balance sheet  Income ststement (Nov)_Quarter ending 31 Dec 2003_-2004()_롯데유럽홀딩스-NAV(2008-06-30)" xfId="25638"/>
    <cellStyle name="_KRIF Balance sheet  Income ststement (Nov)_Quarter ending 31 Dec 2003_22001_1" xfId="25639"/>
    <cellStyle name="_KRIF Balance sheet  Income ststement (Nov)_Quarter ending 31 Dec 2003_22001_1_financial statements-MKOI,MTIL,WSUI-(2007-09-30)jy" xfId="25640"/>
    <cellStyle name="_KRIF Balance sheet  Income ststement (Nov)_Quarter ending 31 Dec 2003_22001_1_롯데유럽홀딩스-NAV(2008-05-30)" xfId="25641"/>
    <cellStyle name="_KRIF Balance sheet  Income ststement (Nov)_Quarter ending 31 Dec 2003_22001_1_롯데유럽홀딩스-NAV(2008-06-30)" xfId="25642"/>
    <cellStyle name="_KRIF Balance sheet  Income ststement (Nov)_Quarter ending 31 Dec 2003_22626_1" xfId="25643"/>
    <cellStyle name="_KRIF Balance sheet  Income ststement (Nov)_Quarter ending 31 Dec 2003_22626_1_financial statements-MKOI,MTIL,WSUI-(2007-09-30)jy" xfId="25644"/>
    <cellStyle name="_KRIF Balance sheet  Income ststement (Nov)_Quarter ending 31 Dec 2003_22626_1_롯데유럽홀딩스-NAV(2008-05-30)" xfId="25645"/>
    <cellStyle name="_KRIF Balance sheet  Income ststement (Nov)_Quarter ending 31 Dec 2003_22626_1_롯데유럽홀딩스-NAV(2008-06-30)" xfId="25646"/>
    <cellStyle name="_KRIF Balance sheet  Income ststement (Nov)_Quarter ending 31 Dec 2003_25978_1" xfId="25647"/>
    <cellStyle name="_KRIF Balance sheet  Income ststement (Nov)_Quarter ending 31 Dec 2003_25978_1_financial statements-MKOI,MTIL,WSUI-(2007-09-30)jy" xfId="25648"/>
    <cellStyle name="_KRIF Balance sheet  Income ststement (Nov)_Quarter ending 31 Dec 2003_25978_1_롯데유럽홀딩스-NAV(2008-05-30)" xfId="25649"/>
    <cellStyle name="_KRIF Balance sheet  Income ststement (Nov)_Quarter ending 31 Dec 2003_25978_1_롯데유럽홀딩스-NAV(2008-06-30)" xfId="25650"/>
    <cellStyle name="_KRIF Balance sheet  Income ststement (Nov)_Quarter ending 31 Dec 2003_26859_1" xfId="25651"/>
    <cellStyle name="_KRIF Balance sheet  Income ststement (Nov)_Quarter ending 31 Dec 2003_26859_1_financial statements-MKOI,MTIL,WSUI-(2007-09-30)jy" xfId="25652"/>
    <cellStyle name="_KRIF Balance sheet  Income ststement (Nov)_Quarter ending 31 Dec 2003_26859_1_롯데유럽홀딩스-NAV(2008-05-30)" xfId="25653"/>
    <cellStyle name="_KRIF Balance sheet  Income ststement (Nov)_Quarter ending 31 Dec 2003_26859_1_롯데유럽홀딩스-NAV(2008-06-30)" xfId="25654"/>
    <cellStyle name="_KRIF Balance sheet  Income ststement (Nov)_Quarter ending 31 Dec 2003_26973_1" xfId="25655"/>
    <cellStyle name="_KRIF Balance sheet  Income ststement (Nov)_Quarter ending 31 Dec 2003_26973_1_financial statements-MKOI,MTIL,WSUI-(2007-09-30)jy" xfId="25656"/>
    <cellStyle name="_KRIF Balance sheet  Income ststement (Nov)_Quarter ending 31 Dec 2003_26973_1_롯데유럽홀딩스-NAV(2008-05-30)" xfId="25657"/>
    <cellStyle name="_KRIF Balance sheet  Income ststement (Nov)_Quarter ending 31 Dec 2003_26973_1_롯데유럽홀딩스-NAV(2008-06-30)" xfId="25658"/>
    <cellStyle name="_KRIF Balance sheet  Income ststement (Nov)_Quarter ending 31 Dec 2003_27057_1" xfId="25659"/>
    <cellStyle name="_KRIF Balance sheet  Income ststement (Nov)_Quarter ending 31 Dec 2003_27057_1_financial statements-MKOI,MTIL,WSUI-(2007-09-30)jy" xfId="25660"/>
    <cellStyle name="_KRIF Balance sheet  Income ststement (Nov)_Quarter ending 31 Dec 2003_27057_1_롯데유럽홀딩스-NAV(2008-05-30)" xfId="25661"/>
    <cellStyle name="_KRIF Balance sheet  Income ststement (Nov)_Quarter ending 31 Dec 2003_27057_1_롯데유럽홀딩스-NAV(2008-06-30)" xfId="25662"/>
    <cellStyle name="_KRIF Balance sheet  Income ststement (Nov)_Quarter ending 31 Dec 2003_27105_1" xfId="25663"/>
    <cellStyle name="_KRIF Balance sheet  Income ststement (Nov)_Quarter ending 31 Dec 2003_27105_1_financial statements-MKOI,MTIL,WSUI-(2007-09-30)jy" xfId="25664"/>
    <cellStyle name="_KRIF Balance sheet  Income ststement (Nov)_Quarter ending 31 Dec 2003_27105_1_롯데유럽홀딩스-NAV(2008-05-30)" xfId="25665"/>
    <cellStyle name="_KRIF Balance sheet  Income ststement (Nov)_Quarter ending 31 Dec 2003_27105_1_롯데유럽홀딩스-NAV(2008-06-30)" xfId="25666"/>
    <cellStyle name="_KRIF Balance sheet  Income ststement (Nov)_Quarter ending 31 Dec 2003_27709_1" xfId="25667"/>
    <cellStyle name="_KRIF Balance sheet  Income ststement (Nov)_Quarter ending 31 Dec 2003_27709_1_financial statements-MKOI,MTIL,WSUI-(2007-09-30)jy" xfId="25668"/>
    <cellStyle name="_KRIF Balance sheet  Income ststement (Nov)_Quarter ending 31 Dec 2003_27709_1_롯데유럽홀딩스-NAV(2008-05-30)" xfId="25669"/>
    <cellStyle name="_KRIF Balance sheet  Income ststement (Nov)_Quarter ending 31 Dec 2003_27709_1_롯데유럽홀딩스-NAV(2008-06-30)" xfId="25670"/>
    <cellStyle name="_KRIF Balance sheet  Income ststement (Nov)_Quarter ending 31 Dec 2003_9260_1" xfId="25671"/>
    <cellStyle name="_KRIF Balance sheet  Income ststement (Nov)_Quarter ending 31 Dec 2003_9260_1_financial statements-MKOI,MTIL,WSUI-(2007-09-30)jy" xfId="25672"/>
    <cellStyle name="_KRIF Balance sheet  Income ststement (Nov)_Quarter ending 31 Dec 2003_9260_1_롯데유럽홀딩스-NAV(2008-05-30)" xfId="25673"/>
    <cellStyle name="_KRIF Balance sheet  Income ststement (Nov)_Quarter ending 31 Dec 2003_9260_1_롯데유럽홀딩스-NAV(2008-06-30)" xfId="25674"/>
    <cellStyle name="_KRIF Balance sheet  Income ststement (Nov)_Quarter ending 31 Dec 2003_financial statements-MKOI,MTIL,WSUI-(2007-09-30)jy" xfId="25675"/>
    <cellStyle name="_KRIF Balance sheet  Income ststement (Nov)_Quarter ending 31 Dec 2003_KRIF BS REC 0407" xfId="25676"/>
    <cellStyle name="_KRIF Balance sheet  Income ststement (Nov)_Quarter ending 31 Dec 2003_KRIF BS REC 0407_financial statements-MKOI,MTIL,WSUI-(2007-09-30)jy" xfId="25677"/>
    <cellStyle name="_KRIF Balance sheet  Income ststement (Nov)_Quarter ending 31 Dec 2003_KRIF BS REC 0407_롯데유럽홀딩스-NAV(2008-05-30)" xfId="25678"/>
    <cellStyle name="_KRIF Balance sheet  Income ststement (Nov)_Quarter ending 31 Dec 2003_KRIF BS REC 0407_롯데유럽홀딩스-NAV(2008-06-30)" xfId="25679"/>
    <cellStyle name="_KRIF Balance sheet  Income ststement (Nov)_Quarter ending 31 Dec 2003_KRIF BS REC 0408" xfId="25680"/>
    <cellStyle name="_KRIF Balance sheet  Income ststement (Nov)_Quarter ending 31 Dec 2003_KRIF BS REC 0408_financial statements-MKOI,MTIL,WSUI-(2007-09-30)jy" xfId="25681"/>
    <cellStyle name="_KRIF Balance sheet  Income ststement (Nov)_Quarter ending 31 Dec 2003_KRIF BS REC 0408_롯데유럽홀딩스-NAV(2008-05-30)" xfId="25682"/>
    <cellStyle name="_KRIF Balance sheet  Income ststement (Nov)_Quarter ending 31 Dec 2003_KRIF BS REC 0408_롯데유럽홀딩스-NAV(2008-06-30)" xfId="25683"/>
    <cellStyle name="_KRIF Balance sheet  Income ststement (Nov)_Quarter ending 31 Dec 2003_MSIM BS REC 07 2004" xfId="25684"/>
    <cellStyle name="_KRIF Balance sheet  Income ststement (Nov)_Quarter ending 31 Dec 2003_MSIM BS REC 07 2004_financial statements-MKOI,MTIL,WSUI-(2007-09-30)jy" xfId="25685"/>
    <cellStyle name="_KRIF Balance sheet  Income ststement (Nov)_Quarter ending 31 Dec 2003_MSIM BS REC 07 2004_롯데유럽홀딩스-NAV(2008-05-30)" xfId="25686"/>
    <cellStyle name="_KRIF Balance sheet  Income ststement (Nov)_Quarter ending 31 Dec 2003_MSIM BS REC 07 2004_롯데유럽홀딩스-NAV(2008-06-30)" xfId="25687"/>
    <cellStyle name="_KRIF Balance sheet  Income ststement (Nov)_Quarter ending 31 Dec 2003_MSIM BS REC 08 2004" xfId="25688"/>
    <cellStyle name="_KRIF Balance sheet  Income ststement (Nov)_Quarter ending 31 Dec 2003_MSIM BS REC 08 2004_financial statements-MKOI,MTIL,WSUI-(2007-09-30)jy" xfId="25689"/>
    <cellStyle name="_KRIF Balance sheet  Income ststement (Nov)_Quarter ending 31 Dec 2003_MSIM BS REC 08 2004_롯데유럽홀딩스-NAV(2008-05-30)" xfId="25690"/>
    <cellStyle name="_KRIF Balance sheet  Income ststement (Nov)_Quarter ending 31 Dec 2003_MSIM BS REC 08 2004_롯데유럽홀딩스-NAV(2008-06-30)" xfId="25691"/>
    <cellStyle name="_KRIF Balance sheet  Income ststement (Nov)_Quarter ending 31 Dec 2003_MSIM BS REC 10 2004" xfId="25692"/>
    <cellStyle name="_KRIF Balance sheet  Income ststement (Nov)_Quarter ending 31 Dec 2003_MSIM BS REC 10 2004_financial statements-MKOI,MTIL,WSUI-(2007-09-30)jy" xfId="25693"/>
    <cellStyle name="_KRIF Balance sheet  Income ststement (Nov)_Quarter ending 31 Dec 2003_MSIM BS REC 10 2004_롯데유럽홀딩스-NAV(2008-05-30)" xfId="25694"/>
    <cellStyle name="_KRIF Balance sheet  Income ststement (Nov)_Quarter ending 31 Dec 2003_MSIM BS REC 10 2004_롯데유럽홀딩스-NAV(2008-06-30)" xfId="25695"/>
    <cellStyle name="_KRIF Balance sheet  Income ststement (Nov)_Quarter ending 31 Dec 2003_MSIM BS REC 11 2004" xfId="25696"/>
    <cellStyle name="_KRIF Balance sheet  Income ststement (Nov)_Quarter ending 31 Dec 2003_MSIM BS REC 11 2004_financial statements-MKOI,MTIL,WSUI-(2007-09-30)jy" xfId="25697"/>
    <cellStyle name="_KRIF Balance sheet  Income ststement (Nov)_Quarter ending 31 Dec 2003_MSIM BS REC 11 2004_롯데유럽홀딩스-NAV(2008-05-30)" xfId="25698"/>
    <cellStyle name="_KRIF Balance sheet  Income ststement (Nov)_Quarter ending 31 Dec 2003_MSIM BS REC 11 2004_롯데유럽홀딩스-NAV(2008-06-30)" xfId="25699"/>
    <cellStyle name="_KRIF Balance sheet  Income ststement (Nov)_Quarter ending 31 Dec 2003_MSIM BS REC 12 2004" xfId="25700"/>
    <cellStyle name="_KRIF Balance sheet  Income ststement (Nov)_Quarter ending 31 Dec 2003_MSIM BS REC 12 2004_financial statements-MKOI,MTIL,WSUI-(2007-09-30)jy" xfId="25701"/>
    <cellStyle name="_KRIF Balance sheet  Income ststement (Nov)_Quarter ending 31 Dec 2003_MSIM BS REC 12 2004_롯데유럽홀딩스-NAV(2008-05-30)" xfId="25702"/>
    <cellStyle name="_KRIF Balance sheet  Income ststement (Nov)_Quarter ending 31 Dec 2003_MSIM BS REC 12 2004_롯데유럽홀딩스-NAV(2008-06-30)" xfId="25703"/>
    <cellStyle name="_KRIF Balance sheet  Income ststement (Nov)_Quarter ending 31 Dec 2003_롯데유럽홀딩스-NAV(2008-05-30)" xfId="25704"/>
    <cellStyle name="_KRIF Balance sheet  Income ststement (Nov)_Quarter ending 31 Dec 2003_롯데유럽홀딩스-NAV(2008-06-30)" xfId="25705"/>
    <cellStyle name="_KRIF Balance sheet  Income ststement (Nov)_롯데유럽홀딩스-NAV(2008-05-30)" xfId="25706"/>
    <cellStyle name="_KRIF Balance sheet  Income ststement (Nov)_롯데유럽홀딩스-NAV(2008-06-30)" xfId="25707"/>
    <cellStyle name="_KRIF Balance sheet  Income ststement(011204)" xfId="25708"/>
    <cellStyle name="_KRIF Balance sheet  Income ststement(011204)_-2004()" xfId="25709"/>
    <cellStyle name="_KRIF Balance sheet  Income ststement(011204)_-2004()_financial statements-MKOI,MTIL,WSUI-(2007-09-30)jy" xfId="25710"/>
    <cellStyle name="_KRIF Balance sheet  Income ststement(011204)_-2004()_롯데유럽홀딩스-NAV(2008-05-30)" xfId="25711"/>
    <cellStyle name="_KRIF Balance sheet  Income ststement(011204)_-2004()_롯데유럽홀딩스-NAV(2008-06-30)" xfId="25712"/>
    <cellStyle name="_KRIF Balance sheet  Income ststement(011204)_22001_1" xfId="25713"/>
    <cellStyle name="_KRIF Balance sheet  Income ststement(011204)_22001_1_financial statements-MKOI,MTIL,WSUI-(2007-09-30)jy" xfId="25714"/>
    <cellStyle name="_KRIF Balance sheet  Income ststement(011204)_22001_1_롯데유럽홀딩스-NAV(2008-05-30)" xfId="25715"/>
    <cellStyle name="_KRIF Balance sheet  Income ststement(011204)_22001_1_롯데유럽홀딩스-NAV(2008-06-30)" xfId="25716"/>
    <cellStyle name="_KRIF Balance sheet  Income ststement(011204)_22626_1" xfId="25717"/>
    <cellStyle name="_KRIF Balance sheet  Income ststement(011204)_22626_1_financial statements-MKOI,MTIL,WSUI-(2007-09-30)jy" xfId="25718"/>
    <cellStyle name="_KRIF Balance sheet  Income ststement(011204)_22626_1_롯데유럽홀딩스-NAV(2008-05-30)" xfId="25719"/>
    <cellStyle name="_KRIF Balance sheet  Income ststement(011204)_22626_1_롯데유럽홀딩스-NAV(2008-06-30)" xfId="25720"/>
    <cellStyle name="_KRIF Balance sheet  Income ststement(011204)_25978_1" xfId="25721"/>
    <cellStyle name="_KRIF Balance sheet  Income ststement(011204)_25978_1_financial statements-MKOI,MTIL,WSUI-(2007-09-30)jy" xfId="25722"/>
    <cellStyle name="_KRIF Balance sheet  Income ststement(011204)_25978_1_롯데유럽홀딩스-NAV(2008-05-30)" xfId="25723"/>
    <cellStyle name="_KRIF Balance sheet  Income ststement(011204)_25978_1_롯데유럽홀딩스-NAV(2008-06-30)" xfId="25724"/>
    <cellStyle name="_KRIF Balance sheet  Income ststement(011204)_26859_1" xfId="25725"/>
    <cellStyle name="_KRIF Balance sheet  Income ststement(011204)_26859_1_financial statements-MKOI,MTIL,WSUI-(2007-09-30)jy" xfId="25726"/>
    <cellStyle name="_KRIF Balance sheet  Income ststement(011204)_26859_1_롯데유럽홀딩스-NAV(2008-05-30)" xfId="25727"/>
    <cellStyle name="_KRIF Balance sheet  Income ststement(011204)_26859_1_롯데유럽홀딩스-NAV(2008-06-30)" xfId="25728"/>
    <cellStyle name="_KRIF Balance sheet  Income ststement(011204)_26973_1" xfId="25729"/>
    <cellStyle name="_KRIF Balance sheet  Income ststement(011204)_26973_1_financial statements-MKOI,MTIL,WSUI-(2007-09-30)jy" xfId="25730"/>
    <cellStyle name="_KRIF Balance sheet  Income ststement(011204)_26973_1_롯데유럽홀딩스-NAV(2008-05-30)" xfId="25731"/>
    <cellStyle name="_KRIF Balance sheet  Income ststement(011204)_26973_1_롯데유럽홀딩스-NAV(2008-06-30)" xfId="25732"/>
    <cellStyle name="_KRIF Balance sheet  Income ststement(011204)_27057_1" xfId="25733"/>
    <cellStyle name="_KRIF Balance sheet  Income ststement(011204)_27057_1_financial statements-MKOI,MTIL,WSUI-(2007-09-30)jy" xfId="25734"/>
    <cellStyle name="_KRIF Balance sheet  Income ststement(011204)_27057_1_롯데유럽홀딩스-NAV(2008-05-30)" xfId="25735"/>
    <cellStyle name="_KRIF Balance sheet  Income ststement(011204)_27057_1_롯데유럽홀딩스-NAV(2008-06-30)" xfId="25736"/>
    <cellStyle name="_KRIF Balance sheet  Income ststement(011204)_27105_1" xfId="25737"/>
    <cellStyle name="_KRIF Balance sheet  Income ststement(011204)_27105_1_financial statements-MKOI,MTIL,WSUI-(2007-09-30)jy" xfId="25738"/>
    <cellStyle name="_KRIF Balance sheet  Income ststement(011204)_27105_1_롯데유럽홀딩스-NAV(2008-05-30)" xfId="25739"/>
    <cellStyle name="_KRIF Balance sheet  Income ststement(011204)_27105_1_롯데유럽홀딩스-NAV(2008-06-30)" xfId="25740"/>
    <cellStyle name="_KRIF Balance sheet  Income ststement(011204)_27709_1" xfId="25741"/>
    <cellStyle name="_KRIF Balance sheet  Income ststement(011204)_27709_1_financial statements-MKOI,MTIL,WSUI-(2007-09-30)jy" xfId="25742"/>
    <cellStyle name="_KRIF Balance sheet  Income ststement(011204)_27709_1_롯데유럽홀딩스-NAV(2008-05-30)" xfId="25743"/>
    <cellStyle name="_KRIF Balance sheet  Income ststement(011204)_27709_1_롯데유럽홀딩스-NAV(2008-06-30)" xfId="25744"/>
    <cellStyle name="_KRIF Balance sheet  Income ststement(011204)_9260_1" xfId="25745"/>
    <cellStyle name="_KRIF Balance sheet  Income ststement(011204)_9260_1_financial statements-MKOI,MTIL,WSUI-(2007-09-30)jy" xfId="25746"/>
    <cellStyle name="_KRIF Balance sheet  Income ststement(011204)_9260_1_롯데유럽홀딩스-NAV(2008-05-30)" xfId="25747"/>
    <cellStyle name="_KRIF Balance sheet  Income ststement(011204)_9260_1_롯데유럽홀딩스-NAV(2008-06-30)" xfId="25748"/>
    <cellStyle name="_KRIF Balance sheet  Income ststement(011204)_financial statements-MKOI,MTIL,WSUI-(2007-09-30)jy" xfId="25749"/>
    <cellStyle name="_KRIF Balance sheet  Income ststement(011204)_KRIF BS REC 0407" xfId="25750"/>
    <cellStyle name="_KRIF Balance sheet  Income ststement(011204)_KRIF BS REC 0407_financial statements-MKOI,MTIL,WSUI-(2007-09-30)jy" xfId="25751"/>
    <cellStyle name="_KRIF Balance sheet  Income ststement(011204)_KRIF BS REC 0407_롯데유럽홀딩스-NAV(2008-05-30)" xfId="25752"/>
    <cellStyle name="_KRIF Balance sheet  Income ststement(011204)_KRIF BS REC 0407_롯데유럽홀딩스-NAV(2008-06-30)" xfId="25753"/>
    <cellStyle name="_KRIF Balance sheet  Income ststement(011204)_KRIF BS REC 0408" xfId="25754"/>
    <cellStyle name="_KRIF Balance sheet  Income ststement(011204)_KRIF BS REC 0408_financial statements-MKOI,MTIL,WSUI-(2007-09-30)jy" xfId="25755"/>
    <cellStyle name="_KRIF Balance sheet  Income ststement(011204)_KRIF BS REC 0408_롯데유럽홀딩스-NAV(2008-05-30)" xfId="25756"/>
    <cellStyle name="_KRIF Balance sheet  Income ststement(011204)_KRIF BS REC 0408_롯데유럽홀딩스-NAV(2008-06-30)" xfId="25757"/>
    <cellStyle name="_KRIF Balance sheet  Income ststement(011204)_MSIM BS REC 07 2004" xfId="25758"/>
    <cellStyle name="_KRIF Balance sheet  Income ststement(011204)_MSIM BS REC 07 2004_financial statements-MKOI,MTIL,WSUI-(2007-09-30)jy" xfId="25759"/>
    <cellStyle name="_KRIF Balance sheet  Income ststement(011204)_MSIM BS REC 07 2004_롯데유럽홀딩스-NAV(2008-05-30)" xfId="25760"/>
    <cellStyle name="_KRIF Balance sheet  Income ststement(011204)_MSIM BS REC 07 2004_롯데유럽홀딩스-NAV(2008-06-30)" xfId="25761"/>
    <cellStyle name="_KRIF Balance sheet  Income ststement(011204)_MSIM BS REC 08 2004" xfId="25762"/>
    <cellStyle name="_KRIF Balance sheet  Income ststement(011204)_MSIM BS REC 08 2004_financial statements-MKOI,MTIL,WSUI-(2007-09-30)jy" xfId="25763"/>
    <cellStyle name="_KRIF Balance sheet  Income ststement(011204)_MSIM BS REC 08 2004_롯데유럽홀딩스-NAV(2008-05-30)" xfId="25764"/>
    <cellStyle name="_KRIF Balance sheet  Income ststement(011204)_MSIM BS REC 08 2004_롯데유럽홀딩스-NAV(2008-06-30)" xfId="25765"/>
    <cellStyle name="_KRIF Balance sheet  Income ststement(011204)_MSIM BS REC 10 2004" xfId="25766"/>
    <cellStyle name="_KRIF Balance sheet  Income ststement(011204)_MSIM BS REC 10 2004_financial statements-MKOI,MTIL,WSUI-(2007-09-30)jy" xfId="25767"/>
    <cellStyle name="_KRIF Balance sheet  Income ststement(011204)_MSIM BS REC 10 2004_롯데유럽홀딩스-NAV(2008-05-30)" xfId="25768"/>
    <cellStyle name="_KRIF Balance sheet  Income ststement(011204)_MSIM BS REC 10 2004_롯데유럽홀딩스-NAV(2008-06-30)" xfId="25769"/>
    <cellStyle name="_KRIF Balance sheet  Income ststement(011204)_MSIM BS REC 11 2004" xfId="25770"/>
    <cellStyle name="_KRIF Balance sheet  Income ststement(011204)_MSIM BS REC 11 2004_financial statements-MKOI,MTIL,WSUI-(2007-09-30)jy" xfId="25771"/>
    <cellStyle name="_KRIF Balance sheet  Income ststement(011204)_MSIM BS REC 11 2004_롯데유럽홀딩스-NAV(2008-05-30)" xfId="25772"/>
    <cellStyle name="_KRIF Balance sheet  Income ststement(011204)_MSIM BS REC 11 2004_롯데유럽홀딩스-NAV(2008-06-30)" xfId="25773"/>
    <cellStyle name="_KRIF Balance sheet  Income ststement(011204)_MSIM BS REC 12 2004" xfId="25774"/>
    <cellStyle name="_KRIF Balance sheet  Income ststement(011204)_MSIM BS REC 12 2004_financial statements-MKOI,MTIL,WSUI-(2007-09-30)jy" xfId="25775"/>
    <cellStyle name="_KRIF Balance sheet  Income ststement(011204)_MSIM BS REC 12 2004_롯데유럽홀딩스-NAV(2008-05-30)" xfId="25776"/>
    <cellStyle name="_KRIF Balance sheet  Income ststement(011204)_MSIM BS REC 12 2004_롯데유럽홀딩스-NAV(2008-06-30)" xfId="25777"/>
    <cellStyle name="_KRIF Balance sheet  Income ststement(011204)_롯데유럽홀딩스-NAV(2008-05-30)" xfId="25778"/>
    <cellStyle name="_KRIF Balance sheet  Income ststement(011204)_롯데유럽홀딩스-NAV(2008-06-30)" xfId="25779"/>
    <cellStyle name="_KRIF Balance sheet  Income ststement_-2004()" xfId="25780"/>
    <cellStyle name="_KRIF Balance sheet  Income ststement_-2004()_financial statements-MKOI,MTIL,WSUI-(2007-09-30)jy" xfId="25781"/>
    <cellStyle name="_KRIF Balance sheet  Income ststement_-2004()_롯데유럽홀딩스-NAV(2008-05-30)" xfId="25782"/>
    <cellStyle name="_KRIF Balance sheet  Income ststement_-2004()_롯데유럽홀딩스-NAV(2008-06-30)" xfId="25783"/>
    <cellStyle name="_KRIF Balance sheet  Income ststement_22001_1" xfId="25784"/>
    <cellStyle name="_KRIF Balance sheet  Income ststement_22001_1_financial statements-MKOI,MTIL,WSUI-(2007-09-30)jy" xfId="25785"/>
    <cellStyle name="_KRIF Balance sheet  Income ststement_22001_1_롯데유럽홀딩스-NAV(2008-05-30)" xfId="25786"/>
    <cellStyle name="_KRIF Balance sheet  Income ststement_22001_1_롯데유럽홀딩스-NAV(2008-06-30)" xfId="25787"/>
    <cellStyle name="_KRIF Balance sheet  Income ststement_22626_1" xfId="25788"/>
    <cellStyle name="_KRIF Balance sheet  Income ststement_22626_1_financial statements-MKOI,MTIL,WSUI-(2007-09-30)jy" xfId="25789"/>
    <cellStyle name="_KRIF Balance sheet  Income ststement_22626_1_롯데유럽홀딩스-NAV(2008-05-30)" xfId="25790"/>
    <cellStyle name="_KRIF Balance sheet  Income ststement_22626_1_롯데유럽홀딩스-NAV(2008-06-30)" xfId="25791"/>
    <cellStyle name="_KRIF Balance sheet  Income ststement_25978_1" xfId="25792"/>
    <cellStyle name="_KRIF Balance sheet  Income ststement_25978_1_financial statements-MKOI,MTIL,WSUI-(2007-09-30)jy" xfId="25793"/>
    <cellStyle name="_KRIF Balance sheet  Income ststement_25978_1_롯데유럽홀딩스-NAV(2008-05-30)" xfId="25794"/>
    <cellStyle name="_KRIF Balance sheet  Income ststement_25978_1_롯데유럽홀딩스-NAV(2008-06-30)" xfId="25795"/>
    <cellStyle name="_KRIF Balance sheet  Income ststement_26859_1" xfId="25796"/>
    <cellStyle name="_KRIF Balance sheet  Income ststement_26859_1_financial statements-MKOI,MTIL,WSUI-(2007-09-30)jy" xfId="25797"/>
    <cellStyle name="_KRIF Balance sheet  Income ststement_26859_1_롯데유럽홀딩스-NAV(2008-05-30)" xfId="25798"/>
    <cellStyle name="_KRIF Balance sheet  Income ststement_26859_1_롯데유럽홀딩스-NAV(2008-06-30)" xfId="25799"/>
    <cellStyle name="_KRIF Balance sheet  Income ststement_26973_1" xfId="25800"/>
    <cellStyle name="_KRIF Balance sheet  Income ststement_26973_1_financial statements-MKOI,MTIL,WSUI-(2007-09-30)jy" xfId="25801"/>
    <cellStyle name="_KRIF Balance sheet  Income ststement_26973_1_롯데유럽홀딩스-NAV(2008-05-30)" xfId="25802"/>
    <cellStyle name="_KRIF Balance sheet  Income ststement_26973_1_롯데유럽홀딩스-NAV(2008-06-30)" xfId="25803"/>
    <cellStyle name="_KRIF Balance sheet  Income ststement_27057_1" xfId="25804"/>
    <cellStyle name="_KRIF Balance sheet  Income ststement_27057_1_financial statements-MKOI,MTIL,WSUI-(2007-09-30)jy" xfId="25805"/>
    <cellStyle name="_KRIF Balance sheet  Income ststement_27057_1_롯데유럽홀딩스-NAV(2008-05-30)" xfId="25806"/>
    <cellStyle name="_KRIF Balance sheet  Income ststement_27057_1_롯데유럽홀딩스-NAV(2008-06-30)" xfId="25807"/>
    <cellStyle name="_KRIF Balance sheet  Income ststement_27105_1" xfId="25808"/>
    <cellStyle name="_KRIF Balance sheet  Income ststement_27105_1_financial statements-MKOI,MTIL,WSUI-(2007-09-30)jy" xfId="25809"/>
    <cellStyle name="_KRIF Balance sheet  Income ststement_27105_1_롯데유럽홀딩스-NAV(2008-05-30)" xfId="25810"/>
    <cellStyle name="_KRIF Balance sheet  Income ststement_27105_1_롯데유럽홀딩스-NAV(2008-06-30)" xfId="25811"/>
    <cellStyle name="_KRIF Balance sheet  Income ststement_27709_1" xfId="25812"/>
    <cellStyle name="_KRIF Balance sheet  Income ststement_27709_1_financial statements-MKOI,MTIL,WSUI-(2007-09-30)jy" xfId="25813"/>
    <cellStyle name="_KRIF Balance sheet  Income ststement_27709_1_롯데유럽홀딩스-NAV(2008-05-30)" xfId="25814"/>
    <cellStyle name="_KRIF Balance sheet  Income ststement_27709_1_롯데유럽홀딩스-NAV(2008-06-30)" xfId="25815"/>
    <cellStyle name="_KRIF Balance sheet  Income ststement_9260_1" xfId="25816"/>
    <cellStyle name="_KRIF Balance sheet  Income ststement_9260_1_financial statements-MKOI,MTIL,WSUI-(2007-09-30)jy" xfId="25817"/>
    <cellStyle name="_KRIF Balance sheet  Income ststement_9260_1_롯데유럽홀딩스-NAV(2008-05-30)" xfId="25818"/>
    <cellStyle name="_KRIF Balance sheet  Income ststement_9260_1_롯데유럽홀딩스-NAV(2008-06-30)" xfId="25819"/>
    <cellStyle name="_KRIF Balance sheet  Income ststement_financial statements-MKOI,MTIL,WSUI-(2007-09-30)jy" xfId="25820"/>
    <cellStyle name="_KRIF Balance sheet  Income ststement_KRIF BS REC 0407" xfId="25821"/>
    <cellStyle name="_KRIF Balance sheet  Income ststement_KRIF BS REC 0407_financial statements-MKOI,MTIL,WSUI-(2007-09-30)jy" xfId="25822"/>
    <cellStyle name="_KRIF Balance sheet  Income ststement_KRIF BS REC 0407_롯데유럽홀딩스-NAV(2008-05-30)" xfId="25823"/>
    <cellStyle name="_KRIF Balance sheet  Income ststement_KRIF BS REC 0407_롯데유럽홀딩스-NAV(2008-06-30)" xfId="25824"/>
    <cellStyle name="_KRIF Balance sheet  Income ststement_KRIF BS REC 0408" xfId="25825"/>
    <cellStyle name="_KRIF Balance sheet  Income ststement_KRIF BS REC 0408_financial statements-MKOI,MTIL,WSUI-(2007-09-30)jy" xfId="25826"/>
    <cellStyle name="_KRIF Balance sheet  Income ststement_KRIF BS REC 0408_롯데유럽홀딩스-NAV(2008-05-30)" xfId="25827"/>
    <cellStyle name="_KRIF Balance sheet  Income ststement_KRIF BS REC 0408_롯데유럽홀딩스-NAV(2008-06-30)" xfId="25828"/>
    <cellStyle name="_KRIF Balance sheet  Income ststement_MSIM BS REC 07 2004" xfId="25829"/>
    <cellStyle name="_KRIF Balance sheet  Income ststement_MSIM BS REC 07 2004_financial statements-MKOI,MTIL,WSUI-(2007-09-30)jy" xfId="25830"/>
    <cellStyle name="_KRIF Balance sheet  Income ststement_MSIM BS REC 07 2004_롯데유럽홀딩스-NAV(2008-05-30)" xfId="25831"/>
    <cellStyle name="_KRIF Balance sheet  Income ststement_MSIM BS REC 07 2004_롯데유럽홀딩스-NAV(2008-06-30)" xfId="25832"/>
    <cellStyle name="_KRIF Balance sheet  Income ststement_MSIM BS REC 08 2004" xfId="25833"/>
    <cellStyle name="_KRIF Balance sheet  Income ststement_MSIM BS REC 08 2004_financial statements-MKOI,MTIL,WSUI-(2007-09-30)jy" xfId="25834"/>
    <cellStyle name="_KRIF Balance sheet  Income ststement_MSIM BS REC 08 2004_롯데유럽홀딩스-NAV(2008-05-30)" xfId="25835"/>
    <cellStyle name="_KRIF Balance sheet  Income ststement_MSIM BS REC 08 2004_롯데유럽홀딩스-NAV(2008-06-30)" xfId="25836"/>
    <cellStyle name="_KRIF Balance sheet  Income ststement_MSIM BS REC 10 2004" xfId="25837"/>
    <cellStyle name="_KRIF Balance sheet  Income ststement_MSIM BS REC 10 2004_financial statements-MKOI,MTIL,WSUI-(2007-09-30)jy" xfId="25838"/>
    <cellStyle name="_KRIF Balance sheet  Income ststement_MSIM BS REC 10 2004_롯데유럽홀딩스-NAV(2008-05-30)" xfId="25839"/>
    <cellStyle name="_KRIF Balance sheet  Income ststement_MSIM BS REC 10 2004_롯데유럽홀딩스-NAV(2008-06-30)" xfId="25840"/>
    <cellStyle name="_KRIF Balance sheet  Income ststement_MSIM BS REC 11 2004" xfId="25841"/>
    <cellStyle name="_KRIF Balance sheet  Income ststement_MSIM BS REC 11 2004_financial statements-MKOI,MTIL,WSUI-(2007-09-30)jy" xfId="25842"/>
    <cellStyle name="_KRIF Balance sheet  Income ststement_MSIM BS REC 11 2004_롯데유럽홀딩스-NAV(2008-05-30)" xfId="25843"/>
    <cellStyle name="_KRIF Balance sheet  Income ststement_MSIM BS REC 11 2004_롯데유럽홀딩스-NAV(2008-06-30)" xfId="25844"/>
    <cellStyle name="_KRIF Balance sheet  Income ststement_MSIM BS REC 12 2004" xfId="25845"/>
    <cellStyle name="_KRIF Balance sheet  Income ststement_MSIM BS REC 12 2004_financial statements-MKOI,MTIL,WSUI-(2007-09-30)jy" xfId="25846"/>
    <cellStyle name="_KRIF Balance sheet  Income ststement_MSIM BS REC 12 2004_롯데유럽홀딩스-NAV(2008-05-30)" xfId="25847"/>
    <cellStyle name="_KRIF Balance sheet  Income ststement_MSIM BS REC 12 2004_롯데유럽홀딩스-NAV(2008-06-30)" xfId="25848"/>
    <cellStyle name="_KRIF Balance sheet  Income ststement_롯데유럽홀딩스-NAV(2008-05-30)" xfId="25849"/>
    <cellStyle name="_KRIF Balance sheet  Income ststement_롯데유럽홀딩스-NAV(2008-06-30)" xfId="25850"/>
    <cellStyle name="_KRIF Balance sheet  Income ststement1" xfId="25851"/>
    <cellStyle name="_KRIF Balance sheet  Income ststement1_-2004()" xfId="25852"/>
    <cellStyle name="_KRIF Balance sheet  Income ststement1_-2004()_financial statements-MKOI,MTIL,WSUI-(2007-09-30)jy" xfId="25853"/>
    <cellStyle name="_KRIF Balance sheet  Income ststement1_-2004()_롯데유럽홀딩스-NAV(2008-05-30)" xfId="25854"/>
    <cellStyle name="_KRIF Balance sheet  Income ststement1_-2004()_롯데유럽홀딩스-NAV(2008-06-30)" xfId="25855"/>
    <cellStyle name="_KRIF Balance sheet  Income ststement1_22001_1" xfId="25856"/>
    <cellStyle name="_KRIF Balance sheet  Income ststement1_22001_1_financial statements-MKOI,MTIL,WSUI-(2007-09-30)jy" xfId="25857"/>
    <cellStyle name="_KRIF Balance sheet  Income ststement1_22001_1_롯데유럽홀딩스-NAV(2008-05-30)" xfId="25858"/>
    <cellStyle name="_KRIF Balance sheet  Income ststement1_22001_1_롯데유럽홀딩스-NAV(2008-06-30)" xfId="25859"/>
    <cellStyle name="_KRIF Balance sheet  Income ststement1_22626_1" xfId="25860"/>
    <cellStyle name="_KRIF Balance sheet  Income ststement1_22626_1_financial statements-MKOI,MTIL,WSUI-(2007-09-30)jy" xfId="25861"/>
    <cellStyle name="_KRIF Balance sheet  Income ststement1_22626_1_롯데유럽홀딩스-NAV(2008-05-30)" xfId="25862"/>
    <cellStyle name="_KRIF Balance sheet  Income ststement1_22626_1_롯데유럽홀딩스-NAV(2008-06-30)" xfId="25863"/>
    <cellStyle name="_KRIF Balance sheet  Income ststement1_25978_1" xfId="25864"/>
    <cellStyle name="_KRIF Balance sheet  Income ststement1_25978_1_financial statements-MKOI,MTIL,WSUI-(2007-09-30)jy" xfId="25865"/>
    <cellStyle name="_KRIF Balance sheet  Income ststement1_25978_1_롯데유럽홀딩스-NAV(2008-05-30)" xfId="25866"/>
    <cellStyle name="_KRIF Balance sheet  Income ststement1_25978_1_롯데유럽홀딩스-NAV(2008-06-30)" xfId="25867"/>
    <cellStyle name="_KRIF Balance sheet  Income ststement1_26859_1" xfId="25868"/>
    <cellStyle name="_KRIF Balance sheet  Income ststement1_26859_1_financial statements-MKOI,MTIL,WSUI-(2007-09-30)jy" xfId="25869"/>
    <cellStyle name="_KRIF Balance sheet  Income ststement1_26859_1_롯데유럽홀딩스-NAV(2008-05-30)" xfId="25870"/>
    <cellStyle name="_KRIF Balance sheet  Income ststement1_26859_1_롯데유럽홀딩스-NAV(2008-06-30)" xfId="25871"/>
    <cellStyle name="_KRIF Balance sheet  Income ststement1_26973_1" xfId="25872"/>
    <cellStyle name="_KRIF Balance sheet  Income ststement1_26973_1_financial statements-MKOI,MTIL,WSUI-(2007-09-30)jy" xfId="25873"/>
    <cellStyle name="_KRIF Balance sheet  Income ststement1_26973_1_롯데유럽홀딩스-NAV(2008-05-30)" xfId="25874"/>
    <cellStyle name="_KRIF Balance sheet  Income ststement1_26973_1_롯데유럽홀딩스-NAV(2008-06-30)" xfId="25875"/>
    <cellStyle name="_KRIF Balance sheet  Income ststement1_27057_1" xfId="25876"/>
    <cellStyle name="_KRIF Balance sheet  Income ststement1_27057_1_financial statements-MKOI,MTIL,WSUI-(2007-09-30)jy" xfId="25877"/>
    <cellStyle name="_KRIF Balance sheet  Income ststement1_27057_1_롯데유럽홀딩스-NAV(2008-05-30)" xfId="25878"/>
    <cellStyle name="_KRIF Balance sheet  Income ststement1_27057_1_롯데유럽홀딩스-NAV(2008-06-30)" xfId="25879"/>
    <cellStyle name="_KRIF Balance sheet  Income ststement1_27105_1" xfId="25880"/>
    <cellStyle name="_KRIF Balance sheet  Income ststement1_27105_1_financial statements-MKOI,MTIL,WSUI-(2007-09-30)jy" xfId="25881"/>
    <cellStyle name="_KRIF Balance sheet  Income ststement1_27105_1_롯데유럽홀딩스-NAV(2008-05-30)" xfId="25882"/>
    <cellStyle name="_KRIF Balance sheet  Income ststement1_27105_1_롯데유럽홀딩스-NAV(2008-06-30)" xfId="25883"/>
    <cellStyle name="_KRIF Balance sheet  Income ststement1_27709_1" xfId="25884"/>
    <cellStyle name="_KRIF Balance sheet  Income ststement1_27709_1_financial statements-MKOI,MTIL,WSUI-(2007-09-30)jy" xfId="25885"/>
    <cellStyle name="_KRIF Balance sheet  Income ststement1_27709_1_롯데유럽홀딩스-NAV(2008-05-30)" xfId="25886"/>
    <cellStyle name="_KRIF Balance sheet  Income ststement1_27709_1_롯데유럽홀딩스-NAV(2008-06-30)" xfId="25887"/>
    <cellStyle name="_KRIF Balance sheet  Income ststement1_9260_1" xfId="25888"/>
    <cellStyle name="_KRIF Balance sheet  Income ststement1_9260_1_financial statements-MKOI,MTIL,WSUI-(2007-09-30)jy" xfId="25889"/>
    <cellStyle name="_KRIF Balance sheet  Income ststement1_9260_1_롯데유럽홀딩스-NAV(2008-05-30)" xfId="25890"/>
    <cellStyle name="_KRIF Balance sheet  Income ststement1_9260_1_롯데유럽홀딩스-NAV(2008-06-30)" xfId="25891"/>
    <cellStyle name="_KRIF Balance sheet  Income ststement1_financial statements-MKOI,MTIL,WSUI-(2007-09-30)jy" xfId="25892"/>
    <cellStyle name="_KRIF Balance sheet  Income ststement1_KRIF BS REC 0407" xfId="25893"/>
    <cellStyle name="_KRIF Balance sheet  Income ststement1_KRIF BS REC 0407_financial statements-MKOI,MTIL,WSUI-(2007-09-30)jy" xfId="25894"/>
    <cellStyle name="_KRIF Balance sheet  Income ststement1_KRIF BS REC 0407_롯데유럽홀딩스-NAV(2008-05-30)" xfId="25895"/>
    <cellStyle name="_KRIF Balance sheet  Income ststement1_KRIF BS REC 0407_롯데유럽홀딩스-NAV(2008-06-30)" xfId="25896"/>
    <cellStyle name="_KRIF Balance sheet  Income ststement1_KRIF BS REC 0408" xfId="25897"/>
    <cellStyle name="_KRIF Balance sheet  Income ststement1_KRIF BS REC 0408_financial statements-MKOI,MTIL,WSUI-(2007-09-30)jy" xfId="25898"/>
    <cellStyle name="_KRIF Balance sheet  Income ststement1_KRIF BS REC 0408_롯데유럽홀딩스-NAV(2008-05-30)" xfId="25899"/>
    <cellStyle name="_KRIF Balance sheet  Income ststement1_KRIF BS REC 0408_롯데유럽홀딩스-NAV(2008-06-30)" xfId="25900"/>
    <cellStyle name="_KRIF Balance sheet  Income ststement1_MSIM BS REC 07 2004" xfId="25901"/>
    <cellStyle name="_KRIF Balance sheet  Income ststement1_MSIM BS REC 07 2004_financial statements-MKOI,MTIL,WSUI-(2007-09-30)jy" xfId="25902"/>
    <cellStyle name="_KRIF Balance sheet  Income ststement1_MSIM BS REC 07 2004_롯데유럽홀딩스-NAV(2008-05-30)" xfId="25903"/>
    <cellStyle name="_KRIF Balance sheet  Income ststement1_MSIM BS REC 07 2004_롯데유럽홀딩스-NAV(2008-06-30)" xfId="25904"/>
    <cellStyle name="_KRIF Balance sheet  Income ststement1_MSIM BS REC 08 2004" xfId="25905"/>
    <cellStyle name="_KRIF Balance sheet  Income ststement1_MSIM BS REC 08 2004_financial statements-MKOI,MTIL,WSUI-(2007-09-30)jy" xfId="25906"/>
    <cellStyle name="_KRIF Balance sheet  Income ststement1_MSIM BS REC 08 2004_롯데유럽홀딩스-NAV(2008-05-30)" xfId="25907"/>
    <cellStyle name="_KRIF Balance sheet  Income ststement1_MSIM BS REC 08 2004_롯데유럽홀딩스-NAV(2008-06-30)" xfId="25908"/>
    <cellStyle name="_KRIF Balance sheet  Income ststement1_MSIM BS REC 10 2004" xfId="25909"/>
    <cellStyle name="_KRIF Balance sheet  Income ststement1_MSIM BS REC 10 2004_financial statements-MKOI,MTIL,WSUI-(2007-09-30)jy" xfId="25910"/>
    <cellStyle name="_KRIF Balance sheet  Income ststement1_MSIM BS REC 10 2004_롯데유럽홀딩스-NAV(2008-05-30)" xfId="25911"/>
    <cellStyle name="_KRIF Balance sheet  Income ststement1_MSIM BS REC 10 2004_롯데유럽홀딩스-NAV(2008-06-30)" xfId="25912"/>
    <cellStyle name="_KRIF Balance sheet  Income ststement1_MSIM BS REC 11 2004" xfId="25913"/>
    <cellStyle name="_KRIF Balance sheet  Income ststement1_MSIM BS REC 11 2004_financial statements-MKOI,MTIL,WSUI-(2007-09-30)jy" xfId="25914"/>
    <cellStyle name="_KRIF Balance sheet  Income ststement1_MSIM BS REC 11 2004_롯데유럽홀딩스-NAV(2008-05-30)" xfId="25915"/>
    <cellStyle name="_KRIF Balance sheet  Income ststement1_MSIM BS REC 11 2004_롯데유럽홀딩스-NAV(2008-06-30)" xfId="25916"/>
    <cellStyle name="_KRIF Balance sheet  Income ststement1_MSIM BS REC 12 2004" xfId="25917"/>
    <cellStyle name="_KRIF Balance sheet  Income ststement1_MSIM BS REC 12 2004_financial statements-MKOI,MTIL,WSUI-(2007-09-30)jy" xfId="25918"/>
    <cellStyle name="_KRIF Balance sheet  Income ststement1_MSIM BS REC 12 2004_롯데유럽홀딩스-NAV(2008-05-30)" xfId="25919"/>
    <cellStyle name="_KRIF Balance sheet  Income ststement1_MSIM BS REC 12 2004_롯데유럽홀딩스-NAV(2008-06-30)" xfId="25920"/>
    <cellStyle name="_KRIF Balance sheet  Income ststement1_Quarter ending 31 Dec 2003" xfId="25921"/>
    <cellStyle name="_KRIF Balance sheet  Income ststement1_Quarter ending 31 Dec 2003_-2004()" xfId="25922"/>
    <cellStyle name="_KRIF Balance sheet  Income ststement1_Quarter ending 31 Dec 2003_-2004()_financial statements-MKOI,MTIL,WSUI-(2007-09-30)jy" xfId="25923"/>
    <cellStyle name="_KRIF Balance sheet  Income ststement1_Quarter ending 31 Dec 2003_-2004()_롯데유럽홀딩스-NAV(2008-05-30)" xfId="25924"/>
    <cellStyle name="_KRIF Balance sheet  Income ststement1_Quarter ending 31 Dec 2003_-2004()_롯데유럽홀딩스-NAV(2008-06-30)" xfId="25925"/>
    <cellStyle name="_KRIF Balance sheet  Income ststement1_Quarter ending 31 Dec 2003_22001_1" xfId="25926"/>
    <cellStyle name="_KRIF Balance sheet  Income ststement1_Quarter ending 31 Dec 2003_22001_1_financial statements-MKOI,MTIL,WSUI-(2007-09-30)jy" xfId="25927"/>
    <cellStyle name="_KRIF Balance sheet  Income ststement1_Quarter ending 31 Dec 2003_22001_1_롯데유럽홀딩스-NAV(2008-05-30)" xfId="25928"/>
    <cellStyle name="_KRIF Balance sheet  Income ststement1_Quarter ending 31 Dec 2003_22001_1_롯데유럽홀딩스-NAV(2008-06-30)" xfId="25929"/>
    <cellStyle name="_KRIF Balance sheet  Income ststement1_Quarter ending 31 Dec 2003_22626_1" xfId="25930"/>
    <cellStyle name="_KRIF Balance sheet  Income ststement1_Quarter ending 31 Dec 2003_22626_1_financial statements-MKOI,MTIL,WSUI-(2007-09-30)jy" xfId="25931"/>
    <cellStyle name="_KRIF Balance sheet  Income ststement1_Quarter ending 31 Dec 2003_22626_1_롯데유럽홀딩스-NAV(2008-05-30)" xfId="25932"/>
    <cellStyle name="_KRIF Balance sheet  Income ststement1_Quarter ending 31 Dec 2003_22626_1_롯데유럽홀딩스-NAV(2008-06-30)" xfId="25933"/>
    <cellStyle name="_KRIF Balance sheet  Income ststement1_Quarter ending 31 Dec 2003_25978_1" xfId="25934"/>
    <cellStyle name="_KRIF Balance sheet  Income ststement1_Quarter ending 31 Dec 2003_25978_1_financial statements-MKOI,MTIL,WSUI-(2007-09-30)jy" xfId="25935"/>
    <cellStyle name="_KRIF Balance sheet  Income ststement1_Quarter ending 31 Dec 2003_25978_1_롯데유럽홀딩스-NAV(2008-05-30)" xfId="25936"/>
    <cellStyle name="_KRIF Balance sheet  Income ststement1_Quarter ending 31 Dec 2003_25978_1_롯데유럽홀딩스-NAV(2008-06-30)" xfId="25937"/>
    <cellStyle name="_KRIF Balance sheet  Income ststement1_Quarter ending 31 Dec 2003_26859_1" xfId="25938"/>
    <cellStyle name="_KRIF Balance sheet  Income ststement1_Quarter ending 31 Dec 2003_26859_1_financial statements-MKOI,MTIL,WSUI-(2007-09-30)jy" xfId="25939"/>
    <cellStyle name="_KRIF Balance sheet  Income ststement1_Quarter ending 31 Dec 2003_26859_1_롯데유럽홀딩스-NAV(2008-05-30)" xfId="25940"/>
    <cellStyle name="_KRIF Balance sheet  Income ststement1_Quarter ending 31 Dec 2003_26859_1_롯데유럽홀딩스-NAV(2008-06-30)" xfId="25941"/>
    <cellStyle name="_KRIF Balance sheet  Income ststement1_Quarter ending 31 Dec 2003_26973_1" xfId="25942"/>
    <cellStyle name="_KRIF Balance sheet  Income ststement1_Quarter ending 31 Dec 2003_26973_1_financial statements-MKOI,MTIL,WSUI-(2007-09-30)jy" xfId="25943"/>
    <cellStyle name="_KRIF Balance sheet  Income ststement1_Quarter ending 31 Dec 2003_26973_1_롯데유럽홀딩스-NAV(2008-05-30)" xfId="25944"/>
    <cellStyle name="_KRIF Balance sheet  Income ststement1_Quarter ending 31 Dec 2003_26973_1_롯데유럽홀딩스-NAV(2008-06-30)" xfId="25945"/>
    <cellStyle name="_KRIF Balance sheet  Income ststement1_Quarter ending 31 Dec 2003_27057_1" xfId="25946"/>
    <cellStyle name="_KRIF Balance sheet  Income ststement1_Quarter ending 31 Dec 2003_27057_1_financial statements-MKOI,MTIL,WSUI-(2007-09-30)jy" xfId="25947"/>
    <cellStyle name="_KRIF Balance sheet  Income ststement1_Quarter ending 31 Dec 2003_27057_1_롯데유럽홀딩스-NAV(2008-05-30)" xfId="25948"/>
    <cellStyle name="_KRIF Balance sheet  Income ststement1_Quarter ending 31 Dec 2003_27057_1_롯데유럽홀딩스-NAV(2008-06-30)" xfId="25949"/>
    <cellStyle name="_KRIF Balance sheet  Income ststement1_Quarter ending 31 Dec 2003_27105_1" xfId="25950"/>
    <cellStyle name="_KRIF Balance sheet  Income ststement1_Quarter ending 31 Dec 2003_27105_1_financial statements-MKOI,MTIL,WSUI-(2007-09-30)jy" xfId="25951"/>
    <cellStyle name="_KRIF Balance sheet  Income ststement1_Quarter ending 31 Dec 2003_27105_1_롯데유럽홀딩스-NAV(2008-05-30)" xfId="25952"/>
    <cellStyle name="_KRIF Balance sheet  Income ststement1_Quarter ending 31 Dec 2003_27105_1_롯데유럽홀딩스-NAV(2008-06-30)" xfId="25953"/>
    <cellStyle name="_KRIF Balance sheet  Income ststement1_Quarter ending 31 Dec 2003_27709_1" xfId="25954"/>
    <cellStyle name="_KRIF Balance sheet  Income ststement1_Quarter ending 31 Dec 2003_27709_1_financial statements-MKOI,MTIL,WSUI-(2007-09-30)jy" xfId="25955"/>
    <cellStyle name="_KRIF Balance sheet  Income ststement1_Quarter ending 31 Dec 2003_27709_1_롯데유럽홀딩스-NAV(2008-05-30)" xfId="25956"/>
    <cellStyle name="_KRIF Balance sheet  Income ststement1_Quarter ending 31 Dec 2003_27709_1_롯데유럽홀딩스-NAV(2008-06-30)" xfId="25957"/>
    <cellStyle name="_KRIF Balance sheet  Income ststement1_Quarter ending 31 Dec 2003_9260_1" xfId="25958"/>
    <cellStyle name="_KRIF Balance sheet  Income ststement1_Quarter ending 31 Dec 2003_9260_1_financial statements-MKOI,MTIL,WSUI-(2007-09-30)jy" xfId="25959"/>
    <cellStyle name="_KRIF Balance sheet  Income ststement1_Quarter ending 31 Dec 2003_9260_1_롯데유럽홀딩스-NAV(2008-05-30)" xfId="25960"/>
    <cellStyle name="_KRIF Balance sheet  Income ststement1_Quarter ending 31 Dec 2003_9260_1_롯데유럽홀딩스-NAV(2008-06-30)" xfId="25961"/>
    <cellStyle name="_KRIF Balance sheet  Income ststement1_Quarter ending 31 Dec 2003_financial statements-MKOI,MTIL,WSUI-(2007-09-30)jy" xfId="25962"/>
    <cellStyle name="_KRIF Balance sheet  Income ststement1_Quarter ending 31 Dec 2003_KRIF BS REC 0407" xfId="25963"/>
    <cellStyle name="_KRIF Balance sheet  Income ststement1_Quarter ending 31 Dec 2003_KRIF BS REC 0407_financial statements-MKOI,MTIL,WSUI-(2007-09-30)jy" xfId="25964"/>
    <cellStyle name="_KRIF Balance sheet  Income ststement1_Quarter ending 31 Dec 2003_KRIF BS REC 0407_롯데유럽홀딩스-NAV(2008-05-30)" xfId="25965"/>
    <cellStyle name="_KRIF Balance sheet  Income ststement1_Quarter ending 31 Dec 2003_KRIF BS REC 0407_롯데유럽홀딩스-NAV(2008-06-30)" xfId="25966"/>
    <cellStyle name="_KRIF Balance sheet  Income ststement1_Quarter ending 31 Dec 2003_KRIF BS REC 0408" xfId="25967"/>
    <cellStyle name="_KRIF Balance sheet  Income ststement1_Quarter ending 31 Dec 2003_KRIF BS REC 0408_financial statements-MKOI,MTIL,WSUI-(2007-09-30)jy" xfId="25968"/>
    <cellStyle name="_KRIF Balance sheet  Income ststement1_Quarter ending 31 Dec 2003_KRIF BS REC 0408_롯데유럽홀딩스-NAV(2008-05-30)" xfId="25969"/>
    <cellStyle name="_KRIF Balance sheet  Income ststement1_Quarter ending 31 Dec 2003_KRIF BS REC 0408_롯데유럽홀딩스-NAV(2008-06-30)" xfId="25970"/>
    <cellStyle name="_KRIF Balance sheet  Income ststement1_Quarter ending 31 Dec 2003_MSIM BS REC 07 2004" xfId="25971"/>
    <cellStyle name="_KRIF Balance sheet  Income ststement1_Quarter ending 31 Dec 2003_MSIM BS REC 07 2004_financial statements-MKOI,MTIL,WSUI-(2007-09-30)jy" xfId="25972"/>
    <cellStyle name="_KRIF Balance sheet  Income ststement1_Quarter ending 31 Dec 2003_MSIM BS REC 07 2004_롯데유럽홀딩스-NAV(2008-05-30)" xfId="25973"/>
    <cellStyle name="_KRIF Balance sheet  Income ststement1_Quarter ending 31 Dec 2003_MSIM BS REC 07 2004_롯데유럽홀딩스-NAV(2008-06-30)" xfId="25974"/>
    <cellStyle name="_KRIF Balance sheet  Income ststement1_Quarter ending 31 Dec 2003_MSIM BS REC 08 2004" xfId="25975"/>
    <cellStyle name="_KRIF Balance sheet  Income ststement1_Quarter ending 31 Dec 2003_MSIM BS REC 08 2004_financial statements-MKOI,MTIL,WSUI-(2007-09-30)jy" xfId="25976"/>
    <cellStyle name="_KRIF Balance sheet  Income ststement1_Quarter ending 31 Dec 2003_MSIM BS REC 08 2004_롯데유럽홀딩스-NAV(2008-05-30)" xfId="25977"/>
    <cellStyle name="_KRIF Balance sheet  Income ststement1_Quarter ending 31 Dec 2003_MSIM BS REC 08 2004_롯데유럽홀딩스-NAV(2008-06-30)" xfId="25978"/>
    <cellStyle name="_KRIF Balance sheet  Income ststement1_Quarter ending 31 Dec 2003_MSIM BS REC 10 2004" xfId="25979"/>
    <cellStyle name="_KRIF Balance sheet  Income ststement1_Quarter ending 31 Dec 2003_MSIM BS REC 10 2004_financial statements-MKOI,MTIL,WSUI-(2007-09-30)jy" xfId="25980"/>
    <cellStyle name="_KRIF Balance sheet  Income ststement1_Quarter ending 31 Dec 2003_MSIM BS REC 10 2004_롯데유럽홀딩스-NAV(2008-05-30)" xfId="25981"/>
    <cellStyle name="_KRIF Balance sheet  Income ststement1_Quarter ending 31 Dec 2003_MSIM BS REC 10 2004_롯데유럽홀딩스-NAV(2008-06-30)" xfId="25982"/>
    <cellStyle name="_KRIF Balance sheet  Income ststement1_Quarter ending 31 Dec 2003_MSIM BS REC 11 2004" xfId="25983"/>
    <cellStyle name="_KRIF Balance sheet  Income ststement1_Quarter ending 31 Dec 2003_MSIM BS REC 11 2004_financial statements-MKOI,MTIL,WSUI-(2007-09-30)jy" xfId="25984"/>
    <cellStyle name="_KRIF Balance sheet  Income ststement1_Quarter ending 31 Dec 2003_MSIM BS REC 11 2004_롯데유럽홀딩스-NAV(2008-05-30)" xfId="25985"/>
    <cellStyle name="_KRIF Balance sheet  Income ststement1_Quarter ending 31 Dec 2003_MSIM BS REC 11 2004_롯데유럽홀딩스-NAV(2008-06-30)" xfId="25986"/>
    <cellStyle name="_KRIF Balance sheet  Income ststement1_Quarter ending 31 Dec 2003_MSIM BS REC 12 2004" xfId="25987"/>
    <cellStyle name="_KRIF Balance sheet  Income ststement1_Quarter ending 31 Dec 2003_MSIM BS REC 12 2004_financial statements-MKOI,MTIL,WSUI-(2007-09-30)jy" xfId="25988"/>
    <cellStyle name="_KRIF Balance sheet  Income ststement1_Quarter ending 31 Dec 2003_MSIM BS REC 12 2004_롯데유럽홀딩스-NAV(2008-05-30)" xfId="25989"/>
    <cellStyle name="_KRIF Balance sheet  Income ststement1_Quarter ending 31 Dec 2003_MSIM BS REC 12 2004_롯데유럽홀딩스-NAV(2008-06-30)" xfId="25990"/>
    <cellStyle name="_KRIF Balance sheet  Income ststement1_Quarter ending 31 Dec 2003_롯데유럽홀딩스-NAV(2008-05-30)" xfId="25991"/>
    <cellStyle name="_KRIF Balance sheet  Income ststement1_Quarter ending 31 Dec 2003_롯데유럽홀딩스-NAV(2008-06-30)" xfId="25992"/>
    <cellStyle name="_KRIF Balance sheet  Income ststement1_롯데유럽홀딩스-NAV(2008-05-30)" xfId="25993"/>
    <cellStyle name="_KRIF Balance sheet  Income ststement1_롯데유럽홀딩스-NAV(2008-06-30)" xfId="25994"/>
    <cellStyle name="_KRIF BSPL(Oct)" xfId="25995"/>
    <cellStyle name="_KRIF BSPL(Oct)_-2004()" xfId="25996"/>
    <cellStyle name="_KRIF BSPL(Oct)_-2004()_financial statements-MKOI,MTIL,WSUI-(2007-09-30)jy" xfId="25997"/>
    <cellStyle name="_KRIF BSPL(Oct)_-2004()_롯데유럽홀딩스-NAV(2008-05-30)" xfId="25998"/>
    <cellStyle name="_KRIF BSPL(Oct)_-2004()_롯데유럽홀딩스-NAV(2008-06-30)" xfId="25999"/>
    <cellStyle name="_KRIF BSPL(Oct)_22001_1" xfId="26000"/>
    <cellStyle name="_KRIF BSPL(Oct)_22001_1_financial statements-MKOI,MTIL,WSUI-(2007-09-30)jy" xfId="26001"/>
    <cellStyle name="_KRIF BSPL(Oct)_22001_1_롯데유럽홀딩스-NAV(2008-05-30)" xfId="26002"/>
    <cellStyle name="_KRIF BSPL(Oct)_22001_1_롯데유럽홀딩스-NAV(2008-06-30)" xfId="26003"/>
    <cellStyle name="_KRIF BSPL(Oct)_22626_1" xfId="26004"/>
    <cellStyle name="_KRIF BSPL(Oct)_22626_1_financial statements-MKOI,MTIL,WSUI-(2007-09-30)jy" xfId="26005"/>
    <cellStyle name="_KRIF BSPL(Oct)_22626_1_롯데유럽홀딩스-NAV(2008-05-30)" xfId="26006"/>
    <cellStyle name="_KRIF BSPL(Oct)_22626_1_롯데유럽홀딩스-NAV(2008-06-30)" xfId="26007"/>
    <cellStyle name="_KRIF BSPL(Oct)_25978_1" xfId="26008"/>
    <cellStyle name="_KRIF BSPL(Oct)_25978_1_financial statements-MKOI,MTIL,WSUI-(2007-09-30)jy" xfId="26009"/>
    <cellStyle name="_KRIF BSPL(Oct)_25978_1_롯데유럽홀딩스-NAV(2008-05-30)" xfId="26010"/>
    <cellStyle name="_KRIF BSPL(Oct)_25978_1_롯데유럽홀딩스-NAV(2008-06-30)" xfId="26011"/>
    <cellStyle name="_KRIF BSPL(Oct)_26859_1" xfId="26012"/>
    <cellStyle name="_KRIF BSPL(Oct)_26859_1_financial statements-MKOI,MTIL,WSUI-(2007-09-30)jy" xfId="26013"/>
    <cellStyle name="_KRIF BSPL(Oct)_26859_1_롯데유럽홀딩스-NAV(2008-05-30)" xfId="26014"/>
    <cellStyle name="_KRIF BSPL(Oct)_26859_1_롯데유럽홀딩스-NAV(2008-06-30)" xfId="26015"/>
    <cellStyle name="_KRIF BSPL(Oct)_26973_1" xfId="26016"/>
    <cellStyle name="_KRIF BSPL(Oct)_26973_1_financial statements-MKOI,MTIL,WSUI-(2007-09-30)jy" xfId="26017"/>
    <cellStyle name="_KRIF BSPL(Oct)_26973_1_롯데유럽홀딩스-NAV(2008-05-30)" xfId="26018"/>
    <cellStyle name="_KRIF BSPL(Oct)_26973_1_롯데유럽홀딩스-NAV(2008-06-30)" xfId="26019"/>
    <cellStyle name="_KRIF BSPL(Oct)_27057_1" xfId="26020"/>
    <cellStyle name="_KRIF BSPL(Oct)_27057_1_financial statements-MKOI,MTIL,WSUI-(2007-09-30)jy" xfId="26021"/>
    <cellStyle name="_KRIF BSPL(Oct)_27057_1_롯데유럽홀딩스-NAV(2008-05-30)" xfId="26022"/>
    <cellStyle name="_KRIF BSPL(Oct)_27057_1_롯데유럽홀딩스-NAV(2008-06-30)" xfId="26023"/>
    <cellStyle name="_KRIF BSPL(Oct)_27105_1" xfId="26024"/>
    <cellStyle name="_KRIF BSPL(Oct)_27105_1_financial statements-MKOI,MTIL,WSUI-(2007-09-30)jy" xfId="26025"/>
    <cellStyle name="_KRIF BSPL(Oct)_27105_1_롯데유럽홀딩스-NAV(2008-05-30)" xfId="26026"/>
    <cellStyle name="_KRIF BSPL(Oct)_27105_1_롯데유럽홀딩스-NAV(2008-06-30)" xfId="26027"/>
    <cellStyle name="_KRIF BSPL(Oct)_27709_1" xfId="26028"/>
    <cellStyle name="_KRIF BSPL(Oct)_27709_1_financial statements-MKOI,MTIL,WSUI-(2007-09-30)jy" xfId="26029"/>
    <cellStyle name="_KRIF BSPL(Oct)_27709_1_롯데유럽홀딩스-NAV(2008-05-30)" xfId="26030"/>
    <cellStyle name="_KRIF BSPL(Oct)_27709_1_롯데유럽홀딩스-NAV(2008-06-30)" xfId="26031"/>
    <cellStyle name="_KRIF BSPL(Oct)_9260_1" xfId="26032"/>
    <cellStyle name="_KRIF BSPL(Oct)_9260_1_financial statements-MKOI,MTIL,WSUI-(2007-09-30)jy" xfId="26033"/>
    <cellStyle name="_KRIF BSPL(Oct)_9260_1_롯데유럽홀딩스-NAV(2008-05-30)" xfId="26034"/>
    <cellStyle name="_KRIF BSPL(Oct)_9260_1_롯데유럽홀딩스-NAV(2008-06-30)" xfId="26035"/>
    <cellStyle name="_KRIF BSPL(Oct)_financial statements-MKOI,MTIL,WSUI-(2007-09-30)jy" xfId="26036"/>
    <cellStyle name="_KRIF BSPL(Oct)_KRIF BS REC 0407" xfId="26037"/>
    <cellStyle name="_KRIF BSPL(Oct)_KRIF BS REC 0407_financial statements-MKOI,MTIL,WSUI-(2007-09-30)jy" xfId="26038"/>
    <cellStyle name="_KRIF BSPL(Oct)_KRIF BS REC 0407_롯데유럽홀딩스-NAV(2008-05-30)" xfId="26039"/>
    <cellStyle name="_KRIF BSPL(Oct)_KRIF BS REC 0407_롯데유럽홀딩스-NAV(2008-06-30)" xfId="26040"/>
    <cellStyle name="_KRIF BSPL(Oct)_KRIF BS REC 0408" xfId="26041"/>
    <cellStyle name="_KRIF BSPL(Oct)_KRIF BS REC 0408_financial statements-MKOI,MTIL,WSUI-(2007-09-30)jy" xfId="26042"/>
    <cellStyle name="_KRIF BSPL(Oct)_KRIF BS REC 0408_롯데유럽홀딩스-NAV(2008-05-30)" xfId="26043"/>
    <cellStyle name="_KRIF BSPL(Oct)_KRIF BS REC 0408_롯데유럽홀딩스-NAV(2008-06-30)" xfId="26044"/>
    <cellStyle name="_KRIF BSPL(Oct)_MSIM BS REC 07 2004" xfId="26045"/>
    <cellStyle name="_KRIF BSPL(Oct)_MSIM BS REC 07 2004_financial statements-MKOI,MTIL,WSUI-(2007-09-30)jy" xfId="26046"/>
    <cellStyle name="_KRIF BSPL(Oct)_MSIM BS REC 07 2004_롯데유럽홀딩스-NAV(2008-05-30)" xfId="26047"/>
    <cellStyle name="_KRIF BSPL(Oct)_MSIM BS REC 07 2004_롯데유럽홀딩스-NAV(2008-06-30)" xfId="26048"/>
    <cellStyle name="_KRIF BSPL(Oct)_MSIM BS REC 08 2004" xfId="26049"/>
    <cellStyle name="_KRIF BSPL(Oct)_MSIM BS REC 08 2004_financial statements-MKOI,MTIL,WSUI-(2007-09-30)jy" xfId="26050"/>
    <cellStyle name="_KRIF BSPL(Oct)_MSIM BS REC 08 2004_롯데유럽홀딩스-NAV(2008-05-30)" xfId="26051"/>
    <cellStyle name="_KRIF BSPL(Oct)_MSIM BS REC 08 2004_롯데유럽홀딩스-NAV(2008-06-30)" xfId="26052"/>
    <cellStyle name="_KRIF BSPL(Oct)_MSIM BS REC 10 2004" xfId="26053"/>
    <cellStyle name="_KRIF BSPL(Oct)_MSIM BS REC 10 2004_financial statements-MKOI,MTIL,WSUI-(2007-09-30)jy" xfId="26054"/>
    <cellStyle name="_KRIF BSPL(Oct)_MSIM BS REC 10 2004_롯데유럽홀딩스-NAV(2008-05-30)" xfId="26055"/>
    <cellStyle name="_KRIF BSPL(Oct)_MSIM BS REC 10 2004_롯데유럽홀딩스-NAV(2008-06-30)" xfId="26056"/>
    <cellStyle name="_KRIF BSPL(Oct)_MSIM BS REC 11 2004" xfId="26057"/>
    <cellStyle name="_KRIF BSPL(Oct)_MSIM BS REC 11 2004_financial statements-MKOI,MTIL,WSUI-(2007-09-30)jy" xfId="26058"/>
    <cellStyle name="_KRIF BSPL(Oct)_MSIM BS REC 11 2004_롯데유럽홀딩스-NAV(2008-05-30)" xfId="26059"/>
    <cellStyle name="_KRIF BSPL(Oct)_MSIM BS REC 11 2004_롯데유럽홀딩스-NAV(2008-06-30)" xfId="26060"/>
    <cellStyle name="_KRIF BSPL(Oct)_MSIM BS REC 12 2004" xfId="26061"/>
    <cellStyle name="_KRIF BSPL(Oct)_MSIM BS REC 12 2004_financial statements-MKOI,MTIL,WSUI-(2007-09-30)jy" xfId="26062"/>
    <cellStyle name="_KRIF BSPL(Oct)_MSIM BS REC 12 2004_롯데유럽홀딩스-NAV(2008-05-30)" xfId="26063"/>
    <cellStyle name="_KRIF BSPL(Oct)_MSIM BS REC 12 2004_롯데유럽홀딩스-NAV(2008-06-30)" xfId="26064"/>
    <cellStyle name="_KRIF BSPL(Oct)_Quarter ending 31 Dec 2003" xfId="26065"/>
    <cellStyle name="_KRIF BSPL(Oct)_Quarter ending 31 Dec 2003_-2004()" xfId="26066"/>
    <cellStyle name="_KRIF BSPL(Oct)_Quarter ending 31 Dec 2003_-2004()_financial statements-MKOI,MTIL,WSUI-(2007-09-30)jy" xfId="26067"/>
    <cellStyle name="_KRIF BSPL(Oct)_Quarter ending 31 Dec 2003_-2004()_롯데유럽홀딩스-NAV(2008-05-30)" xfId="26068"/>
    <cellStyle name="_KRIF BSPL(Oct)_Quarter ending 31 Dec 2003_-2004()_롯데유럽홀딩스-NAV(2008-06-30)" xfId="26069"/>
    <cellStyle name="_KRIF BSPL(Oct)_Quarter ending 31 Dec 2003_22001_1" xfId="26070"/>
    <cellStyle name="_KRIF BSPL(Oct)_Quarter ending 31 Dec 2003_22001_1_financial statements-MKOI,MTIL,WSUI-(2007-09-30)jy" xfId="26071"/>
    <cellStyle name="_KRIF BSPL(Oct)_Quarter ending 31 Dec 2003_22001_1_롯데유럽홀딩스-NAV(2008-05-30)" xfId="26072"/>
    <cellStyle name="_KRIF BSPL(Oct)_Quarter ending 31 Dec 2003_22001_1_롯데유럽홀딩스-NAV(2008-06-30)" xfId="26073"/>
    <cellStyle name="_KRIF BSPL(Oct)_Quarter ending 31 Dec 2003_22626_1" xfId="26074"/>
    <cellStyle name="_KRIF BSPL(Oct)_Quarter ending 31 Dec 2003_22626_1_financial statements-MKOI,MTIL,WSUI-(2007-09-30)jy" xfId="26075"/>
    <cellStyle name="_KRIF BSPL(Oct)_Quarter ending 31 Dec 2003_22626_1_롯데유럽홀딩스-NAV(2008-05-30)" xfId="26076"/>
    <cellStyle name="_KRIF BSPL(Oct)_Quarter ending 31 Dec 2003_22626_1_롯데유럽홀딩스-NAV(2008-06-30)" xfId="26077"/>
    <cellStyle name="_KRIF BSPL(Oct)_Quarter ending 31 Dec 2003_25978_1" xfId="26078"/>
    <cellStyle name="_KRIF BSPL(Oct)_Quarter ending 31 Dec 2003_25978_1_financial statements-MKOI,MTIL,WSUI-(2007-09-30)jy" xfId="26079"/>
    <cellStyle name="_KRIF BSPL(Oct)_Quarter ending 31 Dec 2003_25978_1_롯데유럽홀딩스-NAV(2008-05-30)" xfId="26080"/>
    <cellStyle name="_KRIF BSPL(Oct)_Quarter ending 31 Dec 2003_25978_1_롯데유럽홀딩스-NAV(2008-06-30)" xfId="26081"/>
    <cellStyle name="_KRIF BSPL(Oct)_Quarter ending 31 Dec 2003_26859_1" xfId="26082"/>
    <cellStyle name="_KRIF BSPL(Oct)_Quarter ending 31 Dec 2003_26859_1_financial statements-MKOI,MTIL,WSUI-(2007-09-30)jy" xfId="26083"/>
    <cellStyle name="_KRIF BSPL(Oct)_Quarter ending 31 Dec 2003_26859_1_롯데유럽홀딩스-NAV(2008-05-30)" xfId="26084"/>
    <cellStyle name="_KRIF BSPL(Oct)_Quarter ending 31 Dec 2003_26859_1_롯데유럽홀딩스-NAV(2008-06-30)" xfId="26085"/>
    <cellStyle name="_KRIF BSPL(Oct)_Quarter ending 31 Dec 2003_26973_1" xfId="26086"/>
    <cellStyle name="_KRIF BSPL(Oct)_Quarter ending 31 Dec 2003_26973_1_financial statements-MKOI,MTIL,WSUI-(2007-09-30)jy" xfId="26087"/>
    <cellStyle name="_KRIF BSPL(Oct)_Quarter ending 31 Dec 2003_26973_1_롯데유럽홀딩스-NAV(2008-05-30)" xfId="26088"/>
    <cellStyle name="_KRIF BSPL(Oct)_Quarter ending 31 Dec 2003_26973_1_롯데유럽홀딩스-NAV(2008-06-30)" xfId="26089"/>
    <cellStyle name="_KRIF BSPL(Oct)_Quarter ending 31 Dec 2003_27057_1" xfId="26090"/>
    <cellStyle name="_KRIF BSPL(Oct)_Quarter ending 31 Dec 2003_27057_1_financial statements-MKOI,MTIL,WSUI-(2007-09-30)jy" xfId="26091"/>
    <cellStyle name="_KRIF BSPL(Oct)_Quarter ending 31 Dec 2003_27057_1_롯데유럽홀딩스-NAV(2008-05-30)" xfId="26092"/>
    <cellStyle name="_KRIF BSPL(Oct)_Quarter ending 31 Dec 2003_27057_1_롯데유럽홀딩스-NAV(2008-06-30)" xfId="26093"/>
    <cellStyle name="_KRIF BSPL(Oct)_Quarter ending 31 Dec 2003_27105_1" xfId="26094"/>
    <cellStyle name="_KRIF BSPL(Oct)_Quarter ending 31 Dec 2003_27105_1_financial statements-MKOI,MTIL,WSUI-(2007-09-30)jy" xfId="26095"/>
    <cellStyle name="_KRIF BSPL(Oct)_Quarter ending 31 Dec 2003_27105_1_롯데유럽홀딩스-NAV(2008-05-30)" xfId="26096"/>
    <cellStyle name="_KRIF BSPL(Oct)_Quarter ending 31 Dec 2003_27105_1_롯데유럽홀딩스-NAV(2008-06-30)" xfId="26097"/>
    <cellStyle name="_KRIF BSPL(Oct)_Quarter ending 31 Dec 2003_27709_1" xfId="26098"/>
    <cellStyle name="_KRIF BSPL(Oct)_Quarter ending 31 Dec 2003_27709_1_financial statements-MKOI,MTIL,WSUI-(2007-09-30)jy" xfId="26099"/>
    <cellStyle name="_KRIF BSPL(Oct)_Quarter ending 31 Dec 2003_27709_1_롯데유럽홀딩스-NAV(2008-05-30)" xfId="26100"/>
    <cellStyle name="_KRIF BSPL(Oct)_Quarter ending 31 Dec 2003_27709_1_롯데유럽홀딩스-NAV(2008-06-30)" xfId="26101"/>
    <cellStyle name="_KRIF BSPL(Oct)_Quarter ending 31 Dec 2003_9260_1" xfId="26102"/>
    <cellStyle name="_KRIF BSPL(Oct)_Quarter ending 31 Dec 2003_9260_1_financial statements-MKOI,MTIL,WSUI-(2007-09-30)jy" xfId="26103"/>
    <cellStyle name="_KRIF BSPL(Oct)_Quarter ending 31 Dec 2003_9260_1_롯데유럽홀딩스-NAV(2008-05-30)" xfId="26104"/>
    <cellStyle name="_KRIF BSPL(Oct)_Quarter ending 31 Dec 2003_9260_1_롯데유럽홀딩스-NAV(2008-06-30)" xfId="26105"/>
    <cellStyle name="_KRIF BSPL(Oct)_Quarter ending 31 Dec 2003_financial statements-MKOI,MTIL,WSUI-(2007-09-30)jy" xfId="26106"/>
    <cellStyle name="_KRIF BSPL(Oct)_Quarter ending 31 Dec 2003_KRIF BS REC 0407" xfId="26107"/>
    <cellStyle name="_KRIF BSPL(Oct)_Quarter ending 31 Dec 2003_KRIF BS REC 0407_financial statements-MKOI,MTIL,WSUI-(2007-09-30)jy" xfId="26108"/>
    <cellStyle name="_KRIF BSPL(Oct)_Quarter ending 31 Dec 2003_KRIF BS REC 0407_롯데유럽홀딩스-NAV(2008-05-30)" xfId="26109"/>
    <cellStyle name="_KRIF BSPL(Oct)_Quarter ending 31 Dec 2003_KRIF BS REC 0407_롯데유럽홀딩스-NAV(2008-06-30)" xfId="26110"/>
    <cellStyle name="_KRIF BSPL(Oct)_Quarter ending 31 Dec 2003_KRIF BS REC 0408" xfId="26111"/>
    <cellStyle name="_KRIF BSPL(Oct)_Quarter ending 31 Dec 2003_KRIF BS REC 0408_financial statements-MKOI,MTIL,WSUI-(2007-09-30)jy" xfId="26112"/>
    <cellStyle name="_KRIF BSPL(Oct)_Quarter ending 31 Dec 2003_KRIF BS REC 0408_롯데유럽홀딩스-NAV(2008-05-30)" xfId="26113"/>
    <cellStyle name="_KRIF BSPL(Oct)_Quarter ending 31 Dec 2003_KRIF BS REC 0408_롯데유럽홀딩스-NAV(2008-06-30)" xfId="26114"/>
    <cellStyle name="_KRIF BSPL(Oct)_Quarter ending 31 Dec 2003_MSIM BS REC 07 2004" xfId="26115"/>
    <cellStyle name="_KRIF BSPL(Oct)_Quarter ending 31 Dec 2003_MSIM BS REC 07 2004_financial statements-MKOI,MTIL,WSUI-(2007-09-30)jy" xfId="26116"/>
    <cellStyle name="_KRIF BSPL(Oct)_Quarter ending 31 Dec 2003_MSIM BS REC 07 2004_롯데유럽홀딩스-NAV(2008-05-30)" xfId="26117"/>
    <cellStyle name="_KRIF BSPL(Oct)_Quarter ending 31 Dec 2003_MSIM BS REC 07 2004_롯데유럽홀딩스-NAV(2008-06-30)" xfId="26118"/>
    <cellStyle name="_KRIF BSPL(Oct)_Quarter ending 31 Dec 2003_MSIM BS REC 08 2004" xfId="26119"/>
    <cellStyle name="_KRIF BSPL(Oct)_Quarter ending 31 Dec 2003_MSIM BS REC 08 2004_financial statements-MKOI,MTIL,WSUI-(2007-09-30)jy" xfId="26120"/>
    <cellStyle name="_KRIF BSPL(Oct)_Quarter ending 31 Dec 2003_MSIM BS REC 08 2004_롯데유럽홀딩스-NAV(2008-05-30)" xfId="26121"/>
    <cellStyle name="_KRIF BSPL(Oct)_Quarter ending 31 Dec 2003_MSIM BS REC 08 2004_롯데유럽홀딩스-NAV(2008-06-30)" xfId="26122"/>
    <cellStyle name="_KRIF BSPL(Oct)_Quarter ending 31 Dec 2003_MSIM BS REC 10 2004" xfId="26123"/>
    <cellStyle name="_KRIF BSPL(Oct)_Quarter ending 31 Dec 2003_MSIM BS REC 10 2004_financial statements-MKOI,MTIL,WSUI-(2007-09-30)jy" xfId="26124"/>
    <cellStyle name="_KRIF BSPL(Oct)_Quarter ending 31 Dec 2003_MSIM BS REC 10 2004_롯데유럽홀딩스-NAV(2008-05-30)" xfId="26125"/>
    <cellStyle name="_KRIF BSPL(Oct)_Quarter ending 31 Dec 2003_MSIM BS REC 10 2004_롯데유럽홀딩스-NAV(2008-06-30)" xfId="26126"/>
    <cellStyle name="_KRIF BSPL(Oct)_Quarter ending 31 Dec 2003_MSIM BS REC 11 2004" xfId="26127"/>
    <cellStyle name="_KRIF BSPL(Oct)_Quarter ending 31 Dec 2003_MSIM BS REC 11 2004_financial statements-MKOI,MTIL,WSUI-(2007-09-30)jy" xfId="26128"/>
    <cellStyle name="_KRIF BSPL(Oct)_Quarter ending 31 Dec 2003_MSIM BS REC 11 2004_롯데유럽홀딩스-NAV(2008-05-30)" xfId="26129"/>
    <cellStyle name="_KRIF BSPL(Oct)_Quarter ending 31 Dec 2003_MSIM BS REC 11 2004_롯데유럽홀딩스-NAV(2008-06-30)" xfId="26130"/>
    <cellStyle name="_KRIF BSPL(Oct)_Quarter ending 31 Dec 2003_MSIM BS REC 12 2004" xfId="26131"/>
    <cellStyle name="_KRIF BSPL(Oct)_Quarter ending 31 Dec 2003_MSIM BS REC 12 2004_financial statements-MKOI,MTIL,WSUI-(2007-09-30)jy" xfId="26132"/>
    <cellStyle name="_KRIF BSPL(Oct)_Quarter ending 31 Dec 2003_MSIM BS REC 12 2004_롯데유럽홀딩스-NAV(2008-05-30)" xfId="26133"/>
    <cellStyle name="_KRIF BSPL(Oct)_Quarter ending 31 Dec 2003_MSIM BS REC 12 2004_롯데유럽홀딩스-NAV(2008-06-30)" xfId="26134"/>
    <cellStyle name="_KRIF BSPL(Oct)_Quarter ending 31 Dec 2003_롯데유럽홀딩스-NAV(2008-05-30)" xfId="26135"/>
    <cellStyle name="_KRIF BSPL(Oct)_Quarter ending 31 Dec 2003_롯데유럽홀딩스-NAV(2008-06-30)" xfId="26136"/>
    <cellStyle name="_KRIF BSPL(Oct)_롯데유럽홀딩스-NAV(2008-05-30)" xfId="26137"/>
    <cellStyle name="_KRIF BSPL(Oct)_롯데유럽홀딩스-NAV(2008-06-30)" xfId="26138"/>
    <cellStyle name="_KRIF_FS_SEP" xfId="26139"/>
    <cellStyle name="_KRIF_FS_SEP_-2004()" xfId="26140"/>
    <cellStyle name="_KRIF_FS_SEP_-2004()_financial statements-MKOI,MTIL,WSUI-(2007-09-30)jy" xfId="26141"/>
    <cellStyle name="_KRIF_FS_SEP_-2004()_롯데유럽홀딩스-NAV(2008-05-30)" xfId="26142"/>
    <cellStyle name="_KRIF_FS_SEP_-2004()_롯데유럽홀딩스-NAV(2008-06-30)" xfId="26143"/>
    <cellStyle name="_KRIF_FS_SEP_22001_1" xfId="26144"/>
    <cellStyle name="_KRIF_FS_SEP_22001_1_financial statements-MKOI,MTIL,WSUI-(2007-09-30)jy" xfId="26145"/>
    <cellStyle name="_KRIF_FS_SEP_22001_1_롯데유럽홀딩스-NAV(2008-05-30)" xfId="26146"/>
    <cellStyle name="_KRIF_FS_SEP_22001_1_롯데유럽홀딩스-NAV(2008-06-30)" xfId="26147"/>
    <cellStyle name="_KRIF_FS_SEP_22626_1" xfId="26148"/>
    <cellStyle name="_KRIF_FS_SEP_22626_1_financial statements-MKOI,MTIL,WSUI-(2007-09-30)jy" xfId="26149"/>
    <cellStyle name="_KRIF_FS_SEP_22626_1_롯데유럽홀딩스-NAV(2008-05-30)" xfId="26150"/>
    <cellStyle name="_KRIF_FS_SEP_22626_1_롯데유럽홀딩스-NAV(2008-06-30)" xfId="26151"/>
    <cellStyle name="_KRIF_FS_SEP_25978_1" xfId="26152"/>
    <cellStyle name="_KRIF_FS_SEP_25978_1_financial statements-MKOI,MTIL,WSUI-(2007-09-30)jy" xfId="26153"/>
    <cellStyle name="_KRIF_FS_SEP_25978_1_롯데유럽홀딩스-NAV(2008-05-30)" xfId="26154"/>
    <cellStyle name="_KRIF_FS_SEP_25978_1_롯데유럽홀딩스-NAV(2008-06-30)" xfId="26155"/>
    <cellStyle name="_KRIF_FS_SEP_26859_1" xfId="26156"/>
    <cellStyle name="_KRIF_FS_SEP_26859_1_financial statements-MKOI,MTIL,WSUI-(2007-09-30)jy" xfId="26157"/>
    <cellStyle name="_KRIF_FS_SEP_26859_1_롯데유럽홀딩스-NAV(2008-05-30)" xfId="26158"/>
    <cellStyle name="_KRIF_FS_SEP_26859_1_롯데유럽홀딩스-NAV(2008-06-30)" xfId="26159"/>
    <cellStyle name="_KRIF_FS_SEP_26973_1" xfId="26160"/>
    <cellStyle name="_KRIF_FS_SEP_26973_1_financial statements-MKOI,MTIL,WSUI-(2007-09-30)jy" xfId="26161"/>
    <cellStyle name="_KRIF_FS_SEP_26973_1_롯데유럽홀딩스-NAV(2008-05-30)" xfId="26162"/>
    <cellStyle name="_KRIF_FS_SEP_26973_1_롯데유럽홀딩스-NAV(2008-06-30)" xfId="26163"/>
    <cellStyle name="_KRIF_FS_SEP_27057_1" xfId="26164"/>
    <cellStyle name="_KRIF_FS_SEP_27057_1_financial statements-MKOI,MTIL,WSUI-(2007-09-30)jy" xfId="26165"/>
    <cellStyle name="_KRIF_FS_SEP_27057_1_롯데유럽홀딩스-NAV(2008-05-30)" xfId="26166"/>
    <cellStyle name="_KRIF_FS_SEP_27057_1_롯데유럽홀딩스-NAV(2008-06-30)" xfId="26167"/>
    <cellStyle name="_KRIF_FS_SEP_27105_1" xfId="26168"/>
    <cellStyle name="_KRIF_FS_SEP_27105_1_financial statements-MKOI,MTIL,WSUI-(2007-09-30)jy" xfId="26169"/>
    <cellStyle name="_KRIF_FS_SEP_27105_1_롯데유럽홀딩스-NAV(2008-05-30)" xfId="26170"/>
    <cellStyle name="_KRIF_FS_SEP_27105_1_롯데유럽홀딩스-NAV(2008-06-30)" xfId="26171"/>
    <cellStyle name="_KRIF_FS_SEP_27709_1" xfId="26172"/>
    <cellStyle name="_KRIF_FS_SEP_27709_1_financial statements-MKOI,MTIL,WSUI-(2007-09-30)jy" xfId="26173"/>
    <cellStyle name="_KRIF_FS_SEP_27709_1_롯데유럽홀딩스-NAV(2008-05-30)" xfId="26174"/>
    <cellStyle name="_KRIF_FS_SEP_27709_1_롯데유럽홀딩스-NAV(2008-06-30)" xfId="26175"/>
    <cellStyle name="_KRIF_FS_SEP_9260_1" xfId="26176"/>
    <cellStyle name="_KRIF_FS_SEP_9260_1_financial statements-MKOI,MTIL,WSUI-(2007-09-30)jy" xfId="26177"/>
    <cellStyle name="_KRIF_FS_SEP_9260_1_롯데유럽홀딩스-NAV(2008-05-30)" xfId="26178"/>
    <cellStyle name="_KRIF_FS_SEP_9260_1_롯데유럽홀딩스-NAV(2008-06-30)" xfId="26179"/>
    <cellStyle name="_KRIF_FS_SEP_financial statements-MKOI,MTIL,WSUI-(2007-09-30)jy" xfId="26180"/>
    <cellStyle name="_KRIF_FS_SEP_KRIF BS REC 0407" xfId="26181"/>
    <cellStyle name="_KRIF_FS_SEP_KRIF BS REC 0407_financial statements-MKOI,MTIL,WSUI-(2007-09-30)jy" xfId="26182"/>
    <cellStyle name="_KRIF_FS_SEP_KRIF BS REC 0407_롯데유럽홀딩스-NAV(2008-05-30)" xfId="26183"/>
    <cellStyle name="_KRIF_FS_SEP_KRIF BS REC 0407_롯데유럽홀딩스-NAV(2008-06-30)" xfId="26184"/>
    <cellStyle name="_KRIF_FS_SEP_KRIF BS REC 0408" xfId="26185"/>
    <cellStyle name="_KRIF_FS_SEP_KRIF BS REC 0408_financial statements-MKOI,MTIL,WSUI-(2007-09-30)jy" xfId="26186"/>
    <cellStyle name="_KRIF_FS_SEP_KRIF BS REC 0408_롯데유럽홀딩스-NAV(2008-05-30)" xfId="26187"/>
    <cellStyle name="_KRIF_FS_SEP_KRIF BS REC 0408_롯데유럽홀딩스-NAV(2008-06-30)" xfId="26188"/>
    <cellStyle name="_KRIF_FS_SEP_MSIM BS REC 07 2004" xfId="26189"/>
    <cellStyle name="_KRIF_FS_SEP_MSIM BS REC 07 2004_financial statements-MKOI,MTIL,WSUI-(2007-09-30)jy" xfId="26190"/>
    <cellStyle name="_KRIF_FS_SEP_MSIM BS REC 07 2004_롯데유럽홀딩스-NAV(2008-05-30)" xfId="26191"/>
    <cellStyle name="_KRIF_FS_SEP_MSIM BS REC 07 2004_롯데유럽홀딩스-NAV(2008-06-30)" xfId="26192"/>
    <cellStyle name="_KRIF_FS_SEP_MSIM BS REC 08 2004" xfId="26193"/>
    <cellStyle name="_KRIF_FS_SEP_MSIM BS REC 08 2004_financial statements-MKOI,MTIL,WSUI-(2007-09-30)jy" xfId="26194"/>
    <cellStyle name="_KRIF_FS_SEP_MSIM BS REC 08 2004_롯데유럽홀딩스-NAV(2008-05-30)" xfId="26195"/>
    <cellStyle name="_KRIF_FS_SEP_MSIM BS REC 08 2004_롯데유럽홀딩스-NAV(2008-06-30)" xfId="26196"/>
    <cellStyle name="_KRIF_FS_SEP_MSIM BS REC 10 2004" xfId="26197"/>
    <cellStyle name="_KRIF_FS_SEP_MSIM BS REC 10 2004_financial statements-MKOI,MTIL,WSUI-(2007-09-30)jy" xfId="26198"/>
    <cellStyle name="_KRIF_FS_SEP_MSIM BS REC 10 2004_롯데유럽홀딩스-NAV(2008-05-30)" xfId="26199"/>
    <cellStyle name="_KRIF_FS_SEP_MSIM BS REC 10 2004_롯데유럽홀딩스-NAV(2008-06-30)" xfId="26200"/>
    <cellStyle name="_KRIF_FS_SEP_MSIM BS REC 11 2004" xfId="26201"/>
    <cellStyle name="_KRIF_FS_SEP_MSIM BS REC 11 2004_financial statements-MKOI,MTIL,WSUI-(2007-09-30)jy" xfId="26202"/>
    <cellStyle name="_KRIF_FS_SEP_MSIM BS REC 11 2004_롯데유럽홀딩스-NAV(2008-05-30)" xfId="26203"/>
    <cellStyle name="_KRIF_FS_SEP_MSIM BS REC 11 2004_롯데유럽홀딩스-NAV(2008-06-30)" xfId="26204"/>
    <cellStyle name="_KRIF_FS_SEP_MSIM BS REC 12 2004" xfId="26205"/>
    <cellStyle name="_KRIF_FS_SEP_MSIM BS REC 12 2004_financial statements-MKOI,MTIL,WSUI-(2007-09-30)jy" xfId="26206"/>
    <cellStyle name="_KRIF_FS_SEP_MSIM BS REC 12 2004_롯데유럽홀딩스-NAV(2008-05-30)" xfId="26207"/>
    <cellStyle name="_KRIF_FS_SEP_MSIM BS REC 12 2004_롯데유럽홀딩스-NAV(2008-06-30)" xfId="26208"/>
    <cellStyle name="_KRIF_FS_SEP_Quarter ending 31 Dec 2003" xfId="26209"/>
    <cellStyle name="_KRIF_FS_SEP_Quarter ending 31 Dec 2003_-2004()" xfId="26210"/>
    <cellStyle name="_KRIF_FS_SEP_Quarter ending 31 Dec 2003_-2004()_financial statements-MKOI,MTIL,WSUI-(2007-09-30)jy" xfId="26211"/>
    <cellStyle name="_KRIF_FS_SEP_Quarter ending 31 Dec 2003_-2004()_롯데유럽홀딩스-NAV(2008-05-30)" xfId="26212"/>
    <cellStyle name="_KRIF_FS_SEP_Quarter ending 31 Dec 2003_-2004()_롯데유럽홀딩스-NAV(2008-06-30)" xfId="26213"/>
    <cellStyle name="_KRIF_FS_SEP_Quarter ending 31 Dec 2003_22001_1" xfId="26214"/>
    <cellStyle name="_KRIF_FS_SEP_Quarter ending 31 Dec 2003_22001_1_financial statements-MKOI,MTIL,WSUI-(2007-09-30)jy" xfId="26215"/>
    <cellStyle name="_KRIF_FS_SEP_Quarter ending 31 Dec 2003_22001_1_롯데유럽홀딩스-NAV(2008-05-30)" xfId="26216"/>
    <cellStyle name="_KRIF_FS_SEP_Quarter ending 31 Dec 2003_22001_1_롯데유럽홀딩스-NAV(2008-06-30)" xfId="26217"/>
    <cellStyle name="_KRIF_FS_SEP_Quarter ending 31 Dec 2003_22626_1" xfId="26218"/>
    <cellStyle name="_KRIF_FS_SEP_Quarter ending 31 Dec 2003_22626_1_financial statements-MKOI,MTIL,WSUI-(2007-09-30)jy" xfId="26219"/>
    <cellStyle name="_KRIF_FS_SEP_Quarter ending 31 Dec 2003_22626_1_롯데유럽홀딩스-NAV(2008-05-30)" xfId="26220"/>
    <cellStyle name="_KRIF_FS_SEP_Quarter ending 31 Dec 2003_22626_1_롯데유럽홀딩스-NAV(2008-06-30)" xfId="26221"/>
    <cellStyle name="_KRIF_FS_SEP_Quarter ending 31 Dec 2003_25978_1" xfId="26222"/>
    <cellStyle name="_KRIF_FS_SEP_Quarter ending 31 Dec 2003_25978_1_financial statements-MKOI,MTIL,WSUI-(2007-09-30)jy" xfId="26223"/>
    <cellStyle name="_KRIF_FS_SEP_Quarter ending 31 Dec 2003_25978_1_롯데유럽홀딩스-NAV(2008-05-30)" xfId="26224"/>
    <cellStyle name="_KRIF_FS_SEP_Quarter ending 31 Dec 2003_25978_1_롯데유럽홀딩스-NAV(2008-06-30)" xfId="26225"/>
    <cellStyle name="_KRIF_FS_SEP_Quarter ending 31 Dec 2003_26859_1" xfId="26226"/>
    <cellStyle name="_KRIF_FS_SEP_Quarter ending 31 Dec 2003_26859_1_financial statements-MKOI,MTIL,WSUI-(2007-09-30)jy" xfId="26227"/>
    <cellStyle name="_KRIF_FS_SEP_Quarter ending 31 Dec 2003_26859_1_롯데유럽홀딩스-NAV(2008-05-30)" xfId="26228"/>
    <cellStyle name="_KRIF_FS_SEP_Quarter ending 31 Dec 2003_26859_1_롯데유럽홀딩스-NAV(2008-06-30)" xfId="26229"/>
    <cellStyle name="_KRIF_FS_SEP_Quarter ending 31 Dec 2003_26973_1" xfId="26230"/>
    <cellStyle name="_KRIF_FS_SEP_Quarter ending 31 Dec 2003_26973_1_financial statements-MKOI,MTIL,WSUI-(2007-09-30)jy" xfId="26231"/>
    <cellStyle name="_KRIF_FS_SEP_Quarter ending 31 Dec 2003_26973_1_롯데유럽홀딩스-NAV(2008-05-30)" xfId="26232"/>
    <cellStyle name="_KRIF_FS_SEP_Quarter ending 31 Dec 2003_26973_1_롯데유럽홀딩스-NAV(2008-06-30)" xfId="26233"/>
    <cellStyle name="_KRIF_FS_SEP_Quarter ending 31 Dec 2003_27057_1" xfId="26234"/>
    <cellStyle name="_KRIF_FS_SEP_Quarter ending 31 Dec 2003_27057_1_financial statements-MKOI,MTIL,WSUI-(2007-09-30)jy" xfId="26235"/>
    <cellStyle name="_KRIF_FS_SEP_Quarter ending 31 Dec 2003_27057_1_롯데유럽홀딩스-NAV(2008-05-30)" xfId="26236"/>
    <cellStyle name="_KRIF_FS_SEP_Quarter ending 31 Dec 2003_27057_1_롯데유럽홀딩스-NAV(2008-06-30)" xfId="26237"/>
    <cellStyle name="_KRIF_FS_SEP_Quarter ending 31 Dec 2003_27105_1" xfId="26238"/>
    <cellStyle name="_KRIF_FS_SEP_Quarter ending 31 Dec 2003_27105_1_financial statements-MKOI,MTIL,WSUI-(2007-09-30)jy" xfId="26239"/>
    <cellStyle name="_KRIF_FS_SEP_Quarter ending 31 Dec 2003_27105_1_롯데유럽홀딩스-NAV(2008-05-30)" xfId="26240"/>
    <cellStyle name="_KRIF_FS_SEP_Quarter ending 31 Dec 2003_27105_1_롯데유럽홀딩스-NAV(2008-06-30)" xfId="26241"/>
    <cellStyle name="_KRIF_FS_SEP_Quarter ending 31 Dec 2003_27709_1" xfId="26242"/>
    <cellStyle name="_KRIF_FS_SEP_Quarter ending 31 Dec 2003_27709_1_financial statements-MKOI,MTIL,WSUI-(2007-09-30)jy" xfId="26243"/>
    <cellStyle name="_KRIF_FS_SEP_Quarter ending 31 Dec 2003_27709_1_롯데유럽홀딩스-NAV(2008-05-30)" xfId="26244"/>
    <cellStyle name="_KRIF_FS_SEP_Quarter ending 31 Dec 2003_27709_1_롯데유럽홀딩스-NAV(2008-06-30)" xfId="26245"/>
    <cellStyle name="_KRIF_FS_SEP_Quarter ending 31 Dec 2003_9260_1" xfId="26246"/>
    <cellStyle name="_KRIF_FS_SEP_Quarter ending 31 Dec 2003_9260_1_financial statements-MKOI,MTIL,WSUI-(2007-09-30)jy" xfId="26247"/>
    <cellStyle name="_KRIF_FS_SEP_Quarter ending 31 Dec 2003_9260_1_롯데유럽홀딩스-NAV(2008-05-30)" xfId="26248"/>
    <cellStyle name="_KRIF_FS_SEP_Quarter ending 31 Dec 2003_9260_1_롯데유럽홀딩스-NAV(2008-06-30)" xfId="26249"/>
    <cellStyle name="_KRIF_FS_SEP_Quarter ending 31 Dec 2003_financial statements-MKOI,MTIL,WSUI-(2007-09-30)jy" xfId="26250"/>
    <cellStyle name="_KRIF_FS_SEP_Quarter ending 31 Dec 2003_KRIF BS REC 0407" xfId="26251"/>
    <cellStyle name="_KRIF_FS_SEP_Quarter ending 31 Dec 2003_KRIF BS REC 0407_financial statements-MKOI,MTIL,WSUI-(2007-09-30)jy" xfId="26252"/>
    <cellStyle name="_KRIF_FS_SEP_Quarter ending 31 Dec 2003_KRIF BS REC 0407_롯데유럽홀딩스-NAV(2008-05-30)" xfId="26253"/>
    <cellStyle name="_KRIF_FS_SEP_Quarter ending 31 Dec 2003_KRIF BS REC 0407_롯데유럽홀딩스-NAV(2008-06-30)" xfId="26254"/>
    <cellStyle name="_KRIF_FS_SEP_Quarter ending 31 Dec 2003_KRIF BS REC 0408" xfId="26255"/>
    <cellStyle name="_KRIF_FS_SEP_Quarter ending 31 Dec 2003_KRIF BS REC 0408_financial statements-MKOI,MTIL,WSUI-(2007-09-30)jy" xfId="26256"/>
    <cellStyle name="_KRIF_FS_SEP_Quarter ending 31 Dec 2003_KRIF BS REC 0408_롯데유럽홀딩스-NAV(2008-05-30)" xfId="26257"/>
    <cellStyle name="_KRIF_FS_SEP_Quarter ending 31 Dec 2003_KRIF BS REC 0408_롯데유럽홀딩스-NAV(2008-06-30)" xfId="26258"/>
    <cellStyle name="_KRIF_FS_SEP_Quarter ending 31 Dec 2003_MSIM BS REC 07 2004" xfId="26259"/>
    <cellStyle name="_KRIF_FS_SEP_Quarter ending 31 Dec 2003_MSIM BS REC 07 2004_financial statements-MKOI,MTIL,WSUI-(2007-09-30)jy" xfId="26260"/>
    <cellStyle name="_KRIF_FS_SEP_Quarter ending 31 Dec 2003_MSIM BS REC 07 2004_롯데유럽홀딩스-NAV(2008-05-30)" xfId="26261"/>
    <cellStyle name="_KRIF_FS_SEP_Quarter ending 31 Dec 2003_MSIM BS REC 07 2004_롯데유럽홀딩스-NAV(2008-06-30)" xfId="26262"/>
    <cellStyle name="_KRIF_FS_SEP_Quarter ending 31 Dec 2003_MSIM BS REC 08 2004" xfId="26263"/>
    <cellStyle name="_KRIF_FS_SEP_Quarter ending 31 Dec 2003_MSIM BS REC 08 2004_financial statements-MKOI,MTIL,WSUI-(2007-09-30)jy" xfId="26264"/>
    <cellStyle name="_KRIF_FS_SEP_Quarter ending 31 Dec 2003_MSIM BS REC 08 2004_롯데유럽홀딩스-NAV(2008-05-30)" xfId="26265"/>
    <cellStyle name="_KRIF_FS_SEP_Quarter ending 31 Dec 2003_MSIM BS REC 08 2004_롯데유럽홀딩스-NAV(2008-06-30)" xfId="26266"/>
    <cellStyle name="_KRIF_FS_SEP_Quarter ending 31 Dec 2003_MSIM BS REC 10 2004" xfId="26267"/>
    <cellStyle name="_KRIF_FS_SEP_Quarter ending 31 Dec 2003_MSIM BS REC 10 2004_financial statements-MKOI,MTIL,WSUI-(2007-09-30)jy" xfId="26268"/>
    <cellStyle name="_KRIF_FS_SEP_Quarter ending 31 Dec 2003_MSIM BS REC 10 2004_롯데유럽홀딩스-NAV(2008-05-30)" xfId="26269"/>
    <cellStyle name="_KRIF_FS_SEP_Quarter ending 31 Dec 2003_MSIM BS REC 10 2004_롯데유럽홀딩스-NAV(2008-06-30)" xfId="26270"/>
    <cellStyle name="_KRIF_FS_SEP_Quarter ending 31 Dec 2003_MSIM BS REC 11 2004" xfId="26271"/>
    <cellStyle name="_KRIF_FS_SEP_Quarter ending 31 Dec 2003_MSIM BS REC 11 2004_financial statements-MKOI,MTIL,WSUI-(2007-09-30)jy" xfId="26272"/>
    <cellStyle name="_KRIF_FS_SEP_Quarter ending 31 Dec 2003_MSIM BS REC 11 2004_롯데유럽홀딩스-NAV(2008-05-30)" xfId="26273"/>
    <cellStyle name="_KRIF_FS_SEP_Quarter ending 31 Dec 2003_MSIM BS REC 11 2004_롯데유럽홀딩스-NAV(2008-06-30)" xfId="26274"/>
    <cellStyle name="_KRIF_FS_SEP_Quarter ending 31 Dec 2003_MSIM BS REC 12 2004" xfId="26275"/>
    <cellStyle name="_KRIF_FS_SEP_Quarter ending 31 Dec 2003_MSIM BS REC 12 2004_financial statements-MKOI,MTIL,WSUI-(2007-09-30)jy" xfId="26276"/>
    <cellStyle name="_KRIF_FS_SEP_Quarter ending 31 Dec 2003_MSIM BS REC 12 2004_롯데유럽홀딩스-NAV(2008-05-30)" xfId="26277"/>
    <cellStyle name="_KRIF_FS_SEP_Quarter ending 31 Dec 2003_MSIM BS REC 12 2004_롯데유럽홀딩스-NAV(2008-06-30)" xfId="26278"/>
    <cellStyle name="_KRIF_FS_SEP_Quarter ending 31 Dec 2003_롯데유럽홀딩스-NAV(2008-05-30)" xfId="26279"/>
    <cellStyle name="_KRIF_FS_SEP_Quarter ending 31 Dec 2003_롯데유럽홀딩스-NAV(2008-06-30)" xfId="26280"/>
    <cellStyle name="_KRIF_FS_SEP_롯데유럽홀딩스-NAV(2008-05-30)" xfId="26281"/>
    <cellStyle name="_KRIF_FS_SEP_롯데유럽홀딩스-NAV(2008-06-30)" xfId="26282"/>
    <cellStyle name="_KT (2)" xfId="6479"/>
    <cellStyle name="_KT (2)_1" xfId="6480"/>
    <cellStyle name="_KT (2)_1_Book1" xfId="6481"/>
    <cellStyle name="_KT (2)_1_dutch  lady 3  (25-3)" xfId="6482"/>
    <cellStyle name="_KT (2)_1_gritti" xfId="6483"/>
    <cellStyle name="_KT (2)_1_Gritti 31-3" xfId="6484"/>
    <cellStyle name="_KT (2)_1_Quotation" xfId="6485"/>
    <cellStyle name="_KT (2)_1_thong ke cua Inox" xfId="6486"/>
    <cellStyle name="_KT (2)_2" xfId="6487"/>
    <cellStyle name="_KT (2)_2_TG-TH" xfId="6488"/>
    <cellStyle name="_KT (2)_2_TG-TH_bang chon NCC" xfId="6489"/>
    <cellStyle name="_KT (2)_2_TG-TH_Book1" xfId="6490"/>
    <cellStyle name="_KT (2)_2_TG-TH_Book1_1" xfId="6491"/>
    <cellStyle name="_KT (2)_2_TG-TH_Book1_1_Book1" xfId="6492"/>
    <cellStyle name="_KT (2)_2_TG-TH_Book1_1_Book1_1" xfId="6493"/>
    <cellStyle name="_KT (2)_2_TG-TH_Book1_1_SONADEZI" xfId="6494"/>
    <cellStyle name="_KT (2)_2_TG-TH_Book1_2" xfId="6495"/>
    <cellStyle name="_KT (2)_2_TG-TH_Book1_2_Book1" xfId="6496"/>
    <cellStyle name="_KT (2)_2_TG-TH_Book1_2_KLTT DUOC PHAM (16-6)" xfId="6497"/>
    <cellStyle name="_KT (2)_2_TG-TH_Book1_2_SONADEZI" xfId="6498"/>
    <cellStyle name="_KT (2)_2_TG-TH_Book1_3" xfId="6499"/>
    <cellStyle name="_KT (2)_2_TG-TH_Book1_bang chon NCC" xfId="6500"/>
    <cellStyle name="_KT (2)_2_TG-TH_Book1_Book1" xfId="6501"/>
    <cellStyle name="_KT (2)_2_TG-TH_Book1_Book1_1" xfId="6502"/>
    <cellStyle name="_KT (2)_2_TG-TH_Book1_Book1_2" xfId="6503"/>
    <cellStyle name="_KT (2)_2_TG-TH_Book1_SONADEZI" xfId="6504"/>
    <cellStyle name="_KT (2)_2_TG-TH_Book2" xfId="6505"/>
    <cellStyle name="_KT (2)_2_TG-TH_dutch  lady 3  (25-3)" xfId="6506"/>
    <cellStyle name="_KT (2)_2_TG-TH_Giai Doan 3 Hong Ngu" xfId="6507"/>
    <cellStyle name="_KT (2)_2_TG-TH_gritti" xfId="6508"/>
    <cellStyle name="_KT (2)_2_TG-TH_Gritti 31-3" xfId="6509"/>
    <cellStyle name="_KT (2)_2_TG-TH_KL DU THAU (gui)" xfId="6510"/>
    <cellStyle name="_KT (2)_2_TG-TH_KLTT DUOC PHAM (16-6)" xfId="6511"/>
    <cellStyle name="_KT (2)_2_TG-TH_Quotation" xfId="6512"/>
    <cellStyle name="_KT (2)_2_TG-TH_Quotation_1" xfId="6513"/>
    <cellStyle name="_KT (2)_2_TG-TH_SaDec" xfId="6514"/>
    <cellStyle name="_KT (2)_2_TG-TH_SONADEZI" xfId="6515"/>
    <cellStyle name="_KT (2)_2_TG-TH_thong ke cua Inox" xfId="6516"/>
    <cellStyle name="_KT (2)_2_TG-TH_thuy san Phan Thiet" xfId="6517"/>
    <cellStyle name="_KT (2)_3" xfId="6518"/>
    <cellStyle name="_KT (2)_3_TG-TH" xfId="6519"/>
    <cellStyle name="_KT (2)_3_TG-TH_bang chon NCC" xfId="6520"/>
    <cellStyle name="_KT (2)_3_TG-TH_Book1" xfId="6521"/>
    <cellStyle name="_KT (2)_3_TG-TH_Book1_1" xfId="6522"/>
    <cellStyle name="_KT (2)_3_TG-TH_Book1_2" xfId="6523"/>
    <cellStyle name="_KT (2)_3_TG-TH_Book1_3" xfId="6524"/>
    <cellStyle name="_KT (2)_3_TG-TH_Book1_bang chon NCC" xfId="6525"/>
    <cellStyle name="_KT (2)_3_TG-TH_Book1_Book1" xfId="6526"/>
    <cellStyle name="_KT (2)_3_TG-TH_Book1_SONADEZI" xfId="6527"/>
    <cellStyle name="_KT (2)_3_TG-TH_Book2" xfId="6528"/>
    <cellStyle name="_KT (2)_3_TG-TH_Chieu sang, Nhon Trach sua" xfId="6529"/>
    <cellStyle name="_KT (2)_3_TG-TH_dutch  lady 3  (25-3)" xfId="6530"/>
    <cellStyle name="_KT (2)_3_TG-TH_Giai Doan 3 Hong Ngu" xfId="6531"/>
    <cellStyle name="_KT (2)_3_TG-TH_gritti" xfId="6532"/>
    <cellStyle name="_KT (2)_3_TG-TH_Gritti 31-3" xfId="6533"/>
    <cellStyle name="_KT (2)_3_TG-TH_KLTT DUOC PHAM (16-6)" xfId="6534"/>
    <cellStyle name="_KT (2)_3_TG-TH_PERSONAL" xfId="6535"/>
    <cellStyle name="_KT (2)_3_TG-TH_Quotation" xfId="6536"/>
    <cellStyle name="_KT (2)_3_TG-TH_SaDec" xfId="6537"/>
    <cellStyle name="_KT (2)_3_TG-TH_SONADEZI" xfId="6538"/>
    <cellStyle name="_KT (2)_3_TG-TH_thong ke cua Inox" xfId="6539"/>
    <cellStyle name="_KT (2)_3_TG-TH_tong muc-myan-xuantruong" xfId="6540"/>
    <cellStyle name="_KT (2)_4" xfId="6541"/>
    <cellStyle name="_KT (2)_4_bang chon NCC" xfId="6542"/>
    <cellStyle name="_KT (2)_4_Book1" xfId="6543"/>
    <cellStyle name="_KT (2)_4_Book1_1" xfId="6544"/>
    <cellStyle name="_KT (2)_4_Book1_1_Book1" xfId="6545"/>
    <cellStyle name="_KT (2)_4_Book1_1_Book1_1" xfId="6546"/>
    <cellStyle name="_KT (2)_4_Book1_1_SONADEZI" xfId="6547"/>
    <cellStyle name="_KT (2)_4_Book1_2" xfId="6548"/>
    <cellStyle name="_KT (2)_4_Book1_2_Book1" xfId="6549"/>
    <cellStyle name="_KT (2)_4_Book1_2_KLTT DUOC PHAM (16-6)" xfId="6550"/>
    <cellStyle name="_KT (2)_4_Book1_2_SONADEZI" xfId="6551"/>
    <cellStyle name="_KT (2)_4_Book1_3" xfId="6552"/>
    <cellStyle name="_KT (2)_4_Book1_bang chon NCC" xfId="6553"/>
    <cellStyle name="_KT (2)_4_Book1_Book1" xfId="6554"/>
    <cellStyle name="_KT (2)_4_Book1_Book1_1" xfId="6555"/>
    <cellStyle name="_KT (2)_4_Book1_Book1_2" xfId="6556"/>
    <cellStyle name="_KT (2)_4_Book1_SONADEZI" xfId="6557"/>
    <cellStyle name="_KT (2)_4_Book2" xfId="6558"/>
    <cellStyle name="_KT (2)_4_dutch  lady 3  (25-3)" xfId="6559"/>
    <cellStyle name="_KT (2)_4_Giai Doan 3 Hong Ngu" xfId="6560"/>
    <cellStyle name="_KT (2)_4_gritti" xfId="6561"/>
    <cellStyle name="_KT (2)_4_Gritti 31-3" xfId="6562"/>
    <cellStyle name="_KT (2)_4_KL DU THAU (gui)" xfId="6563"/>
    <cellStyle name="_KT (2)_4_KLTT DUOC PHAM (16-6)" xfId="6564"/>
    <cellStyle name="_KT (2)_4_Quotation" xfId="6565"/>
    <cellStyle name="_KT (2)_4_Quotation_1" xfId="6566"/>
    <cellStyle name="_KT (2)_4_SaDec" xfId="6567"/>
    <cellStyle name="_KT (2)_4_SONADEZI" xfId="6568"/>
    <cellStyle name="_KT (2)_4_TG-TH" xfId="6569"/>
    <cellStyle name="_KT (2)_4_thong ke cua Inox" xfId="6570"/>
    <cellStyle name="_KT (2)_4_thuy san Phan Thiet" xfId="6571"/>
    <cellStyle name="_KT (2)_5" xfId="6572"/>
    <cellStyle name="_KT (2)_5_bang chon NCC" xfId="6573"/>
    <cellStyle name="_KT (2)_5_Book1" xfId="6574"/>
    <cellStyle name="_KT (2)_5_Book1_1" xfId="6575"/>
    <cellStyle name="_KT (2)_5_Book1_1_Book1" xfId="6576"/>
    <cellStyle name="_KT (2)_5_Book1_1_Book1_1" xfId="6577"/>
    <cellStyle name="_KT (2)_5_Book1_1_SONADEZI" xfId="6578"/>
    <cellStyle name="_KT (2)_5_Book1_2" xfId="6579"/>
    <cellStyle name="_KT (2)_5_Book1_2_Book1" xfId="6580"/>
    <cellStyle name="_KT (2)_5_Book1_2_KLTT DUOC PHAM (16-6)" xfId="6581"/>
    <cellStyle name="_KT (2)_5_Book1_2_SONADEZI" xfId="6582"/>
    <cellStyle name="_KT (2)_5_Book1_3" xfId="6583"/>
    <cellStyle name="_KT (2)_5_Book1_bang chon NCC" xfId="6584"/>
    <cellStyle name="_KT (2)_5_Book1_Book1" xfId="6585"/>
    <cellStyle name="_KT (2)_5_Book1_Book1_1" xfId="6586"/>
    <cellStyle name="_KT (2)_5_Book1_Book1_2" xfId="6587"/>
    <cellStyle name="_KT (2)_5_Book1_SONADEZI" xfId="6588"/>
    <cellStyle name="_KT (2)_5_Book2" xfId="6589"/>
    <cellStyle name="_KT (2)_5_dutch  lady 3  (25-3)" xfId="6590"/>
    <cellStyle name="_KT (2)_5_Giai Doan 3 Hong Ngu" xfId="6591"/>
    <cellStyle name="_KT (2)_5_gritti" xfId="6592"/>
    <cellStyle name="_KT (2)_5_Gritti 31-3" xfId="6593"/>
    <cellStyle name="_KT (2)_5_KL DU THAU (gui)" xfId="6594"/>
    <cellStyle name="_KT (2)_5_KLTT DUOC PHAM (16-6)" xfId="6595"/>
    <cellStyle name="_KT (2)_5_Quotation" xfId="6596"/>
    <cellStyle name="_KT (2)_5_Quotation_1" xfId="6597"/>
    <cellStyle name="_KT (2)_5_SaDec" xfId="6598"/>
    <cellStyle name="_KT (2)_5_SONADEZI" xfId="6599"/>
    <cellStyle name="_KT (2)_5_thong ke cua Inox" xfId="6600"/>
    <cellStyle name="_KT (2)_5_thuy san Phan Thiet" xfId="6601"/>
    <cellStyle name="_KT (2)_bang chon NCC" xfId="6602"/>
    <cellStyle name="_KT (2)_Book1" xfId="6603"/>
    <cellStyle name="_KT (2)_Book1_1" xfId="6604"/>
    <cellStyle name="_KT (2)_Book1_2" xfId="6605"/>
    <cellStyle name="_KT (2)_Book1_3" xfId="6606"/>
    <cellStyle name="_KT (2)_Book1_bang chon NCC" xfId="6607"/>
    <cellStyle name="_KT (2)_Book1_Book1" xfId="6608"/>
    <cellStyle name="_KT (2)_Book1_SONADEZI" xfId="6609"/>
    <cellStyle name="_KT (2)_Book2" xfId="6610"/>
    <cellStyle name="_KT (2)_Chieu sang, Nhon Trach sua" xfId="6611"/>
    <cellStyle name="_KT (2)_dutch  lady 3  (25-3)" xfId="6612"/>
    <cellStyle name="_KT (2)_Giai Doan 3 Hong Ngu" xfId="6613"/>
    <cellStyle name="_KT (2)_gritti" xfId="6614"/>
    <cellStyle name="_KT (2)_Gritti 31-3" xfId="6615"/>
    <cellStyle name="_KT (2)_KLTT DUOC PHAM (16-6)" xfId="6616"/>
    <cellStyle name="_KT (2)_PERSONAL" xfId="6617"/>
    <cellStyle name="_KT (2)_Quotation" xfId="6618"/>
    <cellStyle name="_KT (2)_SaDec" xfId="6619"/>
    <cellStyle name="_KT (2)_SONADEZI" xfId="6620"/>
    <cellStyle name="_KT (2)_TG-TH" xfId="6621"/>
    <cellStyle name="_KT (2)_thong ke cua Inox" xfId="6622"/>
    <cellStyle name="_KT (2)_tong muc-myan-xuantruong" xfId="6623"/>
    <cellStyle name="_KT_TG" xfId="6624"/>
    <cellStyle name="_KT_TG_1" xfId="6625"/>
    <cellStyle name="_KT_TG_1_bang chon NCC" xfId="6626"/>
    <cellStyle name="_KT_TG_1_Book1" xfId="6627"/>
    <cellStyle name="_KT_TG_1_Book1_1" xfId="6628"/>
    <cellStyle name="_KT_TG_1_Book1_1_Book1" xfId="6629"/>
    <cellStyle name="_KT_TG_1_Book1_1_Book1_1" xfId="6630"/>
    <cellStyle name="_KT_TG_1_Book1_1_SONADEZI" xfId="6631"/>
    <cellStyle name="_KT_TG_1_Book1_2" xfId="6632"/>
    <cellStyle name="_KT_TG_1_Book1_2_Book1" xfId="6633"/>
    <cellStyle name="_KT_TG_1_Book1_2_KLTT DUOC PHAM (16-6)" xfId="6634"/>
    <cellStyle name="_KT_TG_1_Book1_2_SONADEZI" xfId="6635"/>
    <cellStyle name="_KT_TG_1_Book1_3" xfId="6636"/>
    <cellStyle name="_KT_TG_1_Book1_bang chon NCC" xfId="6637"/>
    <cellStyle name="_KT_TG_1_Book1_Book1" xfId="6638"/>
    <cellStyle name="_KT_TG_1_Book1_Book1_1" xfId="6639"/>
    <cellStyle name="_KT_TG_1_Book1_Book1_2" xfId="6640"/>
    <cellStyle name="_KT_TG_1_Book1_SONADEZI" xfId="6641"/>
    <cellStyle name="_KT_TG_1_Book2" xfId="6642"/>
    <cellStyle name="_KT_TG_1_dutch  lady 3  (25-3)" xfId="6643"/>
    <cellStyle name="_KT_TG_1_Giai Doan 3 Hong Ngu" xfId="6644"/>
    <cellStyle name="_KT_TG_1_gritti" xfId="6645"/>
    <cellStyle name="_KT_TG_1_Gritti 31-3" xfId="6646"/>
    <cellStyle name="_KT_TG_1_KL DU THAU (gui)" xfId="6647"/>
    <cellStyle name="_KT_TG_1_KLTT DUOC PHAM (16-6)" xfId="6648"/>
    <cellStyle name="_KT_TG_1_Quotation" xfId="6649"/>
    <cellStyle name="_KT_TG_1_Quotation_1" xfId="6650"/>
    <cellStyle name="_KT_TG_1_SaDec" xfId="6651"/>
    <cellStyle name="_KT_TG_1_SONADEZI" xfId="6652"/>
    <cellStyle name="_KT_TG_1_thong ke cua Inox" xfId="6653"/>
    <cellStyle name="_KT_TG_1_thuy san Phan Thiet" xfId="6654"/>
    <cellStyle name="_KT_TG_2" xfId="6655"/>
    <cellStyle name="_KT_TG_2_bang chon NCC" xfId="6656"/>
    <cellStyle name="_KT_TG_2_Book1" xfId="6657"/>
    <cellStyle name="_KT_TG_2_Book1_1" xfId="6658"/>
    <cellStyle name="_KT_TG_2_Book1_1_Book1" xfId="6659"/>
    <cellStyle name="_KT_TG_2_Book1_1_Book1_1" xfId="6660"/>
    <cellStyle name="_KT_TG_2_Book1_1_SONADEZI" xfId="6661"/>
    <cellStyle name="_KT_TG_2_Book1_2" xfId="6662"/>
    <cellStyle name="_KT_TG_2_Book1_2_Book1" xfId="6663"/>
    <cellStyle name="_KT_TG_2_Book1_2_KLTT DUOC PHAM (16-6)" xfId="6664"/>
    <cellStyle name="_KT_TG_2_Book1_2_SONADEZI" xfId="6665"/>
    <cellStyle name="_KT_TG_2_Book1_3" xfId="6666"/>
    <cellStyle name="_KT_TG_2_Book1_bang chon NCC" xfId="6667"/>
    <cellStyle name="_KT_TG_2_Book1_Book1" xfId="6668"/>
    <cellStyle name="_KT_TG_2_Book1_Book1_1" xfId="6669"/>
    <cellStyle name="_KT_TG_2_Book1_Book1_2" xfId="6670"/>
    <cellStyle name="_KT_TG_2_Book1_SONADEZI" xfId="6671"/>
    <cellStyle name="_KT_TG_2_Book2" xfId="6672"/>
    <cellStyle name="_KT_TG_2_dutch  lady 3  (25-3)" xfId="6673"/>
    <cellStyle name="_KT_TG_2_Giai Doan 3 Hong Ngu" xfId="6674"/>
    <cellStyle name="_KT_TG_2_gritti" xfId="6675"/>
    <cellStyle name="_KT_TG_2_Gritti 31-3" xfId="6676"/>
    <cellStyle name="_KT_TG_2_KL DU THAU (gui)" xfId="6677"/>
    <cellStyle name="_KT_TG_2_KLTT DUOC PHAM (16-6)" xfId="6678"/>
    <cellStyle name="_KT_TG_2_Quotation" xfId="6679"/>
    <cellStyle name="_KT_TG_2_Quotation_1" xfId="6680"/>
    <cellStyle name="_KT_TG_2_SaDec" xfId="6681"/>
    <cellStyle name="_KT_TG_2_SONADEZI" xfId="6682"/>
    <cellStyle name="_KT_TG_2_thong ke cua Inox" xfId="6683"/>
    <cellStyle name="_KT_TG_2_thuy san Phan Thiet" xfId="6684"/>
    <cellStyle name="_KT_TG_3" xfId="6685"/>
    <cellStyle name="_KT_TG_4" xfId="6686"/>
    <cellStyle name="_KT_TG_4_Book1" xfId="6687"/>
    <cellStyle name="_KT_TG_4_dutch  lady 3  (25-3)" xfId="6688"/>
    <cellStyle name="_KT_TG_4_gritti" xfId="6689"/>
    <cellStyle name="_KT_TG_4_Gritti 31-3" xfId="6690"/>
    <cellStyle name="_KT_TG_4_Quotation" xfId="6691"/>
    <cellStyle name="_KT_TG_4_thong ke cua Inox" xfId="6692"/>
    <cellStyle name="_KT견적요청" xfId="6693"/>
    <cellStyle name="_Kumho_05review_ver05" xfId="19495"/>
    <cellStyle name="_Kumho_05review_ver06" xfId="19496"/>
    <cellStyle name="_lead schedule" xfId="6694"/>
    <cellStyle name="_lead schedule(2001년기말)" xfId="6695"/>
    <cellStyle name="_lead schedule(2001년기말)_서원양행-2002 FS - 양애리" xfId="6696"/>
    <cellStyle name="_lead schedule(2002년반기)" xfId="6697"/>
    <cellStyle name="_lead schedule_서원양행-2002 FS - 양애리" xfId="6698"/>
    <cellStyle name="_lead schedule2" xfId="6699"/>
    <cellStyle name="_lead schedule2_서원양행-2002 FS - 양애리" xfId="6700"/>
    <cellStyle name="_lead sheet" xfId="6701"/>
    <cellStyle name="_Lead Sheet Template-2004-V13" xfId="19497"/>
    <cellStyle name="_Lead Sheet Template-2004-V14" xfId="19498"/>
    <cellStyle name="_lead sheet_서원양행-2002 FS - 양애리" xfId="6702"/>
    <cellStyle name="_Lead Sheet-2004(김기열)ver09" xfId="19499"/>
    <cellStyle name="_Leadschedule" xfId="6703"/>
    <cellStyle name="_leadschedule _sample" xfId="19500"/>
    <cellStyle name="_Leadschedule(마로)" xfId="6704"/>
    <cellStyle name="_Leadschedule(마로)_2001_FS_법인세비용 반영전" xfId="6705"/>
    <cellStyle name="_Leadschedule(마로)_2001_FS_법인세비용 반영전_2002_반기검토-삼건베리클" xfId="6706"/>
    <cellStyle name="_Leadschedule(마로)_2001_FS_법인세비용 반영전_삼건베리클-2002년반기-정준형" xfId="6707"/>
    <cellStyle name="_Leadschedule(마로)_2001_FS_법인세비용 반영전_서원양행-2002 FS - 양애리" xfId="6708"/>
    <cellStyle name="_Leadschedule(마로)_Book1" xfId="6709"/>
    <cellStyle name="_Leadschedule(마로)_Book1_2001_FS_법인세비용 반영전" xfId="6710"/>
    <cellStyle name="_Leadschedule(마로)_Book1_2001_FS_법인세비용 반영전_2002_반기검토-삼건베리클" xfId="6711"/>
    <cellStyle name="_Leadschedule(마로)_Book1_2001_FS_법인세비용 반영전_삼건베리클-2002년반기-정준형" xfId="6712"/>
    <cellStyle name="_Leadschedule(마로)_Book1_2001_FS_법인세비용 반영전_서원양행-2002 FS - 양애리" xfId="6713"/>
    <cellStyle name="_Leadschedule(마로)_Book1_leadsheet-나래" xfId="6714"/>
    <cellStyle name="_Leadschedule(마로)_Book1_서원양행-2002 FS - 양애리" xfId="6715"/>
    <cellStyle name="_Leadschedule(마로)_Book1_테코스(2001_기말감사)" xfId="6716"/>
    <cellStyle name="_Leadschedule(마로)_Book1_테코스(2001_기말감사)_2001_FS_법인세비용 반영전" xfId="6717"/>
    <cellStyle name="_Leadschedule(마로)_Book1_테코스(2001_기말감사)_2001_FS_법인세비용 반영전_2002_반기검토-삼건베리클" xfId="6718"/>
    <cellStyle name="_Leadschedule(마로)_Book1_테코스(2001_기말감사)_2001_FS_법인세비용 반영전_삼건베리클-2002년반기-정준형" xfId="6719"/>
    <cellStyle name="_Leadschedule(마로)_Book1_테코스(2001_기말감사)_2001_FS_법인세비용 반영전_서원양행-2002 FS - 양애리" xfId="6720"/>
    <cellStyle name="_Leadschedule(마로)_Book1_테코스(2001_기말감사)_서원양행-2002 FS - 양애리" xfId="6721"/>
    <cellStyle name="_Leadschedule(마로)_Book1_테코스(2001_기말감사)_테코스_2001_기말" xfId="6722"/>
    <cellStyle name="_Leadschedule(마로)_Book1_테코스(2001_기말감사)_테코스_2001_기말_2001_FS_법인세비용 반영전" xfId="6723"/>
    <cellStyle name="_Leadschedule(마로)_Book1_테코스(2001_기말감사)_테코스_2001_기말_2001_FS_법인세비용 반영전_2002_반기검토-삼건베리클" xfId="6724"/>
    <cellStyle name="_Leadschedule(마로)_Book1_테코스(2001_기말감사)_테코스_2001_기말_2001_FS_법인세비용 반영전_삼건베리클-2002년반기-정준형" xfId="6725"/>
    <cellStyle name="_Leadschedule(마로)_Book1_테코스(2001_기말감사)_테코스_2001_기말_2001_FS_법인세비용 반영전_서원양행-2002 FS - 양애리" xfId="6726"/>
    <cellStyle name="_Leadschedule(마로)_Book1_테코스(2001_기말감사)_테코스_2001_기말_서원양행-2002 FS - 양애리" xfId="6727"/>
    <cellStyle name="_Leadschedule(마로)_Book1_페타 Leadschedule2001-final" xfId="6728"/>
    <cellStyle name="_Leadschedule(마로)_imm창투기말" xfId="6729"/>
    <cellStyle name="_Leadschedule(마로)_leadsheet-나래" xfId="6730"/>
    <cellStyle name="_Leadschedule(마로)_감사조서(2001)_링스텍_기말" xfId="6731"/>
    <cellStyle name="_Leadschedule(마로)_감사조서(2001)_링스텍_기말_서원양행-2002 FS - 양애리" xfId="6732"/>
    <cellStyle name="_Leadschedule(마로)_링스텍lead schedule(2001년기말)-이덕근" xfId="6733"/>
    <cellStyle name="_Leadschedule(마로)_링스텍lead schedule(2001년기말)-이덕근_서원양행-2002 FS - 양애리" xfId="6734"/>
    <cellStyle name="_Leadschedule(마로)_반기-나래시스템(2001)" xfId="6735"/>
    <cellStyle name="_Leadschedule(마로)_반기-나래시스템(2001)_서원양행-2002 FS - 양애리" xfId="6736"/>
    <cellStyle name="_Leadschedule(마로)_서원양행-2002 FS - 양애리" xfId="6737"/>
    <cellStyle name="_Leadschedule(마로)_워커힐_2001_기말" xfId="6738"/>
    <cellStyle name="_Leadschedule(마로)_워커힐_2001_기말_서원양행-2002 FS - 양애리" xfId="6739"/>
    <cellStyle name="_Leadschedule(마로)_워커힐_2001_반기검토" xfId="6740"/>
    <cellStyle name="_Leadschedule(마로)_워커힐_2001_반기검토_서원양행-2002 FS - 양애리" xfId="6741"/>
    <cellStyle name="_Leadschedule(마로)_워커힐_2001_반기재무제표4" xfId="6742"/>
    <cellStyle name="_Leadschedule(마로)_워커힐_2001_반기재무제표4_서원양행-2002 FS - 양애리" xfId="6743"/>
    <cellStyle name="_Leadschedule(마로)_인네트_2001_기말" xfId="6744"/>
    <cellStyle name="_Leadschedule(마로)_인네트_2001_기말_서원양행-2002 FS - 양애리" xfId="6745"/>
    <cellStyle name="_Leadschedule(마로)_인네트_2001_기말감사" xfId="6746"/>
    <cellStyle name="_Leadschedule(마로)_인네트_2001_기말감사_2001_FS_법인세비용 반영전" xfId="6747"/>
    <cellStyle name="_Leadschedule(마로)_인네트_2001_기말감사_2001_FS_법인세비용 반영전_2002_반기검토-삼건베리클" xfId="6748"/>
    <cellStyle name="_Leadschedule(마로)_인네트_2001_기말감사_2001_FS_법인세비용 반영전_삼건베리클-2002년반기-정준형" xfId="6749"/>
    <cellStyle name="_Leadschedule(마로)_인네트_2001_기말감사_2001_FS_법인세비용 반영전_서원양행-2002 FS - 양애리" xfId="6750"/>
    <cellStyle name="_Leadschedule(마로)_인네트_2001_기말감사_서원양행-2002 FS - 양애리" xfId="6751"/>
    <cellStyle name="_Leadschedule(마로)_인네트_2001_기말감사_테코스(2001_기말감사)" xfId="6752"/>
    <cellStyle name="_Leadschedule(마로)_인네트_2001_기말감사_테코스(2001_기말감사)_2001_FS_법인세비용 반영전" xfId="6753"/>
    <cellStyle name="_Leadschedule(마로)_인네트_2001_기말감사_테코스(2001_기말감사)_2001_FS_법인세비용 반영전_2002_반기검토-삼건베리클" xfId="6754"/>
    <cellStyle name="_Leadschedule(마로)_인네트_2001_기말감사_테코스(2001_기말감사)_2001_FS_법인세비용 반영전_삼건베리클-2002년반기-정준형" xfId="6755"/>
    <cellStyle name="_Leadschedule(마로)_인네트_2001_기말감사_테코스(2001_기말감사)_2001_FS_법인세비용 반영전_서원양행-2002 FS - 양애리" xfId="6756"/>
    <cellStyle name="_Leadschedule(마로)_인네트_2001_기말감사_테코스(2001_기말감사)_서원양행-2002 FS - 양애리" xfId="6757"/>
    <cellStyle name="_Leadschedule(마로)_인네트_2001_기말감사_테코스(2001_기말감사)_테코스_2001_기말" xfId="6758"/>
    <cellStyle name="_Leadschedule(마로)_인네트_2001_기말감사_테코스(2001_기말감사)_테코스_2001_기말_2001_FS_법인세비용 반영전" xfId="6759"/>
    <cellStyle name="_Leadschedule(마로)_인네트_2001_기말감사_테코스(2001_기말감사)_테코스_2001_기말_2001_FS_법인세비용 반영전_2002_반기검토-삼건베리클" xfId="6760"/>
    <cellStyle name="_Leadschedule(마로)_인네트_2001_기말감사_테코스(2001_기말감사)_테코스_2001_기말_2001_FS_법인세비용 반영전_삼건베리클-2002년반기-정준형" xfId="6761"/>
    <cellStyle name="_Leadschedule(마로)_인네트_2001_기말감사_테코스(2001_기말감사)_테코스_2001_기말_2001_FS_법인세비용 반영전_서원양행-2002 FS - 양애리" xfId="6762"/>
    <cellStyle name="_Leadschedule(마로)_인네트_2001_기말감사_테코스(2001_기말감사)_테코스_2001_기말_서원양행-2002 FS - 양애리" xfId="6763"/>
    <cellStyle name="_Leadschedule(마로)_인네트_2001_반기검토(최종본2)" xfId="6764"/>
    <cellStyle name="_Leadschedule(마로)_인네트_2001_반기검토(최종본2)_서원양행-2002 FS - 양애리" xfId="6765"/>
    <cellStyle name="_Leadschedule(마로)_테코스(2001_반기검토)" xfId="6766"/>
    <cellStyle name="_Leadschedule(마로)_테코스(2001_반기검토)_2001_FS_법인세비용 반영전" xfId="6767"/>
    <cellStyle name="_Leadschedule(마로)_테코스(2001_반기검토)_2001_FS_법인세비용 반영전_2002_반기검토-삼건베리클" xfId="6768"/>
    <cellStyle name="_Leadschedule(마로)_테코스(2001_반기검토)_2001_FS_법인세비용 반영전_삼건베리클-2002년반기-정준형" xfId="6769"/>
    <cellStyle name="_Leadschedule(마로)_테코스(2001_반기검토)_2001_FS_법인세비용 반영전_서원양행-2002 FS - 양애리" xfId="6770"/>
    <cellStyle name="_Leadschedule(마로)_테코스(2001_반기검토)_leadsheet-나래" xfId="6771"/>
    <cellStyle name="_Leadschedule(마로)_테코스(2001_반기검토)_서원양행-2002 FS - 양애리" xfId="6772"/>
    <cellStyle name="_Leadschedule(마로)_테코스(2001_반기검토)_재무제표관련_테코스_2001" xfId="6773"/>
    <cellStyle name="_Leadschedule(마로)_테코스(2001_반기검토)_재무제표관련_테코스_2001_서원양행-2002 FS - 양애리" xfId="6774"/>
    <cellStyle name="_Leadschedule(마로)_테코스(2001_반기검토)_테코스(2001_기말감사)" xfId="6775"/>
    <cellStyle name="_Leadschedule(마로)_테코스(2001_반기검토)_테코스(2001_기말감사)_2001_FS_법인세비용 반영전" xfId="6776"/>
    <cellStyle name="_Leadschedule(마로)_테코스(2001_반기검토)_테코스(2001_기말감사)_2001_FS_법인세비용 반영전_2002_반기검토-삼건베리클" xfId="6777"/>
    <cellStyle name="_Leadschedule(마로)_테코스(2001_반기검토)_테코스(2001_기말감사)_2001_FS_법인세비용 반영전_삼건베리클-2002년반기-정준형" xfId="6778"/>
    <cellStyle name="_Leadschedule(마로)_테코스(2001_반기검토)_테코스(2001_기말감사)_2001_FS_법인세비용 반영전_서원양행-2002 FS - 양애리" xfId="6779"/>
    <cellStyle name="_Leadschedule(마로)_테코스(2001_반기검토)_테코스(2001_기말감사)_서원양행-2002 FS - 양애리" xfId="6780"/>
    <cellStyle name="_Leadschedule(마로)_테코스(2001_반기검토)_테코스(2001_기말감사)_테코스_2001_기말" xfId="6781"/>
    <cellStyle name="_Leadschedule(마로)_테코스(2001_반기검토)_테코스(2001_기말감사)_테코스_2001_기말_2001_FS_법인세비용 반영전" xfId="6782"/>
    <cellStyle name="_Leadschedule(마로)_테코스(2001_반기검토)_테코스(2001_기말감사)_테코스_2001_기말_2001_FS_법인세비용 반영전_2002_반기검토-삼건베리클" xfId="6783"/>
    <cellStyle name="_Leadschedule(마로)_테코스(2001_반기검토)_테코스(2001_기말감사)_테코스_2001_기말_2001_FS_법인세비용 반영전_삼건베리클-2002년반기-정준형" xfId="6784"/>
    <cellStyle name="_Leadschedule(마로)_테코스(2001_반기검토)_테코스(2001_기말감사)_테코스_2001_기말_2001_FS_법인세비용 반영전_서원양행-2002 FS - 양애리" xfId="6785"/>
    <cellStyle name="_Leadschedule(마로)_테코스(2001_반기검토)_테코스(2001_기말감사)_테코스_2001_기말_서원양행-2002 FS - 양애리" xfId="6786"/>
    <cellStyle name="_Leadschedule(마로)_테코스(2001_반기검토)_페타 Leadschedule2001-final" xfId="6787"/>
    <cellStyle name="_Leadschedule(마로)_테코스_2001_기말" xfId="6788"/>
    <cellStyle name="_Leadschedule(마로)_테코스_2001_기말_2001_FS_법인세비용 반영전" xfId="6789"/>
    <cellStyle name="_Leadschedule(마로)_테코스_2001_기말_2001_FS_법인세비용 반영전_2002_반기검토-삼건베리클" xfId="6790"/>
    <cellStyle name="_Leadschedule(마로)_테코스_2001_기말_2001_FS_법인세비용 반영전_삼건베리클-2002년반기-정준형" xfId="6791"/>
    <cellStyle name="_Leadschedule(마로)_테코스_2001_기말_2001_FS_법인세비용 반영전_서원양행-2002 FS - 양애리" xfId="6792"/>
    <cellStyle name="_Leadschedule(마로)_테코스_2001_기말_서원양행-2002 FS - 양애리" xfId="6793"/>
    <cellStyle name="_Leadschedule(마로)_페타 Leadschedule2001-final" xfId="6794"/>
    <cellStyle name="_Leadschedule_0203-최종" xfId="6795"/>
    <cellStyle name="_Leadschedule_Book1" xfId="6796"/>
    <cellStyle name="_Leadschedule_Book1_서원양행-2002 FS - 양애리" xfId="6797"/>
    <cellStyle name="_Leadschedule_Book2" xfId="6798"/>
    <cellStyle name="_Leadschedule_CD_Leadschedule0112" xfId="6799"/>
    <cellStyle name="_Leadschedule_LS-Unitech0112" xfId="6800"/>
    <cellStyle name="_Leadschedule_LS-Unitech0112KHO" xfId="6801"/>
    <cellStyle name="_Leadschedule_LS-Unitech0112-ljw" xfId="6802"/>
    <cellStyle name="_Leadschedule_반기-나래시스템(2001)" xfId="6803"/>
    <cellStyle name="_Leadschedule_반기-나래시스템(2001)_서원양행-2002 FS - 양애리" xfId="6804"/>
    <cellStyle name="_Leadschedule_분기비용내역" xfId="6805"/>
    <cellStyle name="_Leadschedule_서원양행-2002 FS - 양애리" xfId="6806"/>
    <cellStyle name="_Leadschedule_옥LS" xfId="6807"/>
    <cellStyle name="_Leadschedule_옥LS_서원양행-2002 FS - 양애리" xfId="6808"/>
    <cellStyle name="_Leadschedule_유니텍0106반기" xfId="6809"/>
    <cellStyle name="_Leadschedule_유니텍진행율계산" xfId="6810"/>
    <cellStyle name="_Leadschedule_이앤이 3월말 LS" xfId="6811"/>
    <cellStyle name="_Leadschedule_이앤이Leadschedule" xfId="6812"/>
    <cellStyle name="_Leadschedule_이앤이Leadschedule0112" xfId="6813"/>
    <cellStyle name="_Leadschedule_이앤이Leadschedule0112_Ljw" xfId="6814"/>
    <cellStyle name="_Leadschedule_이앤이Leadschedule0112-cjk" xfId="6815"/>
    <cellStyle name="_Leadschedule_이앤이Leadschedule0203" xfId="6816"/>
    <cellStyle name="_Leadschedule_이앤이Leadschedule1" xfId="6817"/>
    <cellStyle name="_Leadschedule_이앤이Leadschedule4" xfId="6818"/>
    <cellStyle name="_Leadschedule_이앤이Leadschedule-ksw03" xfId="6819"/>
    <cellStyle name="_Leadschedule_이앤이LS" xfId="6820"/>
    <cellStyle name="_Leadschedule_조서-김소원0206" xfId="6821"/>
    <cellStyle name="_Leadschedule_조서-노은한04" xfId="6822"/>
    <cellStyle name="_Leadschedule_페타 Leadschedule2001(1)" xfId="6823"/>
    <cellStyle name="_Leadschedule_페타 Leadschedule2001(1)_페타 Leadschedule2001-final" xfId="6824"/>
    <cellStyle name="_Leadschedule_페타 Leadschedule2001(영중)" xfId="6825"/>
    <cellStyle name="_Leadschedule_페타 Leadschedule2001(영중)_페타 Leadschedule2001-final" xfId="6826"/>
    <cellStyle name="_Leadschedule_페타 Leadschedule2001-최종" xfId="6827"/>
    <cellStyle name="_Leadschedule_페타 Leadschedule2001-최종_페타 Leadschedule2001-final" xfId="6828"/>
    <cellStyle name="_Leadschedule-2001(모바일원)" xfId="6829"/>
    <cellStyle name="_leadsheet" xfId="6830"/>
    <cellStyle name="_leadsheet(스파클)" xfId="159"/>
    <cellStyle name="_leadsheet(스파클) 2" xfId="6831"/>
    <cellStyle name="_leadsheet(스파클) 3" xfId="6832"/>
    <cellStyle name="_leadsheet_서원양행-2002 FS - 양애리" xfId="6833"/>
    <cellStyle name="_leadsheet-cjk" xfId="6834"/>
    <cellStyle name="_leadsheet-버텍" xfId="6835"/>
    <cellStyle name="_leadsheet-앤캐쉬" xfId="6836"/>
    <cellStyle name="_leadsheet-앤캐쉬1" xfId="6837"/>
    <cellStyle name="_leadsheet-앤캐쉬LJW" xfId="6838"/>
    <cellStyle name="_Limited_ Review(yeong_wha_04)" xfId="6839"/>
    <cellStyle name="_Lover" xfId="19501"/>
    <cellStyle name="_ls-form" xfId="6840"/>
    <cellStyle name="_LS-innet-최종(1)" xfId="6841"/>
    <cellStyle name="_LS-Unitech0112" xfId="6842"/>
    <cellStyle name="_LS-Unitech0112KHO" xfId="6843"/>
    <cellStyle name="_LS-Unitech0112-ljw" xfId="6844"/>
    <cellStyle name="_LS-이렉" xfId="6845"/>
    <cellStyle name="_MANNY" xfId="19502"/>
    <cellStyle name="_manpower1" xfId="19503"/>
    <cellStyle name="_manpower1_Oct" xfId="19504"/>
    <cellStyle name="_Mar_AR2001" xfId="19505"/>
    <cellStyle name="_MARCH" xfId="19506"/>
    <cellStyle name="_MARINV" xfId="19507"/>
    <cellStyle name="_May_AR2001 " xfId="19508"/>
    <cellStyle name="_MEMO" xfId="19509"/>
    <cellStyle name="_Monthly FS 0204" xfId="26283"/>
    <cellStyle name="_Monthly FS 0204_financial statements-MKOI,MTIL,WSUI-(2007-09-30)jy" xfId="26284"/>
    <cellStyle name="_Monthly FS 0204_KRIF BS REC 0407" xfId="26285"/>
    <cellStyle name="_Monthly FS 0204_KRIF BS REC 0407_financial statements-MKOI,MTIL,WSUI-(2007-09-30)jy" xfId="26286"/>
    <cellStyle name="_Monthly FS 0204_KRIF BS REC 0407_롯데유럽홀딩스-NAV(2008-05-30)" xfId="26287"/>
    <cellStyle name="_Monthly FS 0204_KRIF BS REC 0407_롯데유럽홀딩스-NAV(2008-06-30)" xfId="26288"/>
    <cellStyle name="_Monthly FS 0204_롯데유럽홀딩스-NAV(2008-05-30)" xfId="26289"/>
    <cellStyle name="_Monthly FS 0204_롯데유럽홀딩스-NAV(2008-06-30)" xfId="26290"/>
    <cellStyle name="-_name of fund" xfId="19510"/>
    <cellStyle name="-_name of fund 2" xfId="19511"/>
    <cellStyle name="-_name of fund 2 2" xfId="19512"/>
    <cellStyle name="-_name of fund 3" xfId="19513"/>
    <cellStyle name="-_name of fund_I2 6월 결산 검증서_복합대출상품_20101119" xfId="19514"/>
    <cellStyle name="-_name of fund_I2 6월 결산 검증서_복합대출상품_20101119 2" xfId="19515"/>
    <cellStyle name="-_name of fund_I2 6월 결산 검증서_복합대출상품_20101119 2 2" xfId="19516"/>
    <cellStyle name="-_name of fund_name of fund" xfId="19517"/>
    <cellStyle name="-_name of fund_name of fund 2" xfId="19518"/>
    <cellStyle name="-_name of fund_name of fund 2 2" xfId="19519"/>
    <cellStyle name="-_name of fund_name of fund 3" xfId="19520"/>
    <cellStyle name="-_name of fund_name of fund_I2 6월 결산 검증서_복합대출상품_20101119" xfId="19521"/>
    <cellStyle name="-_name of fund_name of fund_I2 6월 결산 검증서_복합대출상품_20101119 2" xfId="19522"/>
    <cellStyle name="-_name of fund_name of fund_I2 6월 결산 검증서_복합대출상품_20101119 2 2" xfId="19523"/>
    <cellStyle name="-_name of fund_name of fund_Template회사작성분 검토_PEF(2)" xfId="19524"/>
    <cellStyle name="-_name of fund_name of fund_Template회사작성분 검토_PEF(2) 2" xfId="19525"/>
    <cellStyle name="-_name of fund_name of fund_Template회사작성분 검토_PEF(2) 2 2" xfId="19526"/>
    <cellStyle name="-_name of fund_name of fund_Template회사작성분 검토_PEF(2) 3" xfId="19527"/>
    <cellStyle name="-_name of fund_name of fund_Template회사작성분 검토_PEF(2)_I2 6월 결산 검증서_복합대출상품_20101119" xfId="19528"/>
    <cellStyle name="-_name of fund_name of fund_Template회사작성분 검토_PEF(2)_I2 6월 결산 검증서_복합대출상품_20101119 2" xfId="19529"/>
    <cellStyle name="-_name of fund_name of fund_Template회사작성분 검토_PEF(2)_I2 6월 결산 검증서_복합대출상품_20101119 2 2" xfId="19530"/>
    <cellStyle name="-_name of fund_Template회사작성분 검토_PEF(2)" xfId="19531"/>
    <cellStyle name="-_name of fund_Template회사작성분 검토_PEF(2) 2" xfId="19532"/>
    <cellStyle name="-_name of fund_Template회사작성분 검토_PEF(2) 2 2" xfId="19533"/>
    <cellStyle name="-_name of fund_Template회사작성분 검토_PEF(2) 3" xfId="19534"/>
    <cellStyle name="-_name of fund_Template회사작성분 검토_PEF(2)_I2 6월 결산 검증서_복합대출상품_20101119" xfId="19535"/>
    <cellStyle name="-_name of fund_Template회사작성분 검토_PEF(2)_I2 6월 결산 검증서_복합대출상품_20101119 2" xfId="19536"/>
    <cellStyle name="-_name of fund_Template회사작성분 검토_PEF(2)_I2 6월 결산 검증서_복합대출상품_20101119 2 2" xfId="19537"/>
    <cellStyle name="_NC12E1F75" xfId="6846"/>
    <cellStyle name="_NC22E43F4" xfId="6847"/>
    <cellStyle name="_NC2308EFD" xfId="6848"/>
    <cellStyle name="_NC85018F" xfId="6849"/>
    <cellStyle name="_NCA07108" xfId="6850"/>
    <cellStyle name="_NCF3A0B2" xfId="6851"/>
    <cellStyle name="_NCRPOS견적(3(1).26)" xfId="6852"/>
    <cellStyle name="_New Business Plan_final(1)" xfId="19538"/>
    <cellStyle name="_Nov_AR2001" xfId="19539"/>
    <cellStyle name="_NOVEMBER" xfId="19540"/>
    <cellStyle name="_nSIuLYX432mIp4aeNz3U4f9Sr" xfId="19541"/>
    <cellStyle name="_Oct" xfId="19542"/>
    <cellStyle name="_Oct_AR2001" xfId="19543"/>
    <cellStyle name="_oTJvNZYM4GnJq5c2P0KWNhZtt" xfId="6853"/>
    <cellStyle name="_P_현금흐름표" xfId="26291"/>
    <cellStyle name="_PAY2001" xfId="19544"/>
    <cellStyle name="_PERSONAL" xfId="6854"/>
    <cellStyle name="_PF_요주의" xfId="160"/>
    <cellStyle name="_PF_요주의 2" xfId="6855"/>
    <cellStyle name="_PF_요주의 3" xfId="6856"/>
    <cellStyle name="_PQT" xfId="6857"/>
    <cellStyle name="_PQT_1" xfId="6858"/>
    <cellStyle name="_Project O_Valuation_1126_오후" xfId="161"/>
    <cellStyle name="_Project O_Valuation_1126_오후 2" xfId="162"/>
    <cellStyle name="_Project O_Valuation_1126_오후 3" xfId="163"/>
    <cellStyle name="_Project O_Valuation_1126_오후_Project O_Valuation_v7.0" xfId="164"/>
    <cellStyle name="_Project O_Valuation_1126_오후_Project O2_Valuation_v1.3" xfId="165"/>
    <cellStyle name="_Project O_Valuation_1126_오후_WR Bank 2010 1Q 공담분석_0221" xfId="166"/>
    <cellStyle name="_Project O_Valuation_1126_오후_WR Bank 2010 1Q 유덕현(0212)" xfId="167"/>
    <cellStyle name="_Project O_Valuation_1126_오후_WR Bank 2010 1Q 지석 취합자료(0217)" xfId="168"/>
    <cellStyle name="_Project O_Valuation_91119" xfId="169"/>
    <cellStyle name="_Project O_Valuation_91119 2" xfId="170"/>
    <cellStyle name="_Project O_Valuation_91119 3" xfId="171"/>
    <cellStyle name="_Project O_Valuation_91119_Project O_Valuation_v7.0" xfId="172"/>
    <cellStyle name="_Project O_Valuation_91119_Project O2_Valuation_v1.3" xfId="173"/>
    <cellStyle name="_Project O_Valuation_91119_WR Bank 2010 1Q 공담분석_0221" xfId="174"/>
    <cellStyle name="_Project O_Valuation_91119_WR Bank 2010 1Q 유덕현(0212)" xfId="175"/>
    <cellStyle name="_Project O_Valuation_91119_WR Bank 2010 1Q 지석 취합자료(0217)" xfId="176"/>
    <cellStyle name="_Purchasing IC flow" xfId="19545"/>
    <cellStyle name="_QT00310-524QQQQQQQQQQQQQ Office _QUOC12344" xfId="6859"/>
    <cellStyle name="_QT03210-1027- CITY HUB fur" xfId="6860"/>
    <cellStyle name="_QT04209- 490 AVON Cosmetic-ReQT03509-Q287&amp;Q295" xfId="6861"/>
    <cellStyle name="_QT04209- 490 AVON Cosmetic-ReQT03509-Q287&amp;Q295_Quotation cafe saicombank(110209) (A An)" xfId="6862"/>
    <cellStyle name="_Quotation" xfId="6863"/>
    <cellStyle name="_Quotation CMA Gemadept(300608)" xfId="6864"/>
    <cellStyle name="_quotation_Siemen_project(1)" xfId="6865"/>
    <cellStyle name="_R lead schedule" xfId="19546"/>
    <cellStyle name="_Research_Report용(2001년말).xls Chart 1" xfId="177"/>
    <cellStyle name="_Research_Report용(2001년말).xls Chart 1 2" xfId="6866"/>
    <cellStyle name="_Research_Report용(2001년말).xls Chart 1 3" xfId="6867"/>
    <cellStyle name="_Research_Report용(2001년말).xls Chart 10" xfId="178"/>
    <cellStyle name="_Research_Report용(2001년말).xls Chart 10 2" xfId="6868"/>
    <cellStyle name="_Research_Report용(2001년말).xls Chart 10 3" xfId="6869"/>
    <cellStyle name="_Research_Report용(2001년말).xls Chart 11" xfId="179"/>
    <cellStyle name="_Research_Report용(2001년말).xls Chart 11 2" xfId="6870"/>
    <cellStyle name="_Research_Report용(2001년말).xls Chart 11 3" xfId="6871"/>
    <cellStyle name="_Research_Report용(2001년말).xls Chart 12" xfId="180"/>
    <cellStyle name="_Research_Report용(2001년말).xls Chart 12 2" xfId="6872"/>
    <cellStyle name="_Research_Report용(2001년말).xls Chart 12 3" xfId="6873"/>
    <cellStyle name="_Research_Report용(2001년말).xls Chart 13" xfId="181"/>
    <cellStyle name="_Research_Report용(2001년말).xls Chart 13 2" xfId="6874"/>
    <cellStyle name="_Research_Report용(2001년말).xls Chart 13 3" xfId="6875"/>
    <cellStyle name="_Research_Report용(2001년말).xls Chart 14" xfId="182"/>
    <cellStyle name="_Research_Report용(2001년말).xls Chart 14 2" xfId="6876"/>
    <cellStyle name="_Research_Report용(2001년말).xls Chart 14 3" xfId="6877"/>
    <cellStyle name="_Research_Report용(2001년말).xls Chart 15" xfId="183"/>
    <cellStyle name="_Research_Report용(2001년말).xls Chart 15 2" xfId="6878"/>
    <cellStyle name="_Research_Report용(2001년말).xls Chart 15 3" xfId="6879"/>
    <cellStyle name="_Research_Report용(2001년말).xls Chart 16" xfId="184"/>
    <cellStyle name="_Research_Report용(2001년말).xls Chart 16 2" xfId="6880"/>
    <cellStyle name="_Research_Report용(2001년말).xls Chart 16 3" xfId="6881"/>
    <cellStyle name="_Research_Report용(2001년말).xls Chart 17" xfId="185"/>
    <cellStyle name="_Research_Report용(2001년말).xls Chart 17 2" xfId="6882"/>
    <cellStyle name="_Research_Report용(2001년말).xls Chart 17 3" xfId="6883"/>
    <cellStyle name="_Research_Report용(2001년말).xls Chart 18" xfId="186"/>
    <cellStyle name="_Research_Report용(2001년말).xls Chart 18 2" xfId="6884"/>
    <cellStyle name="_Research_Report용(2001년말).xls Chart 18 3" xfId="6885"/>
    <cellStyle name="_Research_Report용(2001년말).xls Chart 19" xfId="187"/>
    <cellStyle name="_Research_Report용(2001년말).xls Chart 19 2" xfId="6886"/>
    <cellStyle name="_Research_Report용(2001년말).xls Chart 19 3" xfId="6887"/>
    <cellStyle name="_Research_Report용(2001년말).xls Chart 2" xfId="188"/>
    <cellStyle name="_Research_Report용(2001년말).xls Chart 2 2" xfId="6888"/>
    <cellStyle name="_Research_Report용(2001년말).xls Chart 2 3" xfId="6889"/>
    <cellStyle name="_Research_Report용(2001년말).xls Chart 20" xfId="189"/>
    <cellStyle name="_Research_Report용(2001년말).xls Chart 20 2" xfId="6890"/>
    <cellStyle name="_Research_Report용(2001년말).xls Chart 20 3" xfId="6891"/>
    <cellStyle name="_Research_Report용(2001년말).xls Chart 21" xfId="190"/>
    <cellStyle name="_Research_Report용(2001년말).xls Chart 21 2" xfId="6892"/>
    <cellStyle name="_Research_Report용(2001년말).xls Chart 21 3" xfId="6893"/>
    <cellStyle name="_Research_Report용(2001년말).xls Chart 3" xfId="191"/>
    <cellStyle name="_Research_Report용(2001년말).xls Chart 3 2" xfId="6894"/>
    <cellStyle name="_Research_Report용(2001년말).xls Chart 3 3" xfId="6895"/>
    <cellStyle name="_Research_Report용(2001년말).xls Chart 4" xfId="192"/>
    <cellStyle name="_Research_Report용(2001년말).xls Chart 4 2" xfId="6896"/>
    <cellStyle name="_Research_Report용(2001년말).xls Chart 4 3" xfId="6897"/>
    <cellStyle name="_Research_Report용(2001년말).xls Chart 5" xfId="193"/>
    <cellStyle name="_Research_Report용(2001년말).xls Chart 5 2" xfId="6898"/>
    <cellStyle name="_Research_Report용(2001년말).xls Chart 5 3" xfId="6899"/>
    <cellStyle name="_Research_Report용(2001년말).xls Chart 6" xfId="194"/>
    <cellStyle name="_Research_Report용(2001년말).xls Chart 6 2" xfId="6900"/>
    <cellStyle name="_Research_Report용(2001년말).xls Chart 6 3" xfId="6901"/>
    <cellStyle name="_Research_Report용(2001년말).xls Chart 7" xfId="195"/>
    <cellStyle name="_Research_Report용(2001년말).xls Chart 7 2" xfId="6902"/>
    <cellStyle name="_Research_Report용(2001년말).xls Chart 7 3" xfId="6903"/>
    <cellStyle name="_Research_Report용(2001년말).xls Chart 8" xfId="196"/>
    <cellStyle name="_Research_Report용(2001년말).xls Chart 8 2" xfId="6904"/>
    <cellStyle name="_Research_Report용(2001년말).xls Chart 8 3" xfId="6905"/>
    <cellStyle name="_Research_Report용(2001년말).xls Chart 9" xfId="197"/>
    <cellStyle name="_Research_Report용(2001년말).xls Chart 9 2" xfId="6906"/>
    <cellStyle name="_Research_Report용(2001년말).xls Chart 9 3" xfId="6907"/>
    <cellStyle name="_RESULTS" xfId="6908"/>
    <cellStyle name="_RESULTS_1" xfId="19547"/>
    <cellStyle name="_RESULTS_FEB" xfId="19548"/>
    <cellStyle name="_RESULTS_FEBINV" xfId="19549"/>
    <cellStyle name="_RESULTS_FEBINV_2002년 DDPI 종합 - 8.11 본사" xfId="19550"/>
    <cellStyle name="_RESULTS_FEBINV_2002년 가결산.2002.11.15 본사 " xfId="19551"/>
    <cellStyle name="_RESULTS_FEBINV_ARF1" xfId="19552"/>
    <cellStyle name="_RESULTS_FEBINV_BTL AR 03-132 (2)" xfId="19553"/>
    <cellStyle name="_RESULTS_FEBINV_DDI AR BAL.  (03-16-02)" xfId="19554"/>
    <cellStyle name="_RESULTS_FEBINV_월말보고-2002.05월" xfId="19555"/>
    <cellStyle name="_RESULTS_FEBINV_월말보고-2002.06월" xfId="19556"/>
    <cellStyle name="_RESULTS_MARCH" xfId="19557"/>
    <cellStyle name="_RESULTS_MARINV" xfId="19558"/>
    <cellStyle name="_RESULTS_RESULTS" xfId="19559"/>
    <cellStyle name="_Revised budget_0306~(02)" xfId="19560"/>
    <cellStyle name="_RHD (2)" xfId="6909"/>
    <cellStyle name="_RHD (2)_1" xfId="6910"/>
    <cellStyle name="_Row1" xfId="198"/>
    <cellStyle name="_Row1 2" xfId="6911"/>
    <cellStyle name="_Row1 3" xfId="6912"/>
    <cellStyle name="_Row1_파생 현금흐름표(최종)" xfId="26292"/>
    <cellStyle name="_Row1_파생 현금흐름표(최종)_파생상품요청양식(080211)(1)_최종" xfId="26293"/>
    <cellStyle name="_SaDec" xfId="6913"/>
    <cellStyle name="_sales" xfId="19561"/>
    <cellStyle name="_SC Bank 2003 CTR WP" xfId="199"/>
    <cellStyle name="_SC Bank 2003 CTR WP 2" xfId="6914"/>
    <cellStyle name="_SC Bank 2003 CTR WP 3" xfId="6915"/>
    <cellStyle name="_SCI-GUAD   (08-15)" xfId="19562"/>
    <cellStyle name="_Sept_AR2001" xfId="19563"/>
    <cellStyle name="-_SH&amp;C생명2002년기말fs-정대환수정" xfId="26294"/>
    <cellStyle name="-_SH&amp;C생명2002년기말fs-정대환수정_20120703 6월 관리업체 게시용(고객식별자)" xfId="26295"/>
    <cellStyle name="-_SH&amp;C생명2002년기말fs-정대환수정_20120709 ♣2012년 6월 관리채권v-1(파생제외)" xfId="26296"/>
    <cellStyle name="-_SH&amp;C생명2002년기말fs-정대환수정_20120802 2012년 7월 관리업체(게시용)(1)" xfId="26297"/>
    <cellStyle name="-_SH&amp;C생명2002년기말fs-정대환수정_TB_SFG_04.03_라" xfId="26298"/>
    <cellStyle name="-_SH&amp;C생명2002년기말fs-정대환수정_TB_SFG_04.03_라_20120703 6월 관리업체 게시용(고객식별자)" xfId="26299"/>
    <cellStyle name="-_SH&amp;C생명2002년기말fs-정대환수정_TB_SFG_04.03_라_20120709 ♣2012년 6월 관리채권v-1(파생제외)" xfId="26300"/>
    <cellStyle name="-_SH&amp;C생명2002년기말fs-정대환수정_TB_SFG_04.03_라_20120802 2012년 7월 관리업체(게시용)(1)" xfId="26301"/>
    <cellStyle name="_Sheet1" xfId="200"/>
    <cellStyle name="_Sheet1_Q3_laroux" xfId="19564"/>
    <cellStyle name="_SK Corp_01 3 반기_투자자산(투유제외)" xfId="19565"/>
    <cellStyle name="_SK Corp_01 3 분기 투자유가증권" xfId="19566"/>
    <cellStyle name="_SK Corp_01반기_장단기차입금" xfId="19567"/>
    <cellStyle name="_sk 조정구파트" xfId="19568"/>
    <cellStyle name="_SONADEZI" xfId="6916"/>
    <cellStyle name="-_SUN 입력용fund" xfId="19569"/>
    <cellStyle name="-_SUN 입력용fund 2" xfId="19570"/>
    <cellStyle name="-_SUN 입력용fund 2 2" xfId="19571"/>
    <cellStyle name="-_SUN 입력용fund 3" xfId="19572"/>
    <cellStyle name="-_SUN 입력용fund_I2 6월 결산 검증서_복합대출상품_20101119" xfId="19573"/>
    <cellStyle name="-_SUN 입력용fund_I2 6월 결산 검증서_복합대출상품_20101119 2" xfId="19574"/>
    <cellStyle name="-_SUN 입력용fund_I2 6월 결산 검증서_복합대출상품_20101119 2 2" xfId="19575"/>
    <cellStyle name="-_SUN 입력용fund_name of fund" xfId="19576"/>
    <cellStyle name="-_SUN 입력용fund_name of fund 2" xfId="19577"/>
    <cellStyle name="-_SUN 입력용fund_name of fund 2 2" xfId="19578"/>
    <cellStyle name="-_SUN 입력용fund_name of fund 3" xfId="19579"/>
    <cellStyle name="-_SUN 입력용fund_name of fund_I2 6월 결산 검증서_복합대출상품_20101119" xfId="19580"/>
    <cellStyle name="-_SUN 입력용fund_name of fund_I2 6월 결산 검증서_복합대출상품_20101119 2" xfId="19581"/>
    <cellStyle name="-_SUN 입력용fund_name of fund_I2 6월 결산 검증서_복합대출상품_20101119 2 2" xfId="19582"/>
    <cellStyle name="-_SUN 입력용fund_name of fund_Template회사작성분 검토_PEF(2)" xfId="19583"/>
    <cellStyle name="-_SUN 입력용fund_name of fund_Template회사작성분 검토_PEF(2) 2" xfId="19584"/>
    <cellStyle name="-_SUN 입력용fund_name of fund_Template회사작성분 검토_PEF(2) 2 2" xfId="19585"/>
    <cellStyle name="-_SUN 입력용fund_name of fund_Template회사작성분 검토_PEF(2) 3" xfId="19586"/>
    <cellStyle name="-_SUN 입력용fund_name of fund_Template회사작성분 검토_PEF(2)_I2 6월 결산 검증서_복합대출상품_20101119" xfId="19587"/>
    <cellStyle name="-_SUN 입력용fund_name of fund_Template회사작성분 검토_PEF(2)_I2 6월 결산 검증서_복합대출상품_20101119 2" xfId="19588"/>
    <cellStyle name="-_SUN 입력용fund_name of fund_Template회사작성분 검토_PEF(2)_I2 6월 결산 검증서_복합대출상품_20101119 2 2" xfId="19589"/>
    <cellStyle name="-_SUN 입력용fund_Template회사작성분 검토_PEF(2)" xfId="19590"/>
    <cellStyle name="-_SUN 입력용fund_Template회사작성분 검토_PEF(2) 2" xfId="19591"/>
    <cellStyle name="-_SUN 입력용fund_Template회사작성분 검토_PEF(2) 2 2" xfId="19592"/>
    <cellStyle name="-_SUN 입력용fund_Template회사작성분 검토_PEF(2) 3" xfId="19593"/>
    <cellStyle name="-_SUN 입력용fund_Template회사작성분 검토_PEF(2)_I2 6월 결산 검증서_복합대출상품_20101119" xfId="19594"/>
    <cellStyle name="-_SUN 입력용fund_Template회사작성분 검토_PEF(2)_I2 6월 결산 검증서_복합대출상품_20101119 2" xfId="19595"/>
    <cellStyle name="-_SUN 입력용fund_Template회사작성분 검토_PEF(2)_I2 6월 결산 검증서_복합대출상품_20101119 2 2" xfId="19596"/>
    <cellStyle name="-_TB_SFG_04.03_라" xfId="26302"/>
    <cellStyle name="-_TB_SFG_04.03_라_20120703 6월 관리업체 게시용(고객식별자)" xfId="26303"/>
    <cellStyle name="-_TB_SFG_04.03_라_20120709 ♣2012년 6월 관리채권v-1(파생제외)" xfId="26304"/>
    <cellStyle name="-_TB_SFG_04.03_라_20120802 2012년 7월 관리업체(게시용)(1)" xfId="26305"/>
    <cellStyle name="_TEMICGER" xfId="19597"/>
    <cellStyle name="_TEMICGER.XLS Chart 94" xfId="19598"/>
    <cellStyle name="_TEMICGER.XLS Chart 94_Oct" xfId="19599"/>
    <cellStyle name="_TEMICGER.XLS Chart 94-1" xfId="19600"/>
    <cellStyle name="_TEMICGER.XLS Chart 94-1_Oct" xfId="19601"/>
    <cellStyle name="_TEMICGER_Oct" xfId="19602"/>
    <cellStyle name="-_Template회사작성분 검토_PEF(2)" xfId="19603"/>
    <cellStyle name="-_Template회사작성분 검토_PEF(2) 2" xfId="19604"/>
    <cellStyle name="-_Template회사작성분 검토_PEF(2) 2 2" xfId="19605"/>
    <cellStyle name="-_Template회사작성분 검토_PEF(2) 3" xfId="19606"/>
    <cellStyle name="-_Template회사작성분 검토_PEF(2)_I2 6월 결산 검증서_복합대출상품_20101119" xfId="19607"/>
    <cellStyle name="-_Template회사작성분 검토_PEF(2)_I2 6월 결산 검증서_복합대출상품_20101119 2" xfId="19608"/>
    <cellStyle name="-_Template회사작성분 검토_PEF(2)_I2 6월 결산 검증서_복합대출상품_20101119 2 2" xfId="19609"/>
    <cellStyle name="_TGERMA~1" xfId="19610"/>
    <cellStyle name="_TGIF견적(AS및개발비,20030307)" xfId="6917"/>
    <cellStyle name="_TGIF견적(POS,20030307)" xfId="6918"/>
    <cellStyle name="_TG-TH" xfId="6919"/>
    <cellStyle name="_TG-TH_1" xfId="6920"/>
    <cellStyle name="_TG-TH_1_bang chon NCC" xfId="6921"/>
    <cellStyle name="_TG-TH_1_Book1" xfId="6922"/>
    <cellStyle name="_TG-TH_1_Book1_1" xfId="6923"/>
    <cellStyle name="_TG-TH_1_Book1_1_Book1" xfId="6924"/>
    <cellStyle name="_TG-TH_1_Book1_1_Book1_1" xfId="6925"/>
    <cellStyle name="_TG-TH_1_Book1_1_SONADEZI" xfId="6926"/>
    <cellStyle name="_TG-TH_1_Book1_2" xfId="6927"/>
    <cellStyle name="_TG-TH_1_Book1_2_Book1" xfId="6928"/>
    <cellStyle name="_TG-TH_1_Book1_2_KLTT DUOC PHAM (16-6)" xfId="6929"/>
    <cellStyle name="_TG-TH_1_Book1_2_SONADEZI" xfId="6930"/>
    <cellStyle name="_TG-TH_1_Book1_3" xfId="6931"/>
    <cellStyle name="_TG-TH_1_Book1_bang chon NCC" xfId="6932"/>
    <cellStyle name="_TG-TH_1_Book1_Book1" xfId="6933"/>
    <cellStyle name="_TG-TH_1_Book1_Book1_1" xfId="6934"/>
    <cellStyle name="_TG-TH_1_Book1_Book1_2" xfId="6935"/>
    <cellStyle name="_TG-TH_1_Book1_SONADEZI" xfId="6936"/>
    <cellStyle name="_TG-TH_1_Book2" xfId="6937"/>
    <cellStyle name="_TG-TH_1_dutch  lady 3  (25-3)" xfId="6938"/>
    <cellStyle name="_TG-TH_1_Giai Doan 3 Hong Ngu" xfId="6939"/>
    <cellStyle name="_TG-TH_1_gritti" xfId="6940"/>
    <cellStyle name="_TG-TH_1_Gritti 31-3" xfId="6941"/>
    <cellStyle name="_TG-TH_1_KL DU THAU (gui)" xfId="6942"/>
    <cellStyle name="_TG-TH_1_KLTT DUOC PHAM (16-6)" xfId="6943"/>
    <cellStyle name="_TG-TH_1_Quotation" xfId="6944"/>
    <cellStyle name="_TG-TH_1_Quotation_1" xfId="6945"/>
    <cellStyle name="_TG-TH_1_SaDec" xfId="6946"/>
    <cellStyle name="_TG-TH_1_SONADEZI" xfId="6947"/>
    <cellStyle name="_TG-TH_1_thong ke cua Inox" xfId="6948"/>
    <cellStyle name="_TG-TH_1_thuy san Phan Thiet" xfId="6949"/>
    <cellStyle name="_TG-TH_2" xfId="6950"/>
    <cellStyle name="_TG-TH_2_bang chon NCC" xfId="6951"/>
    <cellStyle name="_TG-TH_2_Book1" xfId="6952"/>
    <cellStyle name="_TG-TH_2_Book1_1" xfId="6953"/>
    <cellStyle name="_TG-TH_2_Book1_1_Book1" xfId="6954"/>
    <cellStyle name="_TG-TH_2_Book1_1_Book1_1" xfId="6955"/>
    <cellStyle name="_TG-TH_2_Book1_1_SONADEZI" xfId="6956"/>
    <cellStyle name="_TG-TH_2_Book1_2" xfId="6957"/>
    <cellStyle name="_TG-TH_2_Book1_2_Book1" xfId="6958"/>
    <cellStyle name="_TG-TH_2_Book1_2_KLTT DUOC PHAM (16-6)" xfId="6959"/>
    <cellStyle name="_TG-TH_2_Book1_2_SONADEZI" xfId="6960"/>
    <cellStyle name="_TG-TH_2_Book1_3" xfId="6961"/>
    <cellStyle name="_TG-TH_2_Book1_bang chon NCC" xfId="6962"/>
    <cellStyle name="_TG-TH_2_Book1_Book1" xfId="6963"/>
    <cellStyle name="_TG-TH_2_Book1_Book1_1" xfId="6964"/>
    <cellStyle name="_TG-TH_2_Book1_Book1_2" xfId="6965"/>
    <cellStyle name="_TG-TH_2_Book1_SONADEZI" xfId="6966"/>
    <cellStyle name="_TG-TH_2_Book2" xfId="6967"/>
    <cellStyle name="_TG-TH_2_dutch  lady 3  (25-3)" xfId="6968"/>
    <cellStyle name="_TG-TH_2_Giai Doan 3 Hong Ngu" xfId="6969"/>
    <cellStyle name="_TG-TH_2_gritti" xfId="6970"/>
    <cellStyle name="_TG-TH_2_Gritti 31-3" xfId="6971"/>
    <cellStyle name="_TG-TH_2_KL DU THAU (gui)" xfId="6972"/>
    <cellStyle name="_TG-TH_2_KLTT DUOC PHAM (16-6)" xfId="6973"/>
    <cellStyle name="_TG-TH_2_Quotation" xfId="6974"/>
    <cellStyle name="_TG-TH_2_Quotation_1" xfId="6975"/>
    <cellStyle name="_TG-TH_2_SaDec" xfId="6976"/>
    <cellStyle name="_TG-TH_2_SONADEZI" xfId="6977"/>
    <cellStyle name="_TG-TH_2_thong ke cua Inox" xfId="6978"/>
    <cellStyle name="_TG-TH_2_thuy san Phan Thiet" xfId="6979"/>
    <cellStyle name="_TG-TH_3" xfId="6980"/>
    <cellStyle name="_TG-TH_3_Book1" xfId="6981"/>
    <cellStyle name="_TG-TH_3_dutch  lady 3  (25-3)" xfId="6982"/>
    <cellStyle name="_TG-TH_3_gritti" xfId="6983"/>
    <cellStyle name="_TG-TH_3_Gritti 31-3" xfId="6984"/>
    <cellStyle name="_TG-TH_3_Quotation" xfId="6985"/>
    <cellStyle name="_TG-TH_3_thong ke cua Inox" xfId="6986"/>
    <cellStyle name="_TG-TH_4" xfId="6987"/>
    <cellStyle name="_thong ke cua Inox" xfId="6988"/>
    <cellStyle name="_TITLE" xfId="19611"/>
    <cellStyle name="_TITLE_1" xfId="19612"/>
    <cellStyle name="_TITLE_Annual" xfId="19613"/>
    <cellStyle name="_TITLE_Annual.xls Chart 1" xfId="19614"/>
    <cellStyle name="_TITLE_Annual.xls Chart 2" xfId="19615"/>
    <cellStyle name="_TOC- R" xfId="6989"/>
    <cellStyle name="_tong muc-myan-xuantruong" xfId="6990"/>
    <cellStyle name="_TY01" xfId="6991"/>
    <cellStyle name="_U3" xfId="19616"/>
    <cellStyle name="_V200,U100금형비집계(최종)" xfId="6992"/>
    <cellStyle name="_VILC지분법평가(회사제시)" xfId="19617"/>
    <cellStyle name="_Visit GmBh" xfId="19618"/>
    <cellStyle name="_Visit GmBh_Oct" xfId="19619"/>
    <cellStyle name="_Visit to Gmbh April SHLee" xfId="19620"/>
    <cellStyle name="_Visit to Gmbh April SHLee_Oct" xfId="19621"/>
    <cellStyle name="_WARP" xfId="19622"/>
    <cellStyle name="_WARP_Oct" xfId="19623"/>
    <cellStyle name="_Worksheet in 8720 9기이연법인세" xfId="19624"/>
    <cellStyle name="_WP02(ye final)" xfId="19625"/>
    <cellStyle name="_wp1221(최영붕)" xfId="19626"/>
    <cellStyle name="_WR Bank 2009 2Q 1차(일반)기초자료" xfId="201"/>
    <cellStyle name="_WR Bank 2009 2Q 1차(일반)기초자료 2" xfId="202"/>
    <cellStyle name="_WR Bank 2009 2Q 1차(일반)기초자료_~5999479" xfId="203"/>
    <cellStyle name="_WR Bank 2009 2Q 1차(일반)기초자료_~5999479 2" xfId="204"/>
    <cellStyle name="_WR Bank 2009 2Q 1차(일반)기초자료_~5999479 3" xfId="205"/>
    <cellStyle name="_WR Bank 2009 2Q 1차(일반)기초자료_Project O_Valuation(KAMCO)_v11.2" xfId="206"/>
    <cellStyle name="_WR Bank 2009 2Q 1차(일반)기초자료_Project O_Valuation(KAMCO)_v11.2 2" xfId="207"/>
    <cellStyle name="_WR Bank 2009 2Q 1차(일반)기초자료_Project O_Valuation(KAMCO)_v11.2 3" xfId="208"/>
    <cellStyle name="_WR Bank 2009 2Q 1차(일반)기초자료_Project O_Valuation(KAMCO기준)_091126v10_가압류추가" xfId="209"/>
    <cellStyle name="_WR Bank 2009 2Q 1차(일반)기초자료_Project O_Valuation(KAMCO기준)_091126v10_가압류추가 2" xfId="210"/>
    <cellStyle name="_WR Bank 2009 2Q 1차(일반)기초자료_Project O_Valuation(KAMCO기준)_091126v10_가압류추가 3" xfId="211"/>
    <cellStyle name="_WR Bank 2009 2Q 1차(일반)기초자료_Project O_Valuation(KAMCO기준)_091126v4" xfId="212"/>
    <cellStyle name="_WR Bank 2009 2Q 1차(일반)기초자료_Project O_Valuation(KAMCO기준)_091126v4 2" xfId="213"/>
    <cellStyle name="_WR Bank 2009 2Q 1차(일반)기초자료_Project O_Valuation(KAMCO기준)_091126v4 3" xfId="214"/>
    <cellStyle name="_WR Bank 2009 2Q 1차(일반)기초자료_Project O_Valuation(KAMCO기준)_091126v9" xfId="215"/>
    <cellStyle name="_WR Bank 2009 2Q 1차(일반)기초자료_Project O_Valuation(KAMCO기준)_091126v9 2" xfId="216"/>
    <cellStyle name="_WR Bank 2009 2Q 1차(일반)기초자료_Project O_Valuation(KAMCO기준)_091126v9 3" xfId="217"/>
    <cellStyle name="_WR Bank 2009 2Q 1차(일반)기초자료_Project O_Valuation_1124" xfId="218"/>
    <cellStyle name="_WR Bank 2009 2Q 1차(일반)기초자료_Project O_Valuation_1124 2" xfId="219"/>
    <cellStyle name="_WR Bank 2009 2Q 1차(일반)기초자료_Project O_Valuation_1124 3" xfId="220"/>
    <cellStyle name="_WR Bank 2009 2Q 1차(일반)기초자료_Project O_Valuation_1125_오후" xfId="221"/>
    <cellStyle name="_WR Bank 2009 2Q 1차(일반)기초자료_Project O_Valuation_1125_오후 2" xfId="222"/>
    <cellStyle name="_WR Bank 2009 2Q 1차(일반)기초자료_Project O_Valuation_1125_오후 3" xfId="223"/>
    <cellStyle name="_WR Bank 2009 2Q 1차(일반)기초자료_Project O_Valuation_1126_오전" xfId="224"/>
    <cellStyle name="_WR Bank 2009 2Q 1차(일반)기초자료_Project O_Valuation_1126_오전 2" xfId="225"/>
    <cellStyle name="_WR Bank 2009 2Q 1차(일반)기초자료_Project O_Valuation_1126_오전 3" xfId="226"/>
    <cellStyle name="_WR Bank 2009 2Q 1차(일반)기초자료_Project O_Valuation_1126_저녁" xfId="227"/>
    <cellStyle name="_WR Bank 2009 2Q 1차(일반)기초자료_Project O_Valuation_1126_저녁 2" xfId="228"/>
    <cellStyle name="_WR Bank 2009 2Q 1차(일반)기초자료_Project O_Valuation_1126_저녁 3" xfId="229"/>
    <cellStyle name="_WR Bank 2009 2Q 1차(일반)기초자료_Project O_Valuation_v1" xfId="230"/>
    <cellStyle name="_WR Bank 2009 2Q 1차(일반)기초자료_Project O_Valuation_v1 2" xfId="231"/>
    <cellStyle name="_WR Bank 2009 2Q 1차(일반)기초자료_Project O_Valuation_v1 3" xfId="232"/>
    <cellStyle name="_WR Bank 2009 2Q 1차(일반)기초자료_Project O_Valuation_v3.0" xfId="233"/>
    <cellStyle name="_WR Bank 2009 2Q 1차(일반)기초자료_Project O_Valuation_v3.0 2" xfId="234"/>
    <cellStyle name="_WR Bank 2009 2Q 1차(일반)기초자료_Project O_Valuation_v3.0 3" xfId="235"/>
    <cellStyle name="_WR Bank 2009 2Q 1차(일반)기초자료_Project O_Valuation_v3.5" xfId="236"/>
    <cellStyle name="_WR Bank 2009 2Q 1차(일반)기초자료_Project O_Valuation_v3.5 2" xfId="237"/>
    <cellStyle name="_WR Bank 2009 2Q 1차(일반)기초자료_Project O_Valuation_v3.5 3" xfId="238"/>
    <cellStyle name="_WR Bank 2009 2Q 1차(일반)기초자료_Project O_Valuation_v7.0" xfId="239"/>
    <cellStyle name="_WR Bank 2009 2Q 1차(일반)기초자료_Project O2_Valuation_v1.3" xfId="240"/>
    <cellStyle name="_WR Bank 2009 2Q 1차(일반)기초자료_WR Bank 2009 4Q 지석 1124" xfId="241"/>
    <cellStyle name="_WR Bank 2009 2Q 1차(일반)기초자료_WR Bank 2009 4Q 지석 1124 2" xfId="242"/>
    <cellStyle name="_WR Bank 2009 2Q 1차(일반)기초자료_WR Bank 2009 4Q 지석 1124 3" xfId="243"/>
    <cellStyle name="_WR Bank 2009 2Q 1차(일반)기초자료_WR Bank 2010 1Q 공담분석_0221" xfId="244"/>
    <cellStyle name="_WR Bank 2009 2Q 1차(일반)기초자료_WR Bank 2010 1Q 유덕현(0212)" xfId="245"/>
    <cellStyle name="_WR Bank 2009 2Q 1차(일반)기초자료_WR Bank 2010 1Q 지석 취합자료(0217)" xfId="246"/>
    <cellStyle name="_WR Bank 2009 2Q 1차(일반)기초자료_낙찰가율정리3" xfId="247"/>
    <cellStyle name="_WR Bank 2009 2Q 1차(일반)기초자료_낙찰가율정리3 2" xfId="248"/>
    <cellStyle name="_WR Bank 2009 2Q 1차(일반)기초자료_낙찰가율정리3 3" xfId="249"/>
    <cellStyle name="_WR Bank 2009 2Q 3차(일반)민태영1~80" xfId="250"/>
    <cellStyle name="_WR Bank 2009 2Q 3차(일반)민태영1~80 2" xfId="251"/>
    <cellStyle name="_WR Bank 2009 2Q 3차(일반)민태영1~80_~5999479" xfId="252"/>
    <cellStyle name="_WR Bank 2009 2Q 3차(일반)민태영1~80_~5999479 2" xfId="253"/>
    <cellStyle name="_WR Bank 2009 2Q 3차(일반)민태영1~80_~5999479 3" xfId="254"/>
    <cellStyle name="_WR Bank 2009 2Q 3차(일반)민태영1~80_Project O_Valuation(KAMCO)_v11.2" xfId="255"/>
    <cellStyle name="_WR Bank 2009 2Q 3차(일반)민태영1~80_Project O_Valuation(KAMCO)_v11.2 2" xfId="256"/>
    <cellStyle name="_WR Bank 2009 2Q 3차(일반)민태영1~80_Project O_Valuation(KAMCO)_v11.2 3" xfId="257"/>
    <cellStyle name="_WR Bank 2009 2Q 3차(일반)민태영1~80_Project O_Valuation(KAMCO기준)_091126v10_가압류추가" xfId="258"/>
    <cellStyle name="_WR Bank 2009 2Q 3차(일반)민태영1~80_Project O_Valuation(KAMCO기준)_091126v10_가압류추가 2" xfId="259"/>
    <cellStyle name="_WR Bank 2009 2Q 3차(일반)민태영1~80_Project O_Valuation(KAMCO기준)_091126v10_가압류추가 3" xfId="260"/>
    <cellStyle name="_WR Bank 2009 2Q 3차(일반)민태영1~80_Project O_Valuation(KAMCO기준)_091126v4" xfId="261"/>
    <cellStyle name="_WR Bank 2009 2Q 3차(일반)민태영1~80_Project O_Valuation(KAMCO기준)_091126v4 2" xfId="262"/>
    <cellStyle name="_WR Bank 2009 2Q 3차(일반)민태영1~80_Project O_Valuation(KAMCO기준)_091126v4 3" xfId="263"/>
    <cellStyle name="_WR Bank 2009 2Q 3차(일반)민태영1~80_Project O_Valuation(KAMCO기준)_091126v9" xfId="264"/>
    <cellStyle name="_WR Bank 2009 2Q 3차(일반)민태영1~80_Project O_Valuation(KAMCO기준)_091126v9 2" xfId="265"/>
    <cellStyle name="_WR Bank 2009 2Q 3차(일반)민태영1~80_Project O_Valuation(KAMCO기준)_091126v9 3" xfId="266"/>
    <cellStyle name="_WR Bank 2009 2Q 3차(일반)민태영1~80_Project O_Valuation_1124" xfId="267"/>
    <cellStyle name="_WR Bank 2009 2Q 3차(일반)민태영1~80_Project O_Valuation_1124 2" xfId="268"/>
    <cellStyle name="_WR Bank 2009 2Q 3차(일반)민태영1~80_Project O_Valuation_1124 3" xfId="269"/>
    <cellStyle name="_WR Bank 2009 2Q 3차(일반)민태영1~80_Project O_Valuation_1125_오후" xfId="270"/>
    <cellStyle name="_WR Bank 2009 2Q 3차(일반)민태영1~80_Project O_Valuation_1125_오후 2" xfId="271"/>
    <cellStyle name="_WR Bank 2009 2Q 3차(일반)민태영1~80_Project O_Valuation_1125_오후 3" xfId="272"/>
    <cellStyle name="_WR Bank 2009 2Q 3차(일반)민태영1~80_Project O_Valuation_1126_오전" xfId="273"/>
    <cellStyle name="_WR Bank 2009 2Q 3차(일반)민태영1~80_Project O_Valuation_1126_오전 2" xfId="274"/>
    <cellStyle name="_WR Bank 2009 2Q 3차(일반)민태영1~80_Project O_Valuation_1126_오전 3" xfId="275"/>
    <cellStyle name="_WR Bank 2009 2Q 3차(일반)민태영1~80_Project O_Valuation_1126_저녁" xfId="276"/>
    <cellStyle name="_WR Bank 2009 2Q 3차(일반)민태영1~80_Project O_Valuation_1126_저녁 2" xfId="277"/>
    <cellStyle name="_WR Bank 2009 2Q 3차(일반)민태영1~80_Project O_Valuation_1126_저녁 3" xfId="278"/>
    <cellStyle name="_WR Bank 2009 2Q 3차(일반)민태영1~80_Project O_Valuation_v1" xfId="279"/>
    <cellStyle name="_WR Bank 2009 2Q 3차(일반)민태영1~80_Project O_Valuation_v1 2" xfId="280"/>
    <cellStyle name="_WR Bank 2009 2Q 3차(일반)민태영1~80_Project O_Valuation_v1 3" xfId="281"/>
    <cellStyle name="_WR Bank 2009 2Q 3차(일반)민태영1~80_Project O_Valuation_v3.0" xfId="282"/>
    <cellStyle name="_WR Bank 2009 2Q 3차(일반)민태영1~80_Project O_Valuation_v3.0 2" xfId="283"/>
    <cellStyle name="_WR Bank 2009 2Q 3차(일반)민태영1~80_Project O_Valuation_v3.0 3" xfId="284"/>
    <cellStyle name="_WR Bank 2009 2Q 3차(일반)민태영1~80_Project O_Valuation_v3.5" xfId="285"/>
    <cellStyle name="_WR Bank 2009 2Q 3차(일반)민태영1~80_Project O_Valuation_v3.5 2" xfId="286"/>
    <cellStyle name="_WR Bank 2009 2Q 3차(일반)민태영1~80_Project O_Valuation_v3.5 3" xfId="287"/>
    <cellStyle name="_WR Bank 2009 2Q 3차(일반)민태영1~80_Project O_Valuation_v7.0" xfId="288"/>
    <cellStyle name="_WR Bank 2009 2Q 3차(일반)민태영1~80_Project O2_Valuation_v1.3" xfId="289"/>
    <cellStyle name="_WR Bank 2009 2Q 3차(일반)민태영1~80_WR Bank 2009 4Q 지석 1124" xfId="290"/>
    <cellStyle name="_WR Bank 2009 2Q 3차(일반)민태영1~80_WR Bank 2009 4Q 지석 1124 2" xfId="291"/>
    <cellStyle name="_WR Bank 2009 2Q 3차(일반)민태영1~80_WR Bank 2009 4Q 지석 1124 3" xfId="292"/>
    <cellStyle name="_WR Bank 2009 2Q 3차(일반)민태영1~80_WR Bank 2010 1Q 공담분석_0221" xfId="293"/>
    <cellStyle name="_WR Bank 2009 2Q 3차(일반)민태영1~80_WR Bank 2010 1Q 유덕현(0212)" xfId="294"/>
    <cellStyle name="_WR Bank 2009 2Q 3차(일반)민태영1~80_WR Bank 2010 1Q 지석 취합자료(0217)" xfId="295"/>
    <cellStyle name="_WR Bank 2009 2Q 3차(일반)민태영1~80_낙찰가율정리3" xfId="296"/>
    <cellStyle name="_WR Bank 2009 2Q 3차(일반)민태영1~80_낙찰가율정리3 2" xfId="297"/>
    <cellStyle name="_WR Bank 2009 2Q 3차(일반)민태영1~80_낙찰가율정리3 3" xfId="298"/>
    <cellStyle name="_WR Bank 2009 4Q 주소 1122" xfId="299"/>
    <cellStyle name="_WR Bank 2009 4Q 주소 1122 2" xfId="300"/>
    <cellStyle name="_WR Bank 2009 4Q 주소 1122 3" xfId="301"/>
    <cellStyle name="_WR Bank 2009 4Q 지석 1204" xfId="302"/>
    <cellStyle name="_WR Bank 2009 4Q 지석 1204 2" xfId="303"/>
    <cellStyle name="_WR Bank 2009 4Q 지석 1204 3" xfId="304"/>
    <cellStyle name="_WR Bank 2009 4Q(기초자료)091115" xfId="305"/>
    <cellStyle name="_WR Bank 2009 4Q(기초자료)091115 2" xfId="306"/>
    <cellStyle name="_WR Bank 2009 4Q(기초자료)091115 3" xfId="307"/>
    <cellStyle name="_WR Bank 2009 4Q(유덕현)091118" xfId="308"/>
    <cellStyle name="_WR Bank 2009 4Q(유덕현)091118 2" xfId="309"/>
    <cellStyle name="_WR Bank 2009 4Q(유덕현)091118 3" xfId="310"/>
    <cellStyle name="_WR Bank 2009 4Q(유덕현)091118_~5999479" xfId="311"/>
    <cellStyle name="_WR Bank 2009 4Q(유덕현)091118_~5999479 2" xfId="312"/>
    <cellStyle name="_WR Bank 2009 4Q(유덕현)091118_~5999479 3" xfId="313"/>
    <cellStyle name="_WR Bank 2009 4Q(유덕현)091118_Project O_Valuation(KAMCO)_v11.2" xfId="314"/>
    <cellStyle name="_WR Bank 2009 4Q(유덕현)091118_Project O_Valuation(KAMCO)_v11.2 2" xfId="315"/>
    <cellStyle name="_WR Bank 2009 4Q(유덕현)091118_Project O_Valuation(KAMCO)_v11.2 3" xfId="316"/>
    <cellStyle name="_WR Bank 2009 4Q(유덕현)091118_Project O_Valuation(KAMCO기준)_091126v10_가압류추가" xfId="317"/>
    <cellStyle name="_WR Bank 2009 4Q(유덕현)091118_Project O_Valuation(KAMCO기준)_091126v10_가압류추가 2" xfId="318"/>
    <cellStyle name="_WR Bank 2009 4Q(유덕현)091118_Project O_Valuation(KAMCO기준)_091126v10_가압류추가 3" xfId="319"/>
    <cellStyle name="_WR Bank 2009 4Q(유덕현)091118_Project O_Valuation(KAMCO기준)_091126v4" xfId="320"/>
    <cellStyle name="_WR Bank 2009 4Q(유덕현)091118_Project O_Valuation(KAMCO기준)_091126v4 2" xfId="321"/>
    <cellStyle name="_WR Bank 2009 4Q(유덕현)091118_Project O_Valuation(KAMCO기준)_091126v4 3" xfId="322"/>
    <cellStyle name="_WR Bank 2009 4Q(유덕현)091118_Project O_Valuation(KAMCO기준)_091126v9" xfId="323"/>
    <cellStyle name="_WR Bank 2009 4Q(유덕현)091118_Project O_Valuation(KAMCO기준)_091126v9 2" xfId="324"/>
    <cellStyle name="_WR Bank 2009 4Q(유덕현)091118_Project O_Valuation(KAMCO기준)_091126v9 3" xfId="325"/>
    <cellStyle name="_WR Bank 2009 4Q(유덕현)091118_Project O_Valuation_1124" xfId="326"/>
    <cellStyle name="_WR Bank 2009 4Q(유덕현)091118_Project O_Valuation_1124 2" xfId="327"/>
    <cellStyle name="_WR Bank 2009 4Q(유덕현)091118_Project O_Valuation_1124 3" xfId="328"/>
    <cellStyle name="_WR Bank 2009 4Q(유덕현)091118_Project O_Valuation_1125_오후" xfId="329"/>
    <cellStyle name="_WR Bank 2009 4Q(유덕현)091118_Project O_Valuation_1125_오후 2" xfId="330"/>
    <cellStyle name="_WR Bank 2009 4Q(유덕현)091118_Project O_Valuation_1125_오후 3" xfId="331"/>
    <cellStyle name="_WR Bank 2009 4Q(유덕현)091118_Project O_Valuation_1126_오전" xfId="332"/>
    <cellStyle name="_WR Bank 2009 4Q(유덕현)091118_Project O_Valuation_1126_오전 2" xfId="333"/>
    <cellStyle name="_WR Bank 2009 4Q(유덕현)091118_Project O_Valuation_1126_오전 3" xfId="334"/>
    <cellStyle name="_WR Bank 2009 4Q(유덕현)091118_Project O_Valuation_1126_저녁" xfId="335"/>
    <cellStyle name="_WR Bank 2009 4Q(유덕현)091118_Project O_Valuation_1126_저녁 2" xfId="336"/>
    <cellStyle name="_WR Bank 2009 4Q(유덕현)091118_Project O_Valuation_1126_저녁 3" xfId="337"/>
    <cellStyle name="_WR Bank 2009 4Q(유덕현)091118_Project O_Valuation_v1" xfId="338"/>
    <cellStyle name="_WR Bank 2009 4Q(유덕현)091118_Project O_Valuation_v1 2" xfId="339"/>
    <cellStyle name="_WR Bank 2009 4Q(유덕현)091118_Project O_Valuation_v1 3" xfId="340"/>
    <cellStyle name="_WR Bank 2009 4Q(유덕현)091118_Project O_Valuation_v3.0" xfId="341"/>
    <cellStyle name="_WR Bank 2009 4Q(유덕현)091118_Project O_Valuation_v3.0 2" xfId="342"/>
    <cellStyle name="_WR Bank 2009 4Q(유덕현)091118_Project O_Valuation_v3.0 3" xfId="343"/>
    <cellStyle name="_WR Bank 2009 4Q(유덕현)091118_Project O_Valuation_v3.5" xfId="344"/>
    <cellStyle name="_WR Bank 2009 4Q(유덕현)091118_Project O_Valuation_v3.5 2" xfId="345"/>
    <cellStyle name="_WR Bank 2009 4Q(유덕현)091118_Project O_Valuation_v3.5 3" xfId="346"/>
    <cellStyle name="_WR Bank 2009 4Q(유덕현)091118_Project O_Valuation_v7.0" xfId="347"/>
    <cellStyle name="_WR Bank 2009 4Q(유덕현)091118_Project O2_Valuation_v1.3" xfId="348"/>
    <cellStyle name="_WR Bank 2009 4Q(유덕현)091118_WR Bank 2009 4Q 지석 1124" xfId="349"/>
    <cellStyle name="_WR Bank 2009 4Q(유덕현)091118_WR Bank 2009 4Q 지석 1124 2" xfId="350"/>
    <cellStyle name="_WR Bank 2009 4Q(유덕현)091118_WR Bank 2009 4Q 지석 1124 3" xfId="351"/>
    <cellStyle name="_WR Bank 2009 4Q(유덕현)091118_WR Bank 2010 1Q 공담분석_0221" xfId="352"/>
    <cellStyle name="_WR Bank 2009 4Q(유덕현)091118_WR Bank 2010 1Q 유덕현(0212)" xfId="353"/>
    <cellStyle name="_WR Bank 2009 4Q(유덕현)091118_WR Bank 2010 1Q 지석 취합자료(0217)" xfId="354"/>
    <cellStyle name="_WR Bank 2009 4Q(유덕현)091118_낙찰가율정리3" xfId="355"/>
    <cellStyle name="_WR Bank 2009 4Q(유덕현)091118_낙찰가율정리3 2" xfId="356"/>
    <cellStyle name="_WR Bank 2009 4Q(유덕현)091118_낙찰가율정리3 3" xfId="357"/>
    <cellStyle name="_WR Bank 2009 4Q(이민호_유)1121" xfId="358"/>
    <cellStyle name="_WR Bank 2009 4Q(이민호_유)1121 2" xfId="359"/>
    <cellStyle name="_WR Bank 2009 4Q(이민호_유)1121 3" xfId="360"/>
    <cellStyle name="_WR Bank 2009 4Q(이민호_유)1121_~5999479" xfId="361"/>
    <cellStyle name="_WR Bank 2009 4Q(이민호_유)1121_~5999479 2" xfId="362"/>
    <cellStyle name="_WR Bank 2009 4Q(이민호_유)1121_~5999479 3" xfId="363"/>
    <cellStyle name="_WR Bank 2009 4Q(이민호_유)1121_Project O_Valuation(KAMCO)_v11.2" xfId="364"/>
    <cellStyle name="_WR Bank 2009 4Q(이민호_유)1121_Project O_Valuation(KAMCO)_v11.2 2" xfId="365"/>
    <cellStyle name="_WR Bank 2009 4Q(이민호_유)1121_Project O_Valuation(KAMCO)_v11.2 3" xfId="366"/>
    <cellStyle name="_WR Bank 2009 4Q(이민호_유)1121_Project O_Valuation(KAMCO기준)_091126v10_가압류추가" xfId="367"/>
    <cellStyle name="_WR Bank 2009 4Q(이민호_유)1121_Project O_Valuation(KAMCO기준)_091126v10_가압류추가 2" xfId="368"/>
    <cellStyle name="_WR Bank 2009 4Q(이민호_유)1121_Project O_Valuation(KAMCO기준)_091126v10_가압류추가 3" xfId="369"/>
    <cellStyle name="_WR Bank 2009 4Q(이민호_유)1121_Project O_Valuation(KAMCO기준)_091126v4" xfId="370"/>
    <cellStyle name="_WR Bank 2009 4Q(이민호_유)1121_Project O_Valuation(KAMCO기준)_091126v4 2" xfId="371"/>
    <cellStyle name="_WR Bank 2009 4Q(이민호_유)1121_Project O_Valuation(KAMCO기준)_091126v4 3" xfId="372"/>
    <cellStyle name="_WR Bank 2009 4Q(이민호_유)1121_Project O_Valuation(KAMCO기준)_091126v9" xfId="373"/>
    <cellStyle name="_WR Bank 2009 4Q(이민호_유)1121_Project O_Valuation(KAMCO기준)_091126v9 2" xfId="374"/>
    <cellStyle name="_WR Bank 2009 4Q(이민호_유)1121_Project O_Valuation(KAMCO기준)_091126v9 3" xfId="375"/>
    <cellStyle name="_WR Bank 2009 4Q(이민호_유)1121_Project O_Valuation_1124" xfId="376"/>
    <cellStyle name="_WR Bank 2009 4Q(이민호_유)1121_Project O_Valuation_1124 2" xfId="377"/>
    <cellStyle name="_WR Bank 2009 4Q(이민호_유)1121_Project O_Valuation_1124 3" xfId="378"/>
    <cellStyle name="_WR Bank 2009 4Q(이민호_유)1121_Project O_Valuation_1125_오후" xfId="379"/>
    <cellStyle name="_WR Bank 2009 4Q(이민호_유)1121_Project O_Valuation_1125_오후 2" xfId="380"/>
    <cellStyle name="_WR Bank 2009 4Q(이민호_유)1121_Project O_Valuation_1125_오후 3" xfId="381"/>
    <cellStyle name="_WR Bank 2009 4Q(이민호_유)1121_Project O_Valuation_1126_오전" xfId="382"/>
    <cellStyle name="_WR Bank 2009 4Q(이민호_유)1121_Project O_Valuation_1126_오전 2" xfId="383"/>
    <cellStyle name="_WR Bank 2009 4Q(이민호_유)1121_Project O_Valuation_1126_오전 3" xfId="384"/>
    <cellStyle name="_WR Bank 2009 4Q(이민호_유)1121_Project O_Valuation_1126_저녁" xfId="385"/>
    <cellStyle name="_WR Bank 2009 4Q(이민호_유)1121_Project O_Valuation_1126_저녁 2" xfId="386"/>
    <cellStyle name="_WR Bank 2009 4Q(이민호_유)1121_Project O_Valuation_1126_저녁 3" xfId="387"/>
    <cellStyle name="_WR Bank 2009 4Q(이민호_유)1121_Project O_Valuation_v1" xfId="388"/>
    <cellStyle name="_WR Bank 2009 4Q(이민호_유)1121_Project O_Valuation_v1 2" xfId="389"/>
    <cellStyle name="_WR Bank 2009 4Q(이민호_유)1121_Project O_Valuation_v1 3" xfId="390"/>
    <cellStyle name="_WR Bank 2009 4Q(이민호_유)1121_Project O_Valuation_v3.0" xfId="391"/>
    <cellStyle name="_WR Bank 2009 4Q(이민호_유)1121_Project O_Valuation_v3.0 2" xfId="392"/>
    <cellStyle name="_WR Bank 2009 4Q(이민호_유)1121_Project O_Valuation_v3.0 3" xfId="393"/>
    <cellStyle name="_WR Bank 2009 4Q(이민호_유)1121_Project O_Valuation_v3.5" xfId="394"/>
    <cellStyle name="_WR Bank 2009 4Q(이민호_유)1121_Project O_Valuation_v3.5 2" xfId="395"/>
    <cellStyle name="_WR Bank 2009 4Q(이민호_유)1121_Project O_Valuation_v3.5 3" xfId="396"/>
    <cellStyle name="_WR Bank 2009 4Q(이민호_유)1121_Project O_Valuation_v7.0" xfId="397"/>
    <cellStyle name="_WR Bank 2009 4Q(이민호_유)1121_Project O2_Valuation_v1.3" xfId="398"/>
    <cellStyle name="_WR Bank 2009 4Q(이민호_유)1121_WR Bank 2009 4Q 지석 1124" xfId="399"/>
    <cellStyle name="_WR Bank 2009 4Q(이민호_유)1121_WR Bank 2009 4Q 지석 1124 2" xfId="400"/>
    <cellStyle name="_WR Bank 2009 4Q(이민호_유)1121_WR Bank 2009 4Q 지석 1124 3" xfId="401"/>
    <cellStyle name="_WR Bank 2009 4Q(이민호_유)1121_WR Bank 2010 1Q 공담분석_0221" xfId="402"/>
    <cellStyle name="_WR Bank 2009 4Q(이민호_유)1121_WR Bank 2010 1Q 유덕현(0212)" xfId="403"/>
    <cellStyle name="_WR Bank 2009 4Q(이민호_유)1121_WR Bank 2010 1Q 지석 취합자료(0217)" xfId="404"/>
    <cellStyle name="_WR Bank 2009 4Q(이민호_유)1121_낙찰가율정리3" xfId="405"/>
    <cellStyle name="_WR Bank 2009 4Q(이민호_유)1121_낙찰가율정리3 2" xfId="406"/>
    <cellStyle name="_WR Bank 2009 4Q(이민호_유)1121_낙찰가율정리3 3" xfId="407"/>
    <cellStyle name="_WR Bank 2010 1Q 기초자료(0205)" xfId="408"/>
    <cellStyle name="_WR Bank 2010 1Q 기초자료(0205) 2" xfId="409"/>
    <cellStyle name="_WR Bank 2010 1Q 기초자료(0205) 3" xfId="410"/>
    <cellStyle name="_WR Bank 2010 1Q 기초자료(0205)민태영" xfId="411"/>
    <cellStyle name="_WR Bank 2010 1Q 기초자료(0205)민태영 2" xfId="412"/>
    <cellStyle name="_WR Bank 2010 1Q 기초자료(0205)민태영 3" xfId="413"/>
    <cellStyle name="_WR Bank 2010 1Q 기초자료(0205)민태영100218)" xfId="414"/>
    <cellStyle name="_WR Bank 2010 1Q 기초자료(0205)민태영100218) 2" xfId="415"/>
    <cellStyle name="_WR Bank 2010 1Q 기초자료(0205)민태영100218) 3" xfId="416"/>
    <cellStyle name="_WR Bank 2010 1Q 유덕현(0208)(1)" xfId="417"/>
    <cellStyle name="_WR Bank 2010 1Q 유덕현(0208)(1) 2" xfId="418"/>
    <cellStyle name="_WR Bank 2010 1Q 유덕현(0208)(1) 3" xfId="419"/>
    <cellStyle name="_WR Bank 2010 2Q 권리분석_감정평가_발송_0531(2)" xfId="6993"/>
    <cellStyle name="_WR Bank 2010 2Q 유덕현(05-20)" xfId="420"/>
    <cellStyle name="_WR Bank 2010 2Q 유덕현(05-20) 2" xfId="421"/>
    <cellStyle name="_WR Bank 2010 2Q 유덕현(05-20) 3" xfId="422"/>
    <cellStyle name="_WR Bank 2010 2Q 지석 권리분석(06-04)" xfId="423"/>
    <cellStyle name="_WR Bank 2010 2Q 지석 권리분석(06-04) 2" xfId="424"/>
    <cellStyle name="_WR Bank 2010 2Q 지석 권리분석(06-04) 3" xfId="425"/>
    <cellStyle name="_WR Bank 2010 2Q 타기관 선순위 경매 청구금액확인(06-04)" xfId="426"/>
    <cellStyle name="_WR Bank 2010 2Q 타기관 선순위 경매 청구금액확인(06-04) 2" xfId="427"/>
    <cellStyle name="_WR Bank 2010 2Q 타기관 선순위 경매 청구금액확인(06-04) 3" xfId="428"/>
    <cellStyle name="_WR%20Bank%202010%202Q%20기초자료%20최종(05-17)민태영161~168,176,181(1)" xfId="429"/>
    <cellStyle name="_WR%20Bank%202010%202Q%20기초자료%20최종(05-17)민태영161~168,176,181(1) 2" xfId="430"/>
    <cellStyle name="_WR%20Bank%202010%202Q%20기초자료%20최종(05-17)민태영161~168,176,181(1) 3" xfId="431"/>
    <cellStyle name="_WTB영우켐텍(현금흐름표반영후)" xfId="19627"/>
    <cellStyle name="_ww41" xfId="19628"/>
    <cellStyle name="_zte futuretel 2" xfId="19629"/>
    <cellStyle name="_가수명세(1월말)" xfId="6994"/>
    <cellStyle name="_가수명세(1월말)_1" xfId="6995"/>
    <cellStyle name="_가실행" xfId="6996"/>
    <cellStyle name="_가실행 최종본사분" xfId="6997"/>
    <cellStyle name="_가실행(3th)" xfId="6998"/>
    <cellStyle name="_가실행(대전아울렛)" xfId="6999"/>
    <cellStyle name="_가실행(대혜건축)" xfId="7000"/>
    <cellStyle name="_가실행(발산종암)-결재" xfId="7001"/>
    <cellStyle name="_가실행(분리발주)" xfId="7002"/>
    <cellStyle name="_가실행(조선대)-최종" xfId="7003"/>
    <cellStyle name="_가실행검토(매천주공)-수정050411(토목조정)" xfId="7004"/>
    <cellStyle name="_가실행검토(은평뉴타운2지구-C)-연면적변경(72,639평)-조정" xfId="7005"/>
    <cellStyle name="_가실행검토(화성동탄2-5블럭)" xfId="7006"/>
    <cellStyle name="_가실행검토(화성동탄4-1블럭)-수정0314" xfId="7007"/>
    <cellStyle name="_가실행금액 비교검토" xfId="7008"/>
    <cellStyle name="_가실행내역(김해공항)" xfId="7009"/>
    <cellStyle name="_가실행-화물터미널B(수정)" xfId="7010"/>
    <cellStyle name="_가실행-화물터미널B(재수정)" xfId="7011"/>
    <cellStyle name="_각종사용양식(고객만족팀)" xfId="7012"/>
    <cellStyle name="_각종사용양식(고객만족팀)_PF4     PR02 일상생산관리" xfId="7013"/>
    <cellStyle name="_각종사용양식(고객만족팀)_PF4     PR02 일상생산관리_기업팀업무분장" xfId="7014"/>
    <cellStyle name="_각종사용양식(고객만족팀)_PF4     PR02 일상생산관리_기업팀업무분장_계열업체정보(2011.06.13)" xfId="7015"/>
    <cellStyle name="_각종사용양식(고객만족팀)_PF4     PR02 일상생산관리_업무분장_지방_시화공단팀" xfId="7016"/>
    <cellStyle name="_각종사용양식(고객만족팀)_PF4     PR02 일상생산관리_업무분장_지방_시화공단팀_계열업체정보(2011.06.13)" xfId="7017"/>
    <cellStyle name="_각종사용양식(고객만족팀)_PF4     PR02 일상생산관리_업무분장표" xfId="7018"/>
    <cellStyle name="_각종사용양식(고객만족팀)_PF4     PR02 일상생산관리_업무분장표_계열업체정보(2011.06.13)" xfId="7019"/>
    <cellStyle name="_각종사용양식(고객만족팀)_PF4     PR02 일상생산관리_정안왜관 성과평가" xfId="7020"/>
    <cellStyle name="_각종사용양식(고객만족팀)_PF4     PR02 일상생산관리_정안왜관 성과평가_기업팀업무분장" xfId="7021"/>
    <cellStyle name="_각종사용양식(고객만족팀)_PF4     PR02 일상생산관리_정안왜관 성과평가_기업팀업무분장_계열업체정보(2011.06.13)" xfId="7022"/>
    <cellStyle name="_각종사용양식(고객만족팀)_PF4     PR02 일상생산관리_정안왜관 성과평가_업무분장_지방_시화공단팀" xfId="7023"/>
    <cellStyle name="_각종사용양식(고객만족팀)_PF4     PR02 일상생산관리_정안왜관 성과평가_업무분장_지방_시화공단팀_계열업체정보(2011.06.13)" xfId="7024"/>
    <cellStyle name="_각종사용양식(고객만족팀)_PF4     PR02 일상생산관리_정안왜관 성과평가_업무분장표" xfId="7025"/>
    <cellStyle name="_각종사용양식(고객만족팀)_PF4     PR02 일상생산관리_정안왜관 성과평가_업무분장표_계열업체정보(2011.06.13)" xfId="7026"/>
    <cellStyle name="_각종사용양식(고객만족팀)_PF4     PR02 일상생산관리_정안왜관 성과평가_정안평택 성과평가" xfId="7027"/>
    <cellStyle name="_각종사용양식(고객만족팀)_PF4     PR02 일상생산관리_정안왜관 성과평가_정안평택 성과평가_기업팀업무분장" xfId="7028"/>
    <cellStyle name="_각종사용양식(고객만족팀)_PF4     PR02 일상생산관리_정안왜관 성과평가_정안평택 성과평가_기업팀업무분장_계열업체정보(2011.06.13)" xfId="7029"/>
    <cellStyle name="_각종사용양식(고객만족팀)_PF4     PR02 일상생산관리_정안왜관 성과평가_정안평택 성과평가_업무분장_지방_시화공단팀" xfId="7030"/>
    <cellStyle name="_각종사용양식(고객만족팀)_PF4     PR02 일상생산관리_정안왜관 성과평가_정안평택 성과평가_업무분장_지방_시화공단팀_계열업체정보(2011.06.13)" xfId="7031"/>
    <cellStyle name="_각종사용양식(고객만족팀)_PF4     PR02 일상생산관리_정안왜관 성과평가_정안평택 성과평가_업무분장표" xfId="7032"/>
    <cellStyle name="_각종사용양식(고객만족팀)_PF4     PR02 일상생산관리_정안왜관 성과평가_정안평택 성과평가_업무분장표_계열업체정보(2011.06.13)" xfId="7033"/>
    <cellStyle name="_각종사용양식(고객만족팀)_PF4     PR04 구매업무관리" xfId="7034"/>
    <cellStyle name="_각종사용양식(고객만족팀)_PF4     PR04 구매업무관리_기업팀업무분장" xfId="7035"/>
    <cellStyle name="_각종사용양식(고객만족팀)_PF4     PR04 구매업무관리_기업팀업무분장_계열업체정보(2011.06.13)" xfId="7036"/>
    <cellStyle name="_각종사용양식(고객만족팀)_PF4     PR04 구매업무관리_업무분장_지방_시화공단팀" xfId="7037"/>
    <cellStyle name="_각종사용양식(고객만족팀)_PF4     PR04 구매업무관리_업무분장_지방_시화공단팀_계열업체정보(2011.06.13)" xfId="7038"/>
    <cellStyle name="_각종사용양식(고객만족팀)_PF4     PR04 구매업무관리_업무분장표" xfId="7039"/>
    <cellStyle name="_각종사용양식(고객만족팀)_PF4     PR04 구매업무관리_업무분장표_계열업체정보(2011.06.13)" xfId="7040"/>
    <cellStyle name="_각종사용양식(고객만족팀)_PF4     PR04 구매업무관리_정안왜관 성과평가" xfId="7041"/>
    <cellStyle name="_각종사용양식(고객만족팀)_PF4     PR04 구매업무관리_정안왜관 성과평가_기업팀업무분장" xfId="7042"/>
    <cellStyle name="_각종사용양식(고객만족팀)_PF4     PR04 구매업무관리_정안왜관 성과평가_기업팀업무분장_계열업체정보(2011.06.13)" xfId="7043"/>
    <cellStyle name="_각종사용양식(고객만족팀)_PF4     PR04 구매업무관리_정안왜관 성과평가_업무분장_지방_시화공단팀" xfId="7044"/>
    <cellStyle name="_각종사용양식(고객만족팀)_PF4     PR04 구매업무관리_정안왜관 성과평가_업무분장_지방_시화공단팀_계열업체정보(2011.06.13)" xfId="7045"/>
    <cellStyle name="_각종사용양식(고객만족팀)_PF4     PR04 구매업무관리_정안왜관 성과평가_업무분장표" xfId="7046"/>
    <cellStyle name="_각종사용양식(고객만족팀)_PF4     PR04 구매업무관리_정안왜관 성과평가_업무분장표_계열업체정보(2011.06.13)" xfId="7047"/>
    <cellStyle name="_각종사용양식(고객만족팀)_PF4     PR04 구매업무관리_정안왜관 성과평가_정안평택 성과평가" xfId="7048"/>
    <cellStyle name="_각종사용양식(고객만족팀)_PF4     PR04 구매업무관리_정안왜관 성과평가_정안평택 성과평가_기업팀업무분장" xfId="7049"/>
    <cellStyle name="_각종사용양식(고객만족팀)_PF4     PR04 구매업무관리_정안왜관 성과평가_정안평택 성과평가_기업팀업무분장_계열업체정보(2011.06.13)" xfId="7050"/>
    <cellStyle name="_각종사용양식(고객만족팀)_PF4     PR04 구매업무관리_정안왜관 성과평가_정안평택 성과평가_업무분장_지방_시화공단팀" xfId="7051"/>
    <cellStyle name="_각종사용양식(고객만족팀)_PF4     PR04 구매업무관리_정안왜관 성과평가_정안평택 성과평가_업무분장_지방_시화공단팀_계열업체정보(2011.06.13)" xfId="7052"/>
    <cellStyle name="_각종사용양식(고객만족팀)_PF4     PR04 구매업무관리_정안왜관 성과평가_정안평택 성과평가_업무분장표" xfId="7053"/>
    <cellStyle name="_각종사용양식(고객만족팀)_PF4     PR04 구매업무관리_정안왜관 성과평가_정안평택 성과평가_업무분장표_계열업체정보(2011.06.13)" xfId="7054"/>
    <cellStyle name="_각종사용양식(고객만족팀)_PF5     MI03 고객불만처리" xfId="7055"/>
    <cellStyle name="_각종사용양식(고객만족팀)_PF5     MI03 고객불만처리_기업팀업무분장" xfId="7056"/>
    <cellStyle name="_각종사용양식(고객만족팀)_PF5     MI03 고객불만처리_기업팀업무분장_계열업체정보(2011.06.13)" xfId="7057"/>
    <cellStyle name="_각종사용양식(고객만족팀)_PF5     MI03 고객불만처리_업무분장_지방_시화공단팀" xfId="7058"/>
    <cellStyle name="_각종사용양식(고객만족팀)_PF5     MI03 고객불만처리_업무분장_지방_시화공단팀_계열업체정보(2011.06.13)" xfId="7059"/>
    <cellStyle name="_각종사용양식(고객만족팀)_PF5     MI03 고객불만처리_업무분장표" xfId="7060"/>
    <cellStyle name="_각종사용양식(고객만족팀)_PF5     MI03 고객불만처리_업무분장표_계열업체정보(2011.06.13)" xfId="7061"/>
    <cellStyle name="_각종사용양식(고객만족팀)_PF5     MI03 고객불만처리_정안왜관 성과평가" xfId="7062"/>
    <cellStyle name="_각종사용양식(고객만족팀)_PF5     MI03 고객불만처리_정안왜관 성과평가_기업팀업무분장" xfId="7063"/>
    <cellStyle name="_각종사용양식(고객만족팀)_PF5     MI03 고객불만처리_정안왜관 성과평가_기업팀업무분장_계열업체정보(2011.06.13)" xfId="7064"/>
    <cellStyle name="_각종사용양식(고객만족팀)_PF5     MI03 고객불만처리_정안왜관 성과평가_업무분장_지방_시화공단팀" xfId="7065"/>
    <cellStyle name="_각종사용양식(고객만족팀)_PF5     MI03 고객불만처리_정안왜관 성과평가_업무분장_지방_시화공단팀_계열업체정보(2011.06.13)" xfId="7066"/>
    <cellStyle name="_각종사용양식(고객만족팀)_PF5     MI03 고객불만처리_정안왜관 성과평가_업무분장표" xfId="7067"/>
    <cellStyle name="_각종사용양식(고객만족팀)_PF5     MI03 고객불만처리_정안왜관 성과평가_업무분장표_계열업체정보(2011.06.13)" xfId="7068"/>
    <cellStyle name="_각종사용양식(고객만족팀)_PF5     MI03 고객불만처리_정안왜관 성과평가_정안평택 성과평가" xfId="7069"/>
    <cellStyle name="_각종사용양식(고객만족팀)_PF5     MI03 고객불만처리_정안왜관 성과평가_정안평택 성과평가_기업팀업무분장" xfId="7070"/>
    <cellStyle name="_각종사용양식(고객만족팀)_PF5     MI03 고객불만처리_정안왜관 성과평가_정안평택 성과평가_기업팀업무분장_계열업체정보(2011.06.13)" xfId="7071"/>
    <cellStyle name="_각종사용양식(고객만족팀)_PF5     MI03 고객불만처리_정안왜관 성과평가_정안평택 성과평가_업무분장_지방_시화공단팀" xfId="7072"/>
    <cellStyle name="_각종사용양식(고객만족팀)_PF5     MI03 고객불만처리_정안왜관 성과평가_정안평택 성과평가_업무분장_지방_시화공단팀_계열업체정보(2011.06.13)" xfId="7073"/>
    <cellStyle name="_각종사용양식(고객만족팀)_PF5     MI03 고객불만처리_정안왜관 성과평가_정안평택 성과평가_업무분장표" xfId="7074"/>
    <cellStyle name="_각종사용양식(고객만족팀)_PF5     MI03 고객불만처리_정안왜관 성과평가_정안평택 성과평가_업무분장표_계열업체정보(2011.06.13)" xfId="7075"/>
    <cellStyle name="_각종사용양식(고객만족팀)_기업팀업무분장" xfId="7076"/>
    <cellStyle name="_각종사용양식(고객만족팀)_기업팀업무분장_계열업체정보(2011.06.13)" xfId="7077"/>
    <cellStyle name="_각종사용양식(고객만족팀)_업무분장_지방_시화공단팀" xfId="7078"/>
    <cellStyle name="_각종사용양식(고객만족팀)_업무분장_지방_시화공단팀_계열업체정보(2011.06.13)" xfId="7079"/>
    <cellStyle name="_각종사용양식(고객만족팀)_업무분장표" xfId="7080"/>
    <cellStyle name="_각종사용양식(고객만족팀)_업무분장표_계열업체정보(2011.06.13)" xfId="7081"/>
    <cellStyle name="_각종사용양식(고객만족팀)_정안왜관 성과평가" xfId="7082"/>
    <cellStyle name="_각종사용양식(고객만족팀)_정안왜관 성과평가_기업팀업무분장" xfId="7083"/>
    <cellStyle name="_각종사용양식(고객만족팀)_정안왜관 성과평가_기업팀업무분장_계열업체정보(2011.06.13)" xfId="7084"/>
    <cellStyle name="_각종사용양식(고객만족팀)_정안왜관 성과평가_업무분장_지방_시화공단팀" xfId="7085"/>
    <cellStyle name="_각종사용양식(고객만족팀)_정안왜관 성과평가_업무분장_지방_시화공단팀_계열업체정보(2011.06.13)" xfId="7086"/>
    <cellStyle name="_각종사용양식(고객만족팀)_정안왜관 성과평가_업무분장표" xfId="7087"/>
    <cellStyle name="_각종사용양식(고객만족팀)_정안왜관 성과평가_업무분장표_계열업체정보(2011.06.13)" xfId="7088"/>
    <cellStyle name="_각종사용양식(고객만족팀)_정안왜관 성과평가_정안평택 성과평가" xfId="7089"/>
    <cellStyle name="_각종사용양식(고객만족팀)_정안왜관 성과평가_정안평택 성과평가_기업팀업무분장" xfId="7090"/>
    <cellStyle name="_각종사용양식(고객만족팀)_정안왜관 성과평가_정안평택 성과평가_기업팀업무분장_계열업체정보(2011.06.13)" xfId="7091"/>
    <cellStyle name="_각종사용양식(고객만족팀)_정안왜관 성과평가_정안평택 성과평가_업무분장_지방_시화공단팀" xfId="7092"/>
    <cellStyle name="_각종사용양식(고객만족팀)_정안왜관 성과평가_정안평택 성과평가_업무분장_지방_시화공단팀_계열업체정보(2011.06.13)" xfId="7093"/>
    <cellStyle name="_각종사용양식(고객만족팀)_정안왜관 성과평가_정안평택 성과평가_업무분장표" xfId="7094"/>
    <cellStyle name="_각종사용양식(고객만족팀)_정안왜관 성과평가_정안평택 성과평가_업무분장표_계열업체정보(2011.06.13)" xfId="7095"/>
    <cellStyle name="_간석동실행" xfId="7096"/>
    <cellStyle name="_간석동실행(확정)" xfId="7097"/>
    <cellStyle name="_간석동현장관리비(alt3-2)1021" xfId="7098"/>
    <cellStyle name="_간접비(01.09.28-변경내용포함)" xfId="7099"/>
    <cellStyle name="_감독원용재무제표0606" xfId="432"/>
    <cellStyle name="_감독원용재무제표0606 2" xfId="7100"/>
    <cellStyle name="_감독원용재무제표0606 3" xfId="7101"/>
    <cellStyle name="-_감사절차지시서-2003년1(1)" xfId="7102"/>
    <cellStyle name="-_감사절차지시서-2003년1(1)_04년 중간(04.12.9)" xfId="7103"/>
    <cellStyle name="-_감사절차지시서-2003년1(1)_interim(PAY ROLL)" xfId="7104"/>
    <cellStyle name="-_감사절차지시서-2003년1(1)_interim-PAY ROLL" xfId="7105"/>
    <cellStyle name="-_감사절차지시서-jonghari" xfId="7106"/>
    <cellStyle name="-_감사절차지시서-jonghari_04년 중간(04.12.9)" xfId="7107"/>
    <cellStyle name="-_감사절차지시서-jonghari_interim(PAY ROLL)" xfId="7108"/>
    <cellStyle name="-_감사절차지시서-jonghari_interim-PAY ROLL" xfId="7109"/>
    <cellStyle name="_감사조서(2001)_링스텍" xfId="7110"/>
    <cellStyle name="_감사조서(2001)_링스텍_감사조서(2001)_링스텍_기말" xfId="7111"/>
    <cellStyle name="_감사조서(2001)_링스텍_감사조서(2001)_링스텍_기말_서원양행-2002 FS - 양애리" xfId="7112"/>
    <cellStyle name="_감사조서(2001)_링스텍_기말" xfId="7113"/>
    <cellStyle name="_감사조서(2001)_링스텍_기말_서원양행-2002 FS - 양애리" xfId="7114"/>
    <cellStyle name="_감사조서(2001)_링스텍_서원양행-2002 FS - 양애리" xfId="7115"/>
    <cellStyle name="_감사조서(링스텍2000)" xfId="7116"/>
    <cellStyle name="_감사조서(링스텍2000)_2001_FS_법인세비용 반영전" xfId="7117"/>
    <cellStyle name="_감사조서(링스텍2000)_2001_FS_법인세비용 반영전_2002_반기검토-삼건베리클" xfId="7118"/>
    <cellStyle name="_감사조서(링스텍2000)_2001_FS_법인세비용 반영전_삼건베리클-2002년반기-정준형" xfId="7119"/>
    <cellStyle name="_감사조서(링스텍2000)_2001_FS_법인세비용 반영전_서원양행-2002 FS - 양애리" xfId="7120"/>
    <cellStyle name="_감사조서(링스텍2000)_Book1" xfId="7121"/>
    <cellStyle name="_감사조서(링스텍2000)_Book1_2001_FS_법인세비용 반영전" xfId="7122"/>
    <cellStyle name="_감사조서(링스텍2000)_Book1_2001_FS_법인세비용 반영전_2002_반기검토-삼건베리클" xfId="7123"/>
    <cellStyle name="_감사조서(링스텍2000)_Book1_2001_FS_법인세비용 반영전_삼건베리클-2002년반기-정준형" xfId="7124"/>
    <cellStyle name="_감사조서(링스텍2000)_Book1_2001_FS_법인세비용 반영전_서원양행-2002 FS - 양애리" xfId="7125"/>
    <cellStyle name="_감사조서(링스텍2000)_Book1_leadsheet-나래" xfId="7126"/>
    <cellStyle name="_감사조서(링스텍2000)_Book1_서원양행-2002 FS - 양애리" xfId="7127"/>
    <cellStyle name="_감사조서(링스텍2000)_Book1_테코스(2001_기말감사)" xfId="7128"/>
    <cellStyle name="_감사조서(링스텍2000)_Book1_테코스(2001_기말감사)_2001_FS_법인세비용 반영전" xfId="7129"/>
    <cellStyle name="_감사조서(링스텍2000)_Book1_테코스(2001_기말감사)_2001_FS_법인세비용 반영전_2002_반기검토-삼건베리클" xfId="7130"/>
    <cellStyle name="_감사조서(링스텍2000)_Book1_테코스(2001_기말감사)_2001_FS_법인세비용 반영전_삼건베리클-2002년반기-정준형" xfId="7131"/>
    <cellStyle name="_감사조서(링스텍2000)_Book1_테코스(2001_기말감사)_2001_FS_법인세비용 반영전_서원양행-2002 FS - 양애리" xfId="7132"/>
    <cellStyle name="_감사조서(링스텍2000)_Book1_테코스(2001_기말감사)_서원양행-2002 FS - 양애리" xfId="7133"/>
    <cellStyle name="_감사조서(링스텍2000)_Book1_테코스(2001_기말감사)_테코스_2001_기말" xfId="7134"/>
    <cellStyle name="_감사조서(링스텍2000)_Book1_테코스(2001_기말감사)_테코스_2001_기말_2001_FS_법인세비용 반영전" xfId="7135"/>
    <cellStyle name="_감사조서(링스텍2000)_Book1_테코스(2001_기말감사)_테코스_2001_기말_2001_FS_법인세비용 반영전_2002_반기검토-삼건베리클" xfId="7136"/>
    <cellStyle name="_감사조서(링스텍2000)_Book1_테코스(2001_기말감사)_테코스_2001_기말_2001_FS_법인세비용 반영전_삼건베리클-2002년반기-정준형" xfId="7137"/>
    <cellStyle name="_감사조서(링스텍2000)_Book1_테코스(2001_기말감사)_테코스_2001_기말_2001_FS_법인세비용 반영전_서원양행-2002 FS - 양애리" xfId="7138"/>
    <cellStyle name="_감사조서(링스텍2000)_Book1_테코스(2001_기말감사)_테코스_2001_기말_서원양행-2002 FS - 양애리" xfId="7139"/>
    <cellStyle name="_감사조서(링스텍2000)_Book1_페타 Leadschedule2001-final" xfId="7140"/>
    <cellStyle name="_감사조서(링스텍2000)_imm창투기말" xfId="7141"/>
    <cellStyle name="_감사조서(링스텍2000)_leadsheet-나래" xfId="7142"/>
    <cellStyle name="_감사조서(링스텍2000)_감사조서(2001)_링스텍_기말" xfId="7143"/>
    <cellStyle name="_감사조서(링스텍2000)_감사조서(2001)_링스텍_기말_서원양행-2002 FS - 양애리" xfId="7144"/>
    <cellStyle name="_감사조서(링스텍2000)_링스텍lead schedule(2001년기말)-이덕근" xfId="7145"/>
    <cellStyle name="_감사조서(링스텍2000)_링스텍lead schedule(2001년기말)-이덕근_서원양행-2002 FS - 양애리" xfId="7146"/>
    <cellStyle name="_감사조서(링스텍2000)_반기-나래시스템(2001)" xfId="7147"/>
    <cellStyle name="_감사조서(링스텍2000)_반기-나래시스템(2001)_서원양행-2002 FS - 양애리" xfId="7148"/>
    <cellStyle name="_감사조서(링스텍2000)_서원양행-2002 FS - 양애리" xfId="7149"/>
    <cellStyle name="_감사조서(링스텍2000)_워커힐_2001_기말" xfId="7150"/>
    <cellStyle name="_감사조서(링스텍2000)_워커힐_2001_기말_서원양행-2002 FS - 양애리" xfId="7151"/>
    <cellStyle name="_감사조서(링스텍2000)_워커힐_2001_반기검토" xfId="7152"/>
    <cellStyle name="_감사조서(링스텍2000)_워커힐_2001_반기검토_서원양행-2002 FS - 양애리" xfId="7153"/>
    <cellStyle name="_감사조서(링스텍2000)_워커힐_2001_반기재무제표4" xfId="7154"/>
    <cellStyle name="_감사조서(링스텍2000)_워커힐_2001_반기재무제표4_서원양행-2002 FS - 양애리" xfId="7155"/>
    <cellStyle name="_감사조서(링스텍2000)_인네트_2001_기말" xfId="7156"/>
    <cellStyle name="_감사조서(링스텍2000)_인네트_2001_기말_서원양행-2002 FS - 양애리" xfId="7157"/>
    <cellStyle name="_감사조서(링스텍2000)_인네트_2001_기말감사" xfId="7158"/>
    <cellStyle name="_감사조서(링스텍2000)_인네트_2001_기말감사_2001_FS_법인세비용 반영전" xfId="7159"/>
    <cellStyle name="_감사조서(링스텍2000)_인네트_2001_기말감사_2001_FS_법인세비용 반영전_2002_반기검토-삼건베리클" xfId="7160"/>
    <cellStyle name="_감사조서(링스텍2000)_인네트_2001_기말감사_2001_FS_법인세비용 반영전_삼건베리클-2002년반기-정준형" xfId="7161"/>
    <cellStyle name="_감사조서(링스텍2000)_인네트_2001_기말감사_2001_FS_법인세비용 반영전_서원양행-2002 FS - 양애리" xfId="7162"/>
    <cellStyle name="_감사조서(링스텍2000)_인네트_2001_기말감사_서원양행-2002 FS - 양애리" xfId="7163"/>
    <cellStyle name="_감사조서(링스텍2000)_인네트_2001_기말감사_테코스(2001_기말감사)" xfId="7164"/>
    <cellStyle name="_감사조서(링스텍2000)_인네트_2001_기말감사_테코스(2001_기말감사)_2001_FS_법인세비용 반영전" xfId="7165"/>
    <cellStyle name="_감사조서(링스텍2000)_인네트_2001_기말감사_테코스(2001_기말감사)_2001_FS_법인세비용 반영전_2002_반기검토-삼건베리클" xfId="7166"/>
    <cellStyle name="_감사조서(링스텍2000)_인네트_2001_기말감사_테코스(2001_기말감사)_2001_FS_법인세비용 반영전_삼건베리클-2002년반기-정준형" xfId="7167"/>
    <cellStyle name="_감사조서(링스텍2000)_인네트_2001_기말감사_테코스(2001_기말감사)_2001_FS_법인세비용 반영전_서원양행-2002 FS - 양애리" xfId="7168"/>
    <cellStyle name="_감사조서(링스텍2000)_인네트_2001_기말감사_테코스(2001_기말감사)_서원양행-2002 FS - 양애리" xfId="7169"/>
    <cellStyle name="_감사조서(링스텍2000)_인네트_2001_기말감사_테코스(2001_기말감사)_테코스_2001_기말" xfId="7170"/>
    <cellStyle name="_감사조서(링스텍2000)_인네트_2001_기말감사_테코스(2001_기말감사)_테코스_2001_기말_2001_FS_법인세비용 반영전" xfId="7171"/>
    <cellStyle name="_감사조서(링스텍2000)_인네트_2001_기말감사_테코스(2001_기말감사)_테코스_2001_기말_2001_FS_법인세비용 반영전_2002_반기검토-삼건베리클" xfId="7172"/>
    <cellStyle name="_감사조서(링스텍2000)_인네트_2001_기말감사_테코스(2001_기말감사)_테코스_2001_기말_2001_FS_법인세비용 반영전_삼건베리클-2002년반기-정준형" xfId="7173"/>
    <cellStyle name="_감사조서(링스텍2000)_인네트_2001_기말감사_테코스(2001_기말감사)_테코스_2001_기말_2001_FS_법인세비용 반영전_서원양행-2002 FS - 양애리" xfId="7174"/>
    <cellStyle name="_감사조서(링스텍2000)_인네트_2001_기말감사_테코스(2001_기말감사)_테코스_2001_기말_서원양행-2002 FS - 양애리" xfId="7175"/>
    <cellStyle name="_감사조서(링스텍2000)_인네트_2001_반기검토(최종본2)" xfId="7176"/>
    <cellStyle name="_감사조서(링스텍2000)_인네트_2001_반기검토(최종본2)_서원양행-2002 FS - 양애리" xfId="7177"/>
    <cellStyle name="_감사조서(링스텍2000)_테코스(2001_반기검토)" xfId="7178"/>
    <cellStyle name="_감사조서(링스텍2000)_테코스(2001_반기검토)_2001_FS_법인세비용 반영전" xfId="7179"/>
    <cellStyle name="_감사조서(링스텍2000)_테코스(2001_반기검토)_2001_FS_법인세비용 반영전_2002_반기검토-삼건베리클" xfId="7180"/>
    <cellStyle name="_감사조서(링스텍2000)_테코스(2001_반기검토)_2001_FS_법인세비용 반영전_삼건베리클-2002년반기-정준형" xfId="7181"/>
    <cellStyle name="_감사조서(링스텍2000)_테코스(2001_반기검토)_2001_FS_법인세비용 반영전_서원양행-2002 FS - 양애리" xfId="7182"/>
    <cellStyle name="_감사조서(링스텍2000)_테코스(2001_반기검토)_leadsheet-나래" xfId="7183"/>
    <cellStyle name="_감사조서(링스텍2000)_테코스(2001_반기검토)_서원양행-2002 FS - 양애리" xfId="7184"/>
    <cellStyle name="_감사조서(링스텍2000)_테코스(2001_반기검토)_재무제표관련_테코스_2001" xfId="7185"/>
    <cellStyle name="_감사조서(링스텍2000)_테코스(2001_반기검토)_재무제표관련_테코스_2001_서원양행-2002 FS - 양애리" xfId="7186"/>
    <cellStyle name="_감사조서(링스텍2000)_테코스(2001_반기검토)_테코스(2001_기말감사)" xfId="7187"/>
    <cellStyle name="_감사조서(링스텍2000)_테코스(2001_반기검토)_테코스(2001_기말감사)_2001_FS_법인세비용 반영전" xfId="7188"/>
    <cellStyle name="_감사조서(링스텍2000)_테코스(2001_반기검토)_테코스(2001_기말감사)_2001_FS_법인세비용 반영전_2002_반기검토-삼건베리클" xfId="7189"/>
    <cellStyle name="_감사조서(링스텍2000)_테코스(2001_반기검토)_테코스(2001_기말감사)_2001_FS_법인세비용 반영전_삼건베리클-2002년반기-정준형" xfId="7190"/>
    <cellStyle name="_감사조서(링스텍2000)_테코스(2001_반기검토)_테코스(2001_기말감사)_2001_FS_법인세비용 반영전_서원양행-2002 FS - 양애리" xfId="7191"/>
    <cellStyle name="_감사조서(링스텍2000)_테코스(2001_반기검토)_테코스(2001_기말감사)_서원양행-2002 FS - 양애리" xfId="7192"/>
    <cellStyle name="_감사조서(링스텍2000)_테코스(2001_반기검토)_테코스(2001_기말감사)_테코스_2001_기말" xfId="7193"/>
    <cellStyle name="_감사조서(링스텍2000)_테코스(2001_반기검토)_테코스(2001_기말감사)_테코스_2001_기말_2001_FS_법인세비용 반영전" xfId="7194"/>
    <cellStyle name="_감사조서(링스텍2000)_테코스(2001_반기검토)_테코스(2001_기말감사)_테코스_2001_기말_2001_FS_법인세비용 반영전_2002_반기검토-삼건베리클" xfId="7195"/>
    <cellStyle name="_감사조서(링스텍2000)_테코스(2001_반기검토)_테코스(2001_기말감사)_테코스_2001_기말_2001_FS_법인세비용 반영전_삼건베리클-2002년반기-정준형" xfId="7196"/>
    <cellStyle name="_감사조서(링스텍2000)_테코스(2001_반기검토)_테코스(2001_기말감사)_테코스_2001_기말_2001_FS_법인세비용 반영전_서원양행-2002 FS - 양애리" xfId="7197"/>
    <cellStyle name="_감사조서(링스텍2000)_테코스(2001_반기검토)_테코스(2001_기말감사)_테코스_2001_기말_서원양행-2002 FS - 양애리" xfId="7198"/>
    <cellStyle name="_감사조서(링스텍2000)_테코스(2001_반기검토)_페타 Leadschedule2001-final" xfId="7199"/>
    <cellStyle name="_감사조서(링스텍2000)_테코스_2001_기말" xfId="7200"/>
    <cellStyle name="_감사조서(링스텍2000)_테코스_2001_기말_2001_FS_법인세비용 반영전" xfId="7201"/>
    <cellStyle name="_감사조서(링스텍2000)_테코스_2001_기말_2001_FS_법인세비용 반영전_2002_반기검토-삼건베리클" xfId="7202"/>
    <cellStyle name="_감사조서(링스텍2000)_테코스_2001_기말_2001_FS_법인세비용 반영전_삼건베리클-2002년반기-정준형" xfId="7203"/>
    <cellStyle name="_감사조서(링스텍2000)_테코스_2001_기말_2001_FS_법인세비용 반영전_서원양행-2002 FS - 양애리" xfId="7204"/>
    <cellStyle name="_감사조서(링스텍2000)_테코스_2001_기말_서원양행-2002 FS - 양애리" xfId="7205"/>
    <cellStyle name="_감사조서(링스텍2000)_페타 Leadschedule2001-final" xfId="7206"/>
    <cellStyle name="_감사조서(표준)" xfId="7207"/>
    <cellStyle name="_감사조서(표준)_2001_FS_법인세비용 반영전" xfId="7208"/>
    <cellStyle name="_감사조서(표준)_2001_FS_법인세비용 반영전_2002_반기검토-삼건베리클" xfId="7209"/>
    <cellStyle name="_감사조서(표준)_2001_FS_법인세비용 반영전_삼건베리클-2002년반기-정준형" xfId="7210"/>
    <cellStyle name="_감사조서(표준)_2001_FS_법인세비용 반영전_서원양행-2002 FS - 양애리" xfId="7211"/>
    <cellStyle name="_감사조서(표준)_Book1" xfId="7212"/>
    <cellStyle name="_감사조서(표준)_Book1_2001_FS_법인세비용 반영전" xfId="7213"/>
    <cellStyle name="_감사조서(표준)_Book1_2001_FS_법인세비용 반영전_2002_반기검토-삼건베리클" xfId="7214"/>
    <cellStyle name="_감사조서(표준)_Book1_2001_FS_법인세비용 반영전_삼건베리클-2002년반기-정준형" xfId="7215"/>
    <cellStyle name="_감사조서(표준)_Book1_2001_FS_법인세비용 반영전_서원양행-2002 FS - 양애리" xfId="7216"/>
    <cellStyle name="_감사조서(표준)_Book1_leadsheet-나래" xfId="7217"/>
    <cellStyle name="_감사조서(표준)_Book1_서원양행-2002 FS - 양애리" xfId="7218"/>
    <cellStyle name="_감사조서(표준)_Book1_테코스(2001_기말감사)" xfId="7219"/>
    <cellStyle name="_감사조서(표준)_Book1_테코스(2001_기말감사)_2001_FS_법인세비용 반영전" xfId="7220"/>
    <cellStyle name="_감사조서(표준)_Book1_테코스(2001_기말감사)_2001_FS_법인세비용 반영전_2002_반기검토-삼건베리클" xfId="7221"/>
    <cellStyle name="_감사조서(표준)_Book1_테코스(2001_기말감사)_2001_FS_법인세비용 반영전_삼건베리클-2002년반기-정준형" xfId="7222"/>
    <cellStyle name="_감사조서(표준)_Book1_테코스(2001_기말감사)_2001_FS_법인세비용 반영전_서원양행-2002 FS - 양애리" xfId="7223"/>
    <cellStyle name="_감사조서(표준)_Book1_테코스(2001_기말감사)_서원양행-2002 FS - 양애리" xfId="7224"/>
    <cellStyle name="_감사조서(표준)_Book1_테코스(2001_기말감사)_테코스_2001_기말" xfId="7225"/>
    <cellStyle name="_감사조서(표준)_Book1_테코스(2001_기말감사)_테코스_2001_기말_2001_FS_법인세비용 반영전" xfId="7226"/>
    <cellStyle name="_감사조서(표준)_Book1_테코스(2001_기말감사)_테코스_2001_기말_2001_FS_법인세비용 반영전_2002_반기검토-삼건베리클" xfId="7227"/>
    <cellStyle name="_감사조서(표준)_Book1_테코스(2001_기말감사)_테코스_2001_기말_2001_FS_법인세비용 반영전_삼건베리클-2002년반기-정준형" xfId="7228"/>
    <cellStyle name="_감사조서(표준)_Book1_테코스(2001_기말감사)_테코스_2001_기말_2001_FS_법인세비용 반영전_서원양행-2002 FS - 양애리" xfId="7229"/>
    <cellStyle name="_감사조서(표준)_Book1_테코스(2001_기말감사)_테코스_2001_기말_서원양행-2002 FS - 양애리" xfId="7230"/>
    <cellStyle name="_감사조서(표준)_Book1_페타 Leadschedule2001-final" xfId="7231"/>
    <cellStyle name="_감사조서(표준)_imm창투기말" xfId="7232"/>
    <cellStyle name="_감사조서(표준)_leadsheet-나래" xfId="7233"/>
    <cellStyle name="_감사조서(표준)_감사조서(2001)_링스텍_기말" xfId="7234"/>
    <cellStyle name="_감사조서(표준)_감사조서(2001)_링스텍_기말_서원양행-2002 FS - 양애리" xfId="7235"/>
    <cellStyle name="_감사조서(표준)_링스텍lead schedule(2001년기말)-이덕근" xfId="7236"/>
    <cellStyle name="_감사조서(표준)_링스텍lead schedule(2001년기말)-이덕근_서원양행-2002 FS - 양애리" xfId="7237"/>
    <cellStyle name="_감사조서(표준)_반기-나래시스템(2001)" xfId="7238"/>
    <cellStyle name="_감사조서(표준)_반기-나래시스템(2001)_서원양행-2002 FS - 양애리" xfId="7239"/>
    <cellStyle name="_감사조서(표준)_서원양행-2002 FS - 양애리" xfId="7240"/>
    <cellStyle name="_감사조서(표준)_워커힐_2001_기말" xfId="7241"/>
    <cellStyle name="_감사조서(표준)_워커힐_2001_기말_서원양행-2002 FS - 양애리" xfId="7242"/>
    <cellStyle name="_감사조서(표준)_워커힐_2001_반기검토" xfId="7243"/>
    <cellStyle name="_감사조서(표준)_워커힐_2001_반기검토_서원양행-2002 FS - 양애리" xfId="7244"/>
    <cellStyle name="_감사조서(표준)_워커힐_2001_반기재무제표4" xfId="7245"/>
    <cellStyle name="_감사조서(표준)_워커힐_2001_반기재무제표4_서원양행-2002 FS - 양애리" xfId="7246"/>
    <cellStyle name="_감사조서(표준)_인네트_2001_기말" xfId="7247"/>
    <cellStyle name="_감사조서(표준)_인네트_2001_기말_서원양행-2002 FS - 양애리" xfId="7248"/>
    <cellStyle name="_감사조서(표준)_인네트_2001_기말감사" xfId="7249"/>
    <cellStyle name="_감사조서(표준)_인네트_2001_기말감사_2001_FS_법인세비용 반영전" xfId="7250"/>
    <cellStyle name="_감사조서(표준)_인네트_2001_기말감사_2001_FS_법인세비용 반영전_2002_반기검토-삼건베리클" xfId="7251"/>
    <cellStyle name="_감사조서(표준)_인네트_2001_기말감사_2001_FS_법인세비용 반영전_삼건베리클-2002년반기-정준형" xfId="7252"/>
    <cellStyle name="_감사조서(표준)_인네트_2001_기말감사_2001_FS_법인세비용 반영전_서원양행-2002 FS - 양애리" xfId="7253"/>
    <cellStyle name="_감사조서(표준)_인네트_2001_기말감사_서원양행-2002 FS - 양애리" xfId="7254"/>
    <cellStyle name="_감사조서(표준)_인네트_2001_기말감사_테코스(2001_기말감사)" xfId="7255"/>
    <cellStyle name="_감사조서(표준)_인네트_2001_기말감사_테코스(2001_기말감사)_2001_FS_법인세비용 반영전" xfId="7256"/>
    <cellStyle name="_감사조서(표준)_인네트_2001_기말감사_테코스(2001_기말감사)_2001_FS_법인세비용 반영전_2002_반기검토-삼건베리클" xfId="7257"/>
    <cellStyle name="_감사조서(표준)_인네트_2001_기말감사_테코스(2001_기말감사)_2001_FS_법인세비용 반영전_삼건베리클-2002년반기-정준형" xfId="7258"/>
    <cellStyle name="_감사조서(표준)_인네트_2001_기말감사_테코스(2001_기말감사)_2001_FS_법인세비용 반영전_서원양행-2002 FS - 양애리" xfId="7259"/>
    <cellStyle name="_감사조서(표준)_인네트_2001_기말감사_테코스(2001_기말감사)_서원양행-2002 FS - 양애리" xfId="7260"/>
    <cellStyle name="_감사조서(표준)_인네트_2001_기말감사_테코스(2001_기말감사)_테코스_2001_기말" xfId="7261"/>
    <cellStyle name="_감사조서(표준)_인네트_2001_기말감사_테코스(2001_기말감사)_테코스_2001_기말_2001_FS_법인세비용 반영전" xfId="7262"/>
    <cellStyle name="_감사조서(표준)_인네트_2001_기말감사_테코스(2001_기말감사)_테코스_2001_기말_2001_FS_법인세비용 반영전_2002_반기검토-삼건베리클" xfId="7263"/>
    <cellStyle name="_감사조서(표준)_인네트_2001_기말감사_테코스(2001_기말감사)_테코스_2001_기말_2001_FS_법인세비용 반영전_삼건베리클-2002년반기-정준형" xfId="7264"/>
    <cellStyle name="_감사조서(표준)_인네트_2001_기말감사_테코스(2001_기말감사)_테코스_2001_기말_2001_FS_법인세비용 반영전_서원양행-2002 FS - 양애리" xfId="7265"/>
    <cellStyle name="_감사조서(표준)_인네트_2001_기말감사_테코스(2001_기말감사)_테코스_2001_기말_서원양행-2002 FS - 양애리" xfId="7266"/>
    <cellStyle name="_감사조서(표준)_인네트_2001_반기검토(최종본2)" xfId="7267"/>
    <cellStyle name="_감사조서(표준)_인네트_2001_반기검토(최종본2)_서원양행-2002 FS - 양애리" xfId="7268"/>
    <cellStyle name="_감사조서(표준)_테코스(2001_반기검토)" xfId="7269"/>
    <cellStyle name="_감사조서(표준)_테코스(2001_반기검토)_2001_FS_법인세비용 반영전" xfId="7270"/>
    <cellStyle name="_감사조서(표준)_테코스(2001_반기검토)_2001_FS_법인세비용 반영전_2002_반기검토-삼건베리클" xfId="7271"/>
    <cellStyle name="_감사조서(표준)_테코스(2001_반기검토)_2001_FS_법인세비용 반영전_삼건베리클-2002년반기-정준형" xfId="7272"/>
    <cellStyle name="_감사조서(표준)_테코스(2001_반기검토)_2001_FS_법인세비용 반영전_서원양행-2002 FS - 양애리" xfId="7273"/>
    <cellStyle name="_감사조서(표준)_테코스(2001_반기검토)_leadsheet-나래" xfId="7274"/>
    <cellStyle name="_감사조서(표준)_테코스(2001_반기검토)_서원양행-2002 FS - 양애리" xfId="7275"/>
    <cellStyle name="_감사조서(표준)_테코스(2001_반기검토)_재무제표관련_테코스_2001" xfId="7276"/>
    <cellStyle name="_감사조서(표준)_테코스(2001_반기검토)_재무제표관련_테코스_2001_서원양행-2002 FS - 양애리" xfId="7277"/>
    <cellStyle name="_감사조서(표준)_테코스(2001_반기검토)_테코스(2001_기말감사)" xfId="7278"/>
    <cellStyle name="_감사조서(표준)_테코스(2001_반기검토)_테코스(2001_기말감사)_2001_FS_법인세비용 반영전" xfId="7279"/>
    <cellStyle name="_감사조서(표준)_테코스(2001_반기검토)_테코스(2001_기말감사)_2001_FS_법인세비용 반영전_2002_반기검토-삼건베리클" xfId="7280"/>
    <cellStyle name="_감사조서(표준)_테코스(2001_반기검토)_테코스(2001_기말감사)_2001_FS_법인세비용 반영전_삼건베리클-2002년반기-정준형" xfId="7281"/>
    <cellStyle name="_감사조서(표준)_테코스(2001_반기검토)_테코스(2001_기말감사)_2001_FS_법인세비용 반영전_서원양행-2002 FS - 양애리" xfId="7282"/>
    <cellStyle name="_감사조서(표준)_테코스(2001_반기검토)_테코스(2001_기말감사)_서원양행-2002 FS - 양애리" xfId="7283"/>
    <cellStyle name="_감사조서(표준)_테코스(2001_반기검토)_테코스(2001_기말감사)_테코스_2001_기말" xfId="7284"/>
    <cellStyle name="_감사조서(표준)_테코스(2001_반기검토)_테코스(2001_기말감사)_테코스_2001_기말_2001_FS_법인세비용 반영전" xfId="7285"/>
    <cellStyle name="_감사조서(표준)_테코스(2001_반기검토)_테코스(2001_기말감사)_테코스_2001_기말_2001_FS_법인세비용 반영전_2002_반기검토-삼건베리클" xfId="7286"/>
    <cellStyle name="_감사조서(표준)_테코스(2001_반기검토)_테코스(2001_기말감사)_테코스_2001_기말_2001_FS_법인세비용 반영전_삼건베리클-2002년반기-정준형" xfId="7287"/>
    <cellStyle name="_감사조서(표준)_테코스(2001_반기검토)_테코스(2001_기말감사)_테코스_2001_기말_2001_FS_법인세비용 반영전_서원양행-2002 FS - 양애리" xfId="7288"/>
    <cellStyle name="_감사조서(표준)_테코스(2001_반기검토)_테코스(2001_기말감사)_테코스_2001_기말_서원양행-2002 FS - 양애리" xfId="7289"/>
    <cellStyle name="_감사조서(표준)_테코스(2001_반기검토)_페타 Leadschedule2001-final" xfId="7290"/>
    <cellStyle name="_감사조서(표준)_테코스_2001_기말" xfId="7291"/>
    <cellStyle name="_감사조서(표준)_테코스_2001_기말_2001_FS_법인세비용 반영전" xfId="7292"/>
    <cellStyle name="_감사조서(표준)_테코스_2001_기말_2001_FS_법인세비용 반영전_2002_반기검토-삼건베리클" xfId="7293"/>
    <cellStyle name="_감사조서(표준)_테코스_2001_기말_2001_FS_법인세비용 반영전_삼건베리클-2002년반기-정준형" xfId="7294"/>
    <cellStyle name="_감사조서(표준)_테코스_2001_기말_2001_FS_법인세비용 반영전_서원양행-2002 FS - 양애리" xfId="7295"/>
    <cellStyle name="_감사조서(표준)_테코스_2001_기말_서원양행-2002 FS - 양애리" xfId="7296"/>
    <cellStyle name="_감사조서(표준)_페타 Leadschedule2001-final" xfId="7297"/>
    <cellStyle name="_감사조서00" xfId="7298"/>
    <cellStyle name="_감사조서1" xfId="19630"/>
    <cellStyle name="_감사조서99-1" xfId="7299"/>
    <cellStyle name="_개략(프리미엄아울렛기준)" xfId="7300"/>
    <cellStyle name="_개략견적(동해천곡타워펠리스)" xfId="7301"/>
    <cellStyle name="_개략견적2차(040510)" xfId="7302"/>
    <cellStyle name="_개발비상각1" xfId="433"/>
    <cellStyle name="_개발비상각1 2" xfId="7303"/>
    <cellStyle name="_개발비상각1 3" xfId="7304"/>
    <cellStyle name="_개시 BS 검증절차서_파생상품_JJA" xfId="19631"/>
    <cellStyle name="_개시BS_자료요청서_I3_금융보증계약등_20091001_박승민_v2_김석태(1)" xfId="19632"/>
    <cellStyle name="_개시BS검증서_v8_I2_대출채권식별및제거_박승민_20100115" xfId="19633"/>
    <cellStyle name="_개시재무상태표 검증절차서_090915배포_Final_I1_박승민" xfId="19634"/>
    <cellStyle name="_개시재무상태표 검증절차서_결산_0908정산표_20091006_조정분개내역" xfId="19635"/>
    <cellStyle name="_거점신고서(2기예정) (2)" xfId="19636"/>
    <cellStyle name="_건미종합건설-081215" xfId="7305"/>
    <cellStyle name="_건미종합건설-081222-SYC" xfId="7306"/>
    <cellStyle name="_건미종합건설-090101-SYC" xfId="7307"/>
    <cellStyle name="_건미종합건설-090102-SYC" xfId="7308"/>
    <cellStyle name="_건미종합건설-계속기업" xfId="7309"/>
    <cellStyle name="_건미종합건설-계속기업_동창종합건재(20081126)_청산가치" xfId="7310"/>
    <cellStyle name="_건미종합건설-계속기업_동창종합건재(20081126)_청산가치_동창종합건재(20081126)_청산가치" xfId="7311"/>
    <cellStyle name="_건미종합건설-청산가치" xfId="7312"/>
    <cellStyle name="_건미종합건설-청산가치_동창종합건재(20081126)_청산가치" xfId="7313"/>
    <cellStyle name="_건미종합건설-청산가치_동창종합건재(20081126)_청산가치_동창종합건재(20081126)_청산가치" xfId="7314"/>
    <cellStyle name="_건설및조선업에대한추가적립_200812" xfId="434"/>
    <cellStyle name="_건설및조선업에대한추가적립_200812 2" xfId="7315"/>
    <cellStyle name="_건설및조선업에대한추가적립_200812 3" xfId="7316"/>
    <cellStyle name="_건축내역" xfId="7317"/>
    <cellStyle name="_건축내역2" xfId="7318"/>
    <cellStyle name="_건축사업팀검토008-철골공사Ⅲ" xfId="7319"/>
    <cellStyle name="_검단 실행 작성(0515)" xfId="7320"/>
    <cellStyle name="_검단 최종(변경0623 최종)" xfId="7321"/>
    <cellStyle name="_검단2지구아파트(이현호)" xfId="7322"/>
    <cellStyle name="_견적 총괄표" xfId="7323"/>
    <cellStyle name="_견적020617_SDS_금융_산은" xfId="7324"/>
    <cellStyle name="_견적23.03.06(SDS산업-B150)E" xfId="7325"/>
    <cellStyle name="_견적기준(운송대리점)" xfId="7326"/>
    <cellStyle name="_견적서(30-25일-수정2안)_최범" xfId="7327"/>
    <cellStyle name="_결산00" xfId="19637"/>
    <cellStyle name="_결산200412_0124_v1_감사후_bs pl" xfId="435"/>
    <cellStyle name="_결산200412_0124_v1_감사후_bs pl 2" xfId="7328"/>
    <cellStyle name="_결산200412_0124_v1_감사후_bs pl 3" xfId="7329"/>
    <cellStyle name="_결산명세" xfId="19638"/>
    <cellStyle name="_결산명세_매출원가명세서" xfId="26306"/>
    <cellStyle name="_결산명세서(자산)" xfId="19639"/>
    <cellStyle name="_결산명세서(자산)_Job assignment(Posco嫄댁꽕)" xfId="19640"/>
    <cellStyle name="_결산명세서(자산)_Job assignment(Posco嫄댁꽕)_주석작성(200603)" xfId="19641"/>
    <cellStyle name="_결산명세서(자산)_Job assignment(Posco嫄댁꽕)_주석작성(200603)_박용환_지급보증충당금_제출" xfId="19642"/>
    <cellStyle name="_결산명세서(자산)_Job assignment(Posco嫄댁꽕)_주석작성(200603)_박용환_지급보증충당금_제출_주석작성(200906)" xfId="19643"/>
    <cellStyle name="_결산명세서(자산)_Job assignment(Posco嫄댁꽕)_주석작성(200603)_박용환_지급보증충당금_제출_주석작성(200906)_4" xfId="19644"/>
    <cellStyle name="_결산명세서(자산)_Job assignment(Posco嫄댁꽕)_주석작성(200603)_박용환_지급보증충당금_제출_주석작성(200906)_최종" xfId="19645"/>
    <cellStyle name="_결산명세서(자산)_Job assignment(Posco嫄댁꽕)_주석작성(200603)_박용환_지급보증충당금_제출_주석작성(200909)" xfId="19646"/>
    <cellStyle name="_결산명세서(자산)_Job assignment(Posco嫄댁꽕)_주석작성(200603)_박용환_지급보증충당금_제출_주석작성(201003)_1" xfId="19647"/>
    <cellStyle name="_결산명세서(자산)_Job assignment(Posco嫄댁꽕)_주석작성(200603)_박용환_지급보증충당금_제출_주석작성(201003)_최종판" xfId="19648"/>
    <cellStyle name="_결산명세서(자산)_Job assignment(Posco嫄댁꽕)_주석작성(200603)_박용환_지급보증충당금_제출_주석작성(201006)" xfId="19649"/>
    <cellStyle name="_결산명세서(자산)_Job assignment(Posco嫄댁꽕)_주석작성(200603)_박용환_지급보증충당금_제출_주석작성(201009)" xfId="19650"/>
    <cellStyle name="_결산명세서(자산)_Job assignment(Posco嫄댁꽕)_주석작성(200603)_주석작성(200906)" xfId="19651"/>
    <cellStyle name="_결산명세서(자산)_Job assignment(Posco嫄댁꽕)_주석작성(200603)_주석작성(200906)_4" xfId="19652"/>
    <cellStyle name="_결산명세서(자산)_Job assignment(Posco嫄댁꽕)_주석작성(200603)_주석작성(200906)_최종" xfId="19653"/>
    <cellStyle name="_결산명세서(자산)_Job assignment(Posco嫄댁꽕)_주석작성(200603)_주석작성(200909)" xfId="19654"/>
    <cellStyle name="_결산명세서(자산)_Job assignment(Posco嫄댁꽕)_주석작성(200603)_주석작성(201003)_1" xfId="19655"/>
    <cellStyle name="_결산명세서(자산)_Job assignment(Posco嫄댁꽕)_주석작성(200603)_주석작성(201003)_최종판" xfId="19656"/>
    <cellStyle name="_결산명세서(자산)_Job assignment(Posco嫄댁꽕)_주석작성(200603)_주석작성(201006)" xfId="19657"/>
    <cellStyle name="_결산명세서(자산)_Job assignment(Posco嫄댁꽕)_주석작성(200603)_주석작성(201009)" xfId="19658"/>
    <cellStyle name="_결산명세서(자산)_WP040930jincho" xfId="19659"/>
    <cellStyle name="_결산명세서(자산)_WP040930jincho_주석작성(200603)" xfId="19660"/>
    <cellStyle name="_결산명세서(자산)_WP040930jincho_주석작성(200603)_박용환_지급보증충당금_제출" xfId="19661"/>
    <cellStyle name="_결산명세서(자산)_WP040930jincho_주석작성(200603)_박용환_지급보증충당금_제출_주석작성(200906)" xfId="19662"/>
    <cellStyle name="_결산명세서(자산)_WP040930jincho_주석작성(200603)_박용환_지급보증충당금_제출_주석작성(200906)_4" xfId="19663"/>
    <cellStyle name="_결산명세서(자산)_WP040930jincho_주석작성(200603)_박용환_지급보증충당금_제출_주석작성(200906)_최종" xfId="19664"/>
    <cellStyle name="_결산명세서(자산)_WP040930jincho_주석작성(200603)_박용환_지급보증충당금_제출_주석작성(200909)" xfId="19665"/>
    <cellStyle name="_결산명세서(자산)_WP040930jincho_주석작성(200603)_박용환_지급보증충당금_제출_주석작성(201003)_1" xfId="19666"/>
    <cellStyle name="_결산명세서(자산)_WP040930jincho_주석작성(200603)_박용환_지급보증충당금_제출_주석작성(201003)_최종판" xfId="19667"/>
    <cellStyle name="_결산명세서(자산)_WP040930jincho_주석작성(200603)_박용환_지급보증충당금_제출_주석작성(201006)" xfId="19668"/>
    <cellStyle name="_결산명세서(자산)_WP040930jincho_주석작성(200603)_박용환_지급보증충당금_제출_주석작성(201009)" xfId="19669"/>
    <cellStyle name="_결산명세서(자산)_WP040930jincho_주석작성(200603)_주석작성(200906)" xfId="19670"/>
    <cellStyle name="_결산명세서(자산)_WP040930jincho_주석작성(200603)_주석작성(200906)_4" xfId="19671"/>
    <cellStyle name="_결산명세서(자산)_WP040930jincho_주석작성(200603)_주석작성(200906)_최종" xfId="19672"/>
    <cellStyle name="_결산명세서(자산)_WP040930jincho_주석작성(200603)_주석작성(200909)" xfId="19673"/>
    <cellStyle name="_결산명세서(자산)_WP040930jincho_주석작성(200603)_주석작성(201003)_1" xfId="19674"/>
    <cellStyle name="_결산명세서(자산)_WP040930jincho_주석작성(200603)_주석작성(201003)_최종판" xfId="19675"/>
    <cellStyle name="_결산명세서(자산)_WP040930jincho_주석작성(200603)_주석작성(201006)" xfId="19676"/>
    <cellStyle name="_결산명세서(자산)_WP040930jincho_주석작성(200603)_주석작성(201009)" xfId="19677"/>
    <cellStyle name="_결산명세서(자산)_주석작성(200603)" xfId="19678"/>
    <cellStyle name="_결산명세서(자산)_주석작성(200603)_박용환_지급보증충당금_제출" xfId="19679"/>
    <cellStyle name="_결산명세서(자산)_주석작성(200603)_박용환_지급보증충당금_제출_주석작성(200906)" xfId="19680"/>
    <cellStyle name="_결산명세서(자산)_주석작성(200603)_박용환_지급보증충당금_제출_주석작성(200906)_4" xfId="19681"/>
    <cellStyle name="_결산명세서(자산)_주석작성(200603)_박용환_지급보증충당금_제출_주석작성(200906)_최종" xfId="19682"/>
    <cellStyle name="_결산명세서(자산)_주석작성(200603)_박용환_지급보증충당금_제출_주석작성(200909)" xfId="19683"/>
    <cellStyle name="_결산명세서(자산)_주석작성(200603)_박용환_지급보증충당금_제출_주석작성(201003)_1" xfId="19684"/>
    <cellStyle name="_결산명세서(자산)_주석작성(200603)_박용환_지급보증충당금_제출_주석작성(201003)_최종판" xfId="19685"/>
    <cellStyle name="_결산명세서(자산)_주석작성(200603)_박용환_지급보증충당금_제출_주석작성(201006)" xfId="19686"/>
    <cellStyle name="_결산명세서(자산)_주석작성(200603)_박용환_지급보증충당금_제출_주석작성(201009)" xfId="19687"/>
    <cellStyle name="_결산명세서(자산)_주석작성(200603)_주석작성(200906)" xfId="19688"/>
    <cellStyle name="_결산명세서(자산)_주석작성(200603)_주석작성(200906)_4" xfId="19689"/>
    <cellStyle name="_결산명세서(자산)_주석작성(200603)_주석작성(200906)_최종" xfId="19690"/>
    <cellStyle name="_결산명세서(자산)_주석작성(200603)_주석작성(200909)" xfId="19691"/>
    <cellStyle name="_결산명세서(자산)_주석작성(200603)_주석작성(201003)_1" xfId="19692"/>
    <cellStyle name="_결산명세서(자산)_주석작성(200603)_주석작성(201003)_최종판" xfId="19693"/>
    <cellStyle name="_결산명세서(자산)_주석작성(200603)_주석작성(201006)" xfId="19694"/>
    <cellStyle name="_결산명세서(자산)_주석작성(200603)_주석작성(201009)" xfId="19695"/>
    <cellStyle name="_결산서(총괄)" xfId="7330"/>
    <cellStyle name="_결산재무제표" xfId="7331"/>
    <cellStyle name="_결손금처분계산서(변경_최종)" xfId="26307"/>
    <cellStyle name="_결정01-총괄가실행(0820)" xfId="7332"/>
    <cellStyle name="_경비집행내역 추정" xfId="26308"/>
    <cellStyle name="_경영계획수립기준" xfId="7333"/>
    <cellStyle name="_경영관리3분기_박정호대리비용" xfId="436"/>
    <cellStyle name="_경영관리3분기_박정호대리비용 2" xfId="7334"/>
    <cellStyle name="_경영관리3분기_박정호대리비용 3" xfId="7335"/>
    <cellStyle name="_경영관리비용(0204김기배)" xfId="437"/>
    <cellStyle name="_경영관리비용(0204김기배) 2" xfId="7336"/>
    <cellStyle name="_경영관리비용(0204김기배) 3" xfId="7337"/>
    <cellStyle name="_경영관리비용(0304김기배최종)" xfId="438"/>
    <cellStyle name="_경영관리비용(0304김기배최종) 2" xfId="7338"/>
    <cellStyle name="_경영관리비용(0304김기배최종) 3" xfId="7339"/>
    <cellStyle name="_경영관리팀(2002.4_4분기)" xfId="439"/>
    <cellStyle name="_경영관리팀(2002.4_4분기) 2" xfId="7340"/>
    <cellStyle name="_경영관리팀(2002.4_4분기) 3" xfId="7341"/>
    <cellStyle name="_경영전략 양식" xfId="7342"/>
    <cellStyle name="_경영지표" xfId="7343"/>
    <cellStyle name="_계속기업가치 - 최종" xfId="7344"/>
    <cellStyle name="_계정명세sum" xfId="26309"/>
    <cellStyle name="_계정명세서_sum(8월)" xfId="26310"/>
    <cellStyle name="_계정명세서sum(4월)" xfId="26311"/>
    <cellStyle name="_계정명세서sum(5월)" xfId="26312"/>
    <cellStyle name="_계정명세서SUM_1월말" xfId="26313"/>
    <cellStyle name="_계정명세서SUM_2월말" xfId="26314"/>
    <cellStyle name="_계정명세서SUM_3월말" xfId="26315"/>
    <cellStyle name="_계정증감" xfId="26316"/>
    <cellStyle name="_고무단가" xfId="7345"/>
    <cellStyle name="_고정자산" xfId="26317"/>
    <cellStyle name="_고정자산(작업)" xfId="19696"/>
    <cellStyle name="_고정자산v-last" xfId="26318"/>
    <cellStyle name="_고정자산v-last_-2004()" xfId="26319"/>
    <cellStyle name="_고정자산v-last_-2004()_financial statements-MKOI,MTIL,WSUI-(2007-09-30)jy" xfId="26320"/>
    <cellStyle name="_고정자산v-last_-2004()_롯데유럽홀딩스-NAV(2008-05-30)" xfId="26321"/>
    <cellStyle name="_고정자산v-last_-2004()_롯데유럽홀딩스-NAV(2008-06-30)" xfId="26322"/>
    <cellStyle name="_고정자산v-last_22001_1" xfId="26323"/>
    <cellStyle name="_고정자산v-last_22001_1_financial statements-MKOI,MTIL,WSUI-(2007-09-30)jy" xfId="26324"/>
    <cellStyle name="_고정자산v-last_22001_1_롯데유럽홀딩스-NAV(2008-05-30)" xfId="26325"/>
    <cellStyle name="_고정자산v-last_22001_1_롯데유럽홀딩스-NAV(2008-06-30)" xfId="26326"/>
    <cellStyle name="_고정자산v-last_22626_1" xfId="26327"/>
    <cellStyle name="_고정자산v-last_22626_1_financial statements-MKOI,MTIL,WSUI-(2007-09-30)jy" xfId="26328"/>
    <cellStyle name="_고정자산v-last_22626_1_롯데유럽홀딩스-NAV(2008-05-30)" xfId="26329"/>
    <cellStyle name="_고정자산v-last_22626_1_롯데유럽홀딩스-NAV(2008-06-30)" xfId="26330"/>
    <cellStyle name="_고정자산v-last_25978_1" xfId="26331"/>
    <cellStyle name="_고정자산v-last_25978_1_financial statements-MKOI,MTIL,WSUI-(2007-09-30)jy" xfId="26332"/>
    <cellStyle name="_고정자산v-last_25978_1_롯데유럽홀딩스-NAV(2008-05-30)" xfId="26333"/>
    <cellStyle name="_고정자산v-last_25978_1_롯데유럽홀딩스-NAV(2008-06-30)" xfId="26334"/>
    <cellStyle name="_고정자산v-last_26859_1" xfId="26335"/>
    <cellStyle name="_고정자산v-last_26859_1_financial statements-MKOI,MTIL,WSUI-(2007-09-30)jy" xfId="26336"/>
    <cellStyle name="_고정자산v-last_26859_1_롯데유럽홀딩스-NAV(2008-05-30)" xfId="26337"/>
    <cellStyle name="_고정자산v-last_26859_1_롯데유럽홀딩스-NAV(2008-06-30)" xfId="26338"/>
    <cellStyle name="_고정자산v-last_26973_1" xfId="26339"/>
    <cellStyle name="_고정자산v-last_26973_1_financial statements-MKOI,MTIL,WSUI-(2007-09-30)jy" xfId="26340"/>
    <cellStyle name="_고정자산v-last_26973_1_롯데유럽홀딩스-NAV(2008-05-30)" xfId="26341"/>
    <cellStyle name="_고정자산v-last_26973_1_롯데유럽홀딩스-NAV(2008-06-30)" xfId="26342"/>
    <cellStyle name="_고정자산v-last_27057_1" xfId="26343"/>
    <cellStyle name="_고정자산v-last_27057_1_financial statements-MKOI,MTIL,WSUI-(2007-09-30)jy" xfId="26344"/>
    <cellStyle name="_고정자산v-last_27057_1_롯데유럽홀딩스-NAV(2008-05-30)" xfId="26345"/>
    <cellStyle name="_고정자산v-last_27057_1_롯데유럽홀딩스-NAV(2008-06-30)" xfId="26346"/>
    <cellStyle name="_고정자산v-last_27105_1" xfId="26347"/>
    <cellStyle name="_고정자산v-last_27105_1_financial statements-MKOI,MTIL,WSUI-(2007-09-30)jy" xfId="26348"/>
    <cellStyle name="_고정자산v-last_27105_1_롯데유럽홀딩스-NAV(2008-05-30)" xfId="26349"/>
    <cellStyle name="_고정자산v-last_27105_1_롯데유럽홀딩스-NAV(2008-06-30)" xfId="26350"/>
    <cellStyle name="_고정자산v-last_27709_1" xfId="26351"/>
    <cellStyle name="_고정자산v-last_27709_1_financial statements-MKOI,MTIL,WSUI-(2007-09-30)jy" xfId="26352"/>
    <cellStyle name="_고정자산v-last_27709_1_롯데유럽홀딩스-NAV(2008-05-30)" xfId="26353"/>
    <cellStyle name="_고정자산v-last_27709_1_롯데유럽홀딩스-NAV(2008-06-30)" xfId="26354"/>
    <cellStyle name="_고정자산v-last_9260_1" xfId="26355"/>
    <cellStyle name="_고정자산v-last_9260_1_financial statements-MKOI,MTIL,WSUI-(2007-09-30)jy" xfId="26356"/>
    <cellStyle name="_고정자산v-last_9260_1_롯데유럽홀딩스-NAV(2008-05-30)" xfId="26357"/>
    <cellStyle name="_고정자산v-last_9260_1_롯데유럽홀딩스-NAV(2008-06-30)" xfId="26358"/>
    <cellStyle name="_고정자산v-last_Book2" xfId="26359"/>
    <cellStyle name="_고정자산v-last_Book2_-2004()" xfId="26360"/>
    <cellStyle name="_고정자산v-last_Book2_-2004()_financial statements-MKOI,MTIL,WSUI-(2007-09-30)jy" xfId="26361"/>
    <cellStyle name="_고정자산v-last_Book2_-2004()_롯데유럽홀딩스-NAV(2008-05-30)" xfId="26362"/>
    <cellStyle name="_고정자산v-last_Book2_-2004()_롯데유럽홀딩스-NAV(2008-06-30)" xfId="26363"/>
    <cellStyle name="_고정자산v-last_Book2_22001_1" xfId="26364"/>
    <cellStyle name="_고정자산v-last_Book2_22001_1_financial statements-MKOI,MTIL,WSUI-(2007-09-30)jy" xfId="26365"/>
    <cellStyle name="_고정자산v-last_Book2_22001_1_롯데유럽홀딩스-NAV(2008-05-30)" xfId="26366"/>
    <cellStyle name="_고정자산v-last_Book2_22001_1_롯데유럽홀딩스-NAV(2008-06-30)" xfId="26367"/>
    <cellStyle name="_고정자산v-last_Book2_22626_1" xfId="26368"/>
    <cellStyle name="_고정자산v-last_Book2_22626_1_financial statements-MKOI,MTIL,WSUI-(2007-09-30)jy" xfId="26369"/>
    <cellStyle name="_고정자산v-last_Book2_22626_1_롯데유럽홀딩스-NAV(2008-05-30)" xfId="26370"/>
    <cellStyle name="_고정자산v-last_Book2_22626_1_롯데유럽홀딩스-NAV(2008-06-30)" xfId="26371"/>
    <cellStyle name="_고정자산v-last_Book2_25978_1" xfId="26372"/>
    <cellStyle name="_고정자산v-last_Book2_25978_1_financial statements-MKOI,MTIL,WSUI-(2007-09-30)jy" xfId="26373"/>
    <cellStyle name="_고정자산v-last_Book2_25978_1_롯데유럽홀딩스-NAV(2008-05-30)" xfId="26374"/>
    <cellStyle name="_고정자산v-last_Book2_25978_1_롯데유럽홀딩스-NAV(2008-06-30)" xfId="26375"/>
    <cellStyle name="_고정자산v-last_Book2_26859_1" xfId="26376"/>
    <cellStyle name="_고정자산v-last_Book2_26859_1_financial statements-MKOI,MTIL,WSUI-(2007-09-30)jy" xfId="26377"/>
    <cellStyle name="_고정자산v-last_Book2_26859_1_롯데유럽홀딩스-NAV(2008-05-30)" xfId="26378"/>
    <cellStyle name="_고정자산v-last_Book2_26859_1_롯데유럽홀딩스-NAV(2008-06-30)" xfId="26379"/>
    <cellStyle name="_고정자산v-last_Book2_26973_1" xfId="26380"/>
    <cellStyle name="_고정자산v-last_Book2_26973_1_financial statements-MKOI,MTIL,WSUI-(2007-09-30)jy" xfId="26381"/>
    <cellStyle name="_고정자산v-last_Book2_26973_1_롯데유럽홀딩스-NAV(2008-05-30)" xfId="26382"/>
    <cellStyle name="_고정자산v-last_Book2_26973_1_롯데유럽홀딩스-NAV(2008-06-30)" xfId="26383"/>
    <cellStyle name="_고정자산v-last_Book2_27057_1" xfId="26384"/>
    <cellStyle name="_고정자산v-last_Book2_27057_1_financial statements-MKOI,MTIL,WSUI-(2007-09-30)jy" xfId="26385"/>
    <cellStyle name="_고정자산v-last_Book2_27057_1_롯데유럽홀딩스-NAV(2008-05-30)" xfId="26386"/>
    <cellStyle name="_고정자산v-last_Book2_27057_1_롯데유럽홀딩스-NAV(2008-06-30)" xfId="26387"/>
    <cellStyle name="_고정자산v-last_Book2_27105_1" xfId="26388"/>
    <cellStyle name="_고정자산v-last_Book2_27105_1_financial statements-MKOI,MTIL,WSUI-(2007-09-30)jy" xfId="26389"/>
    <cellStyle name="_고정자산v-last_Book2_27105_1_롯데유럽홀딩스-NAV(2008-05-30)" xfId="26390"/>
    <cellStyle name="_고정자산v-last_Book2_27105_1_롯데유럽홀딩스-NAV(2008-06-30)" xfId="26391"/>
    <cellStyle name="_고정자산v-last_Book2_27709_1" xfId="26392"/>
    <cellStyle name="_고정자산v-last_Book2_27709_1_financial statements-MKOI,MTIL,WSUI-(2007-09-30)jy" xfId="26393"/>
    <cellStyle name="_고정자산v-last_Book2_27709_1_롯데유럽홀딩스-NAV(2008-05-30)" xfId="26394"/>
    <cellStyle name="_고정자산v-last_Book2_27709_1_롯데유럽홀딩스-NAV(2008-06-30)" xfId="26395"/>
    <cellStyle name="_고정자산v-last_Book2_9260_1" xfId="26396"/>
    <cellStyle name="_고정자산v-last_Book2_9260_1_financial statements-MKOI,MTIL,WSUI-(2007-09-30)jy" xfId="26397"/>
    <cellStyle name="_고정자산v-last_Book2_9260_1_롯데유럽홀딩스-NAV(2008-05-30)" xfId="26398"/>
    <cellStyle name="_고정자산v-last_Book2_9260_1_롯데유럽홀딩스-NAV(2008-06-30)" xfId="26399"/>
    <cellStyle name="_고정자산v-last_Book2_financial statements-MKOI,MTIL,WSUI-(2007-09-30)jy" xfId="26400"/>
    <cellStyle name="_고정자산v-last_Book2_KRIF BS REC 0407" xfId="26401"/>
    <cellStyle name="_고정자산v-last_Book2_KRIF BS REC 0407_financial statements-MKOI,MTIL,WSUI-(2007-09-30)jy" xfId="26402"/>
    <cellStyle name="_고정자산v-last_Book2_KRIF BS REC 0407_롯데유럽홀딩스-NAV(2008-05-30)" xfId="26403"/>
    <cellStyle name="_고정자산v-last_Book2_KRIF BS REC 0407_롯데유럽홀딩스-NAV(2008-06-30)" xfId="26404"/>
    <cellStyle name="_고정자산v-last_Book2_KRIF BS REC 0408" xfId="26405"/>
    <cellStyle name="_고정자산v-last_Book2_KRIF BS REC 0408_financial statements-MKOI,MTIL,WSUI-(2007-09-30)jy" xfId="26406"/>
    <cellStyle name="_고정자산v-last_Book2_KRIF BS REC 0408_롯데유럽홀딩스-NAV(2008-05-30)" xfId="26407"/>
    <cellStyle name="_고정자산v-last_Book2_KRIF BS REC 0408_롯데유럽홀딩스-NAV(2008-06-30)" xfId="26408"/>
    <cellStyle name="_고정자산v-last_Book2_MSIM BS REC 07 2004" xfId="26409"/>
    <cellStyle name="_고정자산v-last_Book2_MSIM BS REC 07 2004_financial statements-MKOI,MTIL,WSUI-(2007-09-30)jy" xfId="26410"/>
    <cellStyle name="_고정자산v-last_Book2_MSIM BS REC 07 2004_롯데유럽홀딩스-NAV(2008-05-30)" xfId="26411"/>
    <cellStyle name="_고정자산v-last_Book2_MSIM BS REC 07 2004_롯데유럽홀딩스-NAV(2008-06-30)" xfId="26412"/>
    <cellStyle name="_고정자산v-last_Book2_MSIM BS REC 08 2004" xfId="26413"/>
    <cellStyle name="_고정자산v-last_Book2_MSIM BS REC 08 2004_financial statements-MKOI,MTIL,WSUI-(2007-09-30)jy" xfId="26414"/>
    <cellStyle name="_고정자산v-last_Book2_MSIM BS REC 08 2004_롯데유럽홀딩스-NAV(2008-05-30)" xfId="26415"/>
    <cellStyle name="_고정자산v-last_Book2_MSIM BS REC 08 2004_롯데유럽홀딩스-NAV(2008-06-30)" xfId="26416"/>
    <cellStyle name="_고정자산v-last_Book2_MSIM BS REC 10 2004" xfId="26417"/>
    <cellStyle name="_고정자산v-last_Book2_MSIM BS REC 10 2004_financial statements-MKOI,MTIL,WSUI-(2007-09-30)jy" xfId="26418"/>
    <cellStyle name="_고정자산v-last_Book2_MSIM BS REC 10 2004_롯데유럽홀딩스-NAV(2008-05-30)" xfId="26419"/>
    <cellStyle name="_고정자산v-last_Book2_MSIM BS REC 10 2004_롯데유럽홀딩스-NAV(2008-06-30)" xfId="26420"/>
    <cellStyle name="_고정자산v-last_Book2_MSIM BS REC 11 2004" xfId="26421"/>
    <cellStyle name="_고정자산v-last_Book2_MSIM BS REC 11 2004_financial statements-MKOI,MTIL,WSUI-(2007-09-30)jy" xfId="26422"/>
    <cellStyle name="_고정자산v-last_Book2_MSIM BS REC 11 2004_롯데유럽홀딩스-NAV(2008-05-30)" xfId="26423"/>
    <cellStyle name="_고정자산v-last_Book2_MSIM BS REC 11 2004_롯데유럽홀딩스-NAV(2008-06-30)" xfId="26424"/>
    <cellStyle name="_고정자산v-last_Book2_MSIM BS REC 12 2004" xfId="26425"/>
    <cellStyle name="_고정자산v-last_Book2_MSIM BS REC 12 2004_financial statements-MKOI,MTIL,WSUI-(2007-09-30)jy" xfId="26426"/>
    <cellStyle name="_고정자산v-last_Book2_MSIM BS REC 12 2004_롯데유럽홀딩스-NAV(2008-05-30)" xfId="26427"/>
    <cellStyle name="_고정자산v-last_Book2_MSIM BS REC 12 2004_롯데유럽홀딩스-NAV(2008-06-30)" xfId="26428"/>
    <cellStyle name="_고정자산v-last_Book2_롯데유럽홀딩스-NAV(2008-05-30)" xfId="26429"/>
    <cellStyle name="_고정자산v-last_Book2_롯데유럽홀딩스-NAV(2008-06-30)" xfId="26430"/>
    <cellStyle name="_고정자산v-last_DEP&amp;LOAN REPAYMENT&amp;BOOKSUM_0509" xfId="26431"/>
    <cellStyle name="_고정자산v-last_DEP&amp;LOAN REPAYMENT&amp;BOOKSUM_0509_-2004()" xfId="26432"/>
    <cellStyle name="_고정자산v-last_DEP&amp;LOAN REPAYMENT&amp;BOOKSUM_0509_-2004()_financial statements-MKOI,MTIL,WSUI-(2007-09-30)jy" xfId="26433"/>
    <cellStyle name="_고정자산v-last_DEP&amp;LOAN REPAYMENT&amp;BOOKSUM_0509_-2004()_롯데유럽홀딩스-NAV(2008-05-30)" xfId="26434"/>
    <cellStyle name="_고정자산v-last_DEP&amp;LOAN REPAYMENT&amp;BOOKSUM_0509_-2004()_롯데유럽홀딩스-NAV(2008-06-30)" xfId="26435"/>
    <cellStyle name="_고정자산v-last_DEP&amp;LOAN REPAYMENT&amp;BOOKSUM_0509_22001_1" xfId="26436"/>
    <cellStyle name="_고정자산v-last_DEP&amp;LOAN REPAYMENT&amp;BOOKSUM_0509_22001_1_financial statements-MKOI,MTIL,WSUI-(2007-09-30)jy" xfId="26437"/>
    <cellStyle name="_고정자산v-last_DEP&amp;LOAN REPAYMENT&amp;BOOKSUM_0509_22001_1_롯데유럽홀딩스-NAV(2008-05-30)" xfId="26438"/>
    <cellStyle name="_고정자산v-last_DEP&amp;LOAN REPAYMENT&amp;BOOKSUM_0509_22001_1_롯데유럽홀딩스-NAV(2008-06-30)" xfId="26439"/>
    <cellStyle name="_고정자산v-last_DEP&amp;LOAN REPAYMENT&amp;BOOKSUM_0509_22626_1" xfId="26440"/>
    <cellStyle name="_고정자산v-last_DEP&amp;LOAN REPAYMENT&amp;BOOKSUM_0509_22626_1_financial statements-MKOI,MTIL,WSUI-(2007-09-30)jy" xfId="26441"/>
    <cellStyle name="_고정자산v-last_DEP&amp;LOAN REPAYMENT&amp;BOOKSUM_0509_22626_1_롯데유럽홀딩스-NAV(2008-05-30)" xfId="26442"/>
    <cellStyle name="_고정자산v-last_DEP&amp;LOAN REPAYMENT&amp;BOOKSUM_0509_22626_1_롯데유럽홀딩스-NAV(2008-06-30)" xfId="26443"/>
    <cellStyle name="_고정자산v-last_DEP&amp;LOAN REPAYMENT&amp;BOOKSUM_0509_25978_1" xfId="26444"/>
    <cellStyle name="_고정자산v-last_DEP&amp;LOAN REPAYMENT&amp;BOOKSUM_0509_25978_1_financial statements-MKOI,MTIL,WSUI-(2007-09-30)jy" xfId="26445"/>
    <cellStyle name="_고정자산v-last_DEP&amp;LOAN REPAYMENT&amp;BOOKSUM_0509_25978_1_롯데유럽홀딩스-NAV(2008-05-30)" xfId="26446"/>
    <cellStyle name="_고정자산v-last_DEP&amp;LOAN REPAYMENT&amp;BOOKSUM_0509_25978_1_롯데유럽홀딩스-NAV(2008-06-30)" xfId="26447"/>
    <cellStyle name="_고정자산v-last_DEP&amp;LOAN REPAYMENT&amp;BOOKSUM_0509_26859_1" xfId="26448"/>
    <cellStyle name="_고정자산v-last_DEP&amp;LOAN REPAYMENT&amp;BOOKSUM_0509_26859_1_financial statements-MKOI,MTIL,WSUI-(2007-09-30)jy" xfId="26449"/>
    <cellStyle name="_고정자산v-last_DEP&amp;LOAN REPAYMENT&amp;BOOKSUM_0509_26859_1_롯데유럽홀딩스-NAV(2008-05-30)" xfId="26450"/>
    <cellStyle name="_고정자산v-last_DEP&amp;LOAN REPAYMENT&amp;BOOKSUM_0509_26859_1_롯데유럽홀딩스-NAV(2008-06-30)" xfId="26451"/>
    <cellStyle name="_고정자산v-last_DEP&amp;LOAN REPAYMENT&amp;BOOKSUM_0509_26973_1" xfId="26452"/>
    <cellStyle name="_고정자산v-last_DEP&amp;LOAN REPAYMENT&amp;BOOKSUM_0509_26973_1_financial statements-MKOI,MTIL,WSUI-(2007-09-30)jy" xfId="26453"/>
    <cellStyle name="_고정자산v-last_DEP&amp;LOAN REPAYMENT&amp;BOOKSUM_0509_26973_1_롯데유럽홀딩스-NAV(2008-05-30)" xfId="26454"/>
    <cellStyle name="_고정자산v-last_DEP&amp;LOAN REPAYMENT&amp;BOOKSUM_0509_26973_1_롯데유럽홀딩스-NAV(2008-06-30)" xfId="26455"/>
    <cellStyle name="_고정자산v-last_DEP&amp;LOAN REPAYMENT&amp;BOOKSUM_0509_27057_1" xfId="26456"/>
    <cellStyle name="_고정자산v-last_DEP&amp;LOAN REPAYMENT&amp;BOOKSUM_0509_27057_1_financial statements-MKOI,MTIL,WSUI-(2007-09-30)jy" xfId="26457"/>
    <cellStyle name="_고정자산v-last_DEP&amp;LOAN REPAYMENT&amp;BOOKSUM_0509_27057_1_롯데유럽홀딩스-NAV(2008-05-30)" xfId="26458"/>
    <cellStyle name="_고정자산v-last_DEP&amp;LOAN REPAYMENT&amp;BOOKSUM_0509_27057_1_롯데유럽홀딩스-NAV(2008-06-30)" xfId="26459"/>
    <cellStyle name="_고정자산v-last_DEP&amp;LOAN REPAYMENT&amp;BOOKSUM_0509_27105_1" xfId="26460"/>
    <cellStyle name="_고정자산v-last_DEP&amp;LOAN REPAYMENT&amp;BOOKSUM_0509_27105_1_financial statements-MKOI,MTIL,WSUI-(2007-09-30)jy" xfId="26461"/>
    <cellStyle name="_고정자산v-last_DEP&amp;LOAN REPAYMENT&amp;BOOKSUM_0509_27105_1_롯데유럽홀딩스-NAV(2008-05-30)" xfId="26462"/>
    <cellStyle name="_고정자산v-last_DEP&amp;LOAN REPAYMENT&amp;BOOKSUM_0509_27105_1_롯데유럽홀딩스-NAV(2008-06-30)" xfId="26463"/>
    <cellStyle name="_고정자산v-last_DEP&amp;LOAN REPAYMENT&amp;BOOKSUM_0509_27709_1" xfId="26464"/>
    <cellStyle name="_고정자산v-last_DEP&amp;LOAN REPAYMENT&amp;BOOKSUM_0509_27709_1_financial statements-MKOI,MTIL,WSUI-(2007-09-30)jy" xfId="26465"/>
    <cellStyle name="_고정자산v-last_DEP&amp;LOAN REPAYMENT&amp;BOOKSUM_0509_27709_1_롯데유럽홀딩스-NAV(2008-05-30)" xfId="26466"/>
    <cellStyle name="_고정자산v-last_DEP&amp;LOAN REPAYMENT&amp;BOOKSUM_0509_27709_1_롯데유럽홀딩스-NAV(2008-06-30)" xfId="26467"/>
    <cellStyle name="_고정자산v-last_DEP&amp;LOAN REPAYMENT&amp;BOOKSUM_0509_9260_1" xfId="26468"/>
    <cellStyle name="_고정자산v-last_DEP&amp;LOAN REPAYMENT&amp;BOOKSUM_0509_9260_1_financial statements-MKOI,MTIL,WSUI-(2007-09-30)jy" xfId="26469"/>
    <cellStyle name="_고정자산v-last_DEP&amp;LOAN REPAYMENT&amp;BOOKSUM_0509_9260_1_롯데유럽홀딩스-NAV(2008-05-30)" xfId="26470"/>
    <cellStyle name="_고정자산v-last_DEP&amp;LOAN REPAYMENT&amp;BOOKSUM_0509_9260_1_롯데유럽홀딩스-NAV(2008-06-30)" xfId="26471"/>
    <cellStyle name="_고정자산v-last_DEP&amp;LOAN REPAYMENT&amp;BOOKSUM_0509_financial statements-MKOI,MTIL,WSUI-(2007-09-30)jy" xfId="26472"/>
    <cellStyle name="_고정자산v-last_DEP&amp;LOAN REPAYMENT&amp;BOOKSUM_0509_KRIF BS REC 0407" xfId="26473"/>
    <cellStyle name="_고정자산v-last_DEP&amp;LOAN REPAYMENT&amp;BOOKSUM_0509_KRIF BS REC 0407_financial statements-MKOI,MTIL,WSUI-(2007-09-30)jy" xfId="26474"/>
    <cellStyle name="_고정자산v-last_DEP&amp;LOAN REPAYMENT&amp;BOOKSUM_0509_KRIF BS REC 0407_롯데유럽홀딩스-NAV(2008-05-30)" xfId="26475"/>
    <cellStyle name="_고정자산v-last_DEP&amp;LOAN REPAYMENT&amp;BOOKSUM_0509_KRIF BS REC 0407_롯데유럽홀딩스-NAV(2008-06-30)" xfId="26476"/>
    <cellStyle name="_고정자산v-last_DEP&amp;LOAN REPAYMENT&amp;BOOKSUM_0509_KRIF BS REC 0408" xfId="26477"/>
    <cellStyle name="_고정자산v-last_DEP&amp;LOAN REPAYMENT&amp;BOOKSUM_0509_KRIF BS REC 0408_financial statements-MKOI,MTIL,WSUI-(2007-09-30)jy" xfId="26478"/>
    <cellStyle name="_고정자산v-last_DEP&amp;LOAN REPAYMENT&amp;BOOKSUM_0509_KRIF BS REC 0408_롯데유럽홀딩스-NAV(2008-05-30)" xfId="26479"/>
    <cellStyle name="_고정자산v-last_DEP&amp;LOAN REPAYMENT&amp;BOOKSUM_0509_KRIF BS REC 0408_롯데유럽홀딩스-NAV(2008-06-30)" xfId="26480"/>
    <cellStyle name="_고정자산v-last_DEP&amp;LOAN REPAYMENT&amp;BOOKSUM_0509_MSIM BS REC 07 2004" xfId="26481"/>
    <cellStyle name="_고정자산v-last_DEP&amp;LOAN REPAYMENT&amp;BOOKSUM_0509_MSIM BS REC 07 2004_financial statements-MKOI,MTIL,WSUI-(2007-09-30)jy" xfId="26482"/>
    <cellStyle name="_고정자산v-last_DEP&amp;LOAN REPAYMENT&amp;BOOKSUM_0509_MSIM BS REC 07 2004_롯데유럽홀딩스-NAV(2008-05-30)" xfId="26483"/>
    <cellStyle name="_고정자산v-last_DEP&amp;LOAN REPAYMENT&amp;BOOKSUM_0509_MSIM BS REC 07 2004_롯데유럽홀딩스-NAV(2008-06-30)" xfId="26484"/>
    <cellStyle name="_고정자산v-last_DEP&amp;LOAN REPAYMENT&amp;BOOKSUM_0509_MSIM BS REC 08 2004" xfId="26485"/>
    <cellStyle name="_고정자산v-last_DEP&amp;LOAN REPAYMENT&amp;BOOKSUM_0509_MSIM BS REC 08 2004_financial statements-MKOI,MTIL,WSUI-(2007-09-30)jy" xfId="26486"/>
    <cellStyle name="_고정자산v-last_DEP&amp;LOAN REPAYMENT&amp;BOOKSUM_0509_MSIM BS REC 08 2004_롯데유럽홀딩스-NAV(2008-05-30)" xfId="26487"/>
    <cellStyle name="_고정자산v-last_DEP&amp;LOAN REPAYMENT&amp;BOOKSUM_0509_MSIM BS REC 08 2004_롯데유럽홀딩스-NAV(2008-06-30)" xfId="26488"/>
    <cellStyle name="_고정자산v-last_DEP&amp;LOAN REPAYMENT&amp;BOOKSUM_0509_MSIM BS REC 10 2004" xfId="26489"/>
    <cellStyle name="_고정자산v-last_DEP&amp;LOAN REPAYMENT&amp;BOOKSUM_0509_MSIM BS REC 10 2004_financial statements-MKOI,MTIL,WSUI-(2007-09-30)jy" xfId="26490"/>
    <cellStyle name="_고정자산v-last_DEP&amp;LOAN REPAYMENT&amp;BOOKSUM_0509_MSIM BS REC 10 2004_롯데유럽홀딩스-NAV(2008-05-30)" xfId="26491"/>
    <cellStyle name="_고정자산v-last_DEP&amp;LOAN REPAYMENT&amp;BOOKSUM_0509_MSIM BS REC 10 2004_롯데유럽홀딩스-NAV(2008-06-30)" xfId="26492"/>
    <cellStyle name="_고정자산v-last_DEP&amp;LOAN REPAYMENT&amp;BOOKSUM_0509_MSIM BS REC 11 2004" xfId="26493"/>
    <cellStyle name="_고정자산v-last_DEP&amp;LOAN REPAYMENT&amp;BOOKSUM_0509_MSIM BS REC 11 2004_financial statements-MKOI,MTIL,WSUI-(2007-09-30)jy" xfId="26494"/>
    <cellStyle name="_고정자산v-last_DEP&amp;LOAN REPAYMENT&amp;BOOKSUM_0509_MSIM BS REC 11 2004_롯데유럽홀딩스-NAV(2008-05-30)" xfId="26495"/>
    <cellStyle name="_고정자산v-last_DEP&amp;LOAN REPAYMENT&amp;BOOKSUM_0509_MSIM BS REC 11 2004_롯데유럽홀딩스-NAV(2008-06-30)" xfId="26496"/>
    <cellStyle name="_고정자산v-last_DEP&amp;LOAN REPAYMENT&amp;BOOKSUM_0509_MSIM BS REC 12 2004" xfId="26497"/>
    <cellStyle name="_고정자산v-last_DEP&amp;LOAN REPAYMENT&amp;BOOKSUM_0509_MSIM BS REC 12 2004_financial statements-MKOI,MTIL,WSUI-(2007-09-30)jy" xfId="26498"/>
    <cellStyle name="_고정자산v-last_DEP&amp;LOAN REPAYMENT&amp;BOOKSUM_0509_MSIM BS REC 12 2004_롯데유럽홀딩스-NAV(2008-05-30)" xfId="26499"/>
    <cellStyle name="_고정자산v-last_DEP&amp;LOAN REPAYMENT&amp;BOOKSUM_0509_MSIM BS REC 12 2004_롯데유럽홀딩스-NAV(2008-06-30)" xfId="26500"/>
    <cellStyle name="_고정자산v-last_DEP&amp;LOAN REPAYMENT&amp;BOOKSUM_0509_롯데유럽홀딩스-NAV(2008-05-30)" xfId="26501"/>
    <cellStyle name="_고정자산v-last_DEP&amp;LOAN REPAYMENT&amp;BOOKSUM_0509_롯데유럽홀딩스-NAV(2008-06-30)" xfId="26502"/>
    <cellStyle name="_고정자산v-last_financial statements-MKOI,MTIL,WSUI-(2007-09-30)jy" xfId="26503"/>
    <cellStyle name="_고정자산v-last_KRIF BS REC 0407" xfId="26504"/>
    <cellStyle name="_고정자산v-last_KRIF BS REC 0407_financial statements-MKOI,MTIL,WSUI-(2007-09-30)jy" xfId="26505"/>
    <cellStyle name="_고정자산v-last_KRIF BS REC 0407_롯데유럽홀딩스-NAV(2008-05-30)" xfId="26506"/>
    <cellStyle name="_고정자산v-last_KRIF BS REC 0407_롯데유럽홀딩스-NAV(2008-06-30)" xfId="26507"/>
    <cellStyle name="_고정자산v-last_KRIF BS REC 0408" xfId="26508"/>
    <cellStyle name="_고정자산v-last_KRIF BS REC 0408_financial statements-MKOI,MTIL,WSUI-(2007-09-30)jy" xfId="26509"/>
    <cellStyle name="_고정자산v-last_KRIF BS REC 0408_롯데유럽홀딩스-NAV(2008-05-30)" xfId="26510"/>
    <cellStyle name="_고정자산v-last_KRIF BS REC 0408_롯데유럽홀딩스-NAV(2008-06-30)" xfId="26511"/>
    <cellStyle name="_고정자산v-last_LOAN REPAYMENT_NOV" xfId="26512"/>
    <cellStyle name="_고정자산v-last_LOAN REPAYMENT_NOV_-2004()" xfId="26513"/>
    <cellStyle name="_고정자산v-last_LOAN REPAYMENT_NOV_-2004()_financial statements-MKOI,MTIL,WSUI-(2007-09-30)jy" xfId="26514"/>
    <cellStyle name="_고정자산v-last_LOAN REPAYMENT_NOV_-2004()_롯데유럽홀딩스-NAV(2008-05-30)" xfId="26515"/>
    <cellStyle name="_고정자산v-last_LOAN REPAYMENT_NOV_-2004()_롯데유럽홀딩스-NAV(2008-06-30)" xfId="26516"/>
    <cellStyle name="_고정자산v-last_LOAN REPAYMENT_NOV_22001_1" xfId="26517"/>
    <cellStyle name="_고정자산v-last_LOAN REPAYMENT_NOV_22001_1_financial statements-MKOI,MTIL,WSUI-(2007-09-30)jy" xfId="26518"/>
    <cellStyle name="_고정자산v-last_LOAN REPAYMENT_NOV_22001_1_롯데유럽홀딩스-NAV(2008-05-30)" xfId="26519"/>
    <cellStyle name="_고정자산v-last_LOAN REPAYMENT_NOV_22001_1_롯데유럽홀딩스-NAV(2008-06-30)" xfId="26520"/>
    <cellStyle name="_고정자산v-last_LOAN REPAYMENT_NOV_22626_1" xfId="26521"/>
    <cellStyle name="_고정자산v-last_LOAN REPAYMENT_NOV_22626_1_financial statements-MKOI,MTIL,WSUI-(2007-09-30)jy" xfId="26522"/>
    <cellStyle name="_고정자산v-last_LOAN REPAYMENT_NOV_22626_1_롯데유럽홀딩스-NAV(2008-05-30)" xfId="26523"/>
    <cellStyle name="_고정자산v-last_LOAN REPAYMENT_NOV_22626_1_롯데유럽홀딩스-NAV(2008-06-30)" xfId="26524"/>
    <cellStyle name="_고정자산v-last_LOAN REPAYMENT_NOV_25978_1" xfId="26525"/>
    <cellStyle name="_고정자산v-last_LOAN REPAYMENT_NOV_25978_1_financial statements-MKOI,MTIL,WSUI-(2007-09-30)jy" xfId="26526"/>
    <cellStyle name="_고정자산v-last_LOAN REPAYMENT_NOV_25978_1_롯데유럽홀딩스-NAV(2008-05-30)" xfId="26527"/>
    <cellStyle name="_고정자산v-last_LOAN REPAYMENT_NOV_25978_1_롯데유럽홀딩스-NAV(2008-06-30)" xfId="26528"/>
    <cellStyle name="_고정자산v-last_LOAN REPAYMENT_NOV_26859_1" xfId="26529"/>
    <cellStyle name="_고정자산v-last_LOAN REPAYMENT_NOV_26859_1_financial statements-MKOI,MTIL,WSUI-(2007-09-30)jy" xfId="26530"/>
    <cellStyle name="_고정자산v-last_LOAN REPAYMENT_NOV_26859_1_롯데유럽홀딩스-NAV(2008-05-30)" xfId="26531"/>
    <cellStyle name="_고정자산v-last_LOAN REPAYMENT_NOV_26859_1_롯데유럽홀딩스-NAV(2008-06-30)" xfId="26532"/>
    <cellStyle name="_고정자산v-last_LOAN REPAYMENT_NOV_26973_1" xfId="26533"/>
    <cellStyle name="_고정자산v-last_LOAN REPAYMENT_NOV_26973_1_financial statements-MKOI,MTIL,WSUI-(2007-09-30)jy" xfId="26534"/>
    <cellStyle name="_고정자산v-last_LOAN REPAYMENT_NOV_26973_1_롯데유럽홀딩스-NAV(2008-05-30)" xfId="26535"/>
    <cellStyle name="_고정자산v-last_LOAN REPAYMENT_NOV_26973_1_롯데유럽홀딩스-NAV(2008-06-30)" xfId="26536"/>
    <cellStyle name="_고정자산v-last_LOAN REPAYMENT_NOV_27057_1" xfId="26537"/>
    <cellStyle name="_고정자산v-last_LOAN REPAYMENT_NOV_27057_1_financial statements-MKOI,MTIL,WSUI-(2007-09-30)jy" xfId="26538"/>
    <cellStyle name="_고정자산v-last_LOAN REPAYMENT_NOV_27057_1_롯데유럽홀딩스-NAV(2008-05-30)" xfId="26539"/>
    <cellStyle name="_고정자산v-last_LOAN REPAYMENT_NOV_27057_1_롯데유럽홀딩스-NAV(2008-06-30)" xfId="26540"/>
    <cellStyle name="_고정자산v-last_LOAN REPAYMENT_NOV_27105_1" xfId="26541"/>
    <cellStyle name="_고정자산v-last_LOAN REPAYMENT_NOV_27105_1_financial statements-MKOI,MTIL,WSUI-(2007-09-30)jy" xfId="26542"/>
    <cellStyle name="_고정자산v-last_LOAN REPAYMENT_NOV_27105_1_롯데유럽홀딩스-NAV(2008-05-30)" xfId="26543"/>
    <cellStyle name="_고정자산v-last_LOAN REPAYMENT_NOV_27105_1_롯데유럽홀딩스-NAV(2008-06-30)" xfId="26544"/>
    <cellStyle name="_고정자산v-last_LOAN REPAYMENT_NOV_27709_1" xfId="26545"/>
    <cellStyle name="_고정자산v-last_LOAN REPAYMENT_NOV_27709_1_financial statements-MKOI,MTIL,WSUI-(2007-09-30)jy" xfId="26546"/>
    <cellStyle name="_고정자산v-last_LOAN REPAYMENT_NOV_27709_1_롯데유럽홀딩스-NAV(2008-05-30)" xfId="26547"/>
    <cellStyle name="_고정자산v-last_LOAN REPAYMENT_NOV_27709_1_롯데유럽홀딩스-NAV(2008-06-30)" xfId="26548"/>
    <cellStyle name="_고정자산v-last_LOAN REPAYMENT_NOV_9260_1" xfId="26549"/>
    <cellStyle name="_고정자산v-last_LOAN REPAYMENT_NOV_9260_1_financial statements-MKOI,MTIL,WSUI-(2007-09-30)jy" xfId="26550"/>
    <cellStyle name="_고정자산v-last_LOAN REPAYMENT_NOV_9260_1_롯데유럽홀딩스-NAV(2008-05-30)" xfId="26551"/>
    <cellStyle name="_고정자산v-last_LOAN REPAYMENT_NOV_9260_1_롯데유럽홀딩스-NAV(2008-06-30)" xfId="26552"/>
    <cellStyle name="_고정자산v-last_LOAN REPAYMENT_NOV_financial statements-MKOI,MTIL,WSUI-(2007-09-30)jy" xfId="26553"/>
    <cellStyle name="_고정자산v-last_LOAN REPAYMENT_NOV_KRIF BS REC 0407" xfId="26554"/>
    <cellStyle name="_고정자산v-last_LOAN REPAYMENT_NOV_KRIF BS REC 0407_financial statements-MKOI,MTIL,WSUI-(2007-09-30)jy" xfId="26555"/>
    <cellStyle name="_고정자산v-last_LOAN REPAYMENT_NOV_KRIF BS REC 0407_롯데유럽홀딩스-NAV(2008-05-30)" xfId="26556"/>
    <cellStyle name="_고정자산v-last_LOAN REPAYMENT_NOV_KRIF BS REC 0407_롯데유럽홀딩스-NAV(2008-06-30)" xfId="26557"/>
    <cellStyle name="_고정자산v-last_LOAN REPAYMENT_NOV_KRIF BS REC 0408" xfId="26558"/>
    <cellStyle name="_고정자산v-last_LOAN REPAYMENT_NOV_KRIF BS REC 0408_financial statements-MKOI,MTIL,WSUI-(2007-09-30)jy" xfId="26559"/>
    <cellStyle name="_고정자산v-last_LOAN REPAYMENT_NOV_KRIF BS REC 0408_롯데유럽홀딩스-NAV(2008-05-30)" xfId="26560"/>
    <cellStyle name="_고정자산v-last_LOAN REPAYMENT_NOV_KRIF BS REC 0408_롯데유럽홀딩스-NAV(2008-06-30)" xfId="26561"/>
    <cellStyle name="_고정자산v-last_LOAN REPAYMENT_NOV_MSIM BS REC 07 2004" xfId="26562"/>
    <cellStyle name="_고정자산v-last_LOAN REPAYMENT_NOV_MSIM BS REC 07 2004_financial statements-MKOI,MTIL,WSUI-(2007-09-30)jy" xfId="26563"/>
    <cellStyle name="_고정자산v-last_LOAN REPAYMENT_NOV_MSIM BS REC 07 2004_롯데유럽홀딩스-NAV(2008-05-30)" xfId="26564"/>
    <cellStyle name="_고정자산v-last_LOAN REPAYMENT_NOV_MSIM BS REC 07 2004_롯데유럽홀딩스-NAV(2008-06-30)" xfId="26565"/>
    <cellStyle name="_고정자산v-last_LOAN REPAYMENT_NOV_MSIM BS REC 08 2004" xfId="26566"/>
    <cellStyle name="_고정자산v-last_LOAN REPAYMENT_NOV_MSIM BS REC 08 2004_financial statements-MKOI,MTIL,WSUI-(2007-09-30)jy" xfId="26567"/>
    <cellStyle name="_고정자산v-last_LOAN REPAYMENT_NOV_MSIM BS REC 08 2004_롯데유럽홀딩스-NAV(2008-05-30)" xfId="26568"/>
    <cellStyle name="_고정자산v-last_LOAN REPAYMENT_NOV_MSIM BS REC 08 2004_롯데유럽홀딩스-NAV(2008-06-30)" xfId="26569"/>
    <cellStyle name="_고정자산v-last_LOAN REPAYMENT_NOV_MSIM BS REC 10 2004" xfId="26570"/>
    <cellStyle name="_고정자산v-last_LOAN REPAYMENT_NOV_MSIM BS REC 10 2004_financial statements-MKOI,MTIL,WSUI-(2007-09-30)jy" xfId="26571"/>
    <cellStyle name="_고정자산v-last_LOAN REPAYMENT_NOV_MSIM BS REC 10 2004_롯데유럽홀딩스-NAV(2008-05-30)" xfId="26572"/>
    <cellStyle name="_고정자산v-last_LOAN REPAYMENT_NOV_MSIM BS REC 10 2004_롯데유럽홀딩스-NAV(2008-06-30)" xfId="26573"/>
    <cellStyle name="_고정자산v-last_LOAN REPAYMENT_NOV_MSIM BS REC 11 2004" xfId="26574"/>
    <cellStyle name="_고정자산v-last_LOAN REPAYMENT_NOV_MSIM BS REC 11 2004_financial statements-MKOI,MTIL,WSUI-(2007-09-30)jy" xfId="26575"/>
    <cellStyle name="_고정자산v-last_LOAN REPAYMENT_NOV_MSIM BS REC 11 2004_롯데유럽홀딩스-NAV(2008-05-30)" xfId="26576"/>
    <cellStyle name="_고정자산v-last_LOAN REPAYMENT_NOV_MSIM BS REC 11 2004_롯데유럽홀딩스-NAV(2008-06-30)" xfId="26577"/>
    <cellStyle name="_고정자산v-last_LOAN REPAYMENT_NOV_MSIM BS REC 12 2004" xfId="26578"/>
    <cellStyle name="_고정자산v-last_LOAN REPAYMENT_NOV_MSIM BS REC 12 2004_financial statements-MKOI,MTIL,WSUI-(2007-09-30)jy" xfId="26579"/>
    <cellStyle name="_고정자산v-last_LOAN REPAYMENT_NOV_MSIM BS REC 12 2004_롯데유럽홀딩스-NAV(2008-05-30)" xfId="26580"/>
    <cellStyle name="_고정자산v-last_LOAN REPAYMENT_NOV_MSIM BS REC 12 2004_롯데유럽홀딩스-NAV(2008-06-30)" xfId="26581"/>
    <cellStyle name="_고정자산v-last_LOAN REPAYMENT_NOV_롯데유럽홀딩스-NAV(2008-05-30)" xfId="26582"/>
    <cellStyle name="_고정자산v-last_LOAN REPAYMENT_NOV_롯데유럽홀딩스-NAV(2008-06-30)" xfId="26583"/>
    <cellStyle name="_고정자산v-last_MITK REC APRIL2003" xfId="26584"/>
    <cellStyle name="_고정자산v-last_MITK REC APRIL2003_-2004()" xfId="26585"/>
    <cellStyle name="_고정자산v-last_MITK REC APRIL2003_-2004()_financial statements-MKOI,MTIL,WSUI-(2007-09-30)jy" xfId="26586"/>
    <cellStyle name="_고정자산v-last_MITK REC APRIL2003_-2004()_롯데유럽홀딩스-NAV(2008-05-30)" xfId="26587"/>
    <cellStyle name="_고정자산v-last_MITK REC APRIL2003_-2004()_롯데유럽홀딩스-NAV(2008-06-30)" xfId="26588"/>
    <cellStyle name="_고정자산v-last_MITK REC APRIL2003_22001_1" xfId="26589"/>
    <cellStyle name="_고정자산v-last_MITK REC APRIL2003_22001_1_financial statements-MKOI,MTIL,WSUI-(2007-09-30)jy" xfId="26590"/>
    <cellStyle name="_고정자산v-last_MITK REC APRIL2003_22001_1_롯데유럽홀딩스-NAV(2008-05-30)" xfId="26591"/>
    <cellStyle name="_고정자산v-last_MITK REC APRIL2003_22001_1_롯데유럽홀딩스-NAV(2008-06-30)" xfId="26592"/>
    <cellStyle name="_고정자산v-last_MITK REC APRIL2003_22626_1" xfId="26593"/>
    <cellStyle name="_고정자산v-last_MITK REC APRIL2003_22626_1_financial statements-MKOI,MTIL,WSUI-(2007-09-30)jy" xfId="26594"/>
    <cellStyle name="_고정자산v-last_MITK REC APRIL2003_22626_1_롯데유럽홀딩스-NAV(2008-05-30)" xfId="26595"/>
    <cellStyle name="_고정자산v-last_MITK REC APRIL2003_22626_1_롯데유럽홀딩스-NAV(2008-06-30)" xfId="26596"/>
    <cellStyle name="_고정자산v-last_MITK REC APRIL2003_25978_1" xfId="26597"/>
    <cellStyle name="_고정자산v-last_MITK REC APRIL2003_25978_1_financial statements-MKOI,MTIL,WSUI-(2007-09-30)jy" xfId="26598"/>
    <cellStyle name="_고정자산v-last_MITK REC APRIL2003_25978_1_롯데유럽홀딩스-NAV(2008-05-30)" xfId="26599"/>
    <cellStyle name="_고정자산v-last_MITK REC APRIL2003_25978_1_롯데유럽홀딩스-NAV(2008-06-30)" xfId="26600"/>
    <cellStyle name="_고정자산v-last_MITK REC APRIL2003_26859_1" xfId="26601"/>
    <cellStyle name="_고정자산v-last_MITK REC APRIL2003_26859_1_financial statements-MKOI,MTIL,WSUI-(2007-09-30)jy" xfId="26602"/>
    <cellStyle name="_고정자산v-last_MITK REC APRIL2003_26859_1_롯데유럽홀딩스-NAV(2008-05-30)" xfId="26603"/>
    <cellStyle name="_고정자산v-last_MITK REC APRIL2003_26859_1_롯데유럽홀딩스-NAV(2008-06-30)" xfId="26604"/>
    <cellStyle name="_고정자산v-last_MITK REC APRIL2003_26973_1" xfId="26605"/>
    <cellStyle name="_고정자산v-last_MITK REC APRIL2003_26973_1_financial statements-MKOI,MTIL,WSUI-(2007-09-30)jy" xfId="26606"/>
    <cellStyle name="_고정자산v-last_MITK REC APRIL2003_26973_1_롯데유럽홀딩스-NAV(2008-05-30)" xfId="26607"/>
    <cellStyle name="_고정자산v-last_MITK REC APRIL2003_26973_1_롯데유럽홀딩스-NAV(2008-06-30)" xfId="26608"/>
    <cellStyle name="_고정자산v-last_MITK REC APRIL2003_27057_1" xfId="26609"/>
    <cellStyle name="_고정자산v-last_MITK REC APRIL2003_27057_1_financial statements-MKOI,MTIL,WSUI-(2007-09-30)jy" xfId="26610"/>
    <cellStyle name="_고정자산v-last_MITK REC APRIL2003_27057_1_롯데유럽홀딩스-NAV(2008-05-30)" xfId="26611"/>
    <cellStyle name="_고정자산v-last_MITK REC APRIL2003_27057_1_롯데유럽홀딩스-NAV(2008-06-30)" xfId="26612"/>
    <cellStyle name="_고정자산v-last_MITK REC APRIL2003_27105_1" xfId="26613"/>
    <cellStyle name="_고정자산v-last_MITK REC APRIL2003_27105_1_financial statements-MKOI,MTIL,WSUI-(2007-09-30)jy" xfId="26614"/>
    <cellStyle name="_고정자산v-last_MITK REC APRIL2003_27105_1_롯데유럽홀딩스-NAV(2008-05-30)" xfId="26615"/>
    <cellStyle name="_고정자산v-last_MITK REC APRIL2003_27105_1_롯데유럽홀딩스-NAV(2008-06-30)" xfId="26616"/>
    <cellStyle name="_고정자산v-last_MITK REC APRIL2003_27709_1" xfId="26617"/>
    <cellStyle name="_고정자산v-last_MITK REC APRIL2003_27709_1_financial statements-MKOI,MTIL,WSUI-(2007-09-30)jy" xfId="26618"/>
    <cellStyle name="_고정자산v-last_MITK REC APRIL2003_27709_1_롯데유럽홀딩스-NAV(2008-05-30)" xfId="26619"/>
    <cellStyle name="_고정자산v-last_MITK REC APRIL2003_27709_1_롯데유럽홀딩스-NAV(2008-06-30)" xfId="26620"/>
    <cellStyle name="_고정자산v-last_MITK REC APRIL2003_9260_1" xfId="26621"/>
    <cellStyle name="_고정자산v-last_MITK REC APRIL2003_9260_1_financial statements-MKOI,MTIL,WSUI-(2007-09-30)jy" xfId="26622"/>
    <cellStyle name="_고정자산v-last_MITK REC APRIL2003_9260_1_롯데유럽홀딩스-NAV(2008-05-30)" xfId="26623"/>
    <cellStyle name="_고정자산v-last_MITK REC APRIL2003_9260_1_롯데유럽홀딩스-NAV(2008-06-30)" xfId="26624"/>
    <cellStyle name="_고정자산v-last_MITK REC APRIL2003_financial statements-MKOI,MTIL,WSUI-(2007-09-30)jy" xfId="26625"/>
    <cellStyle name="_고정자산v-last_MITK REC APRIL2003_KRIF BS REC 0407" xfId="26626"/>
    <cellStyle name="_고정자산v-last_MITK REC APRIL2003_KRIF BS REC 0407_financial statements-MKOI,MTIL,WSUI-(2007-09-30)jy" xfId="26627"/>
    <cellStyle name="_고정자산v-last_MITK REC APRIL2003_KRIF BS REC 0407_롯데유럽홀딩스-NAV(2008-05-30)" xfId="26628"/>
    <cellStyle name="_고정자산v-last_MITK REC APRIL2003_KRIF BS REC 0407_롯데유럽홀딩스-NAV(2008-06-30)" xfId="26629"/>
    <cellStyle name="_고정자산v-last_MITK REC APRIL2003_KRIF BS REC 0408" xfId="26630"/>
    <cellStyle name="_고정자산v-last_MITK REC APRIL2003_KRIF BS REC 0408_financial statements-MKOI,MTIL,WSUI-(2007-09-30)jy" xfId="26631"/>
    <cellStyle name="_고정자산v-last_MITK REC APRIL2003_KRIF BS REC 0408_롯데유럽홀딩스-NAV(2008-05-30)" xfId="26632"/>
    <cellStyle name="_고정자산v-last_MITK REC APRIL2003_KRIF BS REC 0408_롯데유럽홀딩스-NAV(2008-06-30)" xfId="26633"/>
    <cellStyle name="_고정자산v-last_MITK REC APRIL2003_MSIM BS REC 07 2004" xfId="26634"/>
    <cellStyle name="_고정자산v-last_MITK REC APRIL2003_MSIM BS REC 07 2004_financial statements-MKOI,MTIL,WSUI-(2007-09-30)jy" xfId="26635"/>
    <cellStyle name="_고정자산v-last_MITK REC APRIL2003_MSIM BS REC 07 2004_롯데유럽홀딩스-NAV(2008-05-30)" xfId="26636"/>
    <cellStyle name="_고정자산v-last_MITK REC APRIL2003_MSIM BS REC 07 2004_롯데유럽홀딩스-NAV(2008-06-30)" xfId="26637"/>
    <cellStyle name="_고정자산v-last_MITK REC APRIL2003_MSIM BS REC 08 2004" xfId="26638"/>
    <cellStyle name="_고정자산v-last_MITK REC APRIL2003_MSIM BS REC 08 2004_financial statements-MKOI,MTIL,WSUI-(2007-09-30)jy" xfId="26639"/>
    <cellStyle name="_고정자산v-last_MITK REC APRIL2003_MSIM BS REC 08 2004_롯데유럽홀딩스-NAV(2008-05-30)" xfId="26640"/>
    <cellStyle name="_고정자산v-last_MITK REC APRIL2003_MSIM BS REC 08 2004_롯데유럽홀딩스-NAV(2008-06-30)" xfId="26641"/>
    <cellStyle name="_고정자산v-last_MITK REC APRIL2003_MSIM BS REC 10 2004" xfId="26642"/>
    <cellStyle name="_고정자산v-last_MITK REC APRIL2003_MSIM BS REC 10 2004_financial statements-MKOI,MTIL,WSUI-(2007-09-30)jy" xfId="26643"/>
    <cellStyle name="_고정자산v-last_MITK REC APRIL2003_MSIM BS REC 10 2004_롯데유럽홀딩스-NAV(2008-05-30)" xfId="26644"/>
    <cellStyle name="_고정자산v-last_MITK REC APRIL2003_MSIM BS REC 10 2004_롯데유럽홀딩스-NAV(2008-06-30)" xfId="26645"/>
    <cellStyle name="_고정자산v-last_MITK REC APRIL2003_MSIM BS REC 11 2004" xfId="26646"/>
    <cellStyle name="_고정자산v-last_MITK REC APRIL2003_MSIM BS REC 11 2004_financial statements-MKOI,MTIL,WSUI-(2007-09-30)jy" xfId="26647"/>
    <cellStyle name="_고정자산v-last_MITK REC APRIL2003_MSIM BS REC 11 2004_롯데유럽홀딩스-NAV(2008-05-30)" xfId="26648"/>
    <cellStyle name="_고정자산v-last_MITK REC APRIL2003_MSIM BS REC 11 2004_롯데유럽홀딩스-NAV(2008-06-30)" xfId="26649"/>
    <cellStyle name="_고정자산v-last_MITK REC APRIL2003_MSIM BS REC 12 2004" xfId="26650"/>
    <cellStyle name="_고정자산v-last_MITK REC APRIL2003_MSIM BS REC 12 2004_financial statements-MKOI,MTIL,WSUI-(2007-09-30)jy" xfId="26651"/>
    <cellStyle name="_고정자산v-last_MITK REC APRIL2003_MSIM BS REC 12 2004_롯데유럽홀딩스-NAV(2008-05-30)" xfId="26652"/>
    <cellStyle name="_고정자산v-last_MITK REC APRIL2003_MSIM BS REC 12 2004_롯데유럽홀딩스-NAV(2008-06-30)" xfId="26653"/>
    <cellStyle name="_고정자산v-last_MITK REC APRIL2003_롯데유럽홀딩스-NAV(2008-05-30)" xfId="26654"/>
    <cellStyle name="_고정자산v-last_MITK REC APRIL2003_롯데유럽홀딩스-NAV(2008-06-30)" xfId="26655"/>
    <cellStyle name="_고정자산v-last_MITK Recs APRIL03_0508_JC" xfId="26656"/>
    <cellStyle name="_고정자산v-last_MITK Recs APRIL03_0508_JC_-2004()" xfId="26657"/>
    <cellStyle name="_고정자산v-last_MITK Recs APRIL03_0508_JC_-2004()_financial statements-MKOI,MTIL,WSUI-(2007-09-30)jy" xfId="26658"/>
    <cellStyle name="_고정자산v-last_MITK Recs APRIL03_0508_JC_-2004()_롯데유럽홀딩스-NAV(2008-05-30)" xfId="26659"/>
    <cellStyle name="_고정자산v-last_MITK Recs APRIL03_0508_JC_-2004()_롯데유럽홀딩스-NAV(2008-06-30)" xfId="26660"/>
    <cellStyle name="_고정자산v-last_MITK Recs APRIL03_0508_JC_22001_1" xfId="26661"/>
    <cellStyle name="_고정자산v-last_MITK Recs APRIL03_0508_JC_22001_1_financial statements-MKOI,MTIL,WSUI-(2007-09-30)jy" xfId="26662"/>
    <cellStyle name="_고정자산v-last_MITK Recs APRIL03_0508_JC_22001_1_롯데유럽홀딩스-NAV(2008-05-30)" xfId="26663"/>
    <cellStyle name="_고정자산v-last_MITK Recs APRIL03_0508_JC_22001_1_롯데유럽홀딩스-NAV(2008-06-30)" xfId="26664"/>
    <cellStyle name="_고정자산v-last_MITK Recs APRIL03_0508_JC_22626_1" xfId="26665"/>
    <cellStyle name="_고정자산v-last_MITK Recs APRIL03_0508_JC_22626_1_financial statements-MKOI,MTIL,WSUI-(2007-09-30)jy" xfId="26666"/>
    <cellStyle name="_고정자산v-last_MITK Recs APRIL03_0508_JC_22626_1_롯데유럽홀딩스-NAV(2008-05-30)" xfId="26667"/>
    <cellStyle name="_고정자산v-last_MITK Recs APRIL03_0508_JC_22626_1_롯데유럽홀딩스-NAV(2008-06-30)" xfId="26668"/>
    <cellStyle name="_고정자산v-last_MITK Recs APRIL03_0508_JC_25978_1" xfId="26669"/>
    <cellStyle name="_고정자산v-last_MITK Recs APRIL03_0508_JC_25978_1_financial statements-MKOI,MTIL,WSUI-(2007-09-30)jy" xfId="26670"/>
    <cellStyle name="_고정자산v-last_MITK Recs APRIL03_0508_JC_25978_1_롯데유럽홀딩스-NAV(2008-05-30)" xfId="26671"/>
    <cellStyle name="_고정자산v-last_MITK Recs APRIL03_0508_JC_25978_1_롯데유럽홀딩스-NAV(2008-06-30)" xfId="26672"/>
    <cellStyle name="_고정자산v-last_MITK Recs APRIL03_0508_JC_26859_1" xfId="26673"/>
    <cellStyle name="_고정자산v-last_MITK Recs APRIL03_0508_JC_26859_1_financial statements-MKOI,MTIL,WSUI-(2007-09-30)jy" xfId="26674"/>
    <cellStyle name="_고정자산v-last_MITK Recs APRIL03_0508_JC_26859_1_롯데유럽홀딩스-NAV(2008-05-30)" xfId="26675"/>
    <cellStyle name="_고정자산v-last_MITK Recs APRIL03_0508_JC_26859_1_롯데유럽홀딩스-NAV(2008-06-30)" xfId="26676"/>
    <cellStyle name="_고정자산v-last_MITK Recs APRIL03_0508_JC_26973_1" xfId="26677"/>
    <cellStyle name="_고정자산v-last_MITK Recs APRIL03_0508_JC_26973_1_financial statements-MKOI,MTIL,WSUI-(2007-09-30)jy" xfId="26678"/>
    <cellStyle name="_고정자산v-last_MITK Recs APRIL03_0508_JC_26973_1_롯데유럽홀딩스-NAV(2008-05-30)" xfId="26679"/>
    <cellStyle name="_고정자산v-last_MITK Recs APRIL03_0508_JC_26973_1_롯데유럽홀딩스-NAV(2008-06-30)" xfId="26680"/>
    <cellStyle name="_고정자산v-last_MITK Recs APRIL03_0508_JC_27057_1" xfId="26681"/>
    <cellStyle name="_고정자산v-last_MITK Recs APRIL03_0508_JC_27057_1_financial statements-MKOI,MTIL,WSUI-(2007-09-30)jy" xfId="26682"/>
    <cellStyle name="_고정자산v-last_MITK Recs APRIL03_0508_JC_27057_1_롯데유럽홀딩스-NAV(2008-05-30)" xfId="26683"/>
    <cellStyle name="_고정자산v-last_MITK Recs APRIL03_0508_JC_27057_1_롯데유럽홀딩스-NAV(2008-06-30)" xfId="26684"/>
    <cellStyle name="_고정자산v-last_MITK Recs APRIL03_0508_JC_27105_1" xfId="26685"/>
    <cellStyle name="_고정자산v-last_MITK Recs APRIL03_0508_JC_27105_1_financial statements-MKOI,MTIL,WSUI-(2007-09-30)jy" xfId="26686"/>
    <cellStyle name="_고정자산v-last_MITK Recs APRIL03_0508_JC_27105_1_롯데유럽홀딩스-NAV(2008-05-30)" xfId="26687"/>
    <cellStyle name="_고정자산v-last_MITK Recs APRIL03_0508_JC_27105_1_롯데유럽홀딩스-NAV(2008-06-30)" xfId="26688"/>
    <cellStyle name="_고정자산v-last_MITK Recs APRIL03_0508_JC_27709_1" xfId="26689"/>
    <cellStyle name="_고정자산v-last_MITK Recs APRIL03_0508_JC_27709_1_financial statements-MKOI,MTIL,WSUI-(2007-09-30)jy" xfId="26690"/>
    <cellStyle name="_고정자산v-last_MITK Recs APRIL03_0508_JC_27709_1_롯데유럽홀딩스-NAV(2008-05-30)" xfId="26691"/>
    <cellStyle name="_고정자산v-last_MITK Recs APRIL03_0508_JC_27709_1_롯데유럽홀딩스-NAV(2008-06-30)" xfId="26692"/>
    <cellStyle name="_고정자산v-last_MITK Recs APRIL03_0508_JC_9260_1" xfId="26693"/>
    <cellStyle name="_고정자산v-last_MITK Recs APRIL03_0508_JC_9260_1_financial statements-MKOI,MTIL,WSUI-(2007-09-30)jy" xfId="26694"/>
    <cellStyle name="_고정자산v-last_MITK Recs APRIL03_0508_JC_9260_1_롯데유럽홀딩스-NAV(2008-05-30)" xfId="26695"/>
    <cellStyle name="_고정자산v-last_MITK Recs APRIL03_0508_JC_9260_1_롯데유럽홀딩스-NAV(2008-06-30)" xfId="26696"/>
    <cellStyle name="_고정자산v-last_MITK Recs APRIL03_0508_JC_financial statements-MKOI,MTIL,WSUI-(2007-09-30)jy" xfId="26697"/>
    <cellStyle name="_고정자산v-last_MITK Recs APRIL03_0508_JC_KRIF BS REC 0407" xfId="26698"/>
    <cellStyle name="_고정자산v-last_MITK Recs APRIL03_0508_JC_KRIF BS REC 0407_financial statements-MKOI,MTIL,WSUI-(2007-09-30)jy" xfId="26699"/>
    <cellStyle name="_고정자산v-last_MITK Recs APRIL03_0508_JC_KRIF BS REC 0407_롯데유럽홀딩스-NAV(2008-05-30)" xfId="26700"/>
    <cellStyle name="_고정자산v-last_MITK Recs APRIL03_0508_JC_KRIF BS REC 0407_롯데유럽홀딩스-NAV(2008-06-30)" xfId="26701"/>
    <cellStyle name="_고정자산v-last_MITK Recs APRIL03_0508_JC_KRIF BS REC 0408" xfId="26702"/>
    <cellStyle name="_고정자산v-last_MITK Recs APRIL03_0508_JC_KRIF BS REC 0408_financial statements-MKOI,MTIL,WSUI-(2007-09-30)jy" xfId="26703"/>
    <cellStyle name="_고정자산v-last_MITK Recs APRIL03_0508_JC_KRIF BS REC 0408_롯데유럽홀딩스-NAV(2008-05-30)" xfId="26704"/>
    <cellStyle name="_고정자산v-last_MITK Recs APRIL03_0508_JC_KRIF BS REC 0408_롯데유럽홀딩스-NAV(2008-06-30)" xfId="26705"/>
    <cellStyle name="_고정자산v-last_MITK Recs APRIL03_0508_JC_MSIM BS REC 07 2004" xfId="26706"/>
    <cellStyle name="_고정자산v-last_MITK Recs APRIL03_0508_JC_MSIM BS REC 07 2004_financial statements-MKOI,MTIL,WSUI-(2007-09-30)jy" xfId="26707"/>
    <cellStyle name="_고정자산v-last_MITK Recs APRIL03_0508_JC_MSIM BS REC 07 2004_롯데유럽홀딩스-NAV(2008-05-30)" xfId="26708"/>
    <cellStyle name="_고정자산v-last_MITK Recs APRIL03_0508_JC_MSIM BS REC 07 2004_롯데유럽홀딩스-NAV(2008-06-30)" xfId="26709"/>
    <cellStyle name="_고정자산v-last_MITK Recs APRIL03_0508_JC_MSIM BS REC 08 2004" xfId="26710"/>
    <cellStyle name="_고정자산v-last_MITK Recs APRIL03_0508_JC_MSIM BS REC 08 2004_financial statements-MKOI,MTIL,WSUI-(2007-09-30)jy" xfId="26711"/>
    <cellStyle name="_고정자산v-last_MITK Recs APRIL03_0508_JC_MSIM BS REC 08 2004_롯데유럽홀딩스-NAV(2008-05-30)" xfId="26712"/>
    <cellStyle name="_고정자산v-last_MITK Recs APRIL03_0508_JC_MSIM BS REC 08 2004_롯데유럽홀딩스-NAV(2008-06-30)" xfId="26713"/>
    <cellStyle name="_고정자산v-last_MITK Recs APRIL03_0508_JC_MSIM BS REC 10 2004" xfId="26714"/>
    <cellStyle name="_고정자산v-last_MITK Recs APRIL03_0508_JC_MSIM BS REC 10 2004_financial statements-MKOI,MTIL,WSUI-(2007-09-30)jy" xfId="26715"/>
    <cellStyle name="_고정자산v-last_MITK Recs APRIL03_0508_JC_MSIM BS REC 10 2004_롯데유럽홀딩스-NAV(2008-05-30)" xfId="26716"/>
    <cellStyle name="_고정자산v-last_MITK Recs APRIL03_0508_JC_MSIM BS REC 10 2004_롯데유럽홀딩스-NAV(2008-06-30)" xfId="26717"/>
    <cellStyle name="_고정자산v-last_MITK Recs APRIL03_0508_JC_MSIM BS REC 11 2004" xfId="26718"/>
    <cellStyle name="_고정자산v-last_MITK Recs APRIL03_0508_JC_MSIM BS REC 11 2004_financial statements-MKOI,MTIL,WSUI-(2007-09-30)jy" xfId="26719"/>
    <cellStyle name="_고정자산v-last_MITK Recs APRIL03_0508_JC_MSIM BS REC 11 2004_롯데유럽홀딩스-NAV(2008-05-30)" xfId="26720"/>
    <cellStyle name="_고정자산v-last_MITK Recs APRIL03_0508_JC_MSIM BS REC 11 2004_롯데유럽홀딩스-NAV(2008-06-30)" xfId="26721"/>
    <cellStyle name="_고정자산v-last_MITK Recs APRIL03_0508_JC_MSIM BS REC 12 2004" xfId="26722"/>
    <cellStyle name="_고정자산v-last_MITK Recs APRIL03_0508_JC_MSIM BS REC 12 2004_financial statements-MKOI,MTIL,WSUI-(2007-09-30)jy" xfId="26723"/>
    <cellStyle name="_고정자산v-last_MITK Recs APRIL03_0508_JC_MSIM BS REC 12 2004_롯데유럽홀딩스-NAV(2008-05-30)" xfId="26724"/>
    <cellStyle name="_고정자산v-last_MITK Recs APRIL03_0508_JC_MSIM BS REC 12 2004_롯데유럽홀딩스-NAV(2008-06-30)" xfId="26725"/>
    <cellStyle name="_고정자산v-last_MITK Recs APRIL03_0508_JC_롯데유럽홀딩스-NAV(2008-05-30)" xfId="26726"/>
    <cellStyle name="_고정자산v-last_MITK Recs APRIL03_0508_JC_롯데유럽홀딩스-NAV(2008-06-30)" xfId="26727"/>
    <cellStyle name="_고정자산v-last_MITK Recs AUG 2003.xls" xfId="26728"/>
    <cellStyle name="_고정자산v-last_MITK Recs AUG 2003.xls_-2004()" xfId="26729"/>
    <cellStyle name="_고정자산v-last_MITK Recs AUG 2003.xls_-2004()_financial statements-MKOI,MTIL,WSUI-(2007-09-30)jy" xfId="26730"/>
    <cellStyle name="_고정자산v-last_MITK Recs AUG 2003.xls_-2004()_롯데유럽홀딩스-NAV(2008-05-30)" xfId="26731"/>
    <cellStyle name="_고정자산v-last_MITK Recs AUG 2003.xls_-2004()_롯데유럽홀딩스-NAV(2008-06-30)" xfId="26732"/>
    <cellStyle name="_고정자산v-last_MITK Recs AUG 2003.xls_22001_1" xfId="26733"/>
    <cellStyle name="_고정자산v-last_MITK Recs AUG 2003.xls_22001_1_financial statements-MKOI,MTIL,WSUI-(2007-09-30)jy" xfId="26734"/>
    <cellStyle name="_고정자산v-last_MITK Recs AUG 2003.xls_22001_1_롯데유럽홀딩스-NAV(2008-05-30)" xfId="26735"/>
    <cellStyle name="_고정자산v-last_MITK Recs AUG 2003.xls_22001_1_롯데유럽홀딩스-NAV(2008-06-30)" xfId="26736"/>
    <cellStyle name="_고정자산v-last_MITK Recs AUG 2003.xls_22626_1" xfId="26737"/>
    <cellStyle name="_고정자산v-last_MITK Recs AUG 2003.xls_22626_1_financial statements-MKOI,MTIL,WSUI-(2007-09-30)jy" xfId="26738"/>
    <cellStyle name="_고정자산v-last_MITK Recs AUG 2003.xls_22626_1_롯데유럽홀딩스-NAV(2008-05-30)" xfId="26739"/>
    <cellStyle name="_고정자산v-last_MITK Recs AUG 2003.xls_22626_1_롯데유럽홀딩스-NAV(2008-06-30)" xfId="26740"/>
    <cellStyle name="_고정자산v-last_MITK Recs AUG 2003.xls_25978_1" xfId="26741"/>
    <cellStyle name="_고정자산v-last_MITK Recs AUG 2003.xls_25978_1_financial statements-MKOI,MTIL,WSUI-(2007-09-30)jy" xfId="26742"/>
    <cellStyle name="_고정자산v-last_MITK Recs AUG 2003.xls_25978_1_롯데유럽홀딩스-NAV(2008-05-30)" xfId="26743"/>
    <cellStyle name="_고정자산v-last_MITK Recs AUG 2003.xls_25978_1_롯데유럽홀딩스-NAV(2008-06-30)" xfId="26744"/>
    <cellStyle name="_고정자산v-last_MITK Recs AUG 2003.xls_26859_1" xfId="26745"/>
    <cellStyle name="_고정자산v-last_MITK Recs AUG 2003.xls_26859_1_financial statements-MKOI,MTIL,WSUI-(2007-09-30)jy" xfId="26746"/>
    <cellStyle name="_고정자산v-last_MITK Recs AUG 2003.xls_26859_1_롯데유럽홀딩스-NAV(2008-05-30)" xfId="26747"/>
    <cellStyle name="_고정자산v-last_MITK Recs AUG 2003.xls_26859_1_롯데유럽홀딩스-NAV(2008-06-30)" xfId="26748"/>
    <cellStyle name="_고정자산v-last_MITK Recs AUG 2003.xls_26973_1" xfId="26749"/>
    <cellStyle name="_고정자산v-last_MITK Recs AUG 2003.xls_26973_1_financial statements-MKOI,MTIL,WSUI-(2007-09-30)jy" xfId="26750"/>
    <cellStyle name="_고정자산v-last_MITK Recs AUG 2003.xls_26973_1_롯데유럽홀딩스-NAV(2008-05-30)" xfId="26751"/>
    <cellStyle name="_고정자산v-last_MITK Recs AUG 2003.xls_26973_1_롯데유럽홀딩스-NAV(2008-06-30)" xfId="26752"/>
    <cellStyle name="_고정자산v-last_MITK Recs AUG 2003.xls_27057_1" xfId="26753"/>
    <cellStyle name="_고정자산v-last_MITK Recs AUG 2003.xls_27057_1_financial statements-MKOI,MTIL,WSUI-(2007-09-30)jy" xfId="26754"/>
    <cellStyle name="_고정자산v-last_MITK Recs AUG 2003.xls_27057_1_롯데유럽홀딩스-NAV(2008-05-30)" xfId="26755"/>
    <cellStyle name="_고정자산v-last_MITK Recs AUG 2003.xls_27057_1_롯데유럽홀딩스-NAV(2008-06-30)" xfId="26756"/>
    <cellStyle name="_고정자산v-last_MITK Recs AUG 2003.xls_27105_1" xfId="26757"/>
    <cellStyle name="_고정자산v-last_MITK Recs AUG 2003.xls_27105_1_financial statements-MKOI,MTIL,WSUI-(2007-09-30)jy" xfId="26758"/>
    <cellStyle name="_고정자산v-last_MITK Recs AUG 2003.xls_27105_1_롯데유럽홀딩스-NAV(2008-05-30)" xfId="26759"/>
    <cellStyle name="_고정자산v-last_MITK Recs AUG 2003.xls_27105_1_롯데유럽홀딩스-NAV(2008-06-30)" xfId="26760"/>
    <cellStyle name="_고정자산v-last_MITK Recs AUG 2003.xls_27709_1" xfId="26761"/>
    <cellStyle name="_고정자산v-last_MITK Recs AUG 2003.xls_27709_1_financial statements-MKOI,MTIL,WSUI-(2007-09-30)jy" xfId="26762"/>
    <cellStyle name="_고정자산v-last_MITK Recs AUG 2003.xls_27709_1_롯데유럽홀딩스-NAV(2008-05-30)" xfId="26763"/>
    <cellStyle name="_고정자산v-last_MITK Recs AUG 2003.xls_27709_1_롯데유럽홀딩스-NAV(2008-06-30)" xfId="26764"/>
    <cellStyle name="_고정자산v-last_MITK Recs AUG 2003.xls_9260_1" xfId="26765"/>
    <cellStyle name="_고정자산v-last_MITK Recs AUG 2003.xls_9260_1_financial statements-MKOI,MTIL,WSUI-(2007-09-30)jy" xfId="26766"/>
    <cellStyle name="_고정자산v-last_MITK Recs AUG 2003.xls_9260_1_롯데유럽홀딩스-NAV(2008-05-30)" xfId="26767"/>
    <cellStyle name="_고정자산v-last_MITK Recs AUG 2003.xls_9260_1_롯데유럽홀딩스-NAV(2008-06-30)" xfId="26768"/>
    <cellStyle name="_고정자산v-last_MITK Recs AUG 2003.xls_financial statements-MKOI,MTIL,WSUI-(2007-09-30)jy" xfId="26769"/>
    <cellStyle name="_고정자산v-last_MITK Recs AUG 2003.xls_KRIF BS REC 0407" xfId="26770"/>
    <cellStyle name="_고정자산v-last_MITK Recs AUG 2003.xls_KRIF BS REC 0407_financial statements-MKOI,MTIL,WSUI-(2007-09-30)jy" xfId="26771"/>
    <cellStyle name="_고정자산v-last_MITK Recs AUG 2003.xls_KRIF BS REC 0407_롯데유럽홀딩스-NAV(2008-05-30)" xfId="26772"/>
    <cellStyle name="_고정자산v-last_MITK Recs AUG 2003.xls_KRIF BS REC 0407_롯데유럽홀딩스-NAV(2008-06-30)" xfId="26773"/>
    <cellStyle name="_고정자산v-last_MITK Recs AUG 2003.xls_KRIF BS REC 0408" xfId="26774"/>
    <cellStyle name="_고정자산v-last_MITK Recs AUG 2003.xls_KRIF BS REC 0408_financial statements-MKOI,MTIL,WSUI-(2007-09-30)jy" xfId="26775"/>
    <cellStyle name="_고정자산v-last_MITK Recs AUG 2003.xls_KRIF BS REC 0408_롯데유럽홀딩스-NAV(2008-05-30)" xfId="26776"/>
    <cellStyle name="_고정자산v-last_MITK Recs AUG 2003.xls_KRIF BS REC 0408_롯데유럽홀딩스-NAV(2008-06-30)" xfId="26777"/>
    <cellStyle name="_고정자산v-last_MITK Recs AUG 2003.xls_MSIM BS REC 07 2004" xfId="26778"/>
    <cellStyle name="_고정자산v-last_MITK Recs AUG 2003.xls_MSIM BS REC 07 2004_financial statements-MKOI,MTIL,WSUI-(2007-09-30)jy" xfId="26779"/>
    <cellStyle name="_고정자산v-last_MITK Recs AUG 2003.xls_MSIM BS REC 07 2004_롯데유럽홀딩스-NAV(2008-05-30)" xfId="26780"/>
    <cellStyle name="_고정자산v-last_MITK Recs AUG 2003.xls_MSIM BS REC 07 2004_롯데유럽홀딩스-NAV(2008-06-30)" xfId="26781"/>
    <cellStyle name="_고정자산v-last_MITK Recs AUG 2003.xls_MSIM BS REC 08 2004" xfId="26782"/>
    <cellStyle name="_고정자산v-last_MITK Recs AUG 2003.xls_MSIM BS REC 08 2004_financial statements-MKOI,MTIL,WSUI-(2007-09-30)jy" xfId="26783"/>
    <cellStyle name="_고정자산v-last_MITK Recs AUG 2003.xls_MSIM BS REC 08 2004_롯데유럽홀딩스-NAV(2008-05-30)" xfId="26784"/>
    <cellStyle name="_고정자산v-last_MITK Recs AUG 2003.xls_MSIM BS REC 08 2004_롯데유럽홀딩스-NAV(2008-06-30)" xfId="26785"/>
    <cellStyle name="_고정자산v-last_MITK Recs AUG 2003.xls_MSIM BS REC 10 2004" xfId="26786"/>
    <cellStyle name="_고정자산v-last_MITK Recs AUG 2003.xls_MSIM BS REC 10 2004_financial statements-MKOI,MTIL,WSUI-(2007-09-30)jy" xfId="26787"/>
    <cellStyle name="_고정자산v-last_MITK Recs AUG 2003.xls_MSIM BS REC 10 2004_롯데유럽홀딩스-NAV(2008-05-30)" xfId="26788"/>
    <cellStyle name="_고정자산v-last_MITK Recs AUG 2003.xls_MSIM BS REC 10 2004_롯데유럽홀딩스-NAV(2008-06-30)" xfId="26789"/>
    <cellStyle name="_고정자산v-last_MITK Recs AUG 2003.xls_MSIM BS REC 11 2004" xfId="26790"/>
    <cellStyle name="_고정자산v-last_MITK Recs AUG 2003.xls_MSIM BS REC 11 2004_financial statements-MKOI,MTIL,WSUI-(2007-09-30)jy" xfId="26791"/>
    <cellStyle name="_고정자산v-last_MITK Recs AUG 2003.xls_MSIM BS REC 11 2004_롯데유럽홀딩스-NAV(2008-05-30)" xfId="26792"/>
    <cellStyle name="_고정자산v-last_MITK Recs AUG 2003.xls_MSIM BS REC 11 2004_롯데유럽홀딩스-NAV(2008-06-30)" xfId="26793"/>
    <cellStyle name="_고정자산v-last_MITK Recs AUG 2003.xls_MSIM BS REC 12 2004" xfId="26794"/>
    <cellStyle name="_고정자산v-last_MITK Recs AUG 2003.xls_MSIM BS REC 12 2004_financial statements-MKOI,MTIL,WSUI-(2007-09-30)jy" xfId="26795"/>
    <cellStyle name="_고정자산v-last_MITK Recs AUG 2003.xls_MSIM BS REC 12 2004_롯데유럽홀딩스-NAV(2008-05-30)" xfId="26796"/>
    <cellStyle name="_고정자산v-last_MITK Recs AUG 2003.xls_MSIM BS REC 12 2004_롯데유럽홀딩스-NAV(2008-06-30)" xfId="26797"/>
    <cellStyle name="_고정자산v-last_MITK Recs AUG 2003.xls_롯데유럽홀딩스-NAV(2008-05-30)" xfId="26798"/>
    <cellStyle name="_고정자산v-last_MITK Recs AUG 2003.xls_롯데유럽홀딩스-NAV(2008-06-30)" xfId="26799"/>
    <cellStyle name="_고정자산v-last_MITK Recs JULY 2003.xls" xfId="26800"/>
    <cellStyle name="_고정자산v-last_MITK Recs JULY 2003.xls_-2004()" xfId="26801"/>
    <cellStyle name="_고정자산v-last_MITK Recs JULY 2003.xls_-2004()_financial statements-MKOI,MTIL,WSUI-(2007-09-30)jy" xfId="26802"/>
    <cellStyle name="_고정자산v-last_MITK Recs JULY 2003.xls_-2004()_롯데유럽홀딩스-NAV(2008-05-30)" xfId="26803"/>
    <cellStyle name="_고정자산v-last_MITK Recs JULY 2003.xls_-2004()_롯데유럽홀딩스-NAV(2008-06-30)" xfId="26804"/>
    <cellStyle name="_고정자산v-last_MITK Recs JULY 2003.xls_22001_1" xfId="26805"/>
    <cellStyle name="_고정자산v-last_MITK Recs JULY 2003.xls_22001_1_financial statements-MKOI,MTIL,WSUI-(2007-09-30)jy" xfId="26806"/>
    <cellStyle name="_고정자산v-last_MITK Recs JULY 2003.xls_22001_1_롯데유럽홀딩스-NAV(2008-05-30)" xfId="26807"/>
    <cellStyle name="_고정자산v-last_MITK Recs JULY 2003.xls_22001_1_롯데유럽홀딩스-NAV(2008-06-30)" xfId="26808"/>
    <cellStyle name="_고정자산v-last_MITK Recs JULY 2003.xls_22626_1" xfId="26809"/>
    <cellStyle name="_고정자산v-last_MITK Recs JULY 2003.xls_22626_1_financial statements-MKOI,MTIL,WSUI-(2007-09-30)jy" xfId="26810"/>
    <cellStyle name="_고정자산v-last_MITK Recs JULY 2003.xls_22626_1_롯데유럽홀딩스-NAV(2008-05-30)" xfId="26811"/>
    <cellStyle name="_고정자산v-last_MITK Recs JULY 2003.xls_22626_1_롯데유럽홀딩스-NAV(2008-06-30)" xfId="26812"/>
    <cellStyle name="_고정자산v-last_MITK Recs JULY 2003.xls_25978_1" xfId="26813"/>
    <cellStyle name="_고정자산v-last_MITK Recs JULY 2003.xls_25978_1_financial statements-MKOI,MTIL,WSUI-(2007-09-30)jy" xfId="26814"/>
    <cellStyle name="_고정자산v-last_MITK Recs JULY 2003.xls_25978_1_롯데유럽홀딩스-NAV(2008-05-30)" xfId="26815"/>
    <cellStyle name="_고정자산v-last_MITK Recs JULY 2003.xls_25978_1_롯데유럽홀딩스-NAV(2008-06-30)" xfId="26816"/>
    <cellStyle name="_고정자산v-last_MITK Recs JULY 2003.xls_26859_1" xfId="26817"/>
    <cellStyle name="_고정자산v-last_MITK Recs JULY 2003.xls_26859_1_financial statements-MKOI,MTIL,WSUI-(2007-09-30)jy" xfId="26818"/>
    <cellStyle name="_고정자산v-last_MITK Recs JULY 2003.xls_26859_1_롯데유럽홀딩스-NAV(2008-05-30)" xfId="26819"/>
    <cellStyle name="_고정자산v-last_MITK Recs JULY 2003.xls_26859_1_롯데유럽홀딩스-NAV(2008-06-30)" xfId="26820"/>
    <cellStyle name="_고정자산v-last_MITK Recs JULY 2003.xls_26973_1" xfId="26821"/>
    <cellStyle name="_고정자산v-last_MITK Recs JULY 2003.xls_26973_1_financial statements-MKOI,MTIL,WSUI-(2007-09-30)jy" xfId="26822"/>
    <cellStyle name="_고정자산v-last_MITK Recs JULY 2003.xls_26973_1_롯데유럽홀딩스-NAV(2008-05-30)" xfId="26823"/>
    <cellStyle name="_고정자산v-last_MITK Recs JULY 2003.xls_26973_1_롯데유럽홀딩스-NAV(2008-06-30)" xfId="26824"/>
    <cellStyle name="_고정자산v-last_MITK Recs JULY 2003.xls_27057_1" xfId="26825"/>
    <cellStyle name="_고정자산v-last_MITK Recs JULY 2003.xls_27057_1_financial statements-MKOI,MTIL,WSUI-(2007-09-30)jy" xfId="26826"/>
    <cellStyle name="_고정자산v-last_MITK Recs JULY 2003.xls_27057_1_롯데유럽홀딩스-NAV(2008-05-30)" xfId="26827"/>
    <cellStyle name="_고정자산v-last_MITK Recs JULY 2003.xls_27057_1_롯데유럽홀딩스-NAV(2008-06-30)" xfId="26828"/>
    <cellStyle name="_고정자산v-last_MITK Recs JULY 2003.xls_27105_1" xfId="26829"/>
    <cellStyle name="_고정자산v-last_MITK Recs JULY 2003.xls_27105_1_financial statements-MKOI,MTIL,WSUI-(2007-09-30)jy" xfId="26830"/>
    <cellStyle name="_고정자산v-last_MITK Recs JULY 2003.xls_27105_1_롯데유럽홀딩스-NAV(2008-05-30)" xfId="26831"/>
    <cellStyle name="_고정자산v-last_MITK Recs JULY 2003.xls_27105_1_롯데유럽홀딩스-NAV(2008-06-30)" xfId="26832"/>
    <cellStyle name="_고정자산v-last_MITK Recs JULY 2003.xls_27709_1" xfId="26833"/>
    <cellStyle name="_고정자산v-last_MITK Recs JULY 2003.xls_27709_1_financial statements-MKOI,MTIL,WSUI-(2007-09-30)jy" xfId="26834"/>
    <cellStyle name="_고정자산v-last_MITK Recs JULY 2003.xls_27709_1_롯데유럽홀딩스-NAV(2008-05-30)" xfId="26835"/>
    <cellStyle name="_고정자산v-last_MITK Recs JULY 2003.xls_27709_1_롯데유럽홀딩스-NAV(2008-06-30)" xfId="26836"/>
    <cellStyle name="_고정자산v-last_MITK Recs JULY 2003.xls_9260_1" xfId="26837"/>
    <cellStyle name="_고정자산v-last_MITK Recs JULY 2003.xls_9260_1_financial statements-MKOI,MTIL,WSUI-(2007-09-30)jy" xfId="26838"/>
    <cellStyle name="_고정자산v-last_MITK Recs JULY 2003.xls_9260_1_롯데유럽홀딩스-NAV(2008-05-30)" xfId="26839"/>
    <cellStyle name="_고정자산v-last_MITK Recs JULY 2003.xls_9260_1_롯데유럽홀딩스-NAV(2008-06-30)" xfId="26840"/>
    <cellStyle name="_고정자산v-last_MITK Recs JULY 2003.xls_financial statements-MKOI,MTIL,WSUI-(2007-09-30)jy" xfId="26841"/>
    <cellStyle name="_고정자산v-last_MITK Recs JULY 2003.xls_KRIF BS REC 0407" xfId="26842"/>
    <cellStyle name="_고정자산v-last_MITK Recs JULY 2003.xls_KRIF BS REC 0407_financial statements-MKOI,MTIL,WSUI-(2007-09-30)jy" xfId="26843"/>
    <cellStyle name="_고정자산v-last_MITK Recs JULY 2003.xls_KRIF BS REC 0407_롯데유럽홀딩스-NAV(2008-05-30)" xfId="26844"/>
    <cellStyle name="_고정자산v-last_MITK Recs JULY 2003.xls_KRIF BS REC 0407_롯데유럽홀딩스-NAV(2008-06-30)" xfId="26845"/>
    <cellStyle name="_고정자산v-last_MITK Recs JULY 2003.xls_KRIF BS REC 0408" xfId="26846"/>
    <cellStyle name="_고정자산v-last_MITK Recs JULY 2003.xls_KRIF BS REC 0408_financial statements-MKOI,MTIL,WSUI-(2007-09-30)jy" xfId="26847"/>
    <cellStyle name="_고정자산v-last_MITK Recs JULY 2003.xls_KRIF BS REC 0408_롯데유럽홀딩스-NAV(2008-05-30)" xfId="26848"/>
    <cellStyle name="_고정자산v-last_MITK Recs JULY 2003.xls_KRIF BS REC 0408_롯데유럽홀딩스-NAV(2008-06-30)" xfId="26849"/>
    <cellStyle name="_고정자산v-last_MITK Recs JULY 2003.xls_MSIM BS REC 07 2004" xfId="26850"/>
    <cellStyle name="_고정자산v-last_MITK Recs JULY 2003.xls_MSIM BS REC 07 2004_financial statements-MKOI,MTIL,WSUI-(2007-09-30)jy" xfId="26851"/>
    <cellStyle name="_고정자산v-last_MITK Recs JULY 2003.xls_MSIM BS REC 07 2004_롯데유럽홀딩스-NAV(2008-05-30)" xfId="26852"/>
    <cellStyle name="_고정자산v-last_MITK Recs JULY 2003.xls_MSIM BS REC 07 2004_롯데유럽홀딩스-NAV(2008-06-30)" xfId="26853"/>
    <cellStyle name="_고정자산v-last_MITK Recs JULY 2003.xls_MSIM BS REC 08 2004" xfId="26854"/>
    <cellStyle name="_고정자산v-last_MITK Recs JULY 2003.xls_MSIM BS REC 08 2004_financial statements-MKOI,MTIL,WSUI-(2007-09-30)jy" xfId="26855"/>
    <cellStyle name="_고정자산v-last_MITK Recs JULY 2003.xls_MSIM BS REC 08 2004_롯데유럽홀딩스-NAV(2008-05-30)" xfId="26856"/>
    <cellStyle name="_고정자산v-last_MITK Recs JULY 2003.xls_MSIM BS REC 08 2004_롯데유럽홀딩스-NAV(2008-06-30)" xfId="26857"/>
    <cellStyle name="_고정자산v-last_MITK Recs JULY 2003.xls_MSIM BS REC 10 2004" xfId="26858"/>
    <cellStyle name="_고정자산v-last_MITK Recs JULY 2003.xls_MSIM BS REC 10 2004_financial statements-MKOI,MTIL,WSUI-(2007-09-30)jy" xfId="26859"/>
    <cellStyle name="_고정자산v-last_MITK Recs JULY 2003.xls_MSIM BS REC 10 2004_롯데유럽홀딩스-NAV(2008-05-30)" xfId="26860"/>
    <cellStyle name="_고정자산v-last_MITK Recs JULY 2003.xls_MSIM BS REC 10 2004_롯데유럽홀딩스-NAV(2008-06-30)" xfId="26861"/>
    <cellStyle name="_고정자산v-last_MITK Recs JULY 2003.xls_MSIM BS REC 11 2004" xfId="26862"/>
    <cellStyle name="_고정자산v-last_MITK Recs JULY 2003.xls_MSIM BS REC 11 2004_financial statements-MKOI,MTIL,WSUI-(2007-09-30)jy" xfId="26863"/>
    <cellStyle name="_고정자산v-last_MITK Recs JULY 2003.xls_MSIM BS REC 11 2004_롯데유럽홀딩스-NAV(2008-05-30)" xfId="26864"/>
    <cellStyle name="_고정자산v-last_MITK Recs JULY 2003.xls_MSIM BS REC 11 2004_롯데유럽홀딩스-NAV(2008-06-30)" xfId="26865"/>
    <cellStyle name="_고정자산v-last_MITK Recs JULY 2003.xls_MSIM BS REC 12 2004" xfId="26866"/>
    <cellStyle name="_고정자산v-last_MITK Recs JULY 2003.xls_MSIM BS REC 12 2004_financial statements-MKOI,MTIL,WSUI-(2007-09-30)jy" xfId="26867"/>
    <cellStyle name="_고정자산v-last_MITK Recs JULY 2003.xls_MSIM BS REC 12 2004_롯데유럽홀딩스-NAV(2008-05-30)" xfId="26868"/>
    <cellStyle name="_고정자산v-last_MITK Recs JULY 2003.xls_MSIM BS REC 12 2004_롯데유럽홀딩스-NAV(2008-06-30)" xfId="26869"/>
    <cellStyle name="_고정자산v-last_MITK Recs JULY 2003.xls_롯데유럽홀딩스-NAV(2008-05-30)" xfId="26870"/>
    <cellStyle name="_고정자산v-last_MITK Recs JULY 2003.xls_롯데유럽홀딩스-NAV(2008-06-30)" xfId="26871"/>
    <cellStyle name="_고정자산v-last_MITK Recs JUN 2003_0708.xls" xfId="26872"/>
    <cellStyle name="_고정자산v-last_MITK Recs JUN 2003_0708.xls_-2004()" xfId="26873"/>
    <cellStyle name="_고정자산v-last_MITK Recs JUN 2003_0708.xls_-2004()_financial statements-MKOI,MTIL,WSUI-(2007-09-30)jy" xfId="26874"/>
    <cellStyle name="_고정자산v-last_MITK Recs JUN 2003_0708.xls_-2004()_롯데유럽홀딩스-NAV(2008-05-30)" xfId="26875"/>
    <cellStyle name="_고정자산v-last_MITK Recs JUN 2003_0708.xls_-2004()_롯데유럽홀딩스-NAV(2008-06-30)" xfId="26876"/>
    <cellStyle name="_고정자산v-last_MITK Recs JUN 2003_0708.xls_22001_1" xfId="26877"/>
    <cellStyle name="_고정자산v-last_MITK Recs JUN 2003_0708.xls_22001_1_financial statements-MKOI,MTIL,WSUI-(2007-09-30)jy" xfId="26878"/>
    <cellStyle name="_고정자산v-last_MITK Recs JUN 2003_0708.xls_22001_1_롯데유럽홀딩스-NAV(2008-05-30)" xfId="26879"/>
    <cellStyle name="_고정자산v-last_MITK Recs JUN 2003_0708.xls_22001_1_롯데유럽홀딩스-NAV(2008-06-30)" xfId="26880"/>
    <cellStyle name="_고정자산v-last_MITK Recs JUN 2003_0708.xls_22626_1" xfId="26881"/>
    <cellStyle name="_고정자산v-last_MITK Recs JUN 2003_0708.xls_22626_1_financial statements-MKOI,MTIL,WSUI-(2007-09-30)jy" xfId="26882"/>
    <cellStyle name="_고정자산v-last_MITK Recs JUN 2003_0708.xls_22626_1_롯데유럽홀딩스-NAV(2008-05-30)" xfId="26883"/>
    <cellStyle name="_고정자산v-last_MITK Recs JUN 2003_0708.xls_22626_1_롯데유럽홀딩스-NAV(2008-06-30)" xfId="26884"/>
    <cellStyle name="_고정자산v-last_MITK Recs JUN 2003_0708.xls_25978_1" xfId="26885"/>
    <cellStyle name="_고정자산v-last_MITK Recs JUN 2003_0708.xls_25978_1_financial statements-MKOI,MTIL,WSUI-(2007-09-30)jy" xfId="26886"/>
    <cellStyle name="_고정자산v-last_MITK Recs JUN 2003_0708.xls_25978_1_롯데유럽홀딩스-NAV(2008-05-30)" xfId="26887"/>
    <cellStyle name="_고정자산v-last_MITK Recs JUN 2003_0708.xls_25978_1_롯데유럽홀딩스-NAV(2008-06-30)" xfId="26888"/>
    <cellStyle name="_고정자산v-last_MITK Recs JUN 2003_0708.xls_26859_1" xfId="26889"/>
    <cellStyle name="_고정자산v-last_MITK Recs JUN 2003_0708.xls_26859_1_financial statements-MKOI,MTIL,WSUI-(2007-09-30)jy" xfId="26890"/>
    <cellStyle name="_고정자산v-last_MITK Recs JUN 2003_0708.xls_26859_1_롯데유럽홀딩스-NAV(2008-05-30)" xfId="26891"/>
    <cellStyle name="_고정자산v-last_MITK Recs JUN 2003_0708.xls_26859_1_롯데유럽홀딩스-NAV(2008-06-30)" xfId="26892"/>
    <cellStyle name="_고정자산v-last_MITK Recs JUN 2003_0708.xls_26973_1" xfId="26893"/>
    <cellStyle name="_고정자산v-last_MITK Recs JUN 2003_0708.xls_26973_1_financial statements-MKOI,MTIL,WSUI-(2007-09-30)jy" xfId="26894"/>
    <cellStyle name="_고정자산v-last_MITK Recs JUN 2003_0708.xls_26973_1_롯데유럽홀딩스-NAV(2008-05-30)" xfId="26895"/>
    <cellStyle name="_고정자산v-last_MITK Recs JUN 2003_0708.xls_26973_1_롯데유럽홀딩스-NAV(2008-06-30)" xfId="26896"/>
    <cellStyle name="_고정자산v-last_MITK Recs JUN 2003_0708.xls_27057_1" xfId="26897"/>
    <cellStyle name="_고정자산v-last_MITK Recs JUN 2003_0708.xls_27057_1_financial statements-MKOI,MTIL,WSUI-(2007-09-30)jy" xfId="26898"/>
    <cellStyle name="_고정자산v-last_MITK Recs JUN 2003_0708.xls_27057_1_롯데유럽홀딩스-NAV(2008-05-30)" xfId="26899"/>
    <cellStyle name="_고정자산v-last_MITK Recs JUN 2003_0708.xls_27057_1_롯데유럽홀딩스-NAV(2008-06-30)" xfId="26900"/>
    <cellStyle name="_고정자산v-last_MITK Recs JUN 2003_0708.xls_27105_1" xfId="26901"/>
    <cellStyle name="_고정자산v-last_MITK Recs JUN 2003_0708.xls_27105_1_financial statements-MKOI,MTIL,WSUI-(2007-09-30)jy" xfId="26902"/>
    <cellStyle name="_고정자산v-last_MITK Recs JUN 2003_0708.xls_27105_1_롯데유럽홀딩스-NAV(2008-05-30)" xfId="26903"/>
    <cellStyle name="_고정자산v-last_MITK Recs JUN 2003_0708.xls_27105_1_롯데유럽홀딩스-NAV(2008-06-30)" xfId="26904"/>
    <cellStyle name="_고정자산v-last_MITK Recs JUN 2003_0708.xls_27709_1" xfId="26905"/>
    <cellStyle name="_고정자산v-last_MITK Recs JUN 2003_0708.xls_27709_1_financial statements-MKOI,MTIL,WSUI-(2007-09-30)jy" xfId="26906"/>
    <cellStyle name="_고정자산v-last_MITK Recs JUN 2003_0708.xls_27709_1_롯데유럽홀딩스-NAV(2008-05-30)" xfId="26907"/>
    <cellStyle name="_고정자산v-last_MITK Recs JUN 2003_0708.xls_27709_1_롯데유럽홀딩스-NAV(2008-06-30)" xfId="26908"/>
    <cellStyle name="_고정자산v-last_MITK Recs JUN 2003_0708.xls_9260_1" xfId="26909"/>
    <cellStyle name="_고정자산v-last_MITK Recs JUN 2003_0708.xls_9260_1_financial statements-MKOI,MTIL,WSUI-(2007-09-30)jy" xfId="26910"/>
    <cellStyle name="_고정자산v-last_MITK Recs JUN 2003_0708.xls_9260_1_롯데유럽홀딩스-NAV(2008-05-30)" xfId="26911"/>
    <cellStyle name="_고정자산v-last_MITK Recs JUN 2003_0708.xls_9260_1_롯데유럽홀딩스-NAV(2008-06-30)" xfId="26912"/>
    <cellStyle name="_고정자산v-last_MITK Recs JUN 2003_0708.xls_financial statements-MKOI,MTIL,WSUI-(2007-09-30)jy" xfId="26913"/>
    <cellStyle name="_고정자산v-last_MITK Recs JUN 2003_0708.xls_KRIF BS REC 0407" xfId="26914"/>
    <cellStyle name="_고정자산v-last_MITK Recs JUN 2003_0708.xls_KRIF BS REC 0407_financial statements-MKOI,MTIL,WSUI-(2007-09-30)jy" xfId="26915"/>
    <cellStyle name="_고정자산v-last_MITK Recs JUN 2003_0708.xls_KRIF BS REC 0407_롯데유럽홀딩스-NAV(2008-05-30)" xfId="26916"/>
    <cellStyle name="_고정자산v-last_MITK Recs JUN 2003_0708.xls_KRIF BS REC 0407_롯데유럽홀딩스-NAV(2008-06-30)" xfId="26917"/>
    <cellStyle name="_고정자산v-last_MITK Recs JUN 2003_0708.xls_KRIF BS REC 0408" xfId="26918"/>
    <cellStyle name="_고정자산v-last_MITK Recs JUN 2003_0708.xls_KRIF BS REC 0408_financial statements-MKOI,MTIL,WSUI-(2007-09-30)jy" xfId="26919"/>
    <cellStyle name="_고정자산v-last_MITK Recs JUN 2003_0708.xls_KRIF BS REC 0408_롯데유럽홀딩스-NAV(2008-05-30)" xfId="26920"/>
    <cellStyle name="_고정자산v-last_MITK Recs JUN 2003_0708.xls_KRIF BS REC 0408_롯데유럽홀딩스-NAV(2008-06-30)" xfId="26921"/>
    <cellStyle name="_고정자산v-last_MITK Recs JUN 2003_0708.xls_MSIM BS REC 07 2004" xfId="26922"/>
    <cellStyle name="_고정자산v-last_MITK Recs JUN 2003_0708.xls_MSIM BS REC 07 2004_financial statements-MKOI,MTIL,WSUI-(2007-09-30)jy" xfId="26923"/>
    <cellStyle name="_고정자산v-last_MITK Recs JUN 2003_0708.xls_MSIM BS REC 07 2004_롯데유럽홀딩스-NAV(2008-05-30)" xfId="26924"/>
    <cellStyle name="_고정자산v-last_MITK Recs JUN 2003_0708.xls_MSIM BS REC 07 2004_롯데유럽홀딩스-NAV(2008-06-30)" xfId="26925"/>
    <cellStyle name="_고정자산v-last_MITK Recs JUN 2003_0708.xls_MSIM BS REC 08 2004" xfId="26926"/>
    <cellStyle name="_고정자산v-last_MITK Recs JUN 2003_0708.xls_MSIM BS REC 08 2004_financial statements-MKOI,MTIL,WSUI-(2007-09-30)jy" xfId="26927"/>
    <cellStyle name="_고정자산v-last_MITK Recs JUN 2003_0708.xls_MSIM BS REC 08 2004_롯데유럽홀딩스-NAV(2008-05-30)" xfId="26928"/>
    <cellStyle name="_고정자산v-last_MITK Recs JUN 2003_0708.xls_MSIM BS REC 08 2004_롯데유럽홀딩스-NAV(2008-06-30)" xfId="26929"/>
    <cellStyle name="_고정자산v-last_MITK Recs JUN 2003_0708.xls_MSIM BS REC 10 2004" xfId="26930"/>
    <cellStyle name="_고정자산v-last_MITK Recs JUN 2003_0708.xls_MSIM BS REC 10 2004_financial statements-MKOI,MTIL,WSUI-(2007-09-30)jy" xfId="26931"/>
    <cellStyle name="_고정자산v-last_MITK Recs JUN 2003_0708.xls_MSIM BS REC 10 2004_롯데유럽홀딩스-NAV(2008-05-30)" xfId="26932"/>
    <cellStyle name="_고정자산v-last_MITK Recs JUN 2003_0708.xls_MSIM BS REC 10 2004_롯데유럽홀딩스-NAV(2008-06-30)" xfId="26933"/>
    <cellStyle name="_고정자산v-last_MITK Recs JUN 2003_0708.xls_MSIM BS REC 11 2004" xfId="26934"/>
    <cellStyle name="_고정자산v-last_MITK Recs JUN 2003_0708.xls_MSIM BS REC 11 2004_financial statements-MKOI,MTIL,WSUI-(2007-09-30)jy" xfId="26935"/>
    <cellStyle name="_고정자산v-last_MITK Recs JUN 2003_0708.xls_MSIM BS REC 11 2004_롯데유럽홀딩스-NAV(2008-05-30)" xfId="26936"/>
    <cellStyle name="_고정자산v-last_MITK Recs JUN 2003_0708.xls_MSIM BS REC 11 2004_롯데유럽홀딩스-NAV(2008-06-30)" xfId="26937"/>
    <cellStyle name="_고정자산v-last_MITK Recs JUN 2003_0708.xls_MSIM BS REC 12 2004" xfId="26938"/>
    <cellStyle name="_고정자산v-last_MITK Recs JUN 2003_0708.xls_MSIM BS REC 12 2004_financial statements-MKOI,MTIL,WSUI-(2007-09-30)jy" xfId="26939"/>
    <cellStyle name="_고정자산v-last_MITK Recs JUN 2003_0708.xls_MSIM BS REC 12 2004_롯데유럽홀딩스-NAV(2008-05-30)" xfId="26940"/>
    <cellStyle name="_고정자산v-last_MITK Recs JUN 2003_0708.xls_MSIM BS REC 12 2004_롯데유럽홀딩스-NAV(2008-06-30)" xfId="26941"/>
    <cellStyle name="_고정자산v-last_MITK Recs JUN 2003_0708.xls_롯데유럽홀딩스-NAV(2008-05-30)" xfId="26942"/>
    <cellStyle name="_고정자산v-last_MITK Recs JUN 2003_0708.xls_롯데유럽홀딩스-NAV(2008-06-30)" xfId="26943"/>
    <cellStyle name="_고정자산v-last_MITK Recs JUNE 2003_0705.xls" xfId="26944"/>
    <cellStyle name="_고정자산v-last_MITK Recs JUNE 2003_0705.xls_-2004()" xfId="26945"/>
    <cellStyle name="_고정자산v-last_MITK Recs JUNE 2003_0705.xls_-2004()_financial statements-MKOI,MTIL,WSUI-(2007-09-30)jy" xfId="26946"/>
    <cellStyle name="_고정자산v-last_MITK Recs JUNE 2003_0705.xls_-2004()_롯데유럽홀딩스-NAV(2008-05-30)" xfId="26947"/>
    <cellStyle name="_고정자산v-last_MITK Recs JUNE 2003_0705.xls_-2004()_롯데유럽홀딩스-NAV(2008-06-30)" xfId="26948"/>
    <cellStyle name="_고정자산v-last_MITK Recs JUNE 2003_0705.xls_22001_1" xfId="26949"/>
    <cellStyle name="_고정자산v-last_MITK Recs JUNE 2003_0705.xls_22001_1_financial statements-MKOI,MTIL,WSUI-(2007-09-30)jy" xfId="26950"/>
    <cellStyle name="_고정자산v-last_MITK Recs JUNE 2003_0705.xls_22001_1_롯데유럽홀딩스-NAV(2008-05-30)" xfId="26951"/>
    <cellStyle name="_고정자산v-last_MITK Recs JUNE 2003_0705.xls_22001_1_롯데유럽홀딩스-NAV(2008-06-30)" xfId="26952"/>
    <cellStyle name="_고정자산v-last_MITK Recs JUNE 2003_0705.xls_22626_1" xfId="26953"/>
    <cellStyle name="_고정자산v-last_MITK Recs JUNE 2003_0705.xls_22626_1_financial statements-MKOI,MTIL,WSUI-(2007-09-30)jy" xfId="26954"/>
    <cellStyle name="_고정자산v-last_MITK Recs JUNE 2003_0705.xls_22626_1_롯데유럽홀딩스-NAV(2008-05-30)" xfId="26955"/>
    <cellStyle name="_고정자산v-last_MITK Recs JUNE 2003_0705.xls_22626_1_롯데유럽홀딩스-NAV(2008-06-30)" xfId="26956"/>
    <cellStyle name="_고정자산v-last_MITK Recs JUNE 2003_0705.xls_25978_1" xfId="26957"/>
    <cellStyle name="_고정자산v-last_MITK Recs JUNE 2003_0705.xls_25978_1_financial statements-MKOI,MTIL,WSUI-(2007-09-30)jy" xfId="26958"/>
    <cellStyle name="_고정자산v-last_MITK Recs JUNE 2003_0705.xls_25978_1_롯데유럽홀딩스-NAV(2008-05-30)" xfId="26959"/>
    <cellStyle name="_고정자산v-last_MITK Recs JUNE 2003_0705.xls_25978_1_롯데유럽홀딩스-NAV(2008-06-30)" xfId="26960"/>
    <cellStyle name="_고정자산v-last_MITK Recs JUNE 2003_0705.xls_26859_1" xfId="26961"/>
    <cellStyle name="_고정자산v-last_MITK Recs JUNE 2003_0705.xls_26859_1_financial statements-MKOI,MTIL,WSUI-(2007-09-30)jy" xfId="26962"/>
    <cellStyle name="_고정자산v-last_MITK Recs JUNE 2003_0705.xls_26859_1_롯데유럽홀딩스-NAV(2008-05-30)" xfId="26963"/>
    <cellStyle name="_고정자산v-last_MITK Recs JUNE 2003_0705.xls_26859_1_롯데유럽홀딩스-NAV(2008-06-30)" xfId="26964"/>
    <cellStyle name="_고정자산v-last_MITK Recs JUNE 2003_0705.xls_26973_1" xfId="26965"/>
    <cellStyle name="_고정자산v-last_MITK Recs JUNE 2003_0705.xls_26973_1_financial statements-MKOI,MTIL,WSUI-(2007-09-30)jy" xfId="26966"/>
    <cellStyle name="_고정자산v-last_MITK Recs JUNE 2003_0705.xls_26973_1_롯데유럽홀딩스-NAV(2008-05-30)" xfId="26967"/>
    <cellStyle name="_고정자산v-last_MITK Recs JUNE 2003_0705.xls_26973_1_롯데유럽홀딩스-NAV(2008-06-30)" xfId="26968"/>
    <cellStyle name="_고정자산v-last_MITK Recs JUNE 2003_0705.xls_27057_1" xfId="26969"/>
    <cellStyle name="_고정자산v-last_MITK Recs JUNE 2003_0705.xls_27057_1_financial statements-MKOI,MTIL,WSUI-(2007-09-30)jy" xfId="26970"/>
    <cellStyle name="_고정자산v-last_MITK Recs JUNE 2003_0705.xls_27057_1_롯데유럽홀딩스-NAV(2008-05-30)" xfId="26971"/>
    <cellStyle name="_고정자산v-last_MITK Recs JUNE 2003_0705.xls_27057_1_롯데유럽홀딩스-NAV(2008-06-30)" xfId="26972"/>
    <cellStyle name="_고정자산v-last_MITK Recs JUNE 2003_0705.xls_27105_1" xfId="26973"/>
    <cellStyle name="_고정자산v-last_MITK Recs JUNE 2003_0705.xls_27105_1_financial statements-MKOI,MTIL,WSUI-(2007-09-30)jy" xfId="26974"/>
    <cellStyle name="_고정자산v-last_MITK Recs JUNE 2003_0705.xls_27105_1_롯데유럽홀딩스-NAV(2008-05-30)" xfId="26975"/>
    <cellStyle name="_고정자산v-last_MITK Recs JUNE 2003_0705.xls_27105_1_롯데유럽홀딩스-NAV(2008-06-30)" xfId="26976"/>
    <cellStyle name="_고정자산v-last_MITK Recs JUNE 2003_0705.xls_27709_1" xfId="26977"/>
    <cellStyle name="_고정자산v-last_MITK Recs JUNE 2003_0705.xls_27709_1_financial statements-MKOI,MTIL,WSUI-(2007-09-30)jy" xfId="26978"/>
    <cellStyle name="_고정자산v-last_MITK Recs JUNE 2003_0705.xls_27709_1_롯데유럽홀딩스-NAV(2008-05-30)" xfId="26979"/>
    <cellStyle name="_고정자산v-last_MITK Recs JUNE 2003_0705.xls_27709_1_롯데유럽홀딩스-NAV(2008-06-30)" xfId="26980"/>
    <cellStyle name="_고정자산v-last_MITK Recs JUNE 2003_0705.xls_9260_1" xfId="26981"/>
    <cellStyle name="_고정자산v-last_MITK Recs JUNE 2003_0705.xls_9260_1_financial statements-MKOI,MTIL,WSUI-(2007-09-30)jy" xfId="26982"/>
    <cellStyle name="_고정자산v-last_MITK Recs JUNE 2003_0705.xls_9260_1_롯데유럽홀딩스-NAV(2008-05-30)" xfId="26983"/>
    <cellStyle name="_고정자산v-last_MITK Recs JUNE 2003_0705.xls_9260_1_롯데유럽홀딩스-NAV(2008-06-30)" xfId="26984"/>
    <cellStyle name="_고정자산v-last_MITK Recs JUNE 2003_0705.xls_financial statements-MKOI,MTIL,WSUI-(2007-09-30)jy" xfId="26985"/>
    <cellStyle name="_고정자산v-last_MITK Recs JUNE 2003_0705.xls_KRIF BS REC 0407" xfId="26986"/>
    <cellStyle name="_고정자산v-last_MITK Recs JUNE 2003_0705.xls_KRIF BS REC 0407_financial statements-MKOI,MTIL,WSUI-(2007-09-30)jy" xfId="26987"/>
    <cellStyle name="_고정자산v-last_MITK Recs JUNE 2003_0705.xls_KRIF BS REC 0407_롯데유럽홀딩스-NAV(2008-05-30)" xfId="26988"/>
    <cellStyle name="_고정자산v-last_MITK Recs JUNE 2003_0705.xls_KRIF BS REC 0407_롯데유럽홀딩스-NAV(2008-06-30)" xfId="26989"/>
    <cellStyle name="_고정자산v-last_MITK Recs JUNE 2003_0705.xls_KRIF BS REC 0408" xfId="26990"/>
    <cellStyle name="_고정자산v-last_MITK Recs JUNE 2003_0705.xls_KRIF BS REC 0408_financial statements-MKOI,MTIL,WSUI-(2007-09-30)jy" xfId="26991"/>
    <cellStyle name="_고정자산v-last_MITK Recs JUNE 2003_0705.xls_KRIF BS REC 0408_롯데유럽홀딩스-NAV(2008-05-30)" xfId="26992"/>
    <cellStyle name="_고정자산v-last_MITK Recs JUNE 2003_0705.xls_KRIF BS REC 0408_롯데유럽홀딩스-NAV(2008-06-30)" xfId="26993"/>
    <cellStyle name="_고정자산v-last_MITK Recs JUNE 2003_0705.xls_MSIM BS REC 07 2004" xfId="26994"/>
    <cellStyle name="_고정자산v-last_MITK Recs JUNE 2003_0705.xls_MSIM BS REC 07 2004_financial statements-MKOI,MTIL,WSUI-(2007-09-30)jy" xfId="26995"/>
    <cellStyle name="_고정자산v-last_MITK Recs JUNE 2003_0705.xls_MSIM BS REC 07 2004_롯데유럽홀딩스-NAV(2008-05-30)" xfId="26996"/>
    <cellStyle name="_고정자산v-last_MITK Recs JUNE 2003_0705.xls_MSIM BS REC 07 2004_롯데유럽홀딩스-NAV(2008-06-30)" xfId="26997"/>
    <cellStyle name="_고정자산v-last_MITK Recs JUNE 2003_0705.xls_MSIM BS REC 08 2004" xfId="26998"/>
    <cellStyle name="_고정자산v-last_MITK Recs JUNE 2003_0705.xls_MSIM BS REC 08 2004_financial statements-MKOI,MTIL,WSUI-(2007-09-30)jy" xfId="26999"/>
    <cellStyle name="_고정자산v-last_MITK Recs JUNE 2003_0705.xls_MSIM BS REC 08 2004_롯데유럽홀딩스-NAV(2008-05-30)" xfId="27000"/>
    <cellStyle name="_고정자산v-last_MITK Recs JUNE 2003_0705.xls_MSIM BS REC 08 2004_롯데유럽홀딩스-NAV(2008-06-30)" xfId="27001"/>
    <cellStyle name="_고정자산v-last_MITK Recs JUNE 2003_0705.xls_MSIM BS REC 10 2004" xfId="27002"/>
    <cellStyle name="_고정자산v-last_MITK Recs JUNE 2003_0705.xls_MSIM BS REC 10 2004_financial statements-MKOI,MTIL,WSUI-(2007-09-30)jy" xfId="27003"/>
    <cellStyle name="_고정자산v-last_MITK Recs JUNE 2003_0705.xls_MSIM BS REC 10 2004_롯데유럽홀딩스-NAV(2008-05-30)" xfId="27004"/>
    <cellStyle name="_고정자산v-last_MITK Recs JUNE 2003_0705.xls_MSIM BS REC 10 2004_롯데유럽홀딩스-NAV(2008-06-30)" xfId="27005"/>
    <cellStyle name="_고정자산v-last_MITK Recs JUNE 2003_0705.xls_MSIM BS REC 11 2004" xfId="27006"/>
    <cellStyle name="_고정자산v-last_MITK Recs JUNE 2003_0705.xls_MSIM BS REC 11 2004_financial statements-MKOI,MTIL,WSUI-(2007-09-30)jy" xfId="27007"/>
    <cellStyle name="_고정자산v-last_MITK Recs JUNE 2003_0705.xls_MSIM BS REC 11 2004_롯데유럽홀딩스-NAV(2008-05-30)" xfId="27008"/>
    <cellStyle name="_고정자산v-last_MITK Recs JUNE 2003_0705.xls_MSIM BS REC 11 2004_롯데유럽홀딩스-NAV(2008-06-30)" xfId="27009"/>
    <cellStyle name="_고정자산v-last_MITK Recs JUNE 2003_0705.xls_MSIM BS REC 12 2004" xfId="27010"/>
    <cellStyle name="_고정자산v-last_MITK Recs JUNE 2003_0705.xls_MSIM BS REC 12 2004_financial statements-MKOI,MTIL,WSUI-(2007-09-30)jy" xfId="27011"/>
    <cellStyle name="_고정자산v-last_MITK Recs JUNE 2003_0705.xls_MSIM BS REC 12 2004_롯데유럽홀딩스-NAV(2008-05-30)" xfId="27012"/>
    <cellStyle name="_고정자산v-last_MITK Recs JUNE 2003_0705.xls_MSIM BS REC 12 2004_롯데유럽홀딩스-NAV(2008-06-30)" xfId="27013"/>
    <cellStyle name="_고정자산v-last_MITK Recs JUNE 2003_0705.xls_롯데유럽홀딩스-NAV(2008-05-30)" xfId="27014"/>
    <cellStyle name="_고정자산v-last_MITK Recs JUNE 2003_0705.xls_롯데유럽홀딩스-NAV(2008-06-30)" xfId="27015"/>
    <cellStyle name="_고정자산v-last_MITK Recs MAY 2003_0604.xls" xfId="27016"/>
    <cellStyle name="_고정자산v-last_MITK Recs MAY 2003_0604.xls_-2004()" xfId="27017"/>
    <cellStyle name="_고정자산v-last_MITK Recs MAY 2003_0604.xls_-2004()_financial statements-MKOI,MTIL,WSUI-(2007-09-30)jy" xfId="27018"/>
    <cellStyle name="_고정자산v-last_MITK Recs MAY 2003_0604.xls_-2004()_롯데유럽홀딩스-NAV(2008-05-30)" xfId="27019"/>
    <cellStyle name="_고정자산v-last_MITK Recs MAY 2003_0604.xls_-2004()_롯데유럽홀딩스-NAV(2008-06-30)" xfId="27020"/>
    <cellStyle name="_고정자산v-last_MITK Recs MAY 2003_0604.xls_22001_1" xfId="27021"/>
    <cellStyle name="_고정자산v-last_MITK Recs MAY 2003_0604.xls_22001_1_financial statements-MKOI,MTIL,WSUI-(2007-09-30)jy" xfId="27022"/>
    <cellStyle name="_고정자산v-last_MITK Recs MAY 2003_0604.xls_22001_1_롯데유럽홀딩스-NAV(2008-05-30)" xfId="27023"/>
    <cellStyle name="_고정자산v-last_MITK Recs MAY 2003_0604.xls_22001_1_롯데유럽홀딩스-NAV(2008-06-30)" xfId="27024"/>
    <cellStyle name="_고정자산v-last_MITK Recs MAY 2003_0604.xls_22626_1" xfId="27025"/>
    <cellStyle name="_고정자산v-last_MITK Recs MAY 2003_0604.xls_22626_1_financial statements-MKOI,MTIL,WSUI-(2007-09-30)jy" xfId="27026"/>
    <cellStyle name="_고정자산v-last_MITK Recs MAY 2003_0604.xls_22626_1_롯데유럽홀딩스-NAV(2008-05-30)" xfId="27027"/>
    <cellStyle name="_고정자산v-last_MITK Recs MAY 2003_0604.xls_22626_1_롯데유럽홀딩스-NAV(2008-06-30)" xfId="27028"/>
    <cellStyle name="_고정자산v-last_MITK Recs MAY 2003_0604.xls_25978_1" xfId="27029"/>
    <cellStyle name="_고정자산v-last_MITK Recs MAY 2003_0604.xls_25978_1_financial statements-MKOI,MTIL,WSUI-(2007-09-30)jy" xfId="27030"/>
    <cellStyle name="_고정자산v-last_MITK Recs MAY 2003_0604.xls_25978_1_롯데유럽홀딩스-NAV(2008-05-30)" xfId="27031"/>
    <cellStyle name="_고정자산v-last_MITK Recs MAY 2003_0604.xls_25978_1_롯데유럽홀딩스-NAV(2008-06-30)" xfId="27032"/>
    <cellStyle name="_고정자산v-last_MITK Recs MAY 2003_0604.xls_26859_1" xfId="27033"/>
    <cellStyle name="_고정자산v-last_MITK Recs MAY 2003_0604.xls_26859_1_financial statements-MKOI,MTIL,WSUI-(2007-09-30)jy" xfId="27034"/>
    <cellStyle name="_고정자산v-last_MITK Recs MAY 2003_0604.xls_26859_1_롯데유럽홀딩스-NAV(2008-05-30)" xfId="27035"/>
    <cellStyle name="_고정자산v-last_MITK Recs MAY 2003_0604.xls_26859_1_롯데유럽홀딩스-NAV(2008-06-30)" xfId="27036"/>
    <cellStyle name="_고정자산v-last_MITK Recs MAY 2003_0604.xls_26973_1" xfId="27037"/>
    <cellStyle name="_고정자산v-last_MITK Recs MAY 2003_0604.xls_26973_1_financial statements-MKOI,MTIL,WSUI-(2007-09-30)jy" xfId="27038"/>
    <cellStyle name="_고정자산v-last_MITK Recs MAY 2003_0604.xls_26973_1_롯데유럽홀딩스-NAV(2008-05-30)" xfId="27039"/>
    <cellStyle name="_고정자산v-last_MITK Recs MAY 2003_0604.xls_26973_1_롯데유럽홀딩스-NAV(2008-06-30)" xfId="27040"/>
    <cellStyle name="_고정자산v-last_MITK Recs MAY 2003_0604.xls_27057_1" xfId="27041"/>
    <cellStyle name="_고정자산v-last_MITK Recs MAY 2003_0604.xls_27057_1_financial statements-MKOI,MTIL,WSUI-(2007-09-30)jy" xfId="27042"/>
    <cellStyle name="_고정자산v-last_MITK Recs MAY 2003_0604.xls_27057_1_롯데유럽홀딩스-NAV(2008-05-30)" xfId="27043"/>
    <cellStyle name="_고정자산v-last_MITK Recs MAY 2003_0604.xls_27057_1_롯데유럽홀딩스-NAV(2008-06-30)" xfId="27044"/>
    <cellStyle name="_고정자산v-last_MITK Recs MAY 2003_0604.xls_27105_1" xfId="27045"/>
    <cellStyle name="_고정자산v-last_MITK Recs MAY 2003_0604.xls_27105_1_financial statements-MKOI,MTIL,WSUI-(2007-09-30)jy" xfId="27046"/>
    <cellStyle name="_고정자산v-last_MITK Recs MAY 2003_0604.xls_27105_1_롯데유럽홀딩스-NAV(2008-05-30)" xfId="27047"/>
    <cellStyle name="_고정자산v-last_MITK Recs MAY 2003_0604.xls_27105_1_롯데유럽홀딩스-NAV(2008-06-30)" xfId="27048"/>
    <cellStyle name="_고정자산v-last_MITK Recs MAY 2003_0604.xls_27709_1" xfId="27049"/>
    <cellStyle name="_고정자산v-last_MITK Recs MAY 2003_0604.xls_27709_1_financial statements-MKOI,MTIL,WSUI-(2007-09-30)jy" xfId="27050"/>
    <cellStyle name="_고정자산v-last_MITK Recs MAY 2003_0604.xls_27709_1_롯데유럽홀딩스-NAV(2008-05-30)" xfId="27051"/>
    <cellStyle name="_고정자산v-last_MITK Recs MAY 2003_0604.xls_27709_1_롯데유럽홀딩스-NAV(2008-06-30)" xfId="27052"/>
    <cellStyle name="_고정자산v-last_MITK Recs MAY 2003_0604.xls_9260_1" xfId="27053"/>
    <cellStyle name="_고정자산v-last_MITK Recs MAY 2003_0604.xls_9260_1_financial statements-MKOI,MTIL,WSUI-(2007-09-30)jy" xfId="27054"/>
    <cellStyle name="_고정자산v-last_MITK Recs MAY 2003_0604.xls_9260_1_롯데유럽홀딩스-NAV(2008-05-30)" xfId="27055"/>
    <cellStyle name="_고정자산v-last_MITK Recs MAY 2003_0604.xls_9260_1_롯데유럽홀딩스-NAV(2008-06-30)" xfId="27056"/>
    <cellStyle name="_고정자산v-last_MITK Recs MAY 2003_0604.xls_financial statements-MKOI,MTIL,WSUI-(2007-09-30)jy" xfId="27057"/>
    <cellStyle name="_고정자산v-last_MITK Recs MAY 2003_0604.xls_KRIF BS REC 0407" xfId="27058"/>
    <cellStyle name="_고정자산v-last_MITK Recs MAY 2003_0604.xls_KRIF BS REC 0407_financial statements-MKOI,MTIL,WSUI-(2007-09-30)jy" xfId="27059"/>
    <cellStyle name="_고정자산v-last_MITK Recs MAY 2003_0604.xls_KRIF BS REC 0407_롯데유럽홀딩스-NAV(2008-05-30)" xfId="27060"/>
    <cellStyle name="_고정자산v-last_MITK Recs MAY 2003_0604.xls_KRIF BS REC 0407_롯데유럽홀딩스-NAV(2008-06-30)" xfId="27061"/>
    <cellStyle name="_고정자산v-last_MITK Recs MAY 2003_0604.xls_KRIF BS REC 0408" xfId="27062"/>
    <cellStyle name="_고정자산v-last_MITK Recs MAY 2003_0604.xls_KRIF BS REC 0408_financial statements-MKOI,MTIL,WSUI-(2007-09-30)jy" xfId="27063"/>
    <cellStyle name="_고정자산v-last_MITK Recs MAY 2003_0604.xls_KRIF BS REC 0408_롯데유럽홀딩스-NAV(2008-05-30)" xfId="27064"/>
    <cellStyle name="_고정자산v-last_MITK Recs MAY 2003_0604.xls_KRIF BS REC 0408_롯데유럽홀딩스-NAV(2008-06-30)" xfId="27065"/>
    <cellStyle name="_고정자산v-last_MITK Recs MAY 2003_0604.xls_MSIM BS REC 07 2004" xfId="27066"/>
    <cellStyle name="_고정자산v-last_MITK Recs MAY 2003_0604.xls_MSIM BS REC 07 2004_financial statements-MKOI,MTIL,WSUI-(2007-09-30)jy" xfId="27067"/>
    <cellStyle name="_고정자산v-last_MITK Recs MAY 2003_0604.xls_MSIM BS REC 07 2004_롯데유럽홀딩스-NAV(2008-05-30)" xfId="27068"/>
    <cellStyle name="_고정자산v-last_MITK Recs MAY 2003_0604.xls_MSIM BS REC 07 2004_롯데유럽홀딩스-NAV(2008-06-30)" xfId="27069"/>
    <cellStyle name="_고정자산v-last_MITK Recs MAY 2003_0604.xls_MSIM BS REC 08 2004" xfId="27070"/>
    <cellStyle name="_고정자산v-last_MITK Recs MAY 2003_0604.xls_MSIM BS REC 08 2004_financial statements-MKOI,MTIL,WSUI-(2007-09-30)jy" xfId="27071"/>
    <cellStyle name="_고정자산v-last_MITK Recs MAY 2003_0604.xls_MSIM BS REC 08 2004_롯데유럽홀딩스-NAV(2008-05-30)" xfId="27072"/>
    <cellStyle name="_고정자산v-last_MITK Recs MAY 2003_0604.xls_MSIM BS REC 08 2004_롯데유럽홀딩스-NAV(2008-06-30)" xfId="27073"/>
    <cellStyle name="_고정자산v-last_MITK Recs MAY 2003_0604.xls_MSIM BS REC 10 2004" xfId="27074"/>
    <cellStyle name="_고정자산v-last_MITK Recs MAY 2003_0604.xls_MSIM BS REC 10 2004_financial statements-MKOI,MTIL,WSUI-(2007-09-30)jy" xfId="27075"/>
    <cellStyle name="_고정자산v-last_MITK Recs MAY 2003_0604.xls_MSIM BS REC 10 2004_롯데유럽홀딩스-NAV(2008-05-30)" xfId="27076"/>
    <cellStyle name="_고정자산v-last_MITK Recs MAY 2003_0604.xls_MSIM BS REC 10 2004_롯데유럽홀딩스-NAV(2008-06-30)" xfId="27077"/>
    <cellStyle name="_고정자산v-last_MITK Recs MAY 2003_0604.xls_MSIM BS REC 11 2004" xfId="27078"/>
    <cellStyle name="_고정자산v-last_MITK Recs MAY 2003_0604.xls_MSIM BS REC 11 2004_financial statements-MKOI,MTIL,WSUI-(2007-09-30)jy" xfId="27079"/>
    <cellStyle name="_고정자산v-last_MITK Recs MAY 2003_0604.xls_MSIM BS REC 11 2004_롯데유럽홀딩스-NAV(2008-05-30)" xfId="27080"/>
    <cellStyle name="_고정자산v-last_MITK Recs MAY 2003_0604.xls_MSIM BS REC 11 2004_롯데유럽홀딩스-NAV(2008-06-30)" xfId="27081"/>
    <cellStyle name="_고정자산v-last_MITK Recs MAY 2003_0604.xls_MSIM BS REC 12 2004" xfId="27082"/>
    <cellStyle name="_고정자산v-last_MITK Recs MAY 2003_0604.xls_MSIM BS REC 12 2004_financial statements-MKOI,MTIL,WSUI-(2007-09-30)jy" xfId="27083"/>
    <cellStyle name="_고정자산v-last_MITK Recs MAY 2003_0604.xls_MSIM BS REC 12 2004_롯데유럽홀딩스-NAV(2008-05-30)" xfId="27084"/>
    <cellStyle name="_고정자산v-last_MITK Recs MAY 2003_0604.xls_MSIM BS REC 12 2004_롯데유럽홀딩스-NAV(2008-06-30)" xfId="27085"/>
    <cellStyle name="_고정자산v-last_MITK Recs MAY 2003_0604.xls_롯데유럽홀딩스-NAV(2008-05-30)" xfId="27086"/>
    <cellStyle name="_고정자산v-last_MITK Recs MAY 2003_0604.xls_롯데유럽홀딩스-NAV(2008-06-30)" xfId="27087"/>
    <cellStyle name="_고정자산v-last_MITK Recs MAY 2003_0616.xls" xfId="27088"/>
    <cellStyle name="_고정자산v-last_MITK Recs MAY 2003_0616.xls_-2004()" xfId="27089"/>
    <cellStyle name="_고정자산v-last_MITK Recs MAY 2003_0616.xls_-2004()_financial statements-MKOI,MTIL,WSUI-(2007-09-30)jy" xfId="27090"/>
    <cellStyle name="_고정자산v-last_MITK Recs MAY 2003_0616.xls_-2004()_롯데유럽홀딩스-NAV(2008-05-30)" xfId="27091"/>
    <cellStyle name="_고정자산v-last_MITK Recs MAY 2003_0616.xls_-2004()_롯데유럽홀딩스-NAV(2008-06-30)" xfId="27092"/>
    <cellStyle name="_고정자산v-last_MITK Recs MAY 2003_0616.xls_22001_1" xfId="27093"/>
    <cellStyle name="_고정자산v-last_MITK Recs MAY 2003_0616.xls_22001_1_financial statements-MKOI,MTIL,WSUI-(2007-09-30)jy" xfId="27094"/>
    <cellStyle name="_고정자산v-last_MITK Recs MAY 2003_0616.xls_22001_1_롯데유럽홀딩스-NAV(2008-05-30)" xfId="27095"/>
    <cellStyle name="_고정자산v-last_MITK Recs MAY 2003_0616.xls_22001_1_롯데유럽홀딩스-NAV(2008-06-30)" xfId="27096"/>
    <cellStyle name="_고정자산v-last_MITK Recs MAY 2003_0616.xls_22626_1" xfId="27097"/>
    <cellStyle name="_고정자산v-last_MITK Recs MAY 2003_0616.xls_22626_1_financial statements-MKOI,MTIL,WSUI-(2007-09-30)jy" xfId="27098"/>
    <cellStyle name="_고정자산v-last_MITK Recs MAY 2003_0616.xls_22626_1_롯데유럽홀딩스-NAV(2008-05-30)" xfId="27099"/>
    <cellStyle name="_고정자산v-last_MITK Recs MAY 2003_0616.xls_22626_1_롯데유럽홀딩스-NAV(2008-06-30)" xfId="27100"/>
    <cellStyle name="_고정자산v-last_MITK Recs MAY 2003_0616.xls_25978_1" xfId="27101"/>
    <cellStyle name="_고정자산v-last_MITK Recs MAY 2003_0616.xls_25978_1_financial statements-MKOI,MTIL,WSUI-(2007-09-30)jy" xfId="27102"/>
    <cellStyle name="_고정자산v-last_MITK Recs MAY 2003_0616.xls_25978_1_롯데유럽홀딩스-NAV(2008-05-30)" xfId="27103"/>
    <cellStyle name="_고정자산v-last_MITK Recs MAY 2003_0616.xls_25978_1_롯데유럽홀딩스-NAV(2008-06-30)" xfId="27104"/>
    <cellStyle name="_고정자산v-last_MITK Recs MAY 2003_0616.xls_26859_1" xfId="27105"/>
    <cellStyle name="_고정자산v-last_MITK Recs MAY 2003_0616.xls_26859_1_financial statements-MKOI,MTIL,WSUI-(2007-09-30)jy" xfId="27106"/>
    <cellStyle name="_고정자산v-last_MITK Recs MAY 2003_0616.xls_26859_1_롯데유럽홀딩스-NAV(2008-05-30)" xfId="27107"/>
    <cellStyle name="_고정자산v-last_MITK Recs MAY 2003_0616.xls_26859_1_롯데유럽홀딩스-NAV(2008-06-30)" xfId="27108"/>
    <cellStyle name="_고정자산v-last_MITK Recs MAY 2003_0616.xls_26973_1" xfId="27109"/>
    <cellStyle name="_고정자산v-last_MITK Recs MAY 2003_0616.xls_26973_1_financial statements-MKOI,MTIL,WSUI-(2007-09-30)jy" xfId="27110"/>
    <cellStyle name="_고정자산v-last_MITK Recs MAY 2003_0616.xls_26973_1_롯데유럽홀딩스-NAV(2008-05-30)" xfId="27111"/>
    <cellStyle name="_고정자산v-last_MITK Recs MAY 2003_0616.xls_26973_1_롯데유럽홀딩스-NAV(2008-06-30)" xfId="27112"/>
    <cellStyle name="_고정자산v-last_MITK Recs MAY 2003_0616.xls_27057_1" xfId="27113"/>
    <cellStyle name="_고정자산v-last_MITK Recs MAY 2003_0616.xls_27057_1_financial statements-MKOI,MTIL,WSUI-(2007-09-30)jy" xfId="27114"/>
    <cellStyle name="_고정자산v-last_MITK Recs MAY 2003_0616.xls_27057_1_롯데유럽홀딩스-NAV(2008-05-30)" xfId="27115"/>
    <cellStyle name="_고정자산v-last_MITK Recs MAY 2003_0616.xls_27057_1_롯데유럽홀딩스-NAV(2008-06-30)" xfId="27116"/>
    <cellStyle name="_고정자산v-last_MITK Recs MAY 2003_0616.xls_27105_1" xfId="27117"/>
    <cellStyle name="_고정자산v-last_MITK Recs MAY 2003_0616.xls_27105_1_financial statements-MKOI,MTIL,WSUI-(2007-09-30)jy" xfId="27118"/>
    <cellStyle name="_고정자산v-last_MITK Recs MAY 2003_0616.xls_27105_1_롯데유럽홀딩스-NAV(2008-05-30)" xfId="27119"/>
    <cellStyle name="_고정자산v-last_MITK Recs MAY 2003_0616.xls_27105_1_롯데유럽홀딩스-NAV(2008-06-30)" xfId="27120"/>
    <cellStyle name="_고정자산v-last_MITK Recs MAY 2003_0616.xls_27709_1" xfId="27121"/>
    <cellStyle name="_고정자산v-last_MITK Recs MAY 2003_0616.xls_27709_1_financial statements-MKOI,MTIL,WSUI-(2007-09-30)jy" xfId="27122"/>
    <cellStyle name="_고정자산v-last_MITK Recs MAY 2003_0616.xls_27709_1_롯데유럽홀딩스-NAV(2008-05-30)" xfId="27123"/>
    <cellStyle name="_고정자산v-last_MITK Recs MAY 2003_0616.xls_27709_1_롯데유럽홀딩스-NAV(2008-06-30)" xfId="27124"/>
    <cellStyle name="_고정자산v-last_MITK Recs MAY 2003_0616.xls_9260_1" xfId="27125"/>
    <cellStyle name="_고정자산v-last_MITK Recs MAY 2003_0616.xls_9260_1_financial statements-MKOI,MTIL,WSUI-(2007-09-30)jy" xfId="27126"/>
    <cellStyle name="_고정자산v-last_MITK Recs MAY 2003_0616.xls_9260_1_롯데유럽홀딩스-NAV(2008-05-30)" xfId="27127"/>
    <cellStyle name="_고정자산v-last_MITK Recs MAY 2003_0616.xls_9260_1_롯데유럽홀딩스-NAV(2008-06-30)" xfId="27128"/>
    <cellStyle name="_고정자산v-last_MITK Recs MAY 2003_0616.xls_financial statements-MKOI,MTIL,WSUI-(2007-09-30)jy" xfId="27129"/>
    <cellStyle name="_고정자산v-last_MITK Recs MAY 2003_0616.xls_KRIF BS REC 0407" xfId="27130"/>
    <cellStyle name="_고정자산v-last_MITK Recs MAY 2003_0616.xls_KRIF BS REC 0407_financial statements-MKOI,MTIL,WSUI-(2007-09-30)jy" xfId="27131"/>
    <cellStyle name="_고정자산v-last_MITK Recs MAY 2003_0616.xls_KRIF BS REC 0407_롯데유럽홀딩스-NAV(2008-05-30)" xfId="27132"/>
    <cellStyle name="_고정자산v-last_MITK Recs MAY 2003_0616.xls_KRIF BS REC 0407_롯데유럽홀딩스-NAV(2008-06-30)" xfId="27133"/>
    <cellStyle name="_고정자산v-last_MITK Recs MAY 2003_0616.xls_KRIF BS REC 0408" xfId="27134"/>
    <cellStyle name="_고정자산v-last_MITK Recs MAY 2003_0616.xls_KRIF BS REC 0408_financial statements-MKOI,MTIL,WSUI-(2007-09-30)jy" xfId="27135"/>
    <cellStyle name="_고정자산v-last_MITK Recs MAY 2003_0616.xls_KRIF BS REC 0408_롯데유럽홀딩스-NAV(2008-05-30)" xfId="27136"/>
    <cellStyle name="_고정자산v-last_MITK Recs MAY 2003_0616.xls_KRIF BS REC 0408_롯데유럽홀딩스-NAV(2008-06-30)" xfId="27137"/>
    <cellStyle name="_고정자산v-last_MITK Recs MAY 2003_0616.xls_MSIM BS REC 07 2004" xfId="27138"/>
    <cellStyle name="_고정자산v-last_MITK Recs MAY 2003_0616.xls_MSIM BS REC 07 2004_financial statements-MKOI,MTIL,WSUI-(2007-09-30)jy" xfId="27139"/>
    <cellStyle name="_고정자산v-last_MITK Recs MAY 2003_0616.xls_MSIM BS REC 07 2004_롯데유럽홀딩스-NAV(2008-05-30)" xfId="27140"/>
    <cellStyle name="_고정자산v-last_MITK Recs MAY 2003_0616.xls_MSIM BS REC 07 2004_롯데유럽홀딩스-NAV(2008-06-30)" xfId="27141"/>
    <cellStyle name="_고정자산v-last_MITK Recs MAY 2003_0616.xls_MSIM BS REC 08 2004" xfId="27142"/>
    <cellStyle name="_고정자산v-last_MITK Recs MAY 2003_0616.xls_MSIM BS REC 08 2004_financial statements-MKOI,MTIL,WSUI-(2007-09-30)jy" xfId="27143"/>
    <cellStyle name="_고정자산v-last_MITK Recs MAY 2003_0616.xls_MSIM BS REC 08 2004_롯데유럽홀딩스-NAV(2008-05-30)" xfId="27144"/>
    <cellStyle name="_고정자산v-last_MITK Recs MAY 2003_0616.xls_MSIM BS REC 08 2004_롯데유럽홀딩스-NAV(2008-06-30)" xfId="27145"/>
    <cellStyle name="_고정자산v-last_MITK Recs MAY 2003_0616.xls_MSIM BS REC 10 2004" xfId="27146"/>
    <cellStyle name="_고정자산v-last_MITK Recs MAY 2003_0616.xls_MSIM BS REC 10 2004_financial statements-MKOI,MTIL,WSUI-(2007-09-30)jy" xfId="27147"/>
    <cellStyle name="_고정자산v-last_MITK Recs MAY 2003_0616.xls_MSIM BS REC 10 2004_롯데유럽홀딩스-NAV(2008-05-30)" xfId="27148"/>
    <cellStyle name="_고정자산v-last_MITK Recs MAY 2003_0616.xls_MSIM BS REC 10 2004_롯데유럽홀딩스-NAV(2008-06-30)" xfId="27149"/>
    <cellStyle name="_고정자산v-last_MITK Recs MAY 2003_0616.xls_MSIM BS REC 11 2004" xfId="27150"/>
    <cellStyle name="_고정자산v-last_MITK Recs MAY 2003_0616.xls_MSIM BS REC 11 2004_financial statements-MKOI,MTIL,WSUI-(2007-09-30)jy" xfId="27151"/>
    <cellStyle name="_고정자산v-last_MITK Recs MAY 2003_0616.xls_MSIM BS REC 11 2004_롯데유럽홀딩스-NAV(2008-05-30)" xfId="27152"/>
    <cellStyle name="_고정자산v-last_MITK Recs MAY 2003_0616.xls_MSIM BS REC 11 2004_롯데유럽홀딩스-NAV(2008-06-30)" xfId="27153"/>
    <cellStyle name="_고정자산v-last_MITK Recs MAY 2003_0616.xls_MSIM BS REC 12 2004" xfId="27154"/>
    <cellStyle name="_고정자산v-last_MITK Recs MAY 2003_0616.xls_MSIM BS REC 12 2004_financial statements-MKOI,MTIL,WSUI-(2007-09-30)jy" xfId="27155"/>
    <cellStyle name="_고정자산v-last_MITK Recs MAY 2003_0616.xls_MSIM BS REC 12 2004_롯데유럽홀딩스-NAV(2008-05-30)" xfId="27156"/>
    <cellStyle name="_고정자산v-last_MITK Recs MAY 2003_0616.xls_MSIM BS REC 12 2004_롯데유럽홀딩스-NAV(2008-06-30)" xfId="27157"/>
    <cellStyle name="_고정자산v-last_MITK Recs MAY 2003_0616.xls_롯데유럽홀딩스-NAV(2008-05-30)" xfId="27158"/>
    <cellStyle name="_고정자산v-last_MITK Recs MAY 2003_0616.xls_롯데유럽홀딩스-NAV(2008-06-30)" xfId="27159"/>
    <cellStyle name="_고정자산v-last_MITK Recs MAY 2003_0707.xls" xfId="27160"/>
    <cellStyle name="_고정자산v-last_MITK Recs MAY 2003_0707.xls_-2004()" xfId="27161"/>
    <cellStyle name="_고정자산v-last_MITK Recs MAY 2003_0707.xls_-2004()_financial statements-MKOI,MTIL,WSUI-(2007-09-30)jy" xfId="27162"/>
    <cellStyle name="_고정자산v-last_MITK Recs MAY 2003_0707.xls_-2004()_롯데유럽홀딩스-NAV(2008-05-30)" xfId="27163"/>
    <cellStyle name="_고정자산v-last_MITK Recs MAY 2003_0707.xls_-2004()_롯데유럽홀딩스-NAV(2008-06-30)" xfId="27164"/>
    <cellStyle name="_고정자산v-last_MITK Recs MAY 2003_0707.xls_22001_1" xfId="27165"/>
    <cellStyle name="_고정자산v-last_MITK Recs MAY 2003_0707.xls_22001_1_financial statements-MKOI,MTIL,WSUI-(2007-09-30)jy" xfId="27166"/>
    <cellStyle name="_고정자산v-last_MITK Recs MAY 2003_0707.xls_22001_1_롯데유럽홀딩스-NAV(2008-05-30)" xfId="27167"/>
    <cellStyle name="_고정자산v-last_MITK Recs MAY 2003_0707.xls_22001_1_롯데유럽홀딩스-NAV(2008-06-30)" xfId="27168"/>
    <cellStyle name="_고정자산v-last_MITK Recs MAY 2003_0707.xls_22626_1" xfId="27169"/>
    <cellStyle name="_고정자산v-last_MITK Recs MAY 2003_0707.xls_22626_1_financial statements-MKOI,MTIL,WSUI-(2007-09-30)jy" xfId="27170"/>
    <cellStyle name="_고정자산v-last_MITK Recs MAY 2003_0707.xls_22626_1_롯데유럽홀딩스-NAV(2008-05-30)" xfId="27171"/>
    <cellStyle name="_고정자산v-last_MITK Recs MAY 2003_0707.xls_22626_1_롯데유럽홀딩스-NAV(2008-06-30)" xfId="27172"/>
    <cellStyle name="_고정자산v-last_MITK Recs MAY 2003_0707.xls_25978_1" xfId="27173"/>
    <cellStyle name="_고정자산v-last_MITK Recs MAY 2003_0707.xls_25978_1_financial statements-MKOI,MTIL,WSUI-(2007-09-30)jy" xfId="27174"/>
    <cellStyle name="_고정자산v-last_MITK Recs MAY 2003_0707.xls_25978_1_롯데유럽홀딩스-NAV(2008-05-30)" xfId="27175"/>
    <cellStyle name="_고정자산v-last_MITK Recs MAY 2003_0707.xls_25978_1_롯데유럽홀딩스-NAV(2008-06-30)" xfId="27176"/>
    <cellStyle name="_고정자산v-last_MITK Recs MAY 2003_0707.xls_26859_1" xfId="27177"/>
    <cellStyle name="_고정자산v-last_MITK Recs MAY 2003_0707.xls_26859_1_financial statements-MKOI,MTIL,WSUI-(2007-09-30)jy" xfId="27178"/>
    <cellStyle name="_고정자산v-last_MITK Recs MAY 2003_0707.xls_26859_1_롯데유럽홀딩스-NAV(2008-05-30)" xfId="27179"/>
    <cellStyle name="_고정자산v-last_MITK Recs MAY 2003_0707.xls_26859_1_롯데유럽홀딩스-NAV(2008-06-30)" xfId="27180"/>
    <cellStyle name="_고정자산v-last_MITK Recs MAY 2003_0707.xls_26973_1" xfId="27181"/>
    <cellStyle name="_고정자산v-last_MITK Recs MAY 2003_0707.xls_26973_1_financial statements-MKOI,MTIL,WSUI-(2007-09-30)jy" xfId="27182"/>
    <cellStyle name="_고정자산v-last_MITK Recs MAY 2003_0707.xls_26973_1_롯데유럽홀딩스-NAV(2008-05-30)" xfId="27183"/>
    <cellStyle name="_고정자산v-last_MITK Recs MAY 2003_0707.xls_26973_1_롯데유럽홀딩스-NAV(2008-06-30)" xfId="27184"/>
    <cellStyle name="_고정자산v-last_MITK Recs MAY 2003_0707.xls_27057_1" xfId="27185"/>
    <cellStyle name="_고정자산v-last_MITK Recs MAY 2003_0707.xls_27057_1_financial statements-MKOI,MTIL,WSUI-(2007-09-30)jy" xfId="27186"/>
    <cellStyle name="_고정자산v-last_MITK Recs MAY 2003_0707.xls_27057_1_롯데유럽홀딩스-NAV(2008-05-30)" xfId="27187"/>
    <cellStyle name="_고정자산v-last_MITK Recs MAY 2003_0707.xls_27057_1_롯데유럽홀딩스-NAV(2008-06-30)" xfId="27188"/>
    <cellStyle name="_고정자산v-last_MITK Recs MAY 2003_0707.xls_27105_1" xfId="27189"/>
    <cellStyle name="_고정자산v-last_MITK Recs MAY 2003_0707.xls_27105_1_financial statements-MKOI,MTIL,WSUI-(2007-09-30)jy" xfId="27190"/>
    <cellStyle name="_고정자산v-last_MITK Recs MAY 2003_0707.xls_27105_1_롯데유럽홀딩스-NAV(2008-05-30)" xfId="27191"/>
    <cellStyle name="_고정자산v-last_MITK Recs MAY 2003_0707.xls_27105_1_롯데유럽홀딩스-NAV(2008-06-30)" xfId="27192"/>
    <cellStyle name="_고정자산v-last_MITK Recs MAY 2003_0707.xls_27709_1" xfId="27193"/>
    <cellStyle name="_고정자산v-last_MITK Recs MAY 2003_0707.xls_27709_1_financial statements-MKOI,MTIL,WSUI-(2007-09-30)jy" xfId="27194"/>
    <cellStyle name="_고정자산v-last_MITK Recs MAY 2003_0707.xls_27709_1_롯데유럽홀딩스-NAV(2008-05-30)" xfId="27195"/>
    <cellStyle name="_고정자산v-last_MITK Recs MAY 2003_0707.xls_27709_1_롯데유럽홀딩스-NAV(2008-06-30)" xfId="27196"/>
    <cellStyle name="_고정자산v-last_MITK Recs MAY 2003_0707.xls_9260_1" xfId="27197"/>
    <cellStyle name="_고정자산v-last_MITK Recs MAY 2003_0707.xls_9260_1_financial statements-MKOI,MTIL,WSUI-(2007-09-30)jy" xfId="27198"/>
    <cellStyle name="_고정자산v-last_MITK Recs MAY 2003_0707.xls_9260_1_롯데유럽홀딩스-NAV(2008-05-30)" xfId="27199"/>
    <cellStyle name="_고정자산v-last_MITK Recs MAY 2003_0707.xls_9260_1_롯데유럽홀딩스-NAV(2008-06-30)" xfId="27200"/>
    <cellStyle name="_고정자산v-last_MITK Recs MAY 2003_0707.xls_financial statements-MKOI,MTIL,WSUI-(2007-09-30)jy" xfId="27201"/>
    <cellStyle name="_고정자산v-last_MITK Recs MAY 2003_0707.xls_KRIF BS REC 0407" xfId="27202"/>
    <cellStyle name="_고정자산v-last_MITK Recs MAY 2003_0707.xls_KRIF BS REC 0407_financial statements-MKOI,MTIL,WSUI-(2007-09-30)jy" xfId="27203"/>
    <cellStyle name="_고정자산v-last_MITK Recs MAY 2003_0707.xls_KRIF BS REC 0407_롯데유럽홀딩스-NAV(2008-05-30)" xfId="27204"/>
    <cellStyle name="_고정자산v-last_MITK Recs MAY 2003_0707.xls_KRIF BS REC 0407_롯데유럽홀딩스-NAV(2008-06-30)" xfId="27205"/>
    <cellStyle name="_고정자산v-last_MITK Recs MAY 2003_0707.xls_KRIF BS REC 0408" xfId="27206"/>
    <cellStyle name="_고정자산v-last_MITK Recs MAY 2003_0707.xls_KRIF BS REC 0408_financial statements-MKOI,MTIL,WSUI-(2007-09-30)jy" xfId="27207"/>
    <cellStyle name="_고정자산v-last_MITK Recs MAY 2003_0707.xls_KRIF BS REC 0408_롯데유럽홀딩스-NAV(2008-05-30)" xfId="27208"/>
    <cellStyle name="_고정자산v-last_MITK Recs MAY 2003_0707.xls_KRIF BS REC 0408_롯데유럽홀딩스-NAV(2008-06-30)" xfId="27209"/>
    <cellStyle name="_고정자산v-last_MITK Recs MAY 2003_0707.xls_MSIM BS REC 07 2004" xfId="27210"/>
    <cellStyle name="_고정자산v-last_MITK Recs MAY 2003_0707.xls_MSIM BS REC 07 2004_financial statements-MKOI,MTIL,WSUI-(2007-09-30)jy" xfId="27211"/>
    <cellStyle name="_고정자산v-last_MITK Recs MAY 2003_0707.xls_MSIM BS REC 07 2004_롯데유럽홀딩스-NAV(2008-05-30)" xfId="27212"/>
    <cellStyle name="_고정자산v-last_MITK Recs MAY 2003_0707.xls_MSIM BS REC 07 2004_롯데유럽홀딩스-NAV(2008-06-30)" xfId="27213"/>
    <cellStyle name="_고정자산v-last_MITK Recs MAY 2003_0707.xls_MSIM BS REC 08 2004" xfId="27214"/>
    <cellStyle name="_고정자산v-last_MITK Recs MAY 2003_0707.xls_MSIM BS REC 08 2004_financial statements-MKOI,MTIL,WSUI-(2007-09-30)jy" xfId="27215"/>
    <cellStyle name="_고정자산v-last_MITK Recs MAY 2003_0707.xls_MSIM BS REC 08 2004_롯데유럽홀딩스-NAV(2008-05-30)" xfId="27216"/>
    <cellStyle name="_고정자산v-last_MITK Recs MAY 2003_0707.xls_MSIM BS REC 08 2004_롯데유럽홀딩스-NAV(2008-06-30)" xfId="27217"/>
    <cellStyle name="_고정자산v-last_MITK Recs MAY 2003_0707.xls_MSIM BS REC 10 2004" xfId="27218"/>
    <cellStyle name="_고정자산v-last_MITK Recs MAY 2003_0707.xls_MSIM BS REC 10 2004_financial statements-MKOI,MTIL,WSUI-(2007-09-30)jy" xfId="27219"/>
    <cellStyle name="_고정자산v-last_MITK Recs MAY 2003_0707.xls_MSIM BS REC 10 2004_롯데유럽홀딩스-NAV(2008-05-30)" xfId="27220"/>
    <cellStyle name="_고정자산v-last_MITK Recs MAY 2003_0707.xls_MSIM BS REC 10 2004_롯데유럽홀딩스-NAV(2008-06-30)" xfId="27221"/>
    <cellStyle name="_고정자산v-last_MITK Recs MAY 2003_0707.xls_MSIM BS REC 11 2004" xfId="27222"/>
    <cellStyle name="_고정자산v-last_MITK Recs MAY 2003_0707.xls_MSIM BS REC 11 2004_financial statements-MKOI,MTIL,WSUI-(2007-09-30)jy" xfId="27223"/>
    <cellStyle name="_고정자산v-last_MITK Recs MAY 2003_0707.xls_MSIM BS REC 11 2004_롯데유럽홀딩스-NAV(2008-05-30)" xfId="27224"/>
    <cellStyle name="_고정자산v-last_MITK Recs MAY 2003_0707.xls_MSIM BS REC 11 2004_롯데유럽홀딩스-NAV(2008-06-30)" xfId="27225"/>
    <cellStyle name="_고정자산v-last_MITK Recs MAY 2003_0707.xls_MSIM BS REC 12 2004" xfId="27226"/>
    <cellStyle name="_고정자산v-last_MITK Recs MAY 2003_0707.xls_MSIM BS REC 12 2004_financial statements-MKOI,MTIL,WSUI-(2007-09-30)jy" xfId="27227"/>
    <cellStyle name="_고정자산v-last_MITK Recs MAY 2003_0707.xls_MSIM BS REC 12 2004_롯데유럽홀딩스-NAV(2008-05-30)" xfId="27228"/>
    <cellStyle name="_고정자산v-last_MITK Recs MAY 2003_0707.xls_MSIM BS REC 12 2004_롯데유럽홀딩스-NAV(2008-06-30)" xfId="27229"/>
    <cellStyle name="_고정자산v-last_MITK Recs MAY 2003_0707.xls_롯데유럽홀딩스-NAV(2008-05-30)" xfId="27230"/>
    <cellStyle name="_고정자산v-last_MITK Recs MAY 2003_0707.xls_롯데유럽홀딩스-NAV(2008-06-30)" xfId="27231"/>
    <cellStyle name="_고정자산v-last_MITK Recs MAY 2003_0708.xls" xfId="27232"/>
    <cellStyle name="_고정자산v-last_MITK Recs MAY 2003_0708.xls_-2004()" xfId="27233"/>
    <cellStyle name="_고정자산v-last_MITK Recs MAY 2003_0708.xls_-2004()_financial statements-MKOI,MTIL,WSUI-(2007-09-30)jy" xfId="27234"/>
    <cellStyle name="_고정자산v-last_MITK Recs MAY 2003_0708.xls_-2004()_롯데유럽홀딩스-NAV(2008-05-30)" xfId="27235"/>
    <cellStyle name="_고정자산v-last_MITK Recs MAY 2003_0708.xls_-2004()_롯데유럽홀딩스-NAV(2008-06-30)" xfId="27236"/>
    <cellStyle name="_고정자산v-last_MITK Recs MAY 2003_0708.xls_22001_1" xfId="27237"/>
    <cellStyle name="_고정자산v-last_MITK Recs MAY 2003_0708.xls_22001_1_financial statements-MKOI,MTIL,WSUI-(2007-09-30)jy" xfId="27238"/>
    <cellStyle name="_고정자산v-last_MITK Recs MAY 2003_0708.xls_22001_1_롯데유럽홀딩스-NAV(2008-05-30)" xfId="27239"/>
    <cellStyle name="_고정자산v-last_MITK Recs MAY 2003_0708.xls_22001_1_롯데유럽홀딩스-NAV(2008-06-30)" xfId="27240"/>
    <cellStyle name="_고정자산v-last_MITK Recs MAY 2003_0708.xls_22626_1" xfId="27241"/>
    <cellStyle name="_고정자산v-last_MITK Recs MAY 2003_0708.xls_22626_1_financial statements-MKOI,MTIL,WSUI-(2007-09-30)jy" xfId="27242"/>
    <cellStyle name="_고정자산v-last_MITK Recs MAY 2003_0708.xls_22626_1_롯데유럽홀딩스-NAV(2008-05-30)" xfId="27243"/>
    <cellStyle name="_고정자산v-last_MITK Recs MAY 2003_0708.xls_22626_1_롯데유럽홀딩스-NAV(2008-06-30)" xfId="27244"/>
    <cellStyle name="_고정자산v-last_MITK Recs MAY 2003_0708.xls_25978_1" xfId="27245"/>
    <cellStyle name="_고정자산v-last_MITK Recs MAY 2003_0708.xls_25978_1_financial statements-MKOI,MTIL,WSUI-(2007-09-30)jy" xfId="27246"/>
    <cellStyle name="_고정자산v-last_MITK Recs MAY 2003_0708.xls_25978_1_롯데유럽홀딩스-NAV(2008-05-30)" xfId="27247"/>
    <cellStyle name="_고정자산v-last_MITK Recs MAY 2003_0708.xls_25978_1_롯데유럽홀딩스-NAV(2008-06-30)" xfId="27248"/>
    <cellStyle name="_고정자산v-last_MITK Recs MAY 2003_0708.xls_26859_1" xfId="27249"/>
    <cellStyle name="_고정자산v-last_MITK Recs MAY 2003_0708.xls_26859_1_financial statements-MKOI,MTIL,WSUI-(2007-09-30)jy" xfId="27250"/>
    <cellStyle name="_고정자산v-last_MITK Recs MAY 2003_0708.xls_26859_1_롯데유럽홀딩스-NAV(2008-05-30)" xfId="27251"/>
    <cellStyle name="_고정자산v-last_MITK Recs MAY 2003_0708.xls_26859_1_롯데유럽홀딩스-NAV(2008-06-30)" xfId="27252"/>
    <cellStyle name="_고정자산v-last_MITK Recs MAY 2003_0708.xls_26973_1" xfId="27253"/>
    <cellStyle name="_고정자산v-last_MITK Recs MAY 2003_0708.xls_26973_1_financial statements-MKOI,MTIL,WSUI-(2007-09-30)jy" xfId="27254"/>
    <cellStyle name="_고정자산v-last_MITK Recs MAY 2003_0708.xls_26973_1_롯데유럽홀딩스-NAV(2008-05-30)" xfId="27255"/>
    <cellStyle name="_고정자산v-last_MITK Recs MAY 2003_0708.xls_26973_1_롯데유럽홀딩스-NAV(2008-06-30)" xfId="27256"/>
    <cellStyle name="_고정자산v-last_MITK Recs MAY 2003_0708.xls_27057_1" xfId="27257"/>
    <cellStyle name="_고정자산v-last_MITK Recs MAY 2003_0708.xls_27057_1_financial statements-MKOI,MTIL,WSUI-(2007-09-30)jy" xfId="27258"/>
    <cellStyle name="_고정자산v-last_MITK Recs MAY 2003_0708.xls_27057_1_롯데유럽홀딩스-NAV(2008-05-30)" xfId="27259"/>
    <cellStyle name="_고정자산v-last_MITK Recs MAY 2003_0708.xls_27057_1_롯데유럽홀딩스-NAV(2008-06-30)" xfId="27260"/>
    <cellStyle name="_고정자산v-last_MITK Recs MAY 2003_0708.xls_27105_1" xfId="27261"/>
    <cellStyle name="_고정자산v-last_MITK Recs MAY 2003_0708.xls_27105_1_financial statements-MKOI,MTIL,WSUI-(2007-09-30)jy" xfId="27262"/>
    <cellStyle name="_고정자산v-last_MITK Recs MAY 2003_0708.xls_27105_1_롯데유럽홀딩스-NAV(2008-05-30)" xfId="27263"/>
    <cellStyle name="_고정자산v-last_MITK Recs MAY 2003_0708.xls_27105_1_롯데유럽홀딩스-NAV(2008-06-30)" xfId="27264"/>
    <cellStyle name="_고정자산v-last_MITK Recs MAY 2003_0708.xls_27709_1" xfId="27265"/>
    <cellStyle name="_고정자산v-last_MITK Recs MAY 2003_0708.xls_27709_1_financial statements-MKOI,MTIL,WSUI-(2007-09-30)jy" xfId="27266"/>
    <cellStyle name="_고정자산v-last_MITK Recs MAY 2003_0708.xls_27709_1_롯데유럽홀딩스-NAV(2008-05-30)" xfId="27267"/>
    <cellStyle name="_고정자산v-last_MITK Recs MAY 2003_0708.xls_27709_1_롯데유럽홀딩스-NAV(2008-06-30)" xfId="27268"/>
    <cellStyle name="_고정자산v-last_MITK Recs MAY 2003_0708.xls_9260_1" xfId="27269"/>
    <cellStyle name="_고정자산v-last_MITK Recs MAY 2003_0708.xls_9260_1_financial statements-MKOI,MTIL,WSUI-(2007-09-30)jy" xfId="27270"/>
    <cellStyle name="_고정자산v-last_MITK Recs MAY 2003_0708.xls_9260_1_롯데유럽홀딩스-NAV(2008-05-30)" xfId="27271"/>
    <cellStyle name="_고정자산v-last_MITK Recs MAY 2003_0708.xls_9260_1_롯데유럽홀딩스-NAV(2008-06-30)" xfId="27272"/>
    <cellStyle name="_고정자산v-last_MITK Recs MAY 2003_0708.xls_financial statements-MKOI,MTIL,WSUI-(2007-09-30)jy" xfId="27273"/>
    <cellStyle name="_고정자산v-last_MITK Recs MAY 2003_0708.xls_KRIF BS REC 0407" xfId="27274"/>
    <cellStyle name="_고정자산v-last_MITK Recs MAY 2003_0708.xls_KRIF BS REC 0407_financial statements-MKOI,MTIL,WSUI-(2007-09-30)jy" xfId="27275"/>
    <cellStyle name="_고정자산v-last_MITK Recs MAY 2003_0708.xls_KRIF BS REC 0407_롯데유럽홀딩스-NAV(2008-05-30)" xfId="27276"/>
    <cellStyle name="_고정자산v-last_MITK Recs MAY 2003_0708.xls_KRIF BS REC 0407_롯데유럽홀딩스-NAV(2008-06-30)" xfId="27277"/>
    <cellStyle name="_고정자산v-last_MITK Recs MAY 2003_0708.xls_KRIF BS REC 0408" xfId="27278"/>
    <cellStyle name="_고정자산v-last_MITK Recs MAY 2003_0708.xls_KRIF BS REC 0408_financial statements-MKOI,MTIL,WSUI-(2007-09-30)jy" xfId="27279"/>
    <cellStyle name="_고정자산v-last_MITK Recs MAY 2003_0708.xls_KRIF BS REC 0408_롯데유럽홀딩스-NAV(2008-05-30)" xfId="27280"/>
    <cellStyle name="_고정자산v-last_MITK Recs MAY 2003_0708.xls_KRIF BS REC 0408_롯데유럽홀딩스-NAV(2008-06-30)" xfId="27281"/>
    <cellStyle name="_고정자산v-last_MITK Recs MAY 2003_0708.xls_MSIM BS REC 07 2004" xfId="27282"/>
    <cellStyle name="_고정자산v-last_MITK Recs MAY 2003_0708.xls_MSIM BS REC 07 2004_financial statements-MKOI,MTIL,WSUI-(2007-09-30)jy" xfId="27283"/>
    <cellStyle name="_고정자산v-last_MITK Recs MAY 2003_0708.xls_MSIM BS REC 07 2004_롯데유럽홀딩스-NAV(2008-05-30)" xfId="27284"/>
    <cellStyle name="_고정자산v-last_MITK Recs MAY 2003_0708.xls_MSIM BS REC 07 2004_롯데유럽홀딩스-NAV(2008-06-30)" xfId="27285"/>
    <cellStyle name="_고정자산v-last_MITK Recs MAY 2003_0708.xls_MSIM BS REC 08 2004" xfId="27286"/>
    <cellStyle name="_고정자산v-last_MITK Recs MAY 2003_0708.xls_MSIM BS REC 08 2004_financial statements-MKOI,MTIL,WSUI-(2007-09-30)jy" xfId="27287"/>
    <cellStyle name="_고정자산v-last_MITK Recs MAY 2003_0708.xls_MSIM BS REC 08 2004_롯데유럽홀딩스-NAV(2008-05-30)" xfId="27288"/>
    <cellStyle name="_고정자산v-last_MITK Recs MAY 2003_0708.xls_MSIM BS REC 08 2004_롯데유럽홀딩스-NAV(2008-06-30)" xfId="27289"/>
    <cellStyle name="_고정자산v-last_MITK Recs MAY 2003_0708.xls_MSIM BS REC 10 2004" xfId="27290"/>
    <cellStyle name="_고정자산v-last_MITK Recs MAY 2003_0708.xls_MSIM BS REC 10 2004_financial statements-MKOI,MTIL,WSUI-(2007-09-30)jy" xfId="27291"/>
    <cellStyle name="_고정자산v-last_MITK Recs MAY 2003_0708.xls_MSIM BS REC 10 2004_롯데유럽홀딩스-NAV(2008-05-30)" xfId="27292"/>
    <cellStyle name="_고정자산v-last_MITK Recs MAY 2003_0708.xls_MSIM BS REC 10 2004_롯데유럽홀딩스-NAV(2008-06-30)" xfId="27293"/>
    <cellStyle name="_고정자산v-last_MITK Recs MAY 2003_0708.xls_MSIM BS REC 11 2004" xfId="27294"/>
    <cellStyle name="_고정자산v-last_MITK Recs MAY 2003_0708.xls_MSIM BS REC 11 2004_financial statements-MKOI,MTIL,WSUI-(2007-09-30)jy" xfId="27295"/>
    <cellStyle name="_고정자산v-last_MITK Recs MAY 2003_0708.xls_MSIM BS REC 11 2004_롯데유럽홀딩스-NAV(2008-05-30)" xfId="27296"/>
    <cellStyle name="_고정자산v-last_MITK Recs MAY 2003_0708.xls_MSIM BS REC 11 2004_롯데유럽홀딩스-NAV(2008-06-30)" xfId="27297"/>
    <cellStyle name="_고정자산v-last_MITK Recs MAY 2003_0708.xls_MSIM BS REC 12 2004" xfId="27298"/>
    <cellStyle name="_고정자산v-last_MITK Recs MAY 2003_0708.xls_MSIM BS REC 12 2004_financial statements-MKOI,MTIL,WSUI-(2007-09-30)jy" xfId="27299"/>
    <cellStyle name="_고정자산v-last_MITK Recs MAY 2003_0708.xls_MSIM BS REC 12 2004_롯데유럽홀딩스-NAV(2008-05-30)" xfId="27300"/>
    <cellStyle name="_고정자산v-last_MITK Recs MAY 2003_0708.xls_MSIM BS REC 12 2004_롯데유럽홀딩스-NAV(2008-06-30)" xfId="27301"/>
    <cellStyle name="_고정자산v-last_MITK Recs MAY 2003_0708.xls_롯데유럽홀딩스-NAV(2008-05-30)" xfId="27302"/>
    <cellStyle name="_고정자산v-last_MITK Recs MAY 2003_0708.xls_롯데유럽홀딩스-NAV(2008-06-30)" xfId="27303"/>
    <cellStyle name="_고정자산v-last_MITK Recs NOV2003.xls" xfId="27304"/>
    <cellStyle name="_고정자산v-last_MITK Recs NOV2003.xls_-2004()" xfId="27305"/>
    <cellStyle name="_고정자산v-last_MITK Recs NOV2003.xls_-2004()_financial statements-MKOI,MTIL,WSUI-(2007-09-30)jy" xfId="27306"/>
    <cellStyle name="_고정자산v-last_MITK Recs NOV2003.xls_-2004()_롯데유럽홀딩스-NAV(2008-05-30)" xfId="27307"/>
    <cellStyle name="_고정자산v-last_MITK Recs NOV2003.xls_-2004()_롯데유럽홀딩스-NAV(2008-06-30)" xfId="27308"/>
    <cellStyle name="_고정자산v-last_MITK Recs NOV2003.xls_22001_1" xfId="27309"/>
    <cellStyle name="_고정자산v-last_MITK Recs NOV2003.xls_22001_1_financial statements-MKOI,MTIL,WSUI-(2007-09-30)jy" xfId="27310"/>
    <cellStyle name="_고정자산v-last_MITK Recs NOV2003.xls_22001_1_롯데유럽홀딩스-NAV(2008-05-30)" xfId="27311"/>
    <cellStyle name="_고정자산v-last_MITK Recs NOV2003.xls_22001_1_롯데유럽홀딩스-NAV(2008-06-30)" xfId="27312"/>
    <cellStyle name="_고정자산v-last_MITK Recs NOV2003.xls_22626_1" xfId="27313"/>
    <cellStyle name="_고정자산v-last_MITK Recs NOV2003.xls_22626_1_financial statements-MKOI,MTIL,WSUI-(2007-09-30)jy" xfId="27314"/>
    <cellStyle name="_고정자산v-last_MITK Recs NOV2003.xls_22626_1_롯데유럽홀딩스-NAV(2008-05-30)" xfId="27315"/>
    <cellStyle name="_고정자산v-last_MITK Recs NOV2003.xls_22626_1_롯데유럽홀딩스-NAV(2008-06-30)" xfId="27316"/>
    <cellStyle name="_고정자산v-last_MITK Recs NOV2003.xls_25978_1" xfId="27317"/>
    <cellStyle name="_고정자산v-last_MITK Recs NOV2003.xls_25978_1_financial statements-MKOI,MTIL,WSUI-(2007-09-30)jy" xfId="27318"/>
    <cellStyle name="_고정자산v-last_MITK Recs NOV2003.xls_25978_1_롯데유럽홀딩스-NAV(2008-05-30)" xfId="27319"/>
    <cellStyle name="_고정자산v-last_MITK Recs NOV2003.xls_25978_1_롯데유럽홀딩스-NAV(2008-06-30)" xfId="27320"/>
    <cellStyle name="_고정자산v-last_MITK Recs NOV2003.xls_26859_1" xfId="27321"/>
    <cellStyle name="_고정자산v-last_MITK Recs NOV2003.xls_26859_1_financial statements-MKOI,MTIL,WSUI-(2007-09-30)jy" xfId="27322"/>
    <cellStyle name="_고정자산v-last_MITK Recs NOV2003.xls_26859_1_롯데유럽홀딩스-NAV(2008-05-30)" xfId="27323"/>
    <cellStyle name="_고정자산v-last_MITK Recs NOV2003.xls_26859_1_롯데유럽홀딩스-NAV(2008-06-30)" xfId="27324"/>
    <cellStyle name="_고정자산v-last_MITK Recs NOV2003.xls_26973_1" xfId="27325"/>
    <cellStyle name="_고정자산v-last_MITK Recs NOV2003.xls_26973_1_financial statements-MKOI,MTIL,WSUI-(2007-09-30)jy" xfId="27326"/>
    <cellStyle name="_고정자산v-last_MITK Recs NOV2003.xls_26973_1_롯데유럽홀딩스-NAV(2008-05-30)" xfId="27327"/>
    <cellStyle name="_고정자산v-last_MITK Recs NOV2003.xls_26973_1_롯데유럽홀딩스-NAV(2008-06-30)" xfId="27328"/>
    <cellStyle name="_고정자산v-last_MITK Recs NOV2003.xls_27057_1" xfId="27329"/>
    <cellStyle name="_고정자산v-last_MITK Recs NOV2003.xls_27057_1_financial statements-MKOI,MTIL,WSUI-(2007-09-30)jy" xfId="27330"/>
    <cellStyle name="_고정자산v-last_MITK Recs NOV2003.xls_27057_1_롯데유럽홀딩스-NAV(2008-05-30)" xfId="27331"/>
    <cellStyle name="_고정자산v-last_MITK Recs NOV2003.xls_27057_1_롯데유럽홀딩스-NAV(2008-06-30)" xfId="27332"/>
    <cellStyle name="_고정자산v-last_MITK Recs NOV2003.xls_27105_1" xfId="27333"/>
    <cellStyle name="_고정자산v-last_MITK Recs NOV2003.xls_27105_1_financial statements-MKOI,MTIL,WSUI-(2007-09-30)jy" xfId="27334"/>
    <cellStyle name="_고정자산v-last_MITK Recs NOV2003.xls_27105_1_롯데유럽홀딩스-NAV(2008-05-30)" xfId="27335"/>
    <cellStyle name="_고정자산v-last_MITK Recs NOV2003.xls_27105_1_롯데유럽홀딩스-NAV(2008-06-30)" xfId="27336"/>
    <cellStyle name="_고정자산v-last_MITK Recs NOV2003.xls_27709_1" xfId="27337"/>
    <cellStyle name="_고정자산v-last_MITK Recs NOV2003.xls_27709_1_financial statements-MKOI,MTIL,WSUI-(2007-09-30)jy" xfId="27338"/>
    <cellStyle name="_고정자산v-last_MITK Recs NOV2003.xls_27709_1_롯데유럽홀딩스-NAV(2008-05-30)" xfId="27339"/>
    <cellStyle name="_고정자산v-last_MITK Recs NOV2003.xls_27709_1_롯데유럽홀딩스-NAV(2008-06-30)" xfId="27340"/>
    <cellStyle name="_고정자산v-last_MITK Recs NOV2003.xls_9260_1" xfId="27341"/>
    <cellStyle name="_고정자산v-last_MITK Recs NOV2003.xls_9260_1_financial statements-MKOI,MTIL,WSUI-(2007-09-30)jy" xfId="27342"/>
    <cellStyle name="_고정자산v-last_MITK Recs NOV2003.xls_9260_1_롯데유럽홀딩스-NAV(2008-05-30)" xfId="27343"/>
    <cellStyle name="_고정자산v-last_MITK Recs NOV2003.xls_9260_1_롯데유럽홀딩스-NAV(2008-06-30)" xfId="27344"/>
    <cellStyle name="_고정자산v-last_MITK Recs NOV2003.xls_financial statements-MKOI,MTIL,WSUI-(2007-09-30)jy" xfId="27345"/>
    <cellStyle name="_고정자산v-last_MITK Recs NOV2003.xls_KRIF BS REC 0407" xfId="27346"/>
    <cellStyle name="_고정자산v-last_MITK Recs NOV2003.xls_KRIF BS REC 0407_financial statements-MKOI,MTIL,WSUI-(2007-09-30)jy" xfId="27347"/>
    <cellStyle name="_고정자산v-last_MITK Recs NOV2003.xls_KRIF BS REC 0407_롯데유럽홀딩스-NAV(2008-05-30)" xfId="27348"/>
    <cellStyle name="_고정자산v-last_MITK Recs NOV2003.xls_KRIF BS REC 0407_롯데유럽홀딩스-NAV(2008-06-30)" xfId="27349"/>
    <cellStyle name="_고정자산v-last_MITK Recs NOV2003.xls_KRIF BS REC 0408" xfId="27350"/>
    <cellStyle name="_고정자산v-last_MITK Recs NOV2003.xls_KRIF BS REC 0408_financial statements-MKOI,MTIL,WSUI-(2007-09-30)jy" xfId="27351"/>
    <cellStyle name="_고정자산v-last_MITK Recs NOV2003.xls_KRIF BS REC 0408_롯데유럽홀딩스-NAV(2008-05-30)" xfId="27352"/>
    <cellStyle name="_고정자산v-last_MITK Recs NOV2003.xls_KRIF BS REC 0408_롯데유럽홀딩스-NAV(2008-06-30)" xfId="27353"/>
    <cellStyle name="_고정자산v-last_MITK Recs NOV2003.xls_MSIM BS REC 07 2004" xfId="27354"/>
    <cellStyle name="_고정자산v-last_MITK Recs NOV2003.xls_MSIM BS REC 07 2004_financial statements-MKOI,MTIL,WSUI-(2007-09-30)jy" xfId="27355"/>
    <cellStyle name="_고정자산v-last_MITK Recs NOV2003.xls_MSIM BS REC 07 2004_롯데유럽홀딩스-NAV(2008-05-30)" xfId="27356"/>
    <cellStyle name="_고정자산v-last_MITK Recs NOV2003.xls_MSIM BS REC 07 2004_롯데유럽홀딩스-NAV(2008-06-30)" xfId="27357"/>
    <cellStyle name="_고정자산v-last_MITK Recs NOV2003.xls_MSIM BS REC 08 2004" xfId="27358"/>
    <cellStyle name="_고정자산v-last_MITK Recs NOV2003.xls_MSIM BS REC 08 2004_financial statements-MKOI,MTIL,WSUI-(2007-09-30)jy" xfId="27359"/>
    <cellStyle name="_고정자산v-last_MITK Recs NOV2003.xls_MSIM BS REC 08 2004_롯데유럽홀딩스-NAV(2008-05-30)" xfId="27360"/>
    <cellStyle name="_고정자산v-last_MITK Recs NOV2003.xls_MSIM BS REC 08 2004_롯데유럽홀딩스-NAV(2008-06-30)" xfId="27361"/>
    <cellStyle name="_고정자산v-last_MITK Recs NOV2003.xls_MSIM BS REC 10 2004" xfId="27362"/>
    <cellStyle name="_고정자산v-last_MITK Recs NOV2003.xls_MSIM BS REC 10 2004_financial statements-MKOI,MTIL,WSUI-(2007-09-30)jy" xfId="27363"/>
    <cellStyle name="_고정자산v-last_MITK Recs NOV2003.xls_MSIM BS REC 10 2004_롯데유럽홀딩스-NAV(2008-05-30)" xfId="27364"/>
    <cellStyle name="_고정자산v-last_MITK Recs NOV2003.xls_MSIM BS REC 10 2004_롯데유럽홀딩스-NAV(2008-06-30)" xfId="27365"/>
    <cellStyle name="_고정자산v-last_MITK Recs NOV2003.xls_MSIM BS REC 11 2004" xfId="27366"/>
    <cellStyle name="_고정자산v-last_MITK Recs NOV2003.xls_MSIM BS REC 11 2004_financial statements-MKOI,MTIL,WSUI-(2007-09-30)jy" xfId="27367"/>
    <cellStyle name="_고정자산v-last_MITK Recs NOV2003.xls_MSIM BS REC 11 2004_롯데유럽홀딩스-NAV(2008-05-30)" xfId="27368"/>
    <cellStyle name="_고정자산v-last_MITK Recs NOV2003.xls_MSIM BS REC 11 2004_롯데유럽홀딩스-NAV(2008-06-30)" xfId="27369"/>
    <cellStyle name="_고정자산v-last_MITK Recs NOV2003.xls_MSIM BS REC 12 2004" xfId="27370"/>
    <cellStyle name="_고정자산v-last_MITK Recs NOV2003.xls_MSIM BS REC 12 2004_financial statements-MKOI,MTIL,WSUI-(2007-09-30)jy" xfId="27371"/>
    <cellStyle name="_고정자산v-last_MITK Recs NOV2003.xls_MSIM BS REC 12 2004_롯데유럽홀딩스-NAV(2008-05-30)" xfId="27372"/>
    <cellStyle name="_고정자산v-last_MITK Recs NOV2003.xls_MSIM BS REC 12 2004_롯데유럽홀딩스-NAV(2008-06-30)" xfId="27373"/>
    <cellStyle name="_고정자산v-last_MITK Recs NOV2003.xls_롯데유럽홀딩스-NAV(2008-05-30)" xfId="27374"/>
    <cellStyle name="_고정자산v-last_MITK Recs NOV2003.xls_롯데유럽홀딩스-NAV(2008-06-30)" xfId="27375"/>
    <cellStyle name="_고정자산v-last_MITK Recs SEP 2003.xls" xfId="27376"/>
    <cellStyle name="_고정자산v-last_MITK Recs SEP 2003.xls_-2004()" xfId="27377"/>
    <cellStyle name="_고정자산v-last_MITK Recs SEP 2003.xls_-2004()_financial statements-MKOI,MTIL,WSUI-(2007-09-30)jy" xfId="27378"/>
    <cellStyle name="_고정자산v-last_MITK Recs SEP 2003.xls_-2004()_롯데유럽홀딩스-NAV(2008-05-30)" xfId="27379"/>
    <cellStyle name="_고정자산v-last_MITK Recs SEP 2003.xls_-2004()_롯데유럽홀딩스-NAV(2008-06-30)" xfId="27380"/>
    <cellStyle name="_고정자산v-last_MITK Recs SEP 2003.xls_22001_1" xfId="27381"/>
    <cellStyle name="_고정자산v-last_MITK Recs SEP 2003.xls_22001_1_financial statements-MKOI,MTIL,WSUI-(2007-09-30)jy" xfId="27382"/>
    <cellStyle name="_고정자산v-last_MITK Recs SEP 2003.xls_22001_1_롯데유럽홀딩스-NAV(2008-05-30)" xfId="27383"/>
    <cellStyle name="_고정자산v-last_MITK Recs SEP 2003.xls_22001_1_롯데유럽홀딩스-NAV(2008-06-30)" xfId="27384"/>
    <cellStyle name="_고정자산v-last_MITK Recs SEP 2003.xls_22626_1" xfId="27385"/>
    <cellStyle name="_고정자산v-last_MITK Recs SEP 2003.xls_22626_1_financial statements-MKOI,MTIL,WSUI-(2007-09-30)jy" xfId="27386"/>
    <cellStyle name="_고정자산v-last_MITK Recs SEP 2003.xls_22626_1_롯데유럽홀딩스-NAV(2008-05-30)" xfId="27387"/>
    <cellStyle name="_고정자산v-last_MITK Recs SEP 2003.xls_22626_1_롯데유럽홀딩스-NAV(2008-06-30)" xfId="27388"/>
    <cellStyle name="_고정자산v-last_MITK Recs SEP 2003.xls_25978_1" xfId="27389"/>
    <cellStyle name="_고정자산v-last_MITK Recs SEP 2003.xls_25978_1_financial statements-MKOI,MTIL,WSUI-(2007-09-30)jy" xfId="27390"/>
    <cellStyle name="_고정자산v-last_MITK Recs SEP 2003.xls_25978_1_롯데유럽홀딩스-NAV(2008-05-30)" xfId="27391"/>
    <cellStyle name="_고정자산v-last_MITK Recs SEP 2003.xls_25978_1_롯데유럽홀딩스-NAV(2008-06-30)" xfId="27392"/>
    <cellStyle name="_고정자산v-last_MITK Recs SEP 2003.xls_26859_1" xfId="27393"/>
    <cellStyle name="_고정자산v-last_MITK Recs SEP 2003.xls_26859_1_financial statements-MKOI,MTIL,WSUI-(2007-09-30)jy" xfId="27394"/>
    <cellStyle name="_고정자산v-last_MITK Recs SEP 2003.xls_26859_1_롯데유럽홀딩스-NAV(2008-05-30)" xfId="27395"/>
    <cellStyle name="_고정자산v-last_MITK Recs SEP 2003.xls_26859_1_롯데유럽홀딩스-NAV(2008-06-30)" xfId="27396"/>
    <cellStyle name="_고정자산v-last_MITK Recs SEP 2003.xls_26973_1" xfId="27397"/>
    <cellStyle name="_고정자산v-last_MITK Recs SEP 2003.xls_26973_1_financial statements-MKOI,MTIL,WSUI-(2007-09-30)jy" xfId="27398"/>
    <cellStyle name="_고정자산v-last_MITK Recs SEP 2003.xls_26973_1_롯데유럽홀딩스-NAV(2008-05-30)" xfId="27399"/>
    <cellStyle name="_고정자산v-last_MITK Recs SEP 2003.xls_26973_1_롯데유럽홀딩스-NAV(2008-06-30)" xfId="27400"/>
    <cellStyle name="_고정자산v-last_MITK Recs SEP 2003.xls_27057_1" xfId="27401"/>
    <cellStyle name="_고정자산v-last_MITK Recs SEP 2003.xls_27057_1_financial statements-MKOI,MTIL,WSUI-(2007-09-30)jy" xfId="27402"/>
    <cellStyle name="_고정자산v-last_MITK Recs SEP 2003.xls_27057_1_롯데유럽홀딩스-NAV(2008-05-30)" xfId="27403"/>
    <cellStyle name="_고정자산v-last_MITK Recs SEP 2003.xls_27057_1_롯데유럽홀딩스-NAV(2008-06-30)" xfId="27404"/>
    <cellStyle name="_고정자산v-last_MITK Recs SEP 2003.xls_27105_1" xfId="27405"/>
    <cellStyle name="_고정자산v-last_MITK Recs SEP 2003.xls_27105_1_financial statements-MKOI,MTIL,WSUI-(2007-09-30)jy" xfId="27406"/>
    <cellStyle name="_고정자산v-last_MITK Recs SEP 2003.xls_27105_1_롯데유럽홀딩스-NAV(2008-05-30)" xfId="27407"/>
    <cellStyle name="_고정자산v-last_MITK Recs SEP 2003.xls_27105_1_롯데유럽홀딩스-NAV(2008-06-30)" xfId="27408"/>
    <cellStyle name="_고정자산v-last_MITK Recs SEP 2003.xls_27709_1" xfId="27409"/>
    <cellStyle name="_고정자산v-last_MITK Recs SEP 2003.xls_27709_1_financial statements-MKOI,MTIL,WSUI-(2007-09-30)jy" xfId="27410"/>
    <cellStyle name="_고정자산v-last_MITK Recs SEP 2003.xls_27709_1_롯데유럽홀딩스-NAV(2008-05-30)" xfId="27411"/>
    <cellStyle name="_고정자산v-last_MITK Recs SEP 2003.xls_27709_1_롯데유럽홀딩스-NAV(2008-06-30)" xfId="27412"/>
    <cellStyle name="_고정자산v-last_MITK Recs SEP 2003.xls_9260_1" xfId="27413"/>
    <cellStyle name="_고정자산v-last_MITK Recs SEP 2003.xls_9260_1_financial statements-MKOI,MTIL,WSUI-(2007-09-30)jy" xfId="27414"/>
    <cellStyle name="_고정자산v-last_MITK Recs SEP 2003.xls_9260_1_롯데유럽홀딩스-NAV(2008-05-30)" xfId="27415"/>
    <cellStyle name="_고정자산v-last_MITK Recs SEP 2003.xls_9260_1_롯데유럽홀딩스-NAV(2008-06-30)" xfId="27416"/>
    <cellStyle name="_고정자산v-last_MITK Recs SEP 2003.xls_financial statements-MKOI,MTIL,WSUI-(2007-09-30)jy" xfId="27417"/>
    <cellStyle name="_고정자산v-last_MITK Recs SEP 2003.xls_KRIF BS REC 0407" xfId="27418"/>
    <cellStyle name="_고정자산v-last_MITK Recs SEP 2003.xls_KRIF BS REC 0407_financial statements-MKOI,MTIL,WSUI-(2007-09-30)jy" xfId="27419"/>
    <cellStyle name="_고정자산v-last_MITK Recs SEP 2003.xls_KRIF BS REC 0407_롯데유럽홀딩스-NAV(2008-05-30)" xfId="27420"/>
    <cellStyle name="_고정자산v-last_MITK Recs SEP 2003.xls_KRIF BS REC 0407_롯데유럽홀딩스-NAV(2008-06-30)" xfId="27421"/>
    <cellStyle name="_고정자산v-last_MITK Recs SEP 2003.xls_KRIF BS REC 0408" xfId="27422"/>
    <cellStyle name="_고정자산v-last_MITK Recs SEP 2003.xls_KRIF BS REC 0408_financial statements-MKOI,MTIL,WSUI-(2007-09-30)jy" xfId="27423"/>
    <cellStyle name="_고정자산v-last_MITK Recs SEP 2003.xls_KRIF BS REC 0408_롯데유럽홀딩스-NAV(2008-05-30)" xfId="27424"/>
    <cellStyle name="_고정자산v-last_MITK Recs SEP 2003.xls_KRIF BS REC 0408_롯데유럽홀딩스-NAV(2008-06-30)" xfId="27425"/>
    <cellStyle name="_고정자산v-last_MITK Recs SEP 2003.xls_MSIM BS REC 07 2004" xfId="27426"/>
    <cellStyle name="_고정자산v-last_MITK Recs SEP 2003.xls_MSIM BS REC 07 2004_financial statements-MKOI,MTIL,WSUI-(2007-09-30)jy" xfId="27427"/>
    <cellStyle name="_고정자산v-last_MITK Recs SEP 2003.xls_MSIM BS REC 07 2004_롯데유럽홀딩스-NAV(2008-05-30)" xfId="27428"/>
    <cellStyle name="_고정자산v-last_MITK Recs SEP 2003.xls_MSIM BS REC 07 2004_롯데유럽홀딩스-NAV(2008-06-30)" xfId="27429"/>
    <cellStyle name="_고정자산v-last_MITK Recs SEP 2003.xls_MSIM BS REC 08 2004" xfId="27430"/>
    <cellStyle name="_고정자산v-last_MITK Recs SEP 2003.xls_MSIM BS REC 08 2004_financial statements-MKOI,MTIL,WSUI-(2007-09-30)jy" xfId="27431"/>
    <cellStyle name="_고정자산v-last_MITK Recs SEP 2003.xls_MSIM BS REC 08 2004_롯데유럽홀딩스-NAV(2008-05-30)" xfId="27432"/>
    <cellStyle name="_고정자산v-last_MITK Recs SEP 2003.xls_MSIM BS REC 08 2004_롯데유럽홀딩스-NAV(2008-06-30)" xfId="27433"/>
    <cellStyle name="_고정자산v-last_MITK Recs SEP 2003.xls_MSIM BS REC 10 2004" xfId="27434"/>
    <cellStyle name="_고정자산v-last_MITK Recs SEP 2003.xls_MSIM BS REC 10 2004_financial statements-MKOI,MTIL,WSUI-(2007-09-30)jy" xfId="27435"/>
    <cellStyle name="_고정자산v-last_MITK Recs SEP 2003.xls_MSIM BS REC 10 2004_롯데유럽홀딩스-NAV(2008-05-30)" xfId="27436"/>
    <cellStyle name="_고정자산v-last_MITK Recs SEP 2003.xls_MSIM BS REC 10 2004_롯데유럽홀딩스-NAV(2008-06-30)" xfId="27437"/>
    <cellStyle name="_고정자산v-last_MITK Recs SEP 2003.xls_MSIM BS REC 11 2004" xfId="27438"/>
    <cellStyle name="_고정자산v-last_MITK Recs SEP 2003.xls_MSIM BS REC 11 2004_financial statements-MKOI,MTIL,WSUI-(2007-09-30)jy" xfId="27439"/>
    <cellStyle name="_고정자산v-last_MITK Recs SEP 2003.xls_MSIM BS REC 11 2004_롯데유럽홀딩스-NAV(2008-05-30)" xfId="27440"/>
    <cellStyle name="_고정자산v-last_MITK Recs SEP 2003.xls_MSIM BS REC 11 2004_롯데유럽홀딩스-NAV(2008-06-30)" xfId="27441"/>
    <cellStyle name="_고정자산v-last_MITK Recs SEP 2003.xls_MSIM BS REC 12 2004" xfId="27442"/>
    <cellStyle name="_고정자산v-last_MITK Recs SEP 2003.xls_MSIM BS REC 12 2004_financial statements-MKOI,MTIL,WSUI-(2007-09-30)jy" xfId="27443"/>
    <cellStyle name="_고정자산v-last_MITK Recs SEP 2003.xls_MSIM BS REC 12 2004_롯데유럽홀딩스-NAV(2008-05-30)" xfId="27444"/>
    <cellStyle name="_고정자산v-last_MITK Recs SEP 2003.xls_MSIM BS REC 12 2004_롯데유럽홀딩스-NAV(2008-06-30)" xfId="27445"/>
    <cellStyle name="_고정자산v-last_MITK Recs SEP 2003.xls_롯데유럽홀딩스-NAV(2008-05-30)" xfId="27446"/>
    <cellStyle name="_고정자산v-last_MITK Recs SEP 2003.xls_롯데유럽홀딩스-NAV(2008-06-30)" xfId="27447"/>
    <cellStyle name="_고정자산v-last_MITK3415" xfId="27448"/>
    <cellStyle name="_고정자산v-last_MITK3415_-2004()" xfId="27449"/>
    <cellStyle name="_고정자산v-last_MITK3415_-2004()_financial statements-MKOI,MTIL,WSUI-(2007-09-30)jy" xfId="27450"/>
    <cellStyle name="_고정자산v-last_MITK3415_-2004()_롯데유럽홀딩스-NAV(2008-05-30)" xfId="27451"/>
    <cellStyle name="_고정자산v-last_MITK3415_-2004()_롯데유럽홀딩스-NAV(2008-06-30)" xfId="27452"/>
    <cellStyle name="_고정자산v-last_MITK3415_22001_1" xfId="27453"/>
    <cellStyle name="_고정자산v-last_MITK3415_22001_1_financial statements-MKOI,MTIL,WSUI-(2007-09-30)jy" xfId="27454"/>
    <cellStyle name="_고정자산v-last_MITK3415_22001_1_롯데유럽홀딩스-NAV(2008-05-30)" xfId="27455"/>
    <cellStyle name="_고정자산v-last_MITK3415_22001_1_롯데유럽홀딩스-NAV(2008-06-30)" xfId="27456"/>
    <cellStyle name="_고정자산v-last_MITK3415_22626_1" xfId="27457"/>
    <cellStyle name="_고정자산v-last_MITK3415_22626_1_financial statements-MKOI,MTIL,WSUI-(2007-09-30)jy" xfId="27458"/>
    <cellStyle name="_고정자산v-last_MITK3415_22626_1_롯데유럽홀딩스-NAV(2008-05-30)" xfId="27459"/>
    <cellStyle name="_고정자산v-last_MITK3415_22626_1_롯데유럽홀딩스-NAV(2008-06-30)" xfId="27460"/>
    <cellStyle name="_고정자산v-last_MITK3415_25978_1" xfId="27461"/>
    <cellStyle name="_고정자산v-last_MITK3415_25978_1_financial statements-MKOI,MTIL,WSUI-(2007-09-30)jy" xfId="27462"/>
    <cellStyle name="_고정자산v-last_MITK3415_25978_1_롯데유럽홀딩스-NAV(2008-05-30)" xfId="27463"/>
    <cellStyle name="_고정자산v-last_MITK3415_25978_1_롯데유럽홀딩스-NAV(2008-06-30)" xfId="27464"/>
    <cellStyle name="_고정자산v-last_MITK3415_26859_1" xfId="27465"/>
    <cellStyle name="_고정자산v-last_MITK3415_26859_1_financial statements-MKOI,MTIL,WSUI-(2007-09-30)jy" xfId="27466"/>
    <cellStyle name="_고정자산v-last_MITK3415_26859_1_롯데유럽홀딩스-NAV(2008-05-30)" xfId="27467"/>
    <cellStyle name="_고정자산v-last_MITK3415_26859_1_롯데유럽홀딩스-NAV(2008-06-30)" xfId="27468"/>
    <cellStyle name="_고정자산v-last_MITK3415_26973_1" xfId="27469"/>
    <cellStyle name="_고정자산v-last_MITK3415_26973_1_financial statements-MKOI,MTIL,WSUI-(2007-09-30)jy" xfId="27470"/>
    <cellStyle name="_고정자산v-last_MITK3415_26973_1_롯데유럽홀딩스-NAV(2008-05-30)" xfId="27471"/>
    <cellStyle name="_고정자산v-last_MITK3415_26973_1_롯데유럽홀딩스-NAV(2008-06-30)" xfId="27472"/>
    <cellStyle name="_고정자산v-last_MITK3415_27057_1" xfId="27473"/>
    <cellStyle name="_고정자산v-last_MITK3415_27057_1_financial statements-MKOI,MTIL,WSUI-(2007-09-30)jy" xfId="27474"/>
    <cellStyle name="_고정자산v-last_MITK3415_27057_1_롯데유럽홀딩스-NAV(2008-05-30)" xfId="27475"/>
    <cellStyle name="_고정자산v-last_MITK3415_27057_1_롯데유럽홀딩스-NAV(2008-06-30)" xfId="27476"/>
    <cellStyle name="_고정자산v-last_MITK3415_27105_1" xfId="27477"/>
    <cellStyle name="_고정자산v-last_MITK3415_27105_1_financial statements-MKOI,MTIL,WSUI-(2007-09-30)jy" xfId="27478"/>
    <cellStyle name="_고정자산v-last_MITK3415_27105_1_롯데유럽홀딩스-NAV(2008-05-30)" xfId="27479"/>
    <cellStyle name="_고정자산v-last_MITK3415_27105_1_롯데유럽홀딩스-NAV(2008-06-30)" xfId="27480"/>
    <cellStyle name="_고정자산v-last_MITK3415_27709_1" xfId="27481"/>
    <cellStyle name="_고정자산v-last_MITK3415_27709_1_financial statements-MKOI,MTIL,WSUI-(2007-09-30)jy" xfId="27482"/>
    <cellStyle name="_고정자산v-last_MITK3415_27709_1_롯데유럽홀딩스-NAV(2008-05-30)" xfId="27483"/>
    <cellStyle name="_고정자산v-last_MITK3415_27709_1_롯데유럽홀딩스-NAV(2008-06-30)" xfId="27484"/>
    <cellStyle name="_고정자산v-last_MITK3415_9260_1" xfId="27485"/>
    <cellStyle name="_고정자산v-last_MITK3415_9260_1_financial statements-MKOI,MTIL,WSUI-(2007-09-30)jy" xfId="27486"/>
    <cellStyle name="_고정자산v-last_MITK3415_9260_1_롯데유럽홀딩스-NAV(2008-05-30)" xfId="27487"/>
    <cellStyle name="_고정자산v-last_MITK3415_9260_1_롯데유럽홀딩스-NAV(2008-06-30)" xfId="27488"/>
    <cellStyle name="_고정자산v-last_MITK3415_financial statements-MKOI,MTIL,WSUI-(2007-09-30)jy" xfId="27489"/>
    <cellStyle name="_고정자산v-last_MITK3415_KRIF BS REC 0407" xfId="27490"/>
    <cellStyle name="_고정자산v-last_MITK3415_KRIF BS REC 0407_financial statements-MKOI,MTIL,WSUI-(2007-09-30)jy" xfId="27491"/>
    <cellStyle name="_고정자산v-last_MITK3415_KRIF BS REC 0407_롯데유럽홀딩스-NAV(2008-05-30)" xfId="27492"/>
    <cellStyle name="_고정자산v-last_MITK3415_KRIF BS REC 0407_롯데유럽홀딩스-NAV(2008-06-30)" xfId="27493"/>
    <cellStyle name="_고정자산v-last_MITK3415_KRIF BS REC 0408" xfId="27494"/>
    <cellStyle name="_고정자산v-last_MITK3415_KRIF BS REC 0408_financial statements-MKOI,MTIL,WSUI-(2007-09-30)jy" xfId="27495"/>
    <cellStyle name="_고정자산v-last_MITK3415_KRIF BS REC 0408_롯데유럽홀딩스-NAV(2008-05-30)" xfId="27496"/>
    <cellStyle name="_고정자산v-last_MITK3415_KRIF BS REC 0408_롯데유럽홀딩스-NAV(2008-06-30)" xfId="27497"/>
    <cellStyle name="_고정자산v-last_MITK3415_MSIM BS REC 07 2004" xfId="27498"/>
    <cellStyle name="_고정자산v-last_MITK3415_MSIM BS REC 07 2004_financial statements-MKOI,MTIL,WSUI-(2007-09-30)jy" xfId="27499"/>
    <cellStyle name="_고정자산v-last_MITK3415_MSIM BS REC 07 2004_롯데유럽홀딩스-NAV(2008-05-30)" xfId="27500"/>
    <cellStyle name="_고정자산v-last_MITK3415_MSIM BS REC 07 2004_롯데유럽홀딩스-NAV(2008-06-30)" xfId="27501"/>
    <cellStyle name="_고정자산v-last_MITK3415_MSIM BS REC 08 2004" xfId="27502"/>
    <cellStyle name="_고정자산v-last_MITK3415_MSIM BS REC 08 2004_financial statements-MKOI,MTIL,WSUI-(2007-09-30)jy" xfId="27503"/>
    <cellStyle name="_고정자산v-last_MITK3415_MSIM BS REC 08 2004_롯데유럽홀딩스-NAV(2008-05-30)" xfId="27504"/>
    <cellStyle name="_고정자산v-last_MITK3415_MSIM BS REC 08 2004_롯데유럽홀딩스-NAV(2008-06-30)" xfId="27505"/>
    <cellStyle name="_고정자산v-last_MITK3415_MSIM BS REC 10 2004" xfId="27506"/>
    <cellStyle name="_고정자산v-last_MITK3415_MSIM BS REC 10 2004_financial statements-MKOI,MTIL,WSUI-(2007-09-30)jy" xfId="27507"/>
    <cellStyle name="_고정자산v-last_MITK3415_MSIM BS REC 10 2004_롯데유럽홀딩스-NAV(2008-05-30)" xfId="27508"/>
    <cellStyle name="_고정자산v-last_MITK3415_MSIM BS REC 10 2004_롯데유럽홀딩스-NAV(2008-06-30)" xfId="27509"/>
    <cellStyle name="_고정자산v-last_MITK3415_MSIM BS REC 11 2004" xfId="27510"/>
    <cellStyle name="_고정자산v-last_MITK3415_MSIM BS REC 11 2004_financial statements-MKOI,MTIL,WSUI-(2007-09-30)jy" xfId="27511"/>
    <cellStyle name="_고정자산v-last_MITK3415_MSIM BS REC 11 2004_롯데유럽홀딩스-NAV(2008-05-30)" xfId="27512"/>
    <cellStyle name="_고정자산v-last_MITK3415_MSIM BS REC 11 2004_롯데유럽홀딩스-NAV(2008-06-30)" xfId="27513"/>
    <cellStyle name="_고정자산v-last_MITK3415_MSIM BS REC 12 2004" xfId="27514"/>
    <cellStyle name="_고정자산v-last_MITK3415_MSIM BS REC 12 2004_financial statements-MKOI,MTIL,WSUI-(2007-09-30)jy" xfId="27515"/>
    <cellStyle name="_고정자산v-last_MITK3415_MSIM BS REC 12 2004_롯데유럽홀딩스-NAV(2008-05-30)" xfId="27516"/>
    <cellStyle name="_고정자산v-last_MITK3415_MSIM BS REC 12 2004_롯데유럽홀딩스-NAV(2008-06-30)" xfId="27517"/>
    <cellStyle name="_고정자산v-last_MITK3415_롯데유럽홀딩스-NAV(2008-05-30)" xfId="27518"/>
    <cellStyle name="_고정자산v-last_MITK3415_롯데유럽홀딩스-NAV(2008-06-30)" xfId="27519"/>
    <cellStyle name="_고정자산v-last_MSIM BS REC 07 2004" xfId="27520"/>
    <cellStyle name="_고정자산v-last_MSIM BS REC 07 2004_financial statements-MKOI,MTIL,WSUI-(2007-09-30)jy" xfId="27521"/>
    <cellStyle name="_고정자산v-last_MSIM BS REC 07 2004_롯데유럽홀딩스-NAV(2008-05-30)" xfId="27522"/>
    <cellStyle name="_고정자산v-last_MSIM BS REC 07 2004_롯데유럽홀딩스-NAV(2008-06-30)" xfId="27523"/>
    <cellStyle name="_고정자산v-last_MSIM BS REC 08 2004" xfId="27524"/>
    <cellStyle name="_고정자산v-last_MSIM BS REC 08 2004_financial statements-MKOI,MTIL,WSUI-(2007-09-30)jy" xfId="27525"/>
    <cellStyle name="_고정자산v-last_MSIM BS REC 08 2004_롯데유럽홀딩스-NAV(2008-05-30)" xfId="27526"/>
    <cellStyle name="_고정자산v-last_MSIM BS REC 08 2004_롯데유럽홀딩스-NAV(2008-06-30)" xfId="27527"/>
    <cellStyle name="_고정자산v-last_MSIM BS REC 10 2004" xfId="27528"/>
    <cellStyle name="_고정자산v-last_MSIM BS REC 10 2004_financial statements-MKOI,MTIL,WSUI-(2007-09-30)jy" xfId="27529"/>
    <cellStyle name="_고정자산v-last_MSIM BS REC 10 2004_롯데유럽홀딩스-NAV(2008-05-30)" xfId="27530"/>
    <cellStyle name="_고정자산v-last_MSIM BS REC 10 2004_롯데유럽홀딩스-NAV(2008-06-30)" xfId="27531"/>
    <cellStyle name="_고정자산v-last_MSIM BS REC 11 2004" xfId="27532"/>
    <cellStyle name="_고정자산v-last_MSIM BS REC 11 2004_financial statements-MKOI,MTIL,WSUI-(2007-09-30)jy" xfId="27533"/>
    <cellStyle name="_고정자산v-last_MSIM BS REC 11 2004_롯데유럽홀딩스-NAV(2008-05-30)" xfId="27534"/>
    <cellStyle name="_고정자산v-last_MSIM BS REC 11 2004_롯데유럽홀딩스-NAV(2008-06-30)" xfId="27535"/>
    <cellStyle name="_고정자산v-last_MSIM BS REC 12 2004" xfId="27536"/>
    <cellStyle name="_고정자산v-last_MSIM BS REC 12 2004_financial statements-MKOI,MTIL,WSUI-(2007-09-30)jy" xfId="27537"/>
    <cellStyle name="_고정자산v-last_MSIM BS REC 12 2004_롯데유럽홀딩스-NAV(2008-05-30)" xfId="27538"/>
    <cellStyle name="_고정자산v-last_MSIM BS REC 12 2004_롯데유럽홀딩스-NAV(2008-06-30)" xfId="27539"/>
    <cellStyle name="_고정자산v-last_롯데유럽홀딩스-NAV(2008-05-30)" xfId="27540"/>
    <cellStyle name="_고정자산v-last_롯데유럽홀딩스-NAV(2008-06-30)" xfId="27541"/>
    <cellStyle name="_공사개요(건축사업팀03.09.02)" xfId="7346"/>
    <cellStyle name="_공시용재무제표_200803_감사전" xfId="19697"/>
    <cellStyle name="_공시용재무제표_200803_감사후" xfId="19698"/>
    <cellStyle name="_공종분개작업" xfId="7347"/>
    <cellStyle name="_관리비" xfId="7348"/>
    <cellStyle name="_관리지표" xfId="7349"/>
    <cellStyle name="_광주+속초내역(듀엘견적)" xfId="7350"/>
    <cellStyle name="_교보증권 57기 - 조정구파트" xfId="19699"/>
    <cellStyle name="_교원그룹 낙산 숙박시설 신축공사" xfId="7351"/>
    <cellStyle name="_구월동오피스텔(이토협의)의 백업" xfId="7352"/>
    <cellStyle name="_권리분석 교육자료(12-21)" xfId="440"/>
    <cellStyle name="_권리분석 교육자료(12-21) 2" xfId="441"/>
    <cellStyle name="_권리분석 교육자료(12-21) 3" xfId="442"/>
    <cellStyle name="_권오철감사(2001.6.12)" xfId="7353"/>
    <cellStyle name="_금액총괄표" xfId="7354"/>
    <cellStyle name="_금형" xfId="7355"/>
    <cellStyle name="_급여테스트" xfId="7356"/>
    <cellStyle name="_기개본 업체(4월말현재)" xfId="7357"/>
    <cellStyle name="_기말감사" xfId="19700"/>
    <cellStyle name="_기말감사2003-I&amp;C" xfId="19701"/>
    <cellStyle name="_기본fomat" xfId="7358"/>
    <cellStyle name="_기부금-영업" xfId="19702"/>
    <cellStyle name="_기성 유형자산(수정후) " xfId="7359"/>
    <cellStyle name="_기안용지-TOP진단회의" xfId="7360"/>
    <cellStyle name="_김대봉DL_FCF재송부_030414" xfId="27542"/>
    <cellStyle name="_김대봉GJ_결산보고서작성-2003" xfId="27543"/>
    <cellStyle name="_김미숙DL_계정명세서sum(5월)" xfId="27544"/>
    <cellStyle name="_김이사님E-MAIL" xfId="19703"/>
    <cellStyle name="_김종영_4분기 영업외수익 및 비용 추정" xfId="27545"/>
    <cellStyle name="_김종영GJ_보고자료(9월말)" xfId="27546"/>
    <cellStyle name="_김종영GJ_영업권계산(보고)" xfId="27547"/>
    <cellStyle name="_김창규_060620_전산개발 의뢰 업무 요건서_본부부서정의" xfId="27548"/>
    <cellStyle name="_나라비전lead schedule2002" xfId="7361"/>
    <cellStyle name="_나라비젼-2001년기말-이덕근" xfId="7362"/>
    <cellStyle name="_나라비젼-2002년 중간 - 양애리" xfId="7363"/>
    <cellStyle name="_나인_재무제표(보고용_최종)0303" xfId="27549"/>
    <cellStyle name="_나인DL_정산표0312_0403152000(AJE재수정_Samil)" xfId="27550"/>
    <cellStyle name="_내역003-추정내역" xfId="7364"/>
    <cellStyle name="_네오반기재무제표" xfId="7365"/>
    <cellStyle name="_뉴넷팝 lead schedule" xfId="7366"/>
    <cellStyle name="_다우SW(1023)" xfId="7367"/>
    <cellStyle name="_단가표" xfId="7368"/>
    <cellStyle name="_담배 2001 3사분기_2" xfId="19704"/>
    <cellStyle name="_담보명세_0514" xfId="443"/>
    <cellStyle name="_담보명세_0514 2" xfId="444"/>
    <cellStyle name="_담보명세_0514 3" xfId="445"/>
    <cellStyle name="_담보명세_지석" xfId="446"/>
    <cellStyle name="_담보명세_지석 2" xfId="447"/>
    <cellStyle name="_담보명세_지석 3" xfId="448"/>
    <cellStyle name="_담보명세_지석발송" xfId="449"/>
    <cellStyle name="_당팀-가실행작업" xfId="7369"/>
    <cellStyle name="_당행공담조정" xfId="450"/>
    <cellStyle name="_당행공담조정 2" xfId="451"/>
    <cellStyle name="_당행공담조정 3" xfId="452"/>
    <cellStyle name="_당행공담조정_Project O_Valuation_v7.0" xfId="453"/>
    <cellStyle name="_당행공담조정_Project O2_Valuation_v1.3" xfId="454"/>
    <cellStyle name="_당행공담조정_WR Bank 2010 1Q 공담분석_0221" xfId="455"/>
    <cellStyle name="_당행공담조정_WR Bank 2010 1Q 유덕현(0212)" xfId="456"/>
    <cellStyle name="_당행공담조정_WR Bank 2010 1Q 지석 취합자료(0217)" xfId="457"/>
    <cellStyle name="_대손충당금" xfId="27551"/>
    <cellStyle name="_대전문화동개략금액비교분석" xfId="7370"/>
    <cellStyle name="_대차대조표(공고용)_20070630_(최종2)" xfId="19705"/>
    <cellStyle name="_도급공사변경Ⅰ(0626)" xfId="7371"/>
    <cellStyle name="_도렴실행예산(최종사장님승인)" xfId="7372"/>
    <cellStyle name="_동창건재-재고자산" xfId="7373"/>
    <cellStyle name="_동창종합건재(20081126)_청산가치" xfId="7374"/>
    <cellStyle name="_동창종합건재_계속기업가치" xfId="7375"/>
    <cellStyle name="_등급" xfId="7376"/>
    <cellStyle name="_등급_090601_인원계획_V1.0(제출용포함)" xfId="7377"/>
    <cellStyle name="_등급_090602_인원계획_V1.1(제출용포함)" xfId="7378"/>
    <cellStyle name="_등급_090602_인원계획_V1.2(제출용포함)_ybokseo" xfId="7379"/>
    <cellStyle name="_등급_090603_인원계획_V1.4(제출용포함)" xfId="7380"/>
    <cellStyle name="_등급_pwc_인력투입실적표(4월까지)_제출본" xfId="7381"/>
    <cellStyle name="_등급_pwc_인력투입실적표(4월까지)_제출본_090601_인원계획_V1.0(제출용포함)" xfId="7382"/>
    <cellStyle name="_등급_pwc_인력투입실적표(4월까지)_제출본_090602_인원계획_V1.1(제출용포함)" xfId="7383"/>
    <cellStyle name="_등급_pwc_인력투입실적표(4월까지)_제출본_090602_인원계획_V1.2(제출용포함)_ybokseo" xfId="7384"/>
    <cellStyle name="_등급_pwc_인력투입실적표(4월까지)_제출본_090603_인원계획_V1.4(제출용포함)" xfId="7385"/>
    <cellStyle name="_레몬홈페이지개발프로젝트경비신청서03-03-09" xfId="7386"/>
    <cellStyle name="_롯데레몬 사이트 개발 견적서02-10-29" xfId="7387"/>
    <cellStyle name="_롯데레몬 사이트 개발 견적서02-11-06" xfId="7388"/>
    <cellStyle name="_리스크관리부" xfId="458"/>
    <cellStyle name="_리스크관리부 2" xfId="7389"/>
    <cellStyle name="_리스크관리부 3" xfId="7390"/>
    <cellStyle name="_링스텍-최종회" xfId="7391"/>
    <cellStyle name="_링스텍-최종회_서원양행-2002 FS - 양애리" xfId="7392"/>
    <cellStyle name="_마가레트 호텔" xfId="7393"/>
    <cellStyle name="_매도가능증권wp(2003_3분기)" xfId="19706"/>
    <cellStyle name="_매직산업(03기말-LHY)" xfId="19707"/>
    <cellStyle name="-_매직산업(03기말-LHY)" xfId="19708"/>
    <cellStyle name="-_매직산업(03기말-LHY) 2" xfId="19709"/>
    <cellStyle name="-_매직산업(03기말-LHY) 2 2" xfId="19710"/>
    <cellStyle name="-_매직산업(03기말-LHY) 3" xfId="19711"/>
    <cellStyle name="_매출액추정(안산도시개발)" xfId="7394"/>
    <cellStyle name="_맥쿼리3분기FS(최종)" xfId="27552"/>
    <cellStyle name="_명세서 위주" xfId="7395"/>
    <cellStyle name="_명세서 위주_서원양행-2002 FS - 양애리" xfId="7396"/>
    <cellStyle name="_모바일원-02반기-김선정" xfId="7397"/>
    <cellStyle name="_모스텍 Swift 통합견적0514" xfId="7398"/>
    <cellStyle name="_무형자산 내역" xfId="19712"/>
    <cellStyle name="_문래동 방적 방림" xfId="7399"/>
    <cellStyle name="_문래동가실행" xfId="7400"/>
    <cellStyle name="_문래동쇼핑몰" xfId="7401"/>
    <cellStyle name="_문화동 실행내역서" xfId="7402"/>
    <cellStyle name="_문화동관련부사장보고자료" xfId="7403"/>
    <cellStyle name="_미수금명세서(02)" xfId="19713"/>
    <cellStyle name="_미쓰미-기말감사(2nd)" xfId="19714"/>
    <cellStyle name="_민락동주상복합(분석표)" xfId="7404"/>
    <cellStyle name="_박순동_주식보상비용_보고용" xfId="27553"/>
    <cellStyle name="_박순동_파생상품" xfId="27554"/>
    <cellStyle name="_박지현 회계사(20050323)" xfId="459"/>
    <cellStyle name="_박지현 회계사(20050323) 2" xfId="7405"/>
    <cellStyle name="_박지현 회계사(20050323) 3" xfId="7406"/>
    <cellStyle name="_박지현 회계사(20050323)_KB CTR확인사항" xfId="27555"/>
    <cellStyle name="_박지현 회계사(20050323)_기타충당금&amp;기타자산대손충당금내역(0806)_잠정표" xfId="27556"/>
    <cellStyle name="_박지현 회계사(20050323)_대손충당금 변동내역(잠정)_0806-v5" xfId="27557"/>
    <cellStyle name="_반기2002-나래시스템(정준형)" xfId="7407"/>
    <cellStyle name="_반기2002-모바일원" xfId="7408"/>
    <cellStyle name="_반기2002-모바일원(정준형)" xfId="7409"/>
    <cellStyle name="_반기2002-모바일원-정준형" xfId="7410"/>
    <cellStyle name="_반기검토" xfId="7411"/>
    <cellStyle name="_반기-나래02(김선정)" xfId="7412"/>
    <cellStyle name="_반기-인디" xfId="7413"/>
    <cellStyle name="_반기-인디_imm창투기말" xfId="7414"/>
    <cellStyle name="_반기-인디_leadsheet-나래" xfId="7415"/>
    <cellStyle name="_반기-인디_반기-나래시스템(2001)" xfId="7416"/>
    <cellStyle name="_반기-인디_반기-나래시스템(2001)_서원양행-2002 FS - 양애리" xfId="7417"/>
    <cellStyle name="_반기-인디_서원양행-2002 FS - 양애리" xfId="7418"/>
    <cellStyle name="_반기-인디_페타 Leadschedule2001-final" xfId="7419"/>
    <cellStyle name="_반기-인츠" xfId="7420"/>
    <cellStyle name="_반기-인츠_imm창투기말" xfId="7421"/>
    <cellStyle name="_반기-인츠_leadsheet-나래" xfId="7422"/>
    <cellStyle name="_반기-인츠_반기-나래시스템(2001)" xfId="7423"/>
    <cellStyle name="_반기-인츠_반기-나래시스템(2001)_서원양행-2002 FS - 양애리" xfId="7424"/>
    <cellStyle name="_반기-인츠_서원양행-2002 FS - 양애리" xfId="7425"/>
    <cellStyle name="_반기-인츠_페타 Leadschedule2001-final" xfId="7426"/>
    <cellStyle name="_반기-인츠1" xfId="7427"/>
    <cellStyle name="_반기-인츠1_imm창투기말" xfId="7428"/>
    <cellStyle name="_반기-인츠1_leadsheet-나래" xfId="7429"/>
    <cellStyle name="_반기-인츠1_반기-나래시스템(2001)" xfId="7430"/>
    <cellStyle name="_반기-인츠1_반기-나래시스템(2001)_서원양행-2002 FS - 양애리" xfId="7431"/>
    <cellStyle name="_반기-인츠1_서원양행-2002 FS - 양애리" xfId="7432"/>
    <cellStyle name="_반기-인츠1_페타 Leadschedule2001-final" xfId="7433"/>
    <cellStyle name="_반기-진영" xfId="7434"/>
    <cellStyle name="_반기-진영_반기-나래시스템(2001)" xfId="7435"/>
    <cellStyle name="_반기-진영_반기-나래시스템(2001)_서원양행-2002 FS - 양애리" xfId="7436"/>
    <cellStyle name="_반기-진영_서원양행-2002 FS - 양애리" xfId="7437"/>
    <cellStyle name="_반기-진영2" xfId="7438"/>
    <cellStyle name="_반기-진영2_반기-나래시스템(2001)" xfId="7439"/>
    <cellStyle name="_반기-진영2_반기-나래시스템(2001)_서원양행-2002 FS - 양애리" xfId="7440"/>
    <cellStyle name="_반기-진영2_서원양행-2002 FS - 양애리" xfId="7441"/>
    <cellStyle name="_반기-크림" xfId="7442"/>
    <cellStyle name="-_반도산업조서2003(용)" xfId="7443"/>
    <cellStyle name="-_반도산업조서2003(용)_04년 중간(04.12.9)" xfId="7444"/>
    <cellStyle name="-_반도산업조서2003(용)_interim(PAY ROLL)" xfId="7445"/>
    <cellStyle name="-_반도산업조서2003(용)_interim-PAY ROLL" xfId="7446"/>
    <cellStyle name="-_반도중간(04.11.30)" xfId="7447"/>
    <cellStyle name="-_반도중간(04.11.30)_04년 중간(04.12.9)" xfId="7448"/>
    <cellStyle name="-_반도중간(04.11.30)_interim(PAY ROLL)" xfId="7449"/>
    <cellStyle name="-_반도중간(04.11.30)_interim-PAY ROLL" xfId="7450"/>
    <cellStyle name="_발산6,7단지 공내역서(건축1,ESC)" xfId="7451"/>
    <cellStyle name="_법인별_사업자등록번호_20081210_v1.1" xfId="19715"/>
    <cellStyle name="_법인세(합산2.17)" xfId="19716"/>
    <cellStyle name="_법인세비용2" xfId="7452"/>
    <cellStyle name="_법인세비용2_2001_FS_법인세비용 반영전" xfId="7453"/>
    <cellStyle name="_법인세비용2_2001_FS_법인세비용 반영전_2002_반기검토-삼건베리클" xfId="7454"/>
    <cellStyle name="_법인세비용2_2001_FS_법인세비용 반영전_삼건베리클-2002년반기-정준형" xfId="7455"/>
    <cellStyle name="_법인세비용2_2001_FS_법인세비용 반영전_서원양행-2002 FS - 양애리" xfId="7456"/>
    <cellStyle name="_법인세비용2_Book1" xfId="7457"/>
    <cellStyle name="_법인세비용2_Book1_2001_FS_법인세비용 반영전" xfId="7458"/>
    <cellStyle name="_법인세비용2_Book1_2001_FS_법인세비용 반영전_2002_반기검토-삼건베리클" xfId="7459"/>
    <cellStyle name="_법인세비용2_Book1_2001_FS_법인세비용 반영전_삼건베리클-2002년반기-정준형" xfId="7460"/>
    <cellStyle name="_법인세비용2_Book1_2001_FS_법인세비용 반영전_서원양행-2002 FS - 양애리" xfId="7461"/>
    <cellStyle name="_법인세비용2_Book1_leadsheet-나래" xfId="7462"/>
    <cellStyle name="_법인세비용2_Book1_서원양행-2002 FS - 양애리" xfId="7463"/>
    <cellStyle name="_법인세비용2_Book1_테코스(2001_기말감사)" xfId="7464"/>
    <cellStyle name="_법인세비용2_Book1_테코스(2001_기말감사)_2001_FS_법인세비용 반영전" xfId="7465"/>
    <cellStyle name="_법인세비용2_Book1_테코스(2001_기말감사)_2001_FS_법인세비용 반영전_2002_반기검토-삼건베리클" xfId="7466"/>
    <cellStyle name="_법인세비용2_Book1_테코스(2001_기말감사)_2001_FS_법인세비용 반영전_삼건베리클-2002년반기-정준형" xfId="7467"/>
    <cellStyle name="_법인세비용2_Book1_테코스(2001_기말감사)_2001_FS_법인세비용 반영전_서원양행-2002 FS - 양애리" xfId="7468"/>
    <cellStyle name="_법인세비용2_Book1_테코스(2001_기말감사)_서원양행-2002 FS - 양애리" xfId="7469"/>
    <cellStyle name="_법인세비용2_Book1_테코스(2001_기말감사)_테코스_2001_기말" xfId="7470"/>
    <cellStyle name="_법인세비용2_Book1_테코스(2001_기말감사)_테코스_2001_기말_2001_FS_법인세비용 반영전" xfId="7471"/>
    <cellStyle name="_법인세비용2_Book1_테코스(2001_기말감사)_테코스_2001_기말_2001_FS_법인세비용 반영전_2002_반기검토-삼건베리클" xfId="7472"/>
    <cellStyle name="_법인세비용2_Book1_테코스(2001_기말감사)_테코스_2001_기말_2001_FS_법인세비용 반영전_삼건베리클-2002년반기-정준형" xfId="7473"/>
    <cellStyle name="_법인세비용2_Book1_테코스(2001_기말감사)_테코스_2001_기말_2001_FS_법인세비용 반영전_서원양행-2002 FS - 양애리" xfId="7474"/>
    <cellStyle name="_법인세비용2_Book1_테코스(2001_기말감사)_테코스_2001_기말_서원양행-2002 FS - 양애리" xfId="7475"/>
    <cellStyle name="_법인세비용2_Book1_페타 Leadschedule2001-final" xfId="7476"/>
    <cellStyle name="_법인세비용2_imm창투기말" xfId="7477"/>
    <cellStyle name="_법인세비용2_leadsheet-나래" xfId="7478"/>
    <cellStyle name="_법인세비용2_감사조서(2001)_링스텍_기말" xfId="7479"/>
    <cellStyle name="_법인세비용2_감사조서(2001)_링스텍_기말_서원양행-2002 FS - 양애리" xfId="7480"/>
    <cellStyle name="_법인세비용2_링스텍lead schedule(2001년기말)-이덕근" xfId="7481"/>
    <cellStyle name="_법인세비용2_링스텍lead schedule(2001년기말)-이덕근_서원양행-2002 FS - 양애리" xfId="7482"/>
    <cellStyle name="_법인세비용2_반기-나래시스템(2001)" xfId="7483"/>
    <cellStyle name="_법인세비용2_반기-나래시스템(2001)_서원양행-2002 FS - 양애리" xfId="7484"/>
    <cellStyle name="_법인세비용2_서원양행-2002 FS - 양애리" xfId="7485"/>
    <cellStyle name="_법인세비용2_워커힐_2001_기말" xfId="7486"/>
    <cellStyle name="_법인세비용2_워커힐_2001_기말_서원양행-2002 FS - 양애리" xfId="7487"/>
    <cellStyle name="_법인세비용2_워커힐_2001_반기검토" xfId="7488"/>
    <cellStyle name="_법인세비용2_워커힐_2001_반기검토_서원양행-2002 FS - 양애리" xfId="7489"/>
    <cellStyle name="_법인세비용2_워커힐_2001_반기재무제표4" xfId="7490"/>
    <cellStyle name="_법인세비용2_워커힐_2001_반기재무제표4_서원양행-2002 FS - 양애리" xfId="7491"/>
    <cellStyle name="_법인세비용2_인네트_2001_기말" xfId="7492"/>
    <cellStyle name="_법인세비용2_인네트_2001_기말_서원양행-2002 FS - 양애리" xfId="7493"/>
    <cellStyle name="_법인세비용2_인네트_2001_기말감사" xfId="7494"/>
    <cellStyle name="_법인세비용2_인네트_2001_기말감사_2001_FS_법인세비용 반영전" xfId="7495"/>
    <cellStyle name="_법인세비용2_인네트_2001_기말감사_2001_FS_법인세비용 반영전_2002_반기검토-삼건베리클" xfId="7496"/>
    <cellStyle name="_법인세비용2_인네트_2001_기말감사_2001_FS_법인세비용 반영전_삼건베리클-2002년반기-정준형" xfId="7497"/>
    <cellStyle name="_법인세비용2_인네트_2001_기말감사_2001_FS_법인세비용 반영전_서원양행-2002 FS - 양애리" xfId="7498"/>
    <cellStyle name="_법인세비용2_인네트_2001_기말감사_서원양행-2002 FS - 양애리" xfId="7499"/>
    <cellStyle name="_법인세비용2_인네트_2001_기말감사_테코스(2001_기말감사)" xfId="7500"/>
    <cellStyle name="_법인세비용2_인네트_2001_기말감사_테코스(2001_기말감사)_2001_FS_법인세비용 반영전" xfId="7501"/>
    <cellStyle name="_법인세비용2_인네트_2001_기말감사_테코스(2001_기말감사)_2001_FS_법인세비용 반영전_2002_반기검토-삼건베리클" xfId="7502"/>
    <cellStyle name="_법인세비용2_인네트_2001_기말감사_테코스(2001_기말감사)_2001_FS_법인세비용 반영전_삼건베리클-2002년반기-정준형" xfId="7503"/>
    <cellStyle name="_법인세비용2_인네트_2001_기말감사_테코스(2001_기말감사)_2001_FS_법인세비용 반영전_서원양행-2002 FS - 양애리" xfId="7504"/>
    <cellStyle name="_법인세비용2_인네트_2001_기말감사_테코스(2001_기말감사)_서원양행-2002 FS - 양애리" xfId="7505"/>
    <cellStyle name="_법인세비용2_인네트_2001_기말감사_테코스(2001_기말감사)_테코스_2001_기말" xfId="7506"/>
    <cellStyle name="_법인세비용2_인네트_2001_기말감사_테코스(2001_기말감사)_테코스_2001_기말_2001_FS_법인세비용 반영전" xfId="7507"/>
    <cellStyle name="_법인세비용2_인네트_2001_기말감사_테코스(2001_기말감사)_테코스_2001_기말_2001_FS_법인세비용 반영전_2002_반기검토-삼건베리클" xfId="7508"/>
    <cellStyle name="_법인세비용2_인네트_2001_기말감사_테코스(2001_기말감사)_테코스_2001_기말_2001_FS_법인세비용 반영전_삼건베리클-2002년반기-정준형" xfId="7509"/>
    <cellStyle name="_법인세비용2_인네트_2001_기말감사_테코스(2001_기말감사)_테코스_2001_기말_2001_FS_법인세비용 반영전_서원양행-2002 FS - 양애리" xfId="7510"/>
    <cellStyle name="_법인세비용2_인네트_2001_기말감사_테코스(2001_기말감사)_테코스_2001_기말_서원양행-2002 FS - 양애리" xfId="7511"/>
    <cellStyle name="_법인세비용2_인네트_2001_반기검토(최종본2)" xfId="7512"/>
    <cellStyle name="_법인세비용2_인네트_2001_반기검토(최종본2)_서원양행-2002 FS - 양애리" xfId="7513"/>
    <cellStyle name="_법인세비용2_테코스(2001_반기검토)" xfId="7514"/>
    <cellStyle name="_법인세비용2_테코스(2001_반기검토)_2001_FS_법인세비용 반영전" xfId="7515"/>
    <cellStyle name="_법인세비용2_테코스(2001_반기검토)_2001_FS_법인세비용 반영전_2002_반기검토-삼건베리클" xfId="7516"/>
    <cellStyle name="_법인세비용2_테코스(2001_반기검토)_2001_FS_법인세비용 반영전_삼건베리클-2002년반기-정준형" xfId="7517"/>
    <cellStyle name="_법인세비용2_테코스(2001_반기검토)_2001_FS_법인세비용 반영전_서원양행-2002 FS - 양애리" xfId="7518"/>
    <cellStyle name="_법인세비용2_테코스(2001_반기검토)_leadsheet-나래" xfId="7519"/>
    <cellStyle name="_법인세비용2_테코스(2001_반기검토)_서원양행-2002 FS - 양애리" xfId="7520"/>
    <cellStyle name="_법인세비용2_테코스(2001_반기검토)_재무제표관련_테코스_2001" xfId="7521"/>
    <cellStyle name="_법인세비용2_테코스(2001_반기검토)_재무제표관련_테코스_2001_서원양행-2002 FS - 양애리" xfId="7522"/>
    <cellStyle name="_법인세비용2_테코스(2001_반기검토)_테코스(2001_기말감사)" xfId="7523"/>
    <cellStyle name="_법인세비용2_테코스(2001_반기검토)_테코스(2001_기말감사)_2001_FS_법인세비용 반영전" xfId="7524"/>
    <cellStyle name="_법인세비용2_테코스(2001_반기검토)_테코스(2001_기말감사)_2001_FS_법인세비용 반영전_2002_반기검토-삼건베리클" xfId="7525"/>
    <cellStyle name="_법인세비용2_테코스(2001_반기검토)_테코스(2001_기말감사)_2001_FS_법인세비용 반영전_삼건베리클-2002년반기-정준형" xfId="7526"/>
    <cellStyle name="_법인세비용2_테코스(2001_반기검토)_테코스(2001_기말감사)_2001_FS_법인세비용 반영전_서원양행-2002 FS - 양애리" xfId="7527"/>
    <cellStyle name="_법인세비용2_테코스(2001_반기검토)_테코스(2001_기말감사)_서원양행-2002 FS - 양애리" xfId="7528"/>
    <cellStyle name="_법인세비용2_테코스(2001_반기검토)_테코스(2001_기말감사)_테코스_2001_기말" xfId="7529"/>
    <cellStyle name="_법인세비용2_테코스(2001_반기검토)_테코스(2001_기말감사)_테코스_2001_기말_2001_FS_법인세비용 반영전" xfId="7530"/>
    <cellStyle name="_법인세비용2_테코스(2001_반기검토)_테코스(2001_기말감사)_테코스_2001_기말_2001_FS_법인세비용 반영전_2002_반기검토-삼건베리클" xfId="7531"/>
    <cellStyle name="_법인세비용2_테코스(2001_반기검토)_테코스(2001_기말감사)_테코스_2001_기말_2001_FS_법인세비용 반영전_삼건베리클-2002년반기-정준형" xfId="7532"/>
    <cellStyle name="_법인세비용2_테코스(2001_반기검토)_테코스(2001_기말감사)_테코스_2001_기말_2001_FS_법인세비용 반영전_서원양행-2002 FS - 양애리" xfId="7533"/>
    <cellStyle name="_법인세비용2_테코스(2001_반기검토)_테코스(2001_기말감사)_테코스_2001_기말_서원양행-2002 FS - 양애리" xfId="7534"/>
    <cellStyle name="_법인세비용2_테코스(2001_반기검토)_페타 Leadschedule2001-final" xfId="7535"/>
    <cellStyle name="_법인세비용2_테코스_2001_기말" xfId="7536"/>
    <cellStyle name="_법인세비용2_테코스_2001_기말_2001_FS_법인세비용 반영전" xfId="7537"/>
    <cellStyle name="_법인세비용2_테코스_2001_기말_2001_FS_법인세비용 반영전_2002_반기검토-삼건베리클" xfId="7538"/>
    <cellStyle name="_법인세비용2_테코스_2001_기말_2001_FS_법인세비용 반영전_삼건베리클-2002년반기-정준형" xfId="7539"/>
    <cellStyle name="_법인세비용2_테코스_2001_기말_2001_FS_법인세비용 반영전_서원양행-2002 FS - 양애리" xfId="7540"/>
    <cellStyle name="_법인세비용2_테코스_2001_기말_서원양행-2002 FS - 양애리" xfId="7541"/>
    <cellStyle name="_법인세비용2_페타 Leadschedule2001-final" xfId="7542"/>
    <cellStyle name="-_법인세비용-코크렙1호" xfId="19717"/>
    <cellStyle name="-_법인세비용-코크렙1호 2" xfId="19718"/>
    <cellStyle name="-_법인세비용-코크렙1호 2 2" xfId="19719"/>
    <cellStyle name="-_법인세비용-코크렙1호 3" xfId="19720"/>
    <cellStyle name="-_법인세비용-코크렙1호_04.10월 손익보정 내역(04.10.15~)" xfId="19721"/>
    <cellStyle name="-_법인세비용-코크렙1호_04.10월 손익보정 내역(04.10.15~) 2" xfId="19722"/>
    <cellStyle name="-_법인세비용-코크렙1호_04.10월 손익보정 내역(04.10.15~) 2 2" xfId="19723"/>
    <cellStyle name="-_법인세비용-코크렙1호_04.10월 손익보정 내역(04.10.15~) 3" xfId="19724"/>
    <cellStyle name="-_법인세비용-코크렙1호_04.10월 손익보정 내역(04.10.15~)_04.10월 손익보정 내역(04.10.15~)" xfId="19725"/>
    <cellStyle name="-_법인세비용-코크렙1호_04.10월 손익보정 내역(04.10.15~)_04.10월 손익보정 내역(04.10.15~) 2" xfId="19726"/>
    <cellStyle name="-_법인세비용-코크렙1호_04.10월 손익보정 내역(04.10.15~)_04.10월 손익보정 내역(04.10.15~) 2 2" xfId="19727"/>
    <cellStyle name="-_법인세비용-코크렙1호_04.10월 손익보정 내역(04.10.15~)_04.10월 손익보정 내역(04.10.15~) 3" xfId="19728"/>
    <cellStyle name="-_법인세비용-코크렙1호_04.10월 손익보정 내역(04.10.15~)_04.10월 손익보정 내역(04.10.15~)_1.창업관련 회계처리" xfId="19729"/>
    <cellStyle name="-_법인세비용-코크렙1호_04.10월 손익보정 내역(04.10.15~)_04.10월 손익보정 내역(04.10.15~)_1.창업관련 회계처리 2" xfId="19730"/>
    <cellStyle name="-_법인세비용-코크렙1호_04.10월 손익보정 내역(04.10.15~)_04.10월 손익보정 내역(04.10.15~)_1.창업관련 회계처리 2 2" xfId="19731"/>
    <cellStyle name="-_법인세비용-코크렙1호_04.10월 손익보정 내역(04.10.15~)_04.10월 손익보정 내역(04.10.15~)_1.창업관련 회계처리 3" xfId="19732"/>
    <cellStyle name="-_법인세비용-코크렙1호_04.10월 손익보정 내역(04.10.15~)_04.10월 손익보정 내역(04.10.15~)_1.창업관련 회계처리_I2 6월 결산 검증서_복합대출상품_20101119" xfId="19733"/>
    <cellStyle name="-_법인세비용-코크렙1호_04.10월 손익보정 내역(04.10.15~)_04.10월 손익보정 내역(04.10.15~)_1.창업관련 회계처리_I2 6월 결산 검증서_복합대출상품_20101119 2" xfId="19734"/>
    <cellStyle name="-_법인세비용-코크렙1호_04.10월 손익보정 내역(04.10.15~)_04.10월 손익보정 내역(04.10.15~)_1.창업관련 회계처리_I2 6월 결산 검증서_복합대출상품_20101119 2 2" xfId="19735"/>
    <cellStyle name="-_법인세비용-코크렙1호_04.10월 손익보정 내역(04.10.15~)_04.10월 손익보정 내역(04.10.15~)_1.창업관련 회계처리_Template회사작성분 검토_PEF(2)" xfId="19736"/>
    <cellStyle name="-_법인세비용-코크렙1호_04.10월 손익보정 내역(04.10.15~)_04.10월 손익보정 내역(04.10.15~)_1.창업관련 회계처리_Template회사작성분 검토_PEF(2) 2" xfId="19737"/>
    <cellStyle name="-_법인세비용-코크렙1호_04.10월 손익보정 내역(04.10.15~)_04.10월 손익보정 내역(04.10.15~)_1.창업관련 회계처리_Template회사작성분 검토_PEF(2) 2 2" xfId="19738"/>
    <cellStyle name="-_법인세비용-코크렙1호_04.10월 손익보정 내역(04.10.15~)_04.10월 손익보정 내역(04.10.15~)_1.창업관련 회계처리_Template회사작성분 검토_PEF(2) 3" xfId="19739"/>
    <cellStyle name="-_법인세비용-코크렙1호_04.10월 손익보정 내역(04.10.15~)_04.10월 손익보정 내역(04.10.15~)_1.창업관련 회계처리_Template회사작성분 검토_PEF(2)_I2 6월 결산 검증서_복합대출상품_20101119" xfId="19740"/>
    <cellStyle name="-_법인세비용-코크렙1호_04.10월 손익보정 내역(04.10.15~)_04.10월 손익보정 내역(04.10.15~)_1.창업관련 회계처리_Template회사작성분 검토_PEF(2)_I2 6월 결산 검증서_복합대출상품_20101119 2" xfId="19741"/>
    <cellStyle name="-_법인세비용-코크렙1호_04.10월 손익보정 내역(04.10.15~)_04.10월 손익보정 내역(04.10.15~)_1.창업관련 회계처리_Template회사작성분 검토_PEF(2)_I2 6월 결산 검증서_복합대출상품_20101119 2 2" xfId="19742"/>
    <cellStyle name="-_법인세비용-코크렙1호_04.10월 손익보정 내역(04.10.15~)_04.10월 손익보정 내역(04.10.15~)_I2 6월 결산 검증서_복합대출상품_20101119" xfId="19743"/>
    <cellStyle name="-_법인세비용-코크렙1호_04.10월 손익보정 내역(04.10.15~)_04.10월 손익보정 내역(04.10.15~)_I2 6월 결산 검증서_복합대출상품_20101119 2" xfId="19744"/>
    <cellStyle name="-_법인세비용-코크렙1호_04.10월 손익보정 내역(04.10.15~)_04.10월 손익보정 내역(04.10.15~)_I2 6월 결산 검증서_복합대출상품_20101119 2 2" xfId="19745"/>
    <cellStyle name="-_법인세비용-코크렙1호_04.10월 손익보정 내역(04.10.15~)_04.10월 손익보정 내역(04.10.15~)_name of fund" xfId="19746"/>
    <cellStyle name="-_법인세비용-코크렙1호_04.10월 손익보정 내역(04.10.15~)_04.10월 손익보정 내역(04.10.15~)_name of fund 2" xfId="19747"/>
    <cellStyle name="-_법인세비용-코크렙1호_04.10월 손익보정 내역(04.10.15~)_04.10월 손익보정 내역(04.10.15~)_name of fund 2 2" xfId="19748"/>
    <cellStyle name="-_법인세비용-코크렙1호_04.10월 손익보정 내역(04.10.15~)_04.10월 손익보정 내역(04.10.15~)_name of fund 3" xfId="19749"/>
    <cellStyle name="-_법인세비용-코크렙1호_04.10월 손익보정 내역(04.10.15~)_04.10월 손익보정 내역(04.10.15~)_name of fund_I2 6월 결산 검증서_복합대출상품_20101119" xfId="19750"/>
    <cellStyle name="-_법인세비용-코크렙1호_04.10월 손익보정 내역(04.10.15~)_04.10월 손익보정 내역(04.10.15~)_name of fund_I2 6월 결산 검증서_복합대출상품_20101119 2" xfId="19751"/>
    <cellStyle name="-_법인세비용-코크렙1호_04.10월 손익보정 내역(04.10.15~)_04.10월 손익보정 내역(04.10.15~)_name of fund_I2 6월 결산 검증서_복합대출상품_20101119 2 2" xfId="19752"/>
    <cellStyle name="-_법인세비용-코크렙1호_04.10월 손익보정 내역(04.10.15~)_04.10월 손익보정 내역(04.10.15~)_name of fund_name of fund" xfId="19753"/>
    <cellStyle name="-_법인세비용-코크렙1호_04.10월 손익보정 내역(04.10.15~)_04.10월 손익보정 내역(04.10.15~)_name of fund_name of fund 2" xfId="19754"/>
    <cellStyle name="-_법인세비용-코크렙1호_04.10월 손익보정 내역(04.10.15~)_04.10월 손익보정 내역(04.10.15~)_name of fund_name of fund 2 2" xfId="19755"/>
    <cellStyle name="-_법인세비용-코크렙1호_04.10월 손익보정 내역(04.10.15~)_04.10월 손익보정 내역(04.10.15~)_name of fund_name of fund 3" xfId="19756"/>
    <cellStyle name="-_법인세비용-코크렙1호_04.10월 손익보정 내역(04.10.15~)_04.10월 손익보정 내역(04.10.15~)_name of fund_name of fund_I2 6월 결산 검증서_복합대출상품_20101119" xfId="19757"/>
    <cellStyle name="-_법인세비용-코크렙1호_04.10월 손익보정 내역(04.10.15~)_04.10월 손익보정 내역(04.10.15~)_name of fund_name of fund_I2 6월 결산 검증서_복합대출상품_20101119 2" xfId="19758"/>
    <cellStyle name="-_법인세비용-코크렙1호_04.10월 손익보정 내역(04.10.15~)_04.10월 손익보정 내역(04.10.15~)_name of fund_name of fund_I2 6월 결산 검증서_복합대출상품_20101119 2 2" xfId="19759"/>
    <cellStyle name="-_법인세비용-코크렙1호_04.10월 손익보정 내역(04.10.15~)_04.10월 손익보정 내역(04.10.15~)_name of fund_name of fund_Template회사작성분 검토_PEF(2)" xfId="19760"/>
    <cellStyle name="-_법인세비용-코크렙1호_04.10월 손익보정 내역(04.10.15~)_04.10월 손익보정 내역(04.10.15~)_name of fund_name of fund_Template회사작성분 검토_PEF(2) 2" xfId="19761"/>
    <cellStyle name="-_법인세비용-코크렙1호_04.10월 손익보정 내역(04.10.15~)_04.10월 손익보정 내역(04.10.15~)_name of fund_name of fund_Template회사작성분 검토_PEF(2) 2 2" xfId="19762"/>
    <cellStyle name="-_법인세비용-코크렙1호_04.10월 손익보정 내역(04.10.15~)_04.10월 손익보정 내역(04.10.15~)_name of fund_name of fund_Template회사작성분 검토_PEF(2) 3" xfId="19763"/>
    <cellStyle name="-_법인세비용-코크렙1호_04.10월 손익보정 내역(04.10.15~)_04.10월 손익보정 내역(04.10.15~)_name of fund_name of fund_Template회사작성분 검토_PEF(2)_I2 6월 결산 검증서_복합대출상품_20101119" xfId="19764"/>
    <cellStyle name="-_법인세비용-코크렙1호_04.10월 손익보정 내역(04.10.15~)_04.10월 손익보정 내역(04.10.15~)_name of fund_name of fund_Template회사작성분 검토_PEF(2)_I2 6월 결산 검증서_복합대출상품_20101119 2" xfId="19765"/>
    <cellStyle name="-_법인세비용-코크렙1호_04.10월 손익보정 내역(04.10.15~)_04.10월 손익보정 내역(04.10.15~)_name of fund_name of fund_Template회사작성분 검토_PEF(2)_I2 6월 결산 검증서_복합대출상품_20101119 2 2" xfId="19766"/>
    <cellStyle name="-_법인세비용-코크렙1호_04.10월 손익보정 내역(04.10.15~)_04.10월 손익보정 내역(04.10.15~)_name of fund_Template회사작성분 검토_PEF(2)" xfId="19767"/>
    <cellStyle name="-_법인세비용-코크렙1호_04.10월 손익보정 내역(04.10.15~)_04.10월 손익보정 내역(04.10.15~)_name of fund_Template회사작성분 검토_PEF(2) 2" xfId="19768"/>
    <cellStyle name="-_법인세비용-코크렙1호_04.10월 손익보정 내역(04.10.15~)_04.10월 손익보정 내역(04.10.15~)_name of fund_Template회사작성분 검토_PEF(2) 2 2" xfId="19769"/>
    <cellStyle name="-_법인세비용-코크렙1호_04.10월 손익보정 내역(04.10.15~)_04.10월 손익보정 내역(04.10.15~)_name of fund_Template회사작성분 검토_PEF(2) 3" xfId="19770"/>
    <cellStyle name="-_법인세비용-코크렙1호_04.10월 손익보정 내역(04.10.15~)_04.10월 손익보정 내역(04.10.15~)_name of fund_Template회사작성분 검토_PEF(2)_I2 6월 결산 검증서_복합대출상품_20101119" xfId="19771"/>
    <cellStyle name="-_법인세비용-코크렙1호_04.10월 손익보정 내역(04.10.15~)_04.10월 손익보정 내역(04.10.15~)_name of fund_Template회사작성분 검토_PEF(2)_I2 6월 결산 검증서_복합대출상품_20101119 2" xfId="19772"/>
    <cellStyle name="-_법인세비용-코크렙1호_04.10월 손익보정 내역(04.10.15~)_04.10월 손익보정 내역(04.10.15~)_name of fund_Template회사작성분 검토_PEF(2)_I2 6월 결산 검증서_복합대출상품_20101119 2 2" xfId="19773"/>
    <cellStyle name="-_법인세비용-코크렙1호_04.10월 손익보정 내역(04.10.15~)_04.10월 손익보정 내역(04.10.15~)_SUN 입력용fund" xfId="19774"/>
    <cellStyle name="-_법인세비용-코크렙1호_04.10월 손익보정 내역(04.10.15~)_04.10월 손익보정 내역(04.10.15~)_SUN 입력용fund 2" xfId="19775"/>
    <cellStyle name="-_법인세비용-코크렙1호_04.10월 손익보정 내역(04.10.15~)_04.10월 손익보정 내역(04.10.15~)_SUN 입력용fund 2 2" xfId="19776"/>
    <cellStyle name="-_법인세비용-코크렙1호_04.10월 손익보정 내역(04.10.15~)_04.10월 손익보정 내역(04.10.15~)_SUN 입력용fund 3" xfId="19777"/>
    <cellStyle name="-_법인세비용-코크렙1호_04.10월 손익보정 내역(04.10.15~)_04.10월 손익보정 내역(04.10.15~)_SUN 입력용fund_I2 6월 결산 검증서_복합대출상품_20101119" xfId="19778"/>
    <cellStyle name="-_법인세비용-코크렙1호_04.10월 손익보정 내역(04.10.15~)_04.10월 손익보정 내역(04.10.15~)_SUN 입력용fund_I2 6월 결산 검증서_복합대출상품_20101119 2" xfId="19779"/>
    <cellStyle name="-_법인세비용-코크렙1호_04.10월 손익보정 내역(04.10.15~)_04.10월 손익보정 내역(04.10.15~)_SUN 입력용fund_I2 6월 결산 검증서_복합대출상품_20101119 2 2" xfId="19780"/>
    <cellStyle name="-_법인세비용-코크렙1호_04.10월 손익보정 내역(04.10.15~)_04.10월 손익보정 내역(04.10.15~)_SUN 입력용fund_name of fund" xfId="19781"/>
    <cellStyle name="-_법인세비용-코크렙1호_04.10월 손익보정 내역(04.10.15~)_04.10월 손익보정 내역(04.10.15~)_SUN 입력용fund_name of fund 2" xfId="19782"/>
    <cellStyle name="-_법인세비용-코크렙1호_04.10월 손익보정 내역(04.10.15~)_04.10월 손익보정 내역(04.10.15~)_SUN 입력용fund_name of fund 2 2" xfId="19783"/>
    <cellStyle name="-_법인세비용-코크렙1호_04.10월 손익보정 내역(04.10.15~)_04.10월 손익보정 내역(04.10.15~)_SUN 입력용fund_name of fund 3" xfId="19784"/>
    <cellStyle name="-_법인세비용-코크렙1호_04.10월 손익보정 내역(04.10.15~)_04.10월 손익보정 내역(04.10.15~)_SUN 입력용fund_name of fund_I2 6월 결산 검증서_복합대출상품_20101119" xfId="19785"/>
    <cellStyle name="-_법인세비용-코크렙1호_04.10월 손익보정 내역(04.10.15~)_04.10월 손익보정 내역(04.10.15~)_SUN 입력용fund_name of fund_I2 6월 결산 검증서_복합대출상품_20101119 2" xfId="19786"/>
    <cellStyle name="-_법인세비용-코크렙1호_04.10월 손익보정 내역(04.10.15~)_04.10월 손익보정 내역(04.10.15~)_SUN 입력용fund_name of fund_I2 6월 결산 검증서_복합대출상품_20101119 2 2" xfId="19787"/>
    <cellStyle name="-_법인세비용-코크렙1호_04.10월 손익보정 내역(04.10.15~)_04.10월 손익보정 내역(04.10.15~)_SUN 입력용fund_name of fund_Template회사작성분 검토_PEF(2)" xfId="19788"/>
    <cellStyle name="-_법인세비용-코크렙1호_04.10월 손익보정 내역(04.10.15~)_04.10월 손익보정 내역(04.10.15~)_SUN 입력용fund_name of fund_Template회사작성분 검토_PEF(2) 2" xfId="19789"/>
    <cellStyle name="-_법인세비용-코크렙1호_04.10월 손익보정 내역(04.10.15~)_04.10월 손익보정 내역(04.10.15~)_SUN 입력용fund_name of fund_Template회사작성분 검토_PEF(2) 2 2" xfId="19790"/>
    <cellStyle name="-_법인세비용-코크렙1호_04.10월 손익보정 내역(04.10.15~)_04.10월 손익보정 내역(04.10.15~)_SUN 입력용fund_name of fund_Template회사작성분 검토_PEF(2) 3" xfId="19791"/>
    <cellStyle name="-_법인세비용-코크렙1호_04.10월 손익보정 내역(04.10.15~)_04.10월 손익보정 내역(04.10.15~)_SUN 입력용fund_name of fund_Template회사작성분 검토_PEF(2)_I2 6월 결산 검증서_복합대출상품_20101119" xfId="19792"/>
    <cellStyle name="-_법인세비용-코크렙1호_04.10월 손익보정 내역(04.10.15~)_04.10월 손익보정 내역(04.10.15~)_SUN 입력용fund_name of fund_Template회사작성분 검토_PEF(2)_I2 6월 결산 검증서_복합대출상품_20101119 2" xfId="19793"/>
    <cellStyle name="-_법인세비용-코크렙1호_04.10월 손익보정 내역(04.10.15~)_04.10월 손익보정 내역(04.10.15~)_SUN 입력용fund_name of fund_Template회사작성분 검토_PEF(2)_I2 6월 결산 검증서_복합대출상품_20101119 2 2" xfId="19794"/>
    <cellStyle name="-_법인세비용-코크렙1호_04.10월 손익보정 내역(04.10.15~)_04.10월 손익보정 내역(04.10.15~)_SUN 입력용fund_Template회사작성분 검토_PEF(2)" xfId="19795"/>
    <cellStyle name="-_법인세비용-코크렙1호_04.10월 손익보정 내역(04.10.15~)_04.10월 손익보정 내역(04.10.15~)_SUN 입력용fund_Template회사작성분 검토_PEF(2) 2" xfId="19796"/>
    <cellStyle name="-_법인세비용-코크렙1호_04.10월 손익보정 내역(04.10.15~)_04.10월 손익보정 내역(04.10.15~)_SUN 입력용fund_Template회사작성분 검토_PEF(2) 2 2" xfId="19797"/>
    <cellStyle name="-_법인세비용-코크렙1호_04.10월 손익보정 내역(04.10.15~)_04.10월 손익보정 내역(04.10.15~)_SUN 입력용fund_Template회사작성분 검토_PEF(2) 3" xfId="19798"/>
    <cellStyle name="-_법인세비용-코크렙1호_04.10월 손익보정 내역(04.10.15~)_04.10월 손익보정 내역(04.10.15~)_SUN 입력용fund_Template회사작성분 검토_PEF(2)_I2 6월 결산 검증서_복합대출상품_20101119" xfId="19799"/>
    <cellStyle name="-_법인세비용-코크렙1호_04.10월 손익보정 내역(04.10.15~)_04.10월 손익보정 내역(04.10.15~)_SUN 입력용fund_Template회사작성분 검토_PEF(2)_I2 6월 결산 검증서_복합대출상품_20101119 2" xfId="19800"/>
    <cellStyle name="-_법인세비용-코크렙1호_04.10월 손익보정 내역(04.10.15~)_04.10월 손익보정 내역(04.10.15~)_SUN 입력용fund_Template회사작성분 검토_PEF(2)_I2 6월 결산 검증서_복합대출상품_20101119 2 2" xfId="19801"/>
    <cellStyle name="-_법인세비용-코크렙1호_04.10월 손익보정 내역(04.10.15~)_04.10월 손익보정 내역(04.10.15~)_Template회사작성분 검토_PEF(2)" xfId="19802"/>
    <cellStyle name="-_법인세비용-코크렙1호_04.10월 손익보정 내역(04.10.15~)_04.10월 손익보정 내역(04.10.15~)_Template회사작성분 검토_PEF(2) 2" xfId="19803"/>
    <cellStyle name="-_법인세비용-코크렙1호_04.10월 손익보정 내역(04.10.15~)_04.10월 손익보정 내역(04.10.15~)_Template회사작성분 검토_PEF(2) 2 2" xfId="19804"/>
    <cellStyle name="-_법인세비용-코크렙1호_04.10월 손익보정 내역(04.10.15~)_04.10월 손익보정 내역(04.10.15~)_Template회사작성분 검토_PEF(2) 3" xfId="19805"/>
    <cellStyle name="-_법인세비용-코크렙1호_04.10월 손익보정 내역(04.10.15~)_04.10월 손익보정 내역(04.10.15~)_Template회사작성분 검토_PEF(2)_I2 6월 결산 검증서_복합대출상품_20101119" xfId="19806"/>
    <cellStyle name="-_법인세비용-코크렙1호_04.10월 손익보정 내역(04.10.15~)_04.10월 손익보정 내역(04.10.15~)_Template회사작성분 검토_PEF(2)_I2 6월 결산 검증서_복합대출상품_20101119 2" xfId="19807"/>
    <cellStyle name="-_법인세비용-코크렙1호_04.10월 손익보정 내역(04.10.15~)_04.10월 손익보정 내역(04.10.15~)_Template회사작성분 검토_PEF(2)_I2 6월 결산 검증서_복합대출상품_20101119 2 2" xfId="19808"/>
    <cellStyle name="-_법인세비용-코크렙1호_04.10월 손익보정 내역(04.10.15~)_04.10월 손익보정 내역(04.10.26~)" xfId="19809"/>
    <cellStyle name="-_법인세비용-코크렙1호_04.10월 손익보정 내역(04.10.15~)_04.10월 손익보정 내역(04.10.26~) 2" xfId="19810"/>
    <cellStyle name="-_법인세비용-코크렙1호_04.10월 손익보정 내역(04.10.15~)_04.10월 손익보정 내역(04.10.26~) 2 2" xfId="19811"/>
    <cellStyle name="-_법인세비용-코크렙1호_04.10월 손익보정 내역(04.10.15~)_04.10월 손익보정 내역(04.10.26~) 3" xfId="19812"/>
    <cellStyle name="-_법인세비용-코크렙1호_04.10월 손익보정 내역(04.10.15~)_04.10월 손익보정 내역(04.10.26~)_1.창업관련 회계처리" xfId="19813"/>
    <cellStyle name="-_법인세비용-코크렙1호_04.10월 손익보정 내역(04.10.15~)_04.10월 손익보정 내역(04.10.26~)_1.창업관련 회계처리 2" xfId="19814"/>
    <cellStyle name="-_법인세비용-코크렙1호_04.10월 손익보정 내역(04.10.15~)_04.10월 손익보정 내역(04.10.26~)_1.창업관련 회계처리 2 2" xfId="19815"/>
    <cellStyle name="-_법인세비용-코크렙1호_04.10월 손익보정 내역(04.10.15~)_04.10월 손익보정 내역(04.10.26~)_1.창업관련 회계처리 3" xfId="19816"/>
    <cellStyle name="-_법인세비용-코크렙1호_04.10월 손익보정 내역(04.10.15~)_04.10월 손익보정 내역(04.10.26~)_1.창업관련 회계처리_I2 6월 결산 검증서_복합대출상품_20101119" xfId="19817"/>
    <cellStyle name="-_법인세비용-코크렙1호_04.10월 손익보정 내역(04.10.15~)_04.10월 손익보정 내역(04.10.26~)_1.창업관련 회계처리_I2 6월 결산 검증서_복합대출상품_20101119 2" xfId="19818"/>
    <cellStyle name="-_법인세비용-코크렙1호_04.10월 손익보정 내역(04.10.15~)_04.10월 손익보정 내역(04.10.26~)_1.창업관련 회계처리_I2 6월 결산 검증서_복합대출상품_20101119 2 2" xfId="19819"/>
    <cellStyle name="-_법인세비용-코크렙1호_04.10월 손익보정 내역(04.10.15~)_04.10월 손익보정 내역(04.10.26~)_1.창업관련 회계처리_Template회사작성분 검토_PEF(2)" xfId="19820"/>
    <cellStyle name="-_법인세비용-코크렙1호_04.10월 손익보정 내역(04.10.15~)_04.10월 손익보정 내역(04.10.26~)_1.창업관련 회계처리_Template회사작성분 검토_PEF(2) 2" xfId="19821"/>
    <cellStyle name="-_법인세비용-코크렙1호_04.10월 손익보정 내역(04.10.15~)_04.10월 손익보정 내역(04.10.26~)_1.창업관련 회계처리_Template회사작성분 검토_PEF(2) 2 2" xfId="19822"/>
    <cellStyle name="-_법인세비용-코크렙1호_04.10월 손익보정 내역(04.10.15~)_04.10월 손익보정 내역(04.10.26~)_1.창업관련 회계처리_Template회사작성분 검토_PEF(2) 3" xfId="19823"/>
    <cellStyle name="-_법인세비용-코크렙1호_04.10월 손익보정 내역(04.10.15~)_04.10월 손익보정 내역(04.10.26~)_1.창업관련 회계처리_Template회사작성분 검토_PEF(2)_I2 6월 결산 검증서_복합대출상품_20101119" xfId="19824"/>
    <cellStyle name="-_법인세비용-코크렙1호_04.10월 손익보정 내역(04.10.15~)_04.10월 손익보정 내역(04.10.26~)_1.창업관련 회계처리_Template회사작성분 검토_PEF(2)_I2 6월 결산 검증서_복합대출상품_20101119 2" xfId="19825"/>
    <cellStyle name="-_법인세비용-코크렙1호_04.10월 손익보정 내역(04.10.15~)_04.10월 손익보정 내역(04.10.26~)_1.창업관련 회계처리_Template회사작성분 검토_PEF(2)_I2 6월 결산 검증서_복합대출상품_20101119 2 2" xfId="19826"/>
    <cellStyle name="-_법인세비용-코크렙1호_04.10월 손익보정 내역(04.10.15~)_04.10월 손익보정 내역(04.10.26~)_I2 6월 결산 검증서_복합대출상품_20101119" xfId="19827"/>
    <cellStyle name="-_법인세비용-코크렙1호_04.10월 손익보정 내역(04.10.15~)_04.10월 손익보정 내역(04.10.26~)_I2 6월 결산 검증서_복합대출상품_20101119 2" xfId="19828"/>
    <cellStyle name="-_법인세비용-코크렙1호_04.10월 손익보정 내역(04.10.15~)_04.10월 손익보정 내역(04.10.26~)_I2 6월 결산 검증서_복합대출상품_20101119 2 2" xfId="19829"/>
    <cellStyle name="-_법인세비용-코크렙1호_04.10월 손익보정 내역(04.10.15~)_04.10월 손익보정 내역(04.10.26~)_name of fund" xfId="19830"/>
    <cellStyle name="-_법인세비용-코크렙1호_04.10월 손익보정 내역(04.10.15~)_04.10월 손익보정 내역(04.10.26~)_name of fund 2" xfId="19831"/>
    <cellStyle name="-_법인세비용-코크렙1호_04.10월 손익보정 내역(04.10.15~)_04.10월 손익보정 내역(04.10.26~)_name of fund 2 2" xfId="19832"/>
    <cellStyle name="-_법인세비용-코크렙1호_04.10월 손익보정 내역(04.10.15~)_04.10월 손익보정 내역(04.10.26~)_name of fund 3" xfId="19833"/>
    <cellStyle name="-_법인세비용-코크렙1호_04.10월 손익보정 내역(04.10.15~)_04.10월 손익보정 내역(04.10.26~)_name of fund_I2 6월 결산 검증서_복합대출상품_20101119" xfId="19834"/>
    <cellStyle name="-_법인세비용-코크렙1호_04.10월 손익보정 내역(04.10.15~)_04.10월 손익보정 내역(04.10.26~)_name of fund_I2 6월 결산 검증서_복합대출상품_20101119 2" xfId="19835"/>
    <cellStyle name="-_법인세비용-코크렙1호_04.10월 손익보정 내역(04.10.15~)_04.10월 손익보정 내역(04.10.26~)_name of fund_I2 6월 결산 검증서_복합대출상품_20101119 2 2" xfId="19836"/>
    <cellStyle name="-_법인세비용-코크렙1호_04.10월 손익보정 내역(04.10.15~)_04.10월 손익보정 내역(04.10.26~)_name of fund_name of fund" xfId="19837"/>
    <cellStyle name="-_법인세비용-코크렙1호_04.10월 손익보정 내역(04.10.15~)_04.10월 손익보정 내역(04.10.26~)_name of fund_name of fund 2" xfId="19838"/>
    <cellStyle name="-_법인세비용-코크렙1호_04.10월 손익보정 내역(04.10.15~)_04.10월 손익보정 내역(04.10.26~)_name of fund_name of fund 2 2" xfId="19839"/>
    <cellStyle name="-_법인세비용-코크렙1호_04.10월 손익보정 내역(04.10.15~)_04.10월 손익보정 내역(04.10.26~)_name of fund_name of fund 3" xfId="19840"/>
    <cellStyle name="-_법인세비용-코크렙1호_04.10월 손익보정 내역(04.10.15~)_04.10월 손익보정 내역(04.10.26~)_name of fund_name of fund_I2 6월 결산 검증서_복합대출상품_20101119" xfId="19841"/>
    <cellStyle name="-_법인세비용-코크렙1호_04.10월 손익보정 내역(04.10.15~)_04.10월 손익보정 내역(04.10.26~)_name of fund_name of fund_I2 6월 결산 검증서_복합대출상품_20101119 2" xfId="19842"/>
    <cellStyle name="-_법인세비용-코크렙1호_04.10월 손익보정 내역(04.10.15~)_04.10월 손익보정 내역(04.10.26~)_name of fund_name of fund_I2 6월 결산 검증서_복합대출상품_20101119 2 2" xfId="19843"/>
    <cellStyle name="-_법인세비용-코크렙1호_04.10월 손익보정 내역(04.10.15~)_04.10월 손익보정 내역(04.10.26~)_name of fund_name of fund_Template회사작성분 검토_PEF(2)" xfId="19844"/>
    <cellStyle name="-_법인세비용-코크렙1호_04.10월 손익보정 내역(04.10.15~)_04.10월 손익보정 내역(04.10.26~)_name of fund_name of fund_Template회사작성분 검토_PEF(2) 2" xfId="19845"/>
    <cellStyle name="-_법인세비용-코크렙1호_04.10월 손익보정 내역(04.10.15~)_04.10월 손익보정 내역(04.10.26~)_name of fund_name of fund_Template회사작성분 검토_PEF(2) 2 2" xfId="19846"/>
    <cellStyle name="-_법인세비용-코크렙1호_04.10월 손익보정 내역(04.10.15~)_04.10월 손익보정 내역(04.10.26~)_name of fund_name of fund_Template회사작성분 검토_PEF(2) 3" xfId="19847"/>
    <cellStyle name="-_법인세비용-코크렙1호_04.10월 손익보정 내역(04.10.15~)_04.10월 손익보정 내역(04.10.26~)_name of fund_name of fund_Template회사작성분 검토_PEF(2)_I2 6월 결산 검증서_복합대출상품_20101119" xfId="19848"/>
    <cellStyle name="-_법인세비용-코크렙1호_04.10월 손익보정 내역(04.10.15~)_04.10월 손익보정 내역(04.10.26~)_name of fund_name of fund_Template회사작성분 검토_PEF(2)_I2 6월 결산 검증서_복합대출상품_20101119 2" xfId="19849"/>
    <cellStyle name="-_법인세비용-코크렙1호_04.10월 손익보정 내역(04.10.15~)_04.10월 손익보정 내역(04.10.26~)_name of fund_name of fund_Template회사작성분 검토_PEF(2)_I2 6월 결산 검증서_복합대출상품_20101119 2 2" xfId="19850"/>
    <cellStyle name="-_법인세비용-코크렙1호_04.10월 손익보정 내역(04.10.15~)_04.10월 손익보정 내역(04.10.26~)_name of fund_Template회사작성분 검토_PEF(2)" xfId="19851"/>
    <cellStyle name="-_법인세비용-코크렙1호_04.10월 손익보정 내역(04.10.15~)_04.10월 손익보정 내역(04.10.26~)_name of fund_Template회사작성분 검토_PEF(2) 2" xfId="19852"/>
    <cellStyle name="-_법인세비용-코크렙1호_04.10월 손익보정 내역(04.10.15~)_04.10월 손익보정 내역(04.10.26~)_name of fund_Template회사작성분 검토_PEF(2) 2 2" xfId="19853"/>
    <cellStyle name="-_법인세비용-코크렙1호_04.10월 손익보정 내역(04.10.15~)_04.10월 손익보정 내역(04.10.26~)_name of fund_Template회사작성분 검토_PEF(2) 3" xfId="19854"/>
    <cellStyle name="-_법인세비용-코크렙1호_04.10월 손익보정 내역(04.10.15~)_04.10월 손익보정 내역(04.10.26~)_name of fund_Template회사작성분 검토_PEF(2)_I2 6월 결산 검증서_복합대출상품_20101119" xfId="19855"/>
    <cellStyle name="-_법인세비용-코크렙1호_04.10월 손익보정 내역(04.10.15~)_04.10월 손익보정 내역(04.10.26~)_name of fund_Template회사작성분 검토_PEF(2)_I2 6월 결산 검증서_복합대출상품_20101119 2" xfId="19856"/>
    <cellStyle name="-_법인세비용-코크렙1호_04.10월 손익보정 내역(04.10.15~)_04.10월 손익보정 내역(04.10.26~)_name of fund_Template회사작성분 검토_PEF(2)_I2 6월 결산 검증서_복합대출상품_20101119 2 2" xfId="19857"/>
    <cellStyle name="-_법인세비용-코크렙1호_04.10월 손익보정 내역(04.10.15~)_04.10월 손익보정 내역(04.10.26~)_SUN 입력용fund" xfId="19858"/>
    <cellStyle name="-_법인세비용-코크렙1호_04.10월 손익보정 내역(04.10.15~)_04.10월 손익보정 내역(04.10.26~)_SUN 입력용fund 2" xfId="19859"/>
    <cellStyle name="-_법인세비용-코크렙1호_04.10월 손익보정 내역(04.10.15~)_04.10월 손익보정 내역(04.10.26~)_SUN 입력용fund 2 2" xfId="19860"/>
    <cellStyle name="-_법인세비용-코크렙1호_04.10월 손익보정 내역(04.10.15~)_04.10월 손익보정 내역(04.10.26~)_SUN 입력용fund 3" xfId="19861"/>
    <cellStyle name="-_법인세비용-코크렙1호_04.10월 손익보정 내역(04.10.15~)_04.10월 손익보정 내역(04.10.26~)_SUN 입력용fund_I2 6월 결산 검증서_복합대출상품_20101119" xfId="19862"/>
    <cellStyle name="-_법인세비용-코크렙1호_04.10월 손익보정 내역(04.10.15~)_04.10월 손익보정 내역(04.10.26~)_SUN 입력용fund_I2 6월 결산 검증서_복합대출상품_20101119 2" xfId="19863"/>
    <cellStyle name="-_법인세비용-코크렙1호_04.10월 손익보정 내역(04.10.15~)_04.10월 손익보정 내역(04.10.26~)_SUN 입력용fund_I2 6월 결산 검증서_복합대출상품_20101119 2 2" xfId="19864"/>
    <cellStyle name="-_법인세비용-코크렙1호_04.10월 손익보정 내역(04.10.15~)_04.10월 손익보정 내역(04.10.26~)_SUN 입력용fund_name of fund" xfId="19865"/>
    <cellStyle name="-_법인세비용-코크렙1호_04.10월 손익보정 내역(04.10.15~)_04.10월 손익보정 내역(04.10.26~)_SUN 입력용fund_name of fund 2" xfId="19866"/>
    <cellStyle name="-_법인세비용-코크렙1호_04.10월 손익보정 내역(04.10.15~)_04.10월 손익보정 내역(04.10.26~)_SUN 입력용fund_name of fund 2 2" xfId="19867"/>
    <cellStyle name="-_법인세비용-코크렙1호_04.10월 손익보정 내역(04.10.15~)_04.10월 손익보정 내역(04.10.26~)_SUN 입력용fund_name of fund 3" xfId="19868"/>
    <cellStyle name="-_법인세비용-코크렙1호_04.10월 손익보정 내역(04.10.15~)_04.10월 손익보정 내역(04.10.26~)_SUN 입력용fund_name of fund_I2 6월 결산 검증서_복합대출상품_20101119" xfId="19869"/>
    <cellStyle name="-_법인세비용-코크렙1호_04.10월 손익보정 내역(04.10.15~)_04.10월 손익보정 내역(04.10.26~)_SUN 입력용fund_name of fund_I2 6월 결산 검증서_복합대출상품_20101119 2" xfId="19870"/>
    <cellStyle name="-_법인세비용-코크렙1호_04.10월 손익보정 내역(04.10.15~)_04.10월 손익보정 내역(04.10.26~)_SUN 입력용fund_name of fund_I2 6월 결산 검증서_복합대출상품_20101119 2 2" xfId="19871"/>
    <cellStyle name="-_법인세비용-코크렙1호_04.10월 손익보정 내역(04.10.15~)_04.10월 손익보정 내역(04.10.26~)_SUN 입력용fund_name of fund_Template회사작성분 검토_PEF(2)" xfId="19872"/>
    <cellStyle name="-_법인세비용-코크렙1호_04.10월 손익보정 내역(04.10.15~)_04.10월 손익보정 내역(04.10.26~)_SUN 입력용fund_name of fund_Template회사작성분 검토_PEF(2) 2" xfId="19873"/>
    <cellStyle name="-_법인세비용-코크렙1호_04.10월 손익보정 내역(04.10.15~)_04.10월 손익보정 내역(04.10.26~)_SUN 입력용fund_name of fund_Template회사작성분 검토_PEF(2) 2 2" xfId="19874"/>
    <cellStyle name="-_법인세비용-코크렙1호_04.10월 손익보정 내역(04.10.15~)_04.10월 손익보정 내역(04.10.26~)_SUN 입력용fund_name of fund_Template회사작성분 검토_PEF(2) 3" xfId="19875"/>
    <cellStyle name="-_법인세비용-코크렙1호_04.10월 손익보정 내역(04.10.15~)_04.10월 손익보정 내역(04.10.26~)_SUN 입력용fund_name of fund_Template회사작성분 검토_PEF(2)_I2 6월 결산 검증서_복합대출상품_20101119" xfId="19876"/>
    <cellStyle name="-_법인세비용-코크렙1호_04.10월 손익보정 내역(04.10.15~)_04.10월 손익보정 내역(04.10.26~)_SUN 입력용fund_name of fund_Template회사작성분 검토_PEF(2)_I2 6월 결산 검증서_복합대출상품_20101119 2" xfId="19877"/>
    <cellStyle name="-_법인세비용-코크렙1호_04.10월 손익보정 내역(04.10.15~)_04.10월 손익보정 내역(04.10.26~)_SUN 입력용fund_name of fund_Template회사작성분 검토_PEF(2)_I2 6월 결산 검증서_복합대출상품_20101119 2 2" xfId="19878"/>
    <cellStyle name="-_법인세비용-코크렙1호_04.10월 손익보정 내역(04.10.15~)_04.10월 손익보정 내역(04.10.26~)_SUN 입력용fund_Template회사작성분 검토_PEF(2)" xfId="19879"/>
    <cellStyle name="-_법인세비용-코크렙1호_04.10월 손익보정 내역(04.10.15~)_04.10월 손익보정 내역(04.10.26~)_SUN 입력용fund_Template회사작성분 검토_PEF(2) 2" xfId="19880"/>
    <cellStyle name="-_법인세비용-코크렙1호_04.10월 손익보정 내역(04.10.15~)_04.10월 손익보정 내역(04.10.26~)_SUN 입력용fund_Template회사작성분 검토_PEF(2) 2 2" xfId="19881"/>
    <cellStyle name="-_법인세비용-코크렙1호_04.10월 손익보정 내역(04.10.15~)_04.10월 손익보정 내역(04.10.26~)_SUN 입력용fund_Template회사작성분 검토_PEF(2) 3" xfId="19882"/>
    <cellStyle name="-_법인세비용-코크렙1호_04.10월 손익보정 내역(04.10.15~)_04.10월 손익보정 내역(04.10.26~)_SUN 입력용fund_Template회사작성분 검토_PEF(2)_I2 6월 결산 검증서_복합대출상품_20101119" xfId="19883"/>
    <cellStyle name="-_법인세비용-코크렙1호_04.10월 손익보정 내역(04.10.15~)_04.10월 손익보정 내역(04.10.26~)_SUN 입력용fund_Template회사작성분 검토_PEF(2)_I2 6월 결산 검증서_복합대출상품_20101119 2" xfId="19884"/>
    <cellStyle name="-_법인세비용-코크렙1호_04.10월 손익보정 내역(04.10.15~)_04.10월 손익보정 내역(04.10.26~)_SUN 입력용fund_Template회사작성분 검토_PEF(2)_I2 6월 결산 검증서_복합대출상품_20101119 2 2" xfId="19885"/>
    <cellStyle name="-_법인세비용-코크렙1호_04.10월 손익보정 내역(04.10.15~)_04.10월 손익보정 내역(04.10.26~)_Template회사작성분 검토_PEF(2)" xfId="19886"/>
    <cellStyle name="-_법인세비용-코크렙1호_04.10월 손익보정 내역(04.10.15~)_04.10월 손익보정 내역(04.10.26~)_Template회사작성분 검토_PEF(2) 2" xfId="19887"/>
    <cellStyle name="-_법인세비용-코크렙1호_04.10월 손익보정 내역(04.10.15~)_04.10월 손익보정 내역(04.10.26~)_Template회사작성분 검토_PEF(2) 2 2" xfId="19888"/>
    <cellStyle name="-_법인세비용-코크렙1호_04.10월 손익보정 내역(04.10.15~)_04.10월 손익보정 내역(04.10.26~)_Template회사작성분 검토_PEF(2) 3" xfId="19889"/>
    <cellStyle name="-_법인세비용-코크렙1호_04.10월 손익보정 내역(04.10.15~)_04.10월 손익보정 내역(04.10.26~)_Template회사작성분 검토_PEF(2)_I2 6월 결산 검증서_복합대출상품_20101119" xfId="19890"/>
    <cellStyle name="-_법인세비용-코크렙1호_04.10월 손익보정 내역(04.10.15~)_04.10월 손익보정 내역(04.10.26~)_Template회사작성분 검토_PEF(2)_I2 6월 결산 검증서_복합대출상품_20101119 2" xfId="19891"/>
    <cellStyle name="-_법인세비용-코크렙1호_04.10월 손익보정 내역(04.10.15~)_04.10월 손익보정 내역(04.10.26~)_Template회사작성분 검토_PEF(2)_I2 6월 결산 검증서_복합대출상품_20101119 2 2" xfId="19892"/>
    <cellStyle name="-_법인세비용-코크렙1호_04.10월 손익보정 내역(04.10.15~)_1.창업관련 회계처리" xfId="19893"/>
    <cellStyle name="-_법인세비용-코크렙1호_04.10월 손익보정 내역(04.10.15~)_1.창업관련 회계처리 2" xfId="19894"/>
    <cellStyle name="-_법인세비용-코크렙1호_04.10월 손익보정 내역(04.10.15~)_1.창업관련 회계처리 2 2" xfId="19895"/>
    <cellStyle name="-_법인세비용-코크렙1호_04.10월 손익보정 내역(04.10.15~)_1.창업관련 회계처리 3" xfId="19896"/>
    <cellStyle name="-_법인세비용-코크렙1호_04.10월 손익보정 내역(04.10.15~)_1.창업관련 회계처리_1.창업관련 회계처리" xfId="19897"/>
    <cellStyle name="-_법인세비용-코크렙1호_04.10월 손익보정 내역(04.10.15~)_1.창업관련 회계처리_1.창업관련 회계처리 2" xfId="19898"/>
    <cellStyle name="-_법인세비용-코크렙1호_04.10월 손익보정 내역(04.10.15~)_1.창업관련 회계처리_1.창업관련 회계처리 2 2" xfId="19899"/>
    <cellStyle name="-_법인세비용-코크렙1호_04.10월 손익보정 내역(04.10.15~)_1.창업관련 회계처리_1.창업관련 회계처리 3" xfId="19900"/>
    <cellStyle name="-_법인세비용-코크렙1호_04.10월 손익보정 내역(04.10.15~)_1.창업관련 회계처리_1.창업관련 회계처리_I2 6월 결산 검증서_복합대출상품_20101119" xfId="19901"/>
    <cellStyle name="-_법인세비용-코크렙1호_04.10월 손익보정 내역(04.10.15~)_1.창업관련 회계처리_1.창업관련 회계처리_I2 6월 결산 검증서_복합대출상품_20101119 2" xfId="19902"/>
    <cellStyle name="-_법인세비용-코크렙1호_04.10월 손익보정 내역(04.10.15~)_1.창업관련 회계처리_1.창업관련 회계처리_I2 6월 결산 검증서_복합대출상품_20101119 2 2" xfId="19903"/>
    <cellStyle name="-_법인세비용-코크렙1호_04.10월 손익보정 내역(04.10.15~)_1.창업관련 회계처리_1.창업관련 회계처리_Template회사작성분 검토_PEF(2)" xfId="19904"/>
    <cellStyle name="-_법인세비용-코크렙1호_04.10월 손익보정 내역(04.10.15~)_1.창업관련 회계처리_1.창업관련 회계처리_Template회사작성분 검토_PEF(2) 2" xfId="19905"/>
    <cellStyle name="-_법인세비용-코크렙1호_04.10월 손익보정 내역(04.10.15~)_1.창업관련 회계처리_1.창업관련 회계처리_Template회사작성분 검토_PEF(2) 2 2" xfId="19906"/>
    <cellStyle name="-_법인세비용-코크렙1호_04.10월 손익보정 내역(04.10.15~)_1.창업관련 회계처리_1.창업관련 회계처리_Template회사작성분 검토_PEF(2) 3" xfId="19907"/>
    <cellStyle name="-_법인세비용-코크렙1호_04.10월 손익보정 내역(04.10.15~)_1.창업관련 회계처리_1.창업관련 회계처리_Template회사작성분 검토_PEF(2)_I2 6월 결산 검증서_복합대출상품_20101119" xfId="19908"/>
    <cellStyle name="-_법인세비용-코크렙1호_04.10월 손익보정 내역(04.10.15~)_1.창업관련 회계처리_1.창업관련 회계처리_Template회사작성분 검토_PEF(2)_I2 6월 결산 검증서_복합대출상품_20101119 2" xfId="19909"/>
    <cellStyle name="-_법인세비용-코크렙1호_04.10월 손익보정 내역(04.10.15~)_1.창업관련 회계처리_1.창업관련 회계처리_Template회사작성분 검토_PEF(2)_I2 6월 결산 검증서_복합대출상품_20101119 2 2" xfId="19910"/>
    <cellStyle name="-_법인세비용-코크렙1호_04.10월 손익보정 내역(04.10.15~)_1.창업관련 회계처리_I2 6월 결산 검증서_복합대출상품_20101119" xfId="19911"/>
    <cellStyle name="-_법인세비용-코크렙1호_04.10월 손익보정 내역(04.10.15~)_1.창업관련 회계처리_I2 6월 결산 검증서_복합대출상품_20101119 2" xfId="19912"/>
    <cellStyle name="-_법인세비용-코크렙1호_04.10월 손익보정 내역(04.10.15~)_1.창업관련 회계처리_I2 6월 결산 검증서_복합대출상품_20101119 2 2" xfId="19913"/>
    <cellStyle name="-_법인세비용-코크렙1호_04.10월 손익보정 내역(04.10.15~)_1.창업관련 회계처리_name of fund" xfId="19914"/>
    <cellStyle name="-_법인세비용-코크렙1호_04.10월 손익보정 내역(04.10.15~)_1.창업관련 회계처리_name of fund 2" xfId="19915"/>
    <cellStyle name="-_법인세비용-코크렙1호_04.10월 손익보정 내역(04.10.15~)_1.창업관련 회계처리_name of fund 2 2" xfId="19916"/>
    <cellStyle name="-_법인세비용-코크렙1호_04.10월 손익보정 내역(04.10.15~)_1.창업관련 회계처리_name of fund 3" xfId="19917"/>
    <cellStyle name="-_법인세비용-코크렙1호_04.10월 손익보정 내역(04.10.15~)_1.창업관련 회계처리_name of fund_I2 6월 결산 검증서_복합대출상품_20101119" xfId="19918"/>
    <cellStyle name="-_법인세비용-코크렙1호_04.10월 손익보정 내역(04.10.15~)_1.창업관련 회계처리_name of fund_I2 6월 결산 검증서_복합대출상품_20101119 2" xfId="19919"/>
    <cellStyle name="-_법인세비용-코크렙1호_04.10월 손익보정 내역(04.10.15~)_1.창업관련 회계처리_name of fund_I2 6월 결산 검증서_복합대출상품_20101119 2 2" xfId="19920"/>
    <cellStyle name="-_법인세비용-코크렙1호_04.10월 손익보정 내역(04.10.15~)_1.창업관련 회계처리_name of fund_Template회사작성분 검토_PEF(2)" xfId="19921"/>
    <cellStyle name="-_법인세비용-코크렙1호_04.10월 손익보정 내역(04.10.15~)_1.창업관련 회계처리_name of fund_Template회사작성분 검토_PEF(2) 2" xfId="19922"/>
    <cellStyle name="-_법인세비용-코크렙1호_04.10월 손익보정 내역(04.10.15~)_1.창업관련 회계처리_name of fund_Template회사작성분 검토_PEF(2) 2 2" xfId="19923"/>
    <cellStyle name="-_법인세비용-코크렙1호_04.10월 손익보정 내역(04.10.15~)_1.창업관련 회계처리_name of fund_Template회사작성분 검토_PEF(2) 3" xfId="19924"/>
    <cellStyle name="-_법인세비용-코크렙1호_04.10월 손익보정 내역(04.10.15~)_1.창업관련 회계처리_name of fund_Template회사작성분 검토_PEF(2)_I2 6월 결산 검증서_복합대출상품_20101119" xfId="19925"/>
    <cellStyle name="-_법인세비용-코크렙1호_04.10월 손익보정 내역(04.10.15~)_1.창업관련 회계처리_name of fund_Template회사작성분 검토_PEF(2)_I2 6월 결산 검증서_복합대출상품_20101119 2" xfId="19926"/>
    <cellStyle name="-_법인세비용-코크렙1호_04.10월 손익보정 내역(04.10.15~)_1.창업관련 회계처리_name of fund_Template회사작성분 검토_PEF(2)_I2 6월 결산 검증서_복합대출상품_20101119 2 2" xfId="19927"/>
    <cellStyle name="-_법인세비용-코크렙1호_04.10월 손익보정 내역(04.10.15~)_1.창업관련 회계처리_Template회사작성분 검토_PEF(2)" xfId="19928"/>
    <cellStyle name="-_법인세비용-코크렙1호_04.10월 손익보정 내역(04.10.15~)_1.창업관련 회계처리_Template회사작성분 검토_PEF(2) 2" xfId="19929"/>
    <cellStyle name="-_법인세비용-코크렙1호_04.10월 손익보정 내역(04.10.15~)_1.창업관련 회계처리_Template회사작성분 검토_PEF(2) 2 2" xfId="19930"/>
    <cellStyle name="-_법인세비용-코크렙1호_04.10월 손익보정 내역(04.10.15~)_1.창업관련 회계처리_Template회사작성분 검토_PEF(2) 3" xfId="19931"/>
    <cellStyle name="-_법인세비용-코크렙1호_04.10월 손익보정 내역(04.10.15~)_1.창업관련 회계처리_Template회사작성분 검토_PEF(2)_I2 6월 결산 검증서_복합대출상품_20101119" xfId="19932"/>
    <cellStyle name="-_법인세비용-코크렙1호_04.10월 손익보정 내역(04.10.15~)_1.창업관련 회계처리_Template회사작성분 검토_PEF(2)_I2 6월 결산 검증서_복합대출상품_20101119 2" xfId="19933"/>
    <cellStyle name="-_법인세비용-코크렙1호_04.10월 손익보정 내역(04.10.15~)_1.창업관련 회계처리_Template회사작성분 검토_PEF(2)_I2 6월 결산 검증서_복합대출상품_20101119 2 2" xfId="19934"/>
    <cellStyle name="-_법인세비용-코크렙1호_04.10월 손익보정 내역(04.10.15~)_3.미수이자 보정내역  4.대손충당금" xfId="19935"/>
    <cellStyle name="-_법인세비용-코크렙1호_04.10월 손익보정 내역(04.10.15~)_3.미수이자 보정내역  4.대손충당금 2" xfId="19936"/>
    <cellStyle name="-_법인세비용-코크렙1호_04.10월 손익보정 내역(04.10.15~)_3.미수이자 보정내역  4.대손충당금 2 2" xfId="19937"/>
    <cellStyle name="-_법인세비용-코크렙1호_04.10월 손익보정 내역(04.10.15~)_3.미수이자 보정내역  4.대손충당금 3" xfId="19938"/>
    <cellStyle name="-_법인세비용-코크렙1호_04.10월 손익보정 내역(04.10.15~)_3.미수이자 보정내역  4.대손충당금_1.창업관련 회계처리" xfId="19939"/>
    <cellStyle name="-_법인세비용-코크렙1호_04.10월 손익보정 내역(04.10.15~)_3.미수이자 보정내역  4.대손충당금_1.창업관련 회계처리 2" xfId="19940"/>
    <cellStyle name="-_법인세비용-코크렙1호_04.10월 손익보정 내역(04.10.15~)_3.미수이자 보정내역  4.대손충당금_1.창업관련 회계처리 2 2" xfId="19941"/>
    <cellStyle name="-_법인세비용-코크렙1호_04.10월 손익보정 내역(04.10.15~)_3.미수이자 보정내역  4.대손충당금_1.창업관련 회계처리 3" xfId="19942"/>
    <cellStyle name="-_법인세비용-코크렙1호_04.10월 손익보정 내역(04.10.15~)_3.미수이자 보정내역  4.대손충당금_1.창업관련 회계처리_I2 6월 결산 검증서_복합대출상품_20101119" xfId="19943"/>
    <cellStyle name="-_법인세비용-코크렙1호_04.10월 손익보정 내역(04.10.15~)_3.미수이자 보정내역  4.대손충당금_1.창업관련 회계처리_I2 6월 결산 검증서_복합대출상품_20101119 2" xfId="19944"/>
    <cellStyle name="-_법인세비용-코크렙1호_04.10월 손익보정 내역(04.10.15~)_3.미수이자 보정내역  4.대손충당금_1.창업관련 회계처리_I2 6월 결산 검증서_복합대출상품_20101119 2 2" xfId="19945"/>
    <cellStyle name="-_법인세비용-코크렙1호_04.10월 손익보정 내역(04.10.15~)_3.미수이자 보정내역  4.대손충당금_1.창업관련 회계처리_Template회사작성분 검토_PEF(2)" xfId="19946"/>
    <cellStyle name="-_법인세비용-코크렙1호_04.10월 손익보정 내역(04.10.15~)_3.미수이자 보정내역  4.대손충당금_1.창업관련 회계처리_Template회사작성분 검토_PEF(2) 2" xfId="19947"/>
    <cellStyle name="-_법인세비용-코크렙1호_04.10월 손익보정 내역(04.10.15~)_3.미수이자 보정내역  4.대손충당금_1.창업관련 회계처리_Template회사작성분 검토_PEF(2) 2 2" xfId="19948"/>
    <cellStyle name="-_법인세비용-코크렙1호_04.10월 손익보정 내역(04.10.15~)_3.미수이자 보정내역  4.대손충당금_1.창업관련 회계처리_Template회사작성분 검토_PEF(2) 3" xfId="19949"/>
    <cellStyle name="-_법인세비용-코크렙1호_04.10월 손익보정 내역(04.10.15~)_3.미수이자 보정내역  4.대손충당금_1.창업관련 회계처리_Template회사작성분 검토_PEF(2)_I2 6월 결산 검증서_복합대출상품_20101119" xfId="19950"/>
    <cellStyle name="-_법인세비용-코크렙1호_04.10월 손익보정 내역(04.10.15~)_3.미수이자 보정내역  4.대손충당금_1.창업관련 회계처리_Template회사작성분 검토_PEF(2)_I2 6월 결산 검증서_복합대출상품_20101119 2" xfId="19951"/>
    <cellStyle name="-_법인세비용-코크렙1호_04.10월 손익보정 내역(04.10.15~)_3.미수이자 보정내역  4.대손충당금_1.창업관련 회계처리_Template회사작성분 검토_PEF(2)_I2 6월 결산 검증서_복합대출상품_20101119 2 2" xfId="19952"/>
    <cellStyle name="-_법인세비용-코크렙1호_04.10월 손익보정 내역(04.10.15~)_3.미수이자 보정내역  4.대손충당금_I2 6월 결산 검증서_복합대출상품_20101119" xfId="19953"/>
    <cellStyle name="-_법인세비용-코크렙1호_04.10월 손익보정 내역(04.10.15~)_3.미수이자 보정내역  4.대손충당금_I2 6월 결산 검증서_복합대출상품_20101119 2" xfId="19954"/>
    <cellStyle name="-_법인세비용-코크렙1호_04.10월 손익보정 내역(04.10.15~)_3.미수이자 보정내역  4.대손충당금_I2 6월 결산 검증서_복합대출상품_20101119 2 2" xfId="19955"/>
    <cellStyle name="-_법인세비용-코크렙1호_04.10월 손익보정 내역(04.10.15~)_3.미수이자 보정내역  4.대손충당금_Template회사작성분 검토_PEF(2)" xfId="19956"/>
    <cellStyle name="-_법인세비용-코크렙1호_04.10월 손익보정 내역(04.10.15~)_3.미수이자 보정내역  4.대손충당금_Template회사작성분 검토_PEF(2) 2" xfId="19957"/>
    <cellStyle name="-_법인세비용-코크렙1호_04.10월 손익보정 내역(04.10.15~)_3.미수이자 보정내역  4.대손충당금_Template회사작성분 검토_PEF(2) 2 2" xfId="19958"/>
    <cellStyle name="-_법인세비용-코크렙1호_04.10월 손익보정 내역(04.10.15~)_3.미수이자 보정내역  4.대손충당금_Template회사작성분 검토_PEF(2) 3" xfId="19959"/>
    <cellStyle name="-_법인세비용-코크렙1호_04.10월 손익보정 내역(04.10.15~)_3.미수이자 보정내역  4.대손충당금_Template회사작성분 검토_PEF(2)_I2 6월 결산 검증서_복합대출상품_20101119" xfId="19960"/>
    <cellStyle name="-_법인세비용-코크렙1호_04.10월 손익보정 내역(04.10.15~)_3.미수이자 보정내역  4.대손충당금_Template회사작성분 검토_PEF(2)_I2 6월 결산 검증서_복합대출상품_20101119 2" xfId="19961"/>
    <cellStyle name="-_법인세비용-코크렙1호_04.10월 손익보정 내역(04.10.15~)_3.미수이자 보정내역  4.대손충당금_Template회사작성분 검토_PEF(2)_I2 6월 결산 검증서_복합대출상품_20101119 2 2" xfId="19962"/>
    <cellStyle name="-_법인세비용-코크렙1호_04.10월 손익보정 내역(04.10.15~)_6.선급비용" xfId="19963"/>
    <cellStyle name="-_법인세비용-코크렙1호_04.10월 손익보정 내역(04.10.15~)_6.선급비용 2" xfId="19964"/>
    <cellStyle name="-_법인세비용-코크렙1호_04.10월 손익보정 내역(04.10.15~)_6.선급비용 2 2" xfId="19965"/>
    <cellStyle name="-_법인세비용-코크렙1호_04.10월 손익보정 내역(04.10.15~)_6.선급비용 3" xfId="19966"/>
    <cellStyle name="-_법인세비용-코크렙1호_04.10월 손익보정 내역(04.10.15~)_6.선급비용_1.창업관련 회계처리" xfId="19967"/>
    <cellStyle name="-_법인세비용-코크렙1호_04.10월 손익보정 내역(04.10.15~)_6.선급비용_1.창업관련 회계처리 2" xfId="19968"/>
    <cellStyle name="-_법인세비용-코크렙1호_04.10월 손익보정 내역(04.10.15~)_6.선급비용_1.창업관련 회계처리 2 2" xfId="19969"/>
    <cellStyle name="-_법인세비용-코크렙1호_04.10월 손익보정 내역(04.10.15~)_6.선급비용_1.창업관련 회계처리 3" xfId="19970"/>
    <cellStyle name="-_법인세비용-코크렙1호_04.10월 손익보정 내역(04.10.15~)_6.선급비용_1.창업관련 회계처리_I2 6월 결산 검증서_복합대출상품_20101119" xfId="19971"/>
    <cellStyle name="-_법인세비용-코크렙1호_04.10월 손익보정 내역(04.10.15~)_6.선급비용_1.창업관련 회계처리_I2 6월 결산 검증서_복합대출상품_20101119 2" xfId="19972"/>
    <cellStyle name="-_법인세비용-코크렙1호_04.10월 손익보정 내역(04.10.15~)_6.선급비용_1.창업관련 회계처리_I2 6월 결산 검증서_복합대출상품_20101119 2 2" xfId="19973"/>
    <cellStyle name="-_법인세비용-코크렙1호_04.10월 손익보정 내역(04.10.15~)_6.선급비용_1.창업관련 회계처리_Template회사작성분 검토_PEF(2)" xfId="19974"/>
    <cellStyle name="-_법인세비용-코크렙1호_04.10월 손익보정 내역(04.10.15~)_6.선급비용_1.창업관련 회계처리_Template회사작성분 검토_PEF(2) 2" xfId="19975"/>
    <cellStyle name="-_법인세비용-코크렙1호_04.10월 손익보정 내역(04.10.15~)_6.선급비용_1.창업관련 회계처리_Template회사작성분 검토_PEF(2) 2 2" xfId="19976"/>
    <cellStyle name="-_법인세비용-코크렙1호_04.10월 손익보정 내역(04.10.15~)_6.선급비용_1.창업관련 회계처리_Template회사작성분 검토_PEF(2) 3" xfId="19977"/>
    <cellStyle name="-_법인세비용-코크렙1호_04.10월 손익보정 내역(04.10.15~)_6.선급비용_1.창업관련 회계처리_Template회사작성분 검토_PEF(2)_I2 6월 결산 검증서_복합대출상품_20101119" xfId="19978"/>
    <cellStyle name="-_법인세비용-코크렙1호_04.10월 손익보정 내역(04.10.15~)_6.선급비용_1.창업관련 회계처리_Template회사작성분 검토_PEF(2)_I2 6월 결산 검증서_복합대출상품_20101119 2" xfId="19979"/>
    <cellStyle name="-_법인세비용-코크렙1호_04.10월 손익보정 내역(04.10.15~)_6.선급비용_1.창업관련 회계처리_Template회사작성분 검토_PEF(2)_I2 6월 결산 검증서_복합대출상품_20101119 2 2" xfId="19980"/>
    <cellStyle name="-_법인세비용-코크렙1호_04.10월 손익보정 내역(04.10.15~)_6.선급비용_I2 6월 결산 검증서_복합대출상품_20101119" xfId="19981"/>
    <cellStyle name="-_법인세비용-코크렙1호_04.10월 손익보정 내역(04.10.15~)_6.선급비용_I2 6월 결산 검증서_복합대출상품_20101119 2" xfId="19982"/>
    <cellStyle name="-_법인세비용-코크렙1호_04.10월 손익보정 내역(04.10.15~)_6.선급비용_I2 6월 결산 검증서_복합대출상품_20101119 2 2" xfId="19983"/>
    <cellStyle name="-_법인세비용-코크렙1호_04.10월 손익보정 내역(04.10.15~)_6.선급비용_name of fund" xfId="19984"/>
    <cellStyle name="-_법인세비용-코크렙1호_04.10월 손익보정 내역(04.10.15~)_6.선급비용_name of fund 2" xfId="19985"/>
    <cellStyle name="-_법인세비용-코크렙1호_04.10월 손익보정 내역(04.10.15~)_6.선급비용_name of fund 2 2" xfId="19986"/>
    <cellStyle name="-_법인세비용-코크렙1호_04.10월 손익보정 내역(04.10.15~)_6.선급비용_name of fund 3" xfId="19987"/>
    <cellStyle name="-_법인세비용-코크렙1호_04.10월 손익보정 내역(04.10.15~)_6.선급비용_name of fund_I2 6월 결산 검증서_복합대출상품_20101119" xfId="19988"/>
    <cellStyle name="-_법인세비용-코크렙1호_04.10월 손익보정 내역(04.10.15~)_6.선급비용_name of fund_I2 6월 결산 검증서_복합대출상품_20101119 2" xfId="19989"/>
    <cellStyle name="-_법인세비용-코크렙1호_04.10월 손익보정 내역(04.10.15~)_6.선급비용_name of fund_I2 6월 결산 검증서_복합대출상품_20101119 2 2" xfId="19990"/>
    <cellStyle name="-_법인세비용-코크렙1호_04.10월 손익보정 내역(04.10.15~)_6.선급비용_name of fund_Template회사작성분 검토_PEF(2)" xfId="19991"/>
    <cellStyle name="-_법인세비용-코크렙1호_04.10월 손익보정 내역(04.10.15~)_6.선급비용_name of fund_Template회사작성분 검토_PEF(2) 2" xfId="19992"/>
    <cellStyle name="-_법인세비용-코크렙1호_04.10월 손익보정 내역(04.10.15~)_6.선급비용_name of fund_Template회사작성분 검토_PEF(2) 2 2" xfId="19993"/>
    <cellStyle name="-_법인세비용-코크렙1호_04.10월 손익보정 내역(04.10.15~)_6.선급비용_name of fund_Template회사작성분 검토_PEF(2) 3" xfId="19994"/>
    <cellStyle name="-_법인세비용-코크렙1호_04.10월 손익보정 내역(04.10.15~)_6.선급비용_name of fund_Template회사작성분 검토_PEF(2)_I2 6월 결산 검증서_복합대출상품_20101119" xfId="19995"/>
    <cellStyle name="-_법인세비용-코크렙1호_04.10월 손익보정 내역(04.10.15~)_6.선급비용_name of fund_Template회사작성분 검토_PEF(2)_I2 6월 결산 검증서_복합대출상품_20101119 2" xfId="19996"/>
    <cellStyle name="-_법인세비용-코크렙1호_04.10월 손익보정 내역(04.10.15~)_6.선급비용_name of fund_Template회사작성분 검토_PEF(2)_I2 6월 결산 검증서_복합대출상품_20101119 2 2" xfId="19997"/>
    <cellStyle name="-_법인세비용-코크렙1호_04.10월 손익보정 내역(04.10.15~)_6.선급비용_Template회사작성분 검토_PEF(2)" xfId="19998"/>
    <cellStyle name="-_법인세비용-코크렙1호_04.10월 손익보정 내역(04.10.15~)_6.선급비용_Template회사작성분 검토_PEF(2) 2" xfId="19999"/>
    <cellStyle name="-_법인세비용-코크렙1호_04.10월 손익보정 내역(04.10.15~)_6.선급비용_Template회사작성분 검토_PEF(2) 2 2" xfId="20000"/>
    <cellStyle name="-_법인세비용-코크렙1호_04.10월 손익보정 내역(04.10.15~)_6.선급비용_Template회사작성분 검토_PEF(2) 3" xfId="20001"/>
    <cellStyle name="-_법인세비용-코크렙1호_04.10월 손익보정 내역(04.10.15~)_6.선급비용_Template회사작성분 검토_PEF(2)_I2 6월 결산 검증서_복합대출상품_20101119" xfId="20002"/>
    <cellStyle name="-_법인세비용-코크렙1호_04.10월 손익보정 내역(04.10.15~)_6.선급비용_Template회사작성분 검토_PEF(2)_I2 6월 결산 검증서_복합대출상품_20101119 2" xfId="20003"/>
    <cellStyle name="-_법인세비용-코크렙1호_04.10월 손익보정 내역(04.10.15~)_6.선급비용_Template회사작성분 검토_PEF(2)_I2 6월 결산 검증서_복합대출상품_20101119 2 2" xfId="20004"/>
    <cellStyle name="-_법인세비용-코크렙1호_04.10월 손익보정 내역(04.10.15~)_8.퇴직급여 8-1.보너스충당금" xfId="20005"/>
    <cellStyle name="-_법인세비용-코크렙1호_04.10월 손익보정 내역(04.10.15~)_8.퇴직급여 8-1.보너스충당금 2" xfId="20006"/>
    <cellStyle name="-_법인세비용-코크렙1호_04.10월 손익보정 내역(04.10.15~)_8.퇴직급여 8-1.보너스충당금 2 2" xfId="20007"/>
    <cellStyle name="-_법인세비용-코크렙1호_04.10월 손익보정 내역(04.10.15~)_8.퇴직급여 8-1.보너스충당금 3" xfId="20008"/>
    <cellStyle name="-_법인세비용-코크렙1호_04.10월 손익보정 내역(04.10.15~)_8.퇴직급여 8-1.보너스충당금_1.창업관련 회계처리" xfId="20009"/>
    <cellStyle name="-_법인세비용-코크렙1호_04.10월 손익보정 내역(04.10.15~)_8.퇴직급여 8-1.보너스충당금_1.창업관련 회계처리 2" xfId="20010"/>
    <cellStyle name="-_법인세비용-코크렙1호_04.10월 손익보정 내역(04.10.15~)_8.퇴직급여 8-1.보너스충당금_1.창업관련 회계처리 2 2" xfId="20011"/>
    <cellStyle name="-_법인세비용-코크렙1호_04.10월 손익보정 내역(04.10.15~)_8.퇴직급여 8-1.보너스충당금_1.창업관련 회계처리 3" xfId="20012"/>
    <cellStyle name="-_법인세비용-코크렙1호_04.10월 손익보정 내역(04.10.15~)_8.퇴직급여 8-1.보너스충당금_1.창업관련 회계처리_I2 6월 결산 검증서_복합대출상품_20101119" xfId="20013"/>
    <cellStyle name="-_법인세비용-코크렙1호_04.10월 손익보정 내역(04.10.15~)_8.퇴직급여 8-1.보너스충당금_1.창업관련 회계처리_I2 6월 결산 검증서_복합대출상품_20101119 2" xfId="20014"/>
    <cellStyle name="-_법인세비용-코크렙1호_04.10월 손익보정 내역(04.10.15~)_8.퇴직급여 8-1.보너스충당금_1.창업관련 회계처리_I2 6월 결산 검증서_복합대출상품_20101119 2 2" xfId="20015"/>
    <cellStyle name="-_법인세비용-코크렙1호_04.10월 손익보정 내역(04.10.15~)_8.퇴직급여 8-1.보너스충당금_1.창업관련 회계처리_Template회사작성분 검토_PEF(2)" xfId="20016"/>
    <cellStyle name="-_법인세비용-코크렙1호_04.10월 손익보정 내역(04.10.15~)_8.퇴직급여 8-1.보너스충당금_1.창업관련 회계처리_Template회사작성분 검토_PEF(2) 2" xfId="20017"/>
    <cellStyle name="-_법인세비용-코크렙1호_04.10월 손익보정 내역(04.10.15~)_8.퇴직급여 8-1.보너스충당금_1.창업관련 회계처리_Template회사작성분 검토_PEF(2) 2 2" xfId="20018"/>
    <cellStyle name="-_법인세비용-코크렙1호_04.10월 손익보정 내역(04.10.15~)_8.퇴직급여 8-1.보너스충당금_1.창업관련 회계처리_Template회사작성분 검토_PEF(2) 3" xfId="20019"/>
    <cellStyle name="-_법인세비용-코크렙1호_04.10월 손익보정 내역(04.10.15~)_8.퇴직급여 8-1.보너스충당금_1.창업관련 회계처리_Template회사작성분 검토_PEF(2)_I2 6월 결산 검증서_복합대출상품_20101119" xfId="20020"/>
    <cellStyle name="-_법인세비용-코크렙1호_04.10월 손익보정 내역(04.10.15~)_8.퇴직급여 8-1.보너스충당금_1.창업관련 회계처리_Template회사작성분 검토_PEF(2)_I2 6월 결산 검증서_복합대출상품_20101119 2" xfId="20021"/>
    <cellStyle name="-_법인세비용-코크렙1호_04.10월 손익보정 내역(04.10.15~)_8.퇴직급여 8-1.보너스충당금_1.창업관련 회계처리_Template회사작성분 검토_PEF(2)_I2 6월 결산 검증서_복합대출상품_20101119 2 2" xfId="20022"/>
    <cellStyle name="-_법인세비용-코크렙1호_04.10월 손익보정 내역(04.10.15~)_8.퇴직급여 8-1.보너스충당금_I2 6월 결산 검증서_복합대출상품_20101119" xfId="20023"/>
    <cellStyle name="-_법인세비용-코크렙1호_04.10월 손익보정 내역(04.10.15~)_8.퇴직급여 8-1.보너스충당금_I2 6월 결산 검증서_복합대출상품_20101119 2" xfId="20024"/>
    <cellStyle name="-_법인세비용-코크렙1호_04.10월 손익보정 내역(04.10.15~)_8.퇴직급여 8-1.보너스충당금_I2 6월 결산 검증서_복합대출상품_20101119 2 2" xfId="20025"/>
    <cellStyle name="-_법인세비용-코크렙1호_04.10월 손익보정 내역(04.10.15~)_8.퇴직급여 8-1.보너스충당금_name of fund" xfId="20026"/>
    <cellStyle name="-_법인세비용-코크렙1호_04.10월 손익보정 내역(04.10.15~)_8.퇴직급여 8-1.보너스충당금_name of fund 2" xfId="20027"/>
    <cellStyle name="-_법인세비용-코크렙1호_04.10월 손익보정 내역(04.10.15~)_8.퇴직급여 8-1.보너스충당금_name of fund 2 2" xfId="20028"/>
    <cellStyle name="-_법인세비용-코크렙1호_04.10월 손익보정 내역(04.10.15~)_8.퇴직급여 8-1.보너스충당금_name of fund 3" xfId="20029"/>
    <cellStyle name="-_법인세비용-코크렙1호_04.10월 손익보정 내역(04.10.15~)_8.퇴직급여 8-1.보너스충당금_name of fund_I2 6월 결산 검증서_복합대출상품_20101119" xfId="20030"/>
    <cellStyle name="-_법인세비용-코크렙1호_04.10월 손익보정 내역(04.10.15~)_8.퇴직급여 8-1.보너스충당금_name of fund_I2 6월 결산 검증서_복합대출상품_20101119 2" xfId="20031"/>
    <cellStyle name="-_법인세비용-코크렙1호_04.10월 손익보정 내역(04.10.15~)_8.퇴직급여 8-1.보너스충당금_name of fund_I2 6월 결산 검증서_복합대출상품_20101119 2 2" xfId="20032"/>
    <cellStyle name="-_법인세비용-코크렙1호_04.10월 손익보정 내역(04.10.15~)_8.퇴직급여 8-1.보너스충당금_name of fund_Template회사작성분 검토_PEF(2)" xfId="20033"/>
    <cellStyle name="-_법인세비용-코크렙1호_04.10월 손익보정 내역(04.10.15~)_8.퇴직급여 8-1.보너스충당금_name of fund_Template회사작성분 검토_PEF(2) 2" xfId="20034"/>
    <cellStyle name="-_법인세비용-코크렙1호_04.10월 손익보정 내역(04.10.15~)_8.퇴직급여 8-1.보너스충당금_name of fund_Template회사작성분 검토_PEF(2) 2 2" xfId="20035"/>
    <cellStyle name="-_법인세비용-코크렙1호_04.10월 손익보정 내역(04.10.15~)_8.퇴직급여 8-1.보너스충당금_name of fund_Template회사작성분 검토_PEF(2) 3" xfId="20036"/>
    <cellStyle name="-_법인세비용-코크렙1호_04.10월 손익보정 내역(04.10.15~)_8.퇴직급여 8-1.보너스충당금_name of fund_Template회사작성분 검토_PEF(2)_I2 6월 결산 검증서_복합대출상품_20101119" xfId="20037"/>
    <cellStyle name="-_법인세비용-코크렙1호_04.10월 손익보정 내역(04.10.15~)_8.퇴직급여 8-1.보너스충당금_name of fund_Template회사작성분 검토_PEF(2)_I2 6월 결산 검증서_복합대출상품_20101119 2" xfId="20038"/>
    <cellStyle name="-_법인세비용-코크렙1호_04.10월 손익보정 내역(04.10.15~)_8.퇴직급여 8-1.보너스충당금_name of fund_Template회사작성분 검토_PEF(2)_I2 6월 결산 검증서_복합대출상품_20101119 2 2" xfId="20039"/>
    <cellStyle name="-_법인세비용-코크렙1호_04.10월 손익보정 내역(04.10.15~)_8.퇴직급여 8-1.보너스충당금_Template회사작성분 검토_PEF(2)" xfId="20040"/>
    <cellStyle name="-_법인세비용-코크렙1호_04.10월 손익보정 내역(04.10.15~)_8.퇴직급여 8-1.보너스충당금_Template회사작성분 검토_PEF(2) 2" xfId="20041"/>
    <cellStyle name="-_법인세비용-코크렙1호_04.10월 손익보정 내역(04.10.15~)_8.퇴직급여 8-1.보너스충당금_Template회사작성분 검토_PEF(2) 2 2" xfId="20042"/>
    <cellStyle name="-_법인세비용-코크렙1호_04.10월 손익보정 내역(04.10.15~)_8.퇴직급여 8-1.보너스충당금_Template회사작성분 검토_PEF(2) 3" xfId="20043"/>
    <cellStyle name="-_법인세비용-코크렙1호_04.10월 손익보정 내역(04.10.15~)_8.퇴직급여 8-1.보너스충당금_Template회사작성분 검토_PEF(2)_I2 6월 결산 검증서_복합대출상품_20101119" xfId="20044"/>
    <cellStyle name="-_법인세비용-코크렙1호_04.10월 손익보정 내역(04.10.15~)_8.퇴직급여 8-1.보너스충당금_Template회사작성분 검토_PEF(2)_I2 6월 결산 검증서_복합대출상품_20101119 2" xfId="20045"/>
    <cellStyle name="-_법인세비용-코크렙1호_04.10월 손익보정 내역(04.10.15~)_8.퇴직급여 8-1.보너스충당금_Template회사작성분 검토_PEF(2)_I2 6월 결산 검증서_복합대출상품_20101119 2 2" xfId="20046"/>
    <cellStyle name="-_법인세비용-코크렙1호_04.10월 손익보정 내역(04.10.15~)_Book1" xfId="20047"/>
    <cellStyle name="-_법인세비용-코크렙1호_04.10월 손익보정 내역(04.10.15~)_Book1 2" xfId="20048"/>
    <cellStyle name="-_법인세비용-코크렙1호_04.10월 손익보정 내역(04.10.15~)_Book1 2 2" xfId="20049"/>
    <cellStyle name="-_법인세비용-코크렙1호_04.10월 손익보정 내역(04.10.15~)_Book1 3" xfId="20050"/>
    <cellStyle name="-_법인세비용-코크렙1호_04.10월 손익보정 내역(04.10.15~)_Book1_1.창업관련 회계처리" xfId="20051"/>
    <cellStyle name="-_법인세비용-코크렙1호_04.10월 손익보정 내역(04.10.15~)_Book1_1.창업관련 회계처리 2" xfId="20052"/>
    <cellStyle name="-_법인세비용-코크렙1호_04.10월 손익보정 내역(04.10.15~)_Book1_1.창업관련 회계처리 2 2" xfId="20053"/>
    <cellStyle name="-_법인세비용-코크렙1호_04.10월 손익보정 내역(04.10.15~)_Book1_1.창업관련 회계처리 3" xfId="20054"/>
    <cellStyle name="-_법인세비용-코크렙1호_04.10월 손익보정 내역(04.10.15~)_Book1_1.창업관련 회계처리_I2 6월 결산 검증서_복합대출상품_20101119" xfId="20055"/>
    <cellStyle name="-_법인세비용-코크렙1호_04.10월 손익보정 내역(04.10.15~)_Book1_1.창업관련 회계처리_I2 6월 결산 검증서_복합대출상품_20101119 2" xfId="20056"/>
    <cellStyle name="-_법인세비용-코크렙1호_04.10월 손익보정 내역(04.10.15~)_Book1_1.창업관련 회계처리_I2 6월 결산 검증서_복합대출상품_20101119 2 2" xfId="20057"/>
    <cellStyle name="-_법인세비용-코크렙1호_04.10월 손익보정 내역(04.10.15~)_Book1_1.창업관련 회계처리_Template회사작성분 검토_PEF(2)" xfId="20058"/>
    <cellStyle name="-_법인세비용-코크렙1호_04.10월 손익보정 내역(04.10.15~)_Book1_1.창업관련 회계처리_Template회사작성분 검토_PEF(2) 2" xfId="20059"/>
    <cellStyle name="-_법인세비용-코크렙1호_04.10월 손익보정 내역(04.10.15~)_Book1_1.창업관련 회계처리_Template회사작성분 검토_PEF(2) 2 2" xfId="20060"/>
    <cellStyle name="-_법인세비용-코크렙1호_04.10월 손익보정 내역(04.10.15~)_Book1_1.창업관련 회계처리_Template회사작성분 검토_PEF(2) 3" xfId="20061"/>
    <cellStyle name="-_법인세비용-코크렙1호_04.10월 손익보정 내역(04.10.15~)_Book1_1.창업관련 회계처리_Template회사작성분 검토_PEF(2)_I2 6월 결산 검증서_복합대출상품_20101119" xfId="20062"/>
    <cellStyle name="-_법인세비용-코크렙1호_04.10월 손익보정 내역(04.10.15~)_Book1_1.창업관련 회계처리_Template회사작성분 검토_PEF(2)_I2 6월 결산 검증서_복합대출상품_20101119 2" xfId="20063"/>
    <cellStyle name="-_법인세비용-코크렙1호_04.10월 손익보정 내역(04.10.15~)_Book1_1.창업관련 회계처리_Template회사작성분 검토_PEF(2)_I2 6월 결산 검증서_복합대출상품_20101119 2 2" xfId="20064"/>
    <cellStyle name="-_법인세비용-코크렙1호_04.10월 손익보정 내역(04.10.15~)_Book1_I2 6월 결산 검증서_복합대출상품_20101119" xfId="20065"/>
    <cellStyle name="-_법인세비용-코크렙1호_04.10월 손익보정 내역(04.10.15~)_Book1_I2 6월 결산 검증서_복합대출상품_20101119 2" xfId="20066"/>
    <cellStyle name="-_법인세비용-코크렙1호_04.10월 손익보정 내역(04.10.15~)_Book1_I2 6월 결산 검증서_복합대출상품_20101119 2 2" xfId="20067"/>
    <cellStyle name="-_법인세비용-코크렙1호_04.10월 손익보정 내역(04.10.15~)_Book1_name of fund" xfId="20068"/>
    <cellStyle name="-_법인세비용-코크렙1호_04.10월 손익보정 내역(04.10.15~)_Book1_name of fund 2" xfId="20069"/>
    <cellStyle name="-_법인세비용-코크렙1호_04.10월 손익보정 내역(04.10.15~)_Book1_name of fund 2 2" xfId="20070"/>
    <cellStyle name="-_법인세비용-코크렙1호_04.10월 손익보정 내역(04.10.15~)_Book1_name of fund 3" xfId="20071"/>
    <cellStyle name="-_법인세비용-코크렙1호_04.10월 손익보정 내역(04.10.15~)_Book1_name of fund_I2 6월 결산 검증서_복합대출상품_20101119" xfId="20072"/>
    <cellStyle name="-_법인세비용-코크렙1호_04.10월 손익보정 내역(04.10.15~)_Book1_name of fund_I2 6월 결산 검증서_복합대출상품_20101119 2" xfId="20073"/>
    <cellStyle name="-_법인세비용-코크렙1호_04.10월 손익보정 내역(04.10.15~)_Book1_name of fund_I2 6월 결산 검증서_복합대출상품_20101119 2 2" xfId="20074"/>
    <cellStyle name="-_법인세비용-코크렙1호_04.10월 손익보정 내역(04.10.15~)_Book1_name of fund_Template회사작성분 검토_PEF(2)" xfId="20075"/>
    <cellStyle name="-_법인세비용-코크렙1호_04.10월 손익보정 내역(04.10.15~)_Book1_name of fund_Template회사작성분 검토_PEF(2) 2" xfId="20076"/>
    <cellStyle name="-_법인세비용-코크렙1호_04.10월 손익보정 내역(04.10.15~)_Book1_name of fund_Template회사작성분 검토_PEF(2) 2 2" xfId="20077"/>
    <cellStyle name="-_법인세비용-코크렙1호_04.10월 손익보정 내역(04.10.15~)_Book1_name of fund_Template회사작성분 검토_PEF(2) 3" xfId="20078"/>
    <cellStyle name="-_법인세비용-코크렙1호_04.10월 손익보정 내역(04.10.15~)_Book1_name of fund_Template회사작성분 검토_PEF(2)_I2 6월 결산 검증서_복합대출상품_20101119" xfId="20079"/>
    <cellStyle name="-_법인세비용-코크렙1호_04.10월 손익보정 내역(04.10.15~)_Book1_name of fund_Template회사작성분 검토_PEF(2)_I2 6월 결산 검증서_복합대출상품_20101119 2" xfId="20080"/>
    <cellStyle name="-_법인세비용-코크렙1호_04.10월 손익보정 내역(04.10.15~)_Book1_name of fund_Template회사작성분 검토_PEF(2)_I2 6월 결산 검증서_복합대출상품_20101119 2 2" xfId="20081"/>
    <cellStyle name="-_법인세비용-코크렙1호_04.10월 손익보정 내역(04.10.15~)_Book1_Template회사작성분 검토_PEF(2)" xfId="20082"/>
    <cellStyle name="-_법인세비용-코크렙1호_04.10월 손익보정 내역(04.10.15~)_Book1_Template회사작성분 검토_PEF(2) 2" xfId="20083"/>
    <cellStyle name="-_법인세비용-코크렙1호_04.10월 손익보정 내역(04.10.15~)_Book1_Template회사작성분 검토_PEF(2) 2 2" xfId="20084"/>
    <cellStyle name="-_법인세비용-코크렙1호_04.10월 손익보정 내역(04.10.15~)_Book1_Template회사작성분 검토_PEF(2) 3" xfId="20085"/>
    <cellStyle name="-_법인세비용-코크렙1호_04.10월 손익보정 내역(04.10.15~)_Book1_Template회사작성분 검토_PEF(2)_I2 6월 결산 검증서_복합대출상품_20101119" xfId="20086"/>
    <cellStyle name="-_법인세비용-코크렙1호_04.10월 손익보정 내역(04.10.15~)_Book1_Template회사작성분 검토_PEF(2)_I2 6월 결산 검증서_복합대출상품_20101119 2" xfId="20087"/>
    <cellStyle name="-_법인세비용-코크렙1호_04.10월 손익보정 내역(04.10.15~)_Book1_Template회사작성분 검토_PEF(2)_I2 6월 결산 검증서_복합대출상품_20101119 2 2" xfId="20088"/>
    <cellStyle name="-_법인세비용-코크렙1호_04.10월 손익보정 내역(04.10.15~)_I2 6월 결산 검증서_복합대출상품_20101119" xfId="20089"/>
    <cellStyle name="-_법인세비용-코크렙1호_04.10월 손익보정 내역(04.10.15~)_I2 6월 결산 검증서_복합대출상품_20101119 2" xfId="20090"/>
    <cellStyle name="-_법인세비용-코크렙1호_04.10월 손익보정 내역(04.10.15~)_I2 6월 결산 검증서_복합대출상품_20101119 2 2" xfId="20091"/>
    <cellStyle name="-_법인세비용-코크렙1호_04.10월 손익보정 내역(04.10.15~)_name of fund" xfId="20092"/>
    <cellStyle name="-_법인세비용-코크렙1호_04.10월 손익보정 내역(04.10.15~)_name of fund 2" xfId="20093"/>
    <cellStyle name="-_법인세비용-코크렙1호_04.10월 손익보정 내역(04.10.15~)_name of fund 2 2" xfId="20094"/>
    <cellStyle name="-_법인세비용-코크렙1호_04.10월 손익보정 내역(04.10.15~)_name of fund 3" xfId="20095"/>
    <cellStyle name="-_법인세비용-코크렙1호_04.10월 손익보정 내역(04.10.15~)_name of fund_I2 6월 결산 검증서_복합대출상품_20101119" xfId="20096"/>
    <cellStyle name="-_법인세비용-코크렙1호_04.10월 손익보정 내역(04.10.15~)_name of fund_I2 6월 결산 검증서_복합대출상품_20101119 2" xfId="20097"/>
    <cellStyle name="-_법인세비용-코크렙1호_04.10월 손익보정 내역(04.10.15~)_name of fund_I2 6월 결산 검증서_복합대출상품_20101119 2 2" xfId="20098"/>
    <cellStyle name="-_법인세비용-코크렙1호_04.10월 손익보정 내역(04.10.15~)_name of fund_Template회사작성분 검토_PEF(2)" xfId="20099"/>
    <cellStyle name="-_법인세비용-코크렙1호_04.10월 손익보정 내역(04.10.15~)_name of fund_Template회사작성분 검토_PEF(2) 2" xfId="20100"/>
    <cellStyle name="-_법인세비용-코크렙1호_04.10월 손익보정 내역(04.10.15~)_name of fund_Template회사작성분 검토_PEF(2) 2 2" xfId="20101"/>
    <cellStyle name="-_법인세비용-코크렙1호_04.10월 손익보정 내역(04.10.15~)_name of fund_Template회사작성분 검토_PEF(2) 3" xfId="20102"/>
    <cellStyle name="-_법인세비용-코크렙1호_04.10월 손익보정 내역(04.10.15~)_name of fund_Template회사작성분 검토_PEF(2)_I2 6월 결산 검증서_복합대출상품_20101119" xfId="20103"/>
    <cellStyle name="-_법인세비용-코크렙1호_04.10월 손익보정 내역(04.10.15~)_name of fund_Template회사작성분 검토_PEF(2)_I2 6월 결산 검증서_복합대출상품_20101119 2" xfId="20104"/>
    <cellStyle name="-_법인세비용-코크렙1호_04.10월 손익보정 내역(04.10.15~)_name of fund_Template회사작성분 검토_PEF(2)_I2 6월 결산 검증서_복합대출상품_20101119 2 2" xfId="20105"/>
    <cellStyle name="-_법인세비용-코크렙1호_04.10월 손익보정 내역(04.10.15~)_Template회사작성분 검토_PEF(2)" xfId="20106"/>
    <cellStyle name="-_법인세비용-코크렙1호_04.10월 손익보정 내역(04.10.15~)_Template회사작성분 검토_PEF(2) 2" xfId="20107"/>
    <cellStyle name="-_법인세비용-코크렙1호_04.10월 손익보정 내역(04.10.15~)_Template회사작성분 검토_PEF(2) 2 2" xfId="20108"/>
    <cellStyle name="-_법인세비용-코크렙1호_04.10월 손익보정 내역(04.10.15~)_Template회사작성분 검토_PEF(2) 3" xfId="20109"/>
    <cellStyle name="-_법인세비용-코크렙1호_04.10월 손익보정 내역(04.10.15~)_Template회사작성분 검토_PEF(2)_I2 6월 결산 검증서_복합대출상품_20101119" xfId="20110"/>
    <cellStyle name="-_법인세비용-코크렙1호_04.10월 손익보정 내역(04.10.15~)_Template회사작성분 검토_PEF(2)_I2 6월 결산 검증서_복합대출상품_20101119 2" xfId="20111"/>
    <cellStyle name="-_법인세비용-코크렙1호_04.10월 손익보정 내역(04.10.15~)_Template회사작성분 검토_PEF(2)_I2 6월 결산 검증서_복합대출상품_20101119 2 2" xfId="20112"/>
    <cellStyle name="-_법인세비용-코크렙1호_04.10월 손익보정 내역(04.10.15~)_제2기 손익보정 내역(05.4.1~06.3.31)" xfId="20113"/>
    <cellStyle name="-_법인세비용-코크렙1호_04.10월 손익보정 내역(04.10.15~)_제2기 손익보정 내역(05.4.1~06.3.31) 2" xfId="20114"/>
    <cellStyle name="-_법인세비용-코크렙1호_04.10월 손익보정 내역(04.10.15~)_제2기 손익보정 내역(05.4.1~06.3.31) 2 2" xfId="20115"/>
    <cellStyle name="-_법인세비용-코크렙1호_04.10월 손익보정 내역(04.10.15~)_제2기 손익보정 내역(05.4.1~06.3.31) 3" xfId="20116"/>
    <cellStyle name="-_법인세비용-코크렙1호_04.10월 손익보정 내역(04.10.15~)_제2기 손익보정 내역(05.4.1~06.3.31)_1.창업관련 회계처리" xfId="20117"/>
    <cellStyle name="-_법인세비용-코크렙1호_04.10월 손익보정 내역(04.10.15~)_제2기 손익보정 내역(05.4.1~06.3.31)_1.창업관련 회계처리 2" xfId="20118"/>
    <cellStyle name="-_법인세비용-코크렙1호_04.10월 손익보정 내역(04.10.15~)_제2기 손익보정 내역(05.4.1~06.3.31)_1.창업관련 회계처리 2 2" xfId="20119"/>
    <cellStyle name="-_법인세비용-코크렙1호_04.10월 손익보정 내역(04.10.15~)_제2기 손익보정 내역(05.4.1~06.3.31)_1.창업관련 회계처리 3" xfId="20120"/>
    <cellStyle name="-_법인세비용-코크렙1호_04.10월 손익보정 내역(04.10.15~)_제2기 손익보정 내역(05.4.1~06.3.31)_1.창업관련 회계처리_I2 6월 결산 검증서_복합대출상품_20101119" xfId="20121"/>
    <cellStyle name="-_법인세비용-코크렙1호_04.10월 손익보정 내역(04.10.15~)_제2기 손익보정 내역(05.4.1~06.3.31)_1.창업관련 회계처리_I2 6월 결산 검증서_복합대출상품_20101119 2" xfId="20122"/>
    <cellStyle name="-_법인세비용-코크렙1호_04.10월 손익보정 내역(04.10.15~)_제2기 손익보정 내역(05.4.1~06.3.31)_1.창업관련 회계처리_I2 6월 결산 검증서_복합대출상품_20101119 2 2" xfId="20123"/>
    <cellStyle name="-_법인세비용-코크렙1호_04.10월 손익보정 내역(04.10.15~)_제2기 손익보정 내역(05.4.1~06.3.31)_1.창업관련 회계처리_Template회사작성분 검토_PEF(2)" xfId="20124"/>
    <cellStyle name="-_법인세비용-코크렙1호_04.10월 손익보정 내역(04.10.15~)_제2기 손익보정 내역(05.4.1~06.3.31)_1.창업관련 회계처리_Template회사작성분 검토_PEF(2) 2" xfId="20125"/>
    <cellStyle name="-_법인세비용-코크렙1호_04.10월 손익보정 내역(04.10.15~)_제2기 손익보정 내역(05.4.1~06.3.31)_1.창업관련 회계처리_Template회사작성분 검토_PEF(2) 2 2" xfId="20126"/>
    <cellStyle name="-_법인세비용-코크렙1호_04.10월 손익보정 내역(04.10.15~)_제2기 손익보정 내역(05.4.1~06.3.31)_1.창업관련 회계처리_Template회사작성분 검토_PEF(2) 3" xfId="20127"/>
    <cellStyle name="-_법인세비용-코크렙1호_04.10월 손익보정 내역(04.10.15~)_제2기 손익보정 내역(05.4.1~06.3.31)_1.창업관련 회계처리_Template회사작성분 검토_PEF(2)_I2 6월 결산 검증서_복합대출상품_20101119" xfId="20128"/>
    <cellStyle name="-_법인세비용-코크렙1호_04.10월 손익보정 내역(04.10.15~)_제2기 손익보정 내역(05.4.1~06.3.31)_1.창업관련 회계처리_Template회사작성분 검토_PEF(2)_I2 6월 결산 검증서_복합대출상품_20101119 2" xfId="20129"/>
    <cellStyle name="-_법인세비용-코크렙1호_04.10월 손익보정 내역(04.10.15~)_제2기 손익보정 내역(05.4.1~06.3.31)_1.창업관련 회계처리_Template회사작성분 검토_PEF(2)_I2 6월 결산 검증서_복합대출상품_20101119 2 2" xfId="20130"/>
    <cellStyle name="-_법인세비용-코크렙1호_04.10월 손익보정 내역(04.10.15~)_제2기 손익보정 내역(05.4.1~06.3.31)_I2 6월 결산 검증서_복합대출상품_20101119" xfId="20131"/>
    <cellStyle name="-_법인세비용-코크렙1호_04.10월 손익보정 내역(04.10.15~)_제2기 손익보정 내역(05.4.1~06.3.31)_I2 6월 결산 검증서_복합대출상품_20101119 2" xfId="20132"/>
    <cellStyle name="-_법인세비용-코크렙1호_04.10월 손익보정 내역(04.10.15~)_제2기 손익보정 내역(05.4.1~06.3.31)_I2 6월 결산 검증서_복합대출상품_20101119 2 2" xfId="20133"/>
    <cellStyle name="-_법인세비용-코크렙1호_04.10월 손익보정 내역(04.10.15~)_제2기 손익보정 내역(05.4.1~06.3.31)_name of fund" xfId="20134"/>
    <cellStyle name="-_법인세비용-코크렙1호_04.10월 손익보정 내역(04.10.15~)_제2기 손익보정 내역(05.4.1~06.3.31)_name of fund 2" xfId="20135"/>
    <cellStyle name="-_법인세비용-코크렙1호_04.10월 손익보정 내역(04.10.15~)_제2기 손익보정 내역(05.4.1~06.3.31)_name of fund 2 2" xfId="20136"/>
    <cellStyle name="-_법인세비용-코크렙1호_04.10월 손익보정 내역(04.10.15~)_제2기 손익보정 내역(05.4.1~06.3.31)_name of fund 3" xfId="20137"/>
    <cellStyle name="-_법인세비용-코크렙1호_04.10월 손익보정 내역(04.10.15~)_제2기 손익보정 내역(05.4.1~06.3.31)_name of fund_I2 6월 결산 검증서_복합대출상품_20101119" xfId="20138"/>
    <cellStyle name="-_법인세비용-코크렙1호_04.10월 손익보정 내역(04.10.15~)_제2기 손익보정 내역(05.4.1~06.3.31)_name of fund_I2 6월 결산 검증서_복합대출상품_20101119 2" xfId="20139"/>
    <cellStyle name="-_법인세비용-코크렙1호_04.10월 손익보정 내역(04.10.15~)_제2기 손익보정 내역(05.4.1~06.3.31)_name of fund_I2 6월 결산 검증서_복합대출상품_20101119 2 2" xfId="20140"/>
    <cellStyle name="-_법인세비용-코크렙1호_04.10월 손익보정 내역(04.10.15~)_제2기 손익보정 내역(05.4.1~06.3.31)_name of fund_name of fund" xfId="20141"/>
    <cellStyle name="-_법인세비용-코크렙1호_04.10월 손익보정 내역(04.10.15~)_제2기 손익보정 내역(05.4.1~06.3.31)_name of fund_name of fund 2" xfId="20142"/>
    <cellStyle name="-_법인세비용-코크렙1호_04.10월 손익보정 내역(04.10.15~)_제2기 손익보정 내역(05.4.1~06.3.31)_name of fund_name of fund 2 2" xfId="20143"/>
    <cellStyle name="-_법인세비용-코크렙1호_04.10월 손익보정 내역(04.10.15~)_제2기 손익보정 내역(05.4.1~06.3.31)_name of fund_name of fund 3" xfId="20144"/>
    <cellStyle name="-_법인세비용-코크렙1호_04.10월 손익보정 내역(04.10.15~)_제2기 손익보정 내역(05.4.1~06.3.31)_name of fund_name of fund_I2 6월 결산 검증서_복합대출상품_20101119" xfId="20145"/>
    <cellStyle name="-_법인세비용-코크렙1호_04.10월 손익보정 내역(04.10.15~)_제2기 손익보정 내역(05.4.1~06.3.31)_name of fund_name of fund_I2 6월 결산 검증서_복합대출상품_20101119 2" xfId="20146"/>
    <cellStyle name="-_법인세비용-코크렙1호_04.10월 손익보정 내역(04.10.15~)_제2기 손익보정 내역(05.4.1~06.3.31)_name of fund_name of fund_I2 6월 결산 검증서_복합대출상품_20101119 2 2" xfId="20147"/>
    <cellStyle name="-_법인세비용-코크렙1호_04.10월 손익보정 내역(04.10.15~)_제2기 손익보정 내역(05.4.1~06.3.31)_name of fund_name of fund_Template회사작성분 검토_PEF(2)" xfId="20148"/>
    <cellStyle name="-_법인세비용-코크렙1호_04.10월 손익보정 내역(04.10.15~)_제2기 손익보정 내역(05.4.1~06.3.31)_name of fund_name of fund_Template회사작성분 검토_PEF(2) 2" xfId="20149"/>
    <cellStyle name="-_법인세비용-코크렙1호_04.10월 손익보정 내역(04.10.15~)_제2기 손익보정 내역(05.4.1~06.3.31)_name of fund_name of fund_Template회사작성분 검토_PEF(2) 2 2" xfId="20150"/>
    <cellStyle name="-_법인세비용-코크렙1호_04.10월 손익보정 내역(04.10.15~)_제2기 손익보정 내역(05.4.1~06.3.31)_name of fund_name of fund_Template회사작성분 검토_PEF(2) 3" xfId="20151"/>
    <cellStyle name="-_법인세비용-코크렙1호_04.10월 손익보정 내역(04.10.15~)_제2기 손익보정 내역(05.4.1~06.3.31)_name of fund_name of fund_Template회사작성분 검토_PEF(2)_I2 6월 결산 검증서_복합대출상품_20101119" xfId="20152"/>
    <cellStyle name="-_법인세비용-코크렙1호_04.10월 손익보정 내역(04.10.15~)_제2기 손익보정 내역(05.4.1~06.3.31)_name of fund_name of fund_Template회사작성분 검토_PEF(2)_I2 6월 결산 검증서_복합대출상품_20101119 2" xfId="20153"/>
    <cellStyle name="-_법인세비용-코크렙1호_04.10월 손익보정 내역(04.10.15~)_제2기 손익보정 내역(05.4.1~06.3.31)_name of fund_name of fund_Template회사작성분 검토_PEF(2)_I2 6월 결산 검증서_복합대출상품_20101119 2 2" xfId="20154"/>
    <cellStyle name="-_법인세비용-코크렙1호_04.10월 손익보정 내역(04.10.15~)_제2기 손익보정 내역(05.4.1~06.3.31)_name of fund_Template회사작성분 검토_PEF(2)" xfId="20155"/>
    <cellStyle name="-_법인세비용-코크렙1호_04.10월 손익보정 내역(04.10.15~)_제2기 손익보정 내역(05.4.1~06.3.31)_name of fund_Template회사작성분 검토_PEF(2) 2" xfId="20156"/>
    <cellStyle name="-_법인세비용-코크렙1호_04.10월 손익보정 내역(04.10.15~)_제2기 손익보정 내역(05.4.1~06.3.31)_name of fund_Template회사작성분 검토_PEF(2) 2 2" xfId="20157"/>
    <cellStyle name="-_법인세비용-코크렙1호_04.10월 손익보정 내역(04.10.15~)_제2기 손익보정 내역(05.4.1~06.3.31)_name of fund_Template회사작성분 검토_PEF(2) 3" xfId="20158"/>
    <cellStyle name="-_법인세비용-코크렙1호_04.10월 손익보정 내역(04.10.15~)_제2기 손익보정 내역(05.4.1~06.3.31)_name of fund_Template회사작성분 검토_PEF(2)_I2 6월 결산 검증서_복합대출상품_20101119" xfId="20159"/>
    <cellStyle name="-_법인세비용-코크렙1호_04.10월 손익보정 내역(04.10.15~)_제2기 손익보정 내역(05.4.1~06.3.31)_name of fund_Template회사작성분 검토_PEF(2)_I2 6월 결산 검증서_복합대출상품_20101119 2" xfId="20160"/>
    <cellStyle name="-_법인세비용-코크렙1호_04.10월 손익보정 내역(04.10.15~)_제2기 손익보정 내역(05.4.1~06.3.31)_name of fund_Template회사작성분 검토_PEF(2)_I2 6월 결산 검증서_복합대출상품_20101119 2 2" xfId="20161"/>
    <cellStyle name="-_법인세비용-코크렙1호_04.10월 손익보정 내역(04.10.15~)_제2기 손익보정 내역(05.4.1~06.3.31)_SUN 입력용fund" xfId="20162"/>
    <cellStyle name="-_법인세비용-코크렙1호_04.10월 손익보정 내역(04.10.15~)_제2기 손익보정 내역(05.4.1~06.3.31)_SUN 입력용fund 2" xfId="20163"/>
    <cellStyle name="-_법인세비용-코크렙1호_04.10월 손익보정 내역(04.10.15~)_제2기 손익보정 내역(05.4.1~06.3.31)_SUN 입력용fund 2 2" xfId="20164"/>
    <cellStyle name="-_법인세비용-코크렙1호_04.10월 손익보정 내역(04.10.15~)_제2기 손익보정 내역(05.4.1~06.3.31)_SUN 입력용fund 3" xfId="20165"/>
    <cellStyle name="-_법인세비용-코크렙1호_04.10월 손익보정 내역(04.10.15~)_제2기 손익보정 내역(05.4.1~06.3.31)_SUN 입력용fund_I2 6월 결산 검증서_복합대출상품_20101119" xfId="20166"/>
    <cellStyle name="-_법인세비용-코크렙1호_04.10월 손익보정 내역(04.10.15~)_제2기 손익보정 내역(05.4.1~06.3.31)_SUN 입력용fund_I2 6월 결산 검증서_복합대출상품_20101119 2" xfId="20167"/>
    <cellStyle name="-_법인세비용-코크렙1호_04.10월 손익보정 내역(04.10.15~)_제2기 손익보정 내역(05.4.1~06.3.31)_SUN 입력용fund_I2 6월 결산 검증서_복합대출상품_20101119 2 2" xfId="20168"/>
    <cellStyle name="-_법인세비용-코크렙1호_04.10월 손익보정 내역(04.10.15~)_제2기 손익보정 내역(05.4.1~06.3.31)_SUN 입력용fund_name of fund" xfId="20169"/>
    <cellStyle name="-_법인세비용-코크렙1호_04.10월 손익보정 내역(04.10.15~)_제2기 손익보정 내역(05.4.1~06.3.31)_SUN 입력용fund_name of fund 2" xfId="20170"/>
    <cellStyle name="-_법인세비용-코크렙1호_04.10월 손익보정 내역(04.10.15~)_제2기 손익보정 내역(05.4.1~06.3.31)_SUN 입력용fund_name of fund 2 2" xfId="20171"/>
    <cellStyle name="-_법인세비용-코크렙1호_04.10월 손익보정 내역(04.10.15~)_제2기 손익보정 내역(05.4.1~06.3.31)_SUN 입력용fund_name of fund 3" xfId="20172"/>
    <cellStyle name="-_법인세비용-코크렙1호_04.10월 손익보정 내역(04.10.15~)_제2기 손익보정 내역(05.4.1~06.3.31)_SUN 입력용fund_name of fund_I2 6월 결산 검증서_복합대출상품_20101119" xfId="20173"/>
    <cellStyle name="-_법인세비용-코크렙1호_04.10월 손익보정 내역(04.10.15~)_제2기 손익보정 내역(05.4.1~06.3.31)_SUN 입력용fund_name of fund_I2 6월 결산 검증서_복합대출상품_20101119 2" xfId="20174"/>
    <cellStyle name="-_법인세비용-코크렙1호_04.10월 손익보정 내역(04.10.15~)_제2기 손익보정 내역(05.4.1~06.3.31)_SUN 입력용fund_name of fund_I2 6월 결산 검증서_복합대출상품_20101119 2 2" xfId="20175"/>
    <cellStyle name="-_법인세비용-코크렙1호_04.10월 손익보정 내역(04.10.15~)_제2기 손익보정 내역(05.4.1~06.3.31)_SUN 입력용fund_name of fund_Template회사작성분 검토_PEF(2)" xfId="20176"/>
    <cellStyle name="-_법인세비용-코크렙1호_04.10월 손익보정 내역(04.10.15~)_제2기 손익보정 내역(05.4.1~06.3.31)_SUN 입력용fund_name of fund_Template회사작성분 검토_PEF(2) 2" xfId="20177"/>
    <cellStyle name="-_법인세비용-코크렙1호_04.10월 손익보정 내역(04.10.15~)_제2기 손익보정 내역(05.4.1~06.3.31)_SUN 입력용fund_name of fund_Template회사작성분 검토_PEF(2) 2 2" xfId="20178"/>
    <cellStyle name="-_법인세비용-코크렙1호_04.10월 손익보정 내역(04.10.15~)_제2기 손익보정 내역(05.4.1~06.3.31)_SUN 입력용fund_name of fund_Template회사작성분 검토_PEF(2) 3" xfId="20179"/>
    <cellStyle name="-_법인세비용-코크렙1호_04.10월 손익보정 내역(04.10.15~)_제2기 손익보정 내역(05.4.1~06.3.31)_SUN 입력용fund_name of fund_Template회사작성분 검토_PEF(2)_I2 6월 결산 검증서_복합대출상품_20101119" xfId="20180"/>
    <cellStyle name="-_법인세비용-코크렙1호_04.10월 손익보정 내역(04.10.15~)_제2기 손익보정 내역(05.4.1~06.3.31)_SUN 입력용fund_name of fund_Template회사작성분 검토_PEF(2)_I2 6월 결산 검증서_복합대출상품_20101119 2" xfId="20181"/>
    <cellStyle name="-_법인세비용-코크렙1호_04.10월 손익보정 내역(04.10.15~)_제2기 손익보정 내역(05.4.1~06.3.31)_SUN 입력용fund_name of fund_Template회사작성분 검토_PEF(2)_I2 6월 결산 검증서_복합대출상품_20101119 2 2" xfId="20182"/>
    <cellStyle name="-_법인세비용-코크렙1호_04.10월 손익보정 내역(04.10.15~)_제2기 손익보정 내역(05.4.1~06.3.31)_SUN 입력용fund_Template회사작성분 검토_PEF(2)" xfId="20183"/>
    <cellStyle name="-_법인세비용-코크렙1호_04.10월 손익보정 내역(04.10.15~)_제2기 손익보정 내역(05.4.1~06.3.31)_SUN 입력용fund_Template회사작성분 검토_PEF(2) 2" xfId="20184"/>
    <cellStyle name="-_법인세비용-코크렙1호_04.10월 손익보정 내역(04.10.15~)_제2기 손익보정 내역(05.4.1~06.3.31)_SUN 입력용fund_Template회사작성분 검토_PEF(2) 2 2" xfId="20185"/>
    <cellStyle name="-_법인세비용-코크렙1호_04.10월 손익보정 내역(04.10.15~)_제2기 손익보정 내역(05.4.1~06.3.31)_SUN 입력용fund_Template회사작성분 검토_PEF(2) 3" xfId="20186"/>
    <cellStyle name="-_법인세비용-코크렙1호_04.10월 손익보정 내역(04.10.15~)_제2기 손익보정 내역(05.4.1~06.3.31)_SUN 입력용fund_Template회사작성분 검토_PEF(2)_I2 6월 결산 검증서_복합대출상품_20101119" xfId="20187"/>
    <cellStyle name="-_법인세비용-코크렙1호_04.10월 손익보정 내역(04.10.15~)_제2기 손익보정 내역(05.4.1~06.3.31)_SUN 입력용fund_Template회사작성분 검토_PEF(2)_I2 6월 결산 검증서_복합대출상품_20101119 2" xfId="20188"/>
    <cellStyle name="-_법인세비용-코크렙1호_04.10월 손익보정 내역(04.10.15~)_제2기 손익보정 내역(05.4.1~06.3.31)_SUN 입력용fund_Template회사작성분 검토_PEF(2)_I2 6월 결산 검증서_복합대출상품_20101119 2 2" xfId="20189"/>
    <cellStyle name="-_법인세비용-코크렙1호_04.10월 손익보정 내역(04.10.15~)_제2기 손익보정 내역(05.4.1~06.3.31)_Template회사작성분 검토_PEF(2)" xfId="20190"/>
    <cellStyle name="-_법인세비용-코크렙1호_04.10월 손익보정 내역(04.10.15~)_제2기 손익보정 내역(05.4.1~06.3.31)_Template회사작성분 검토_PEF(2) 2" xfId="20191"/>
    <cellStyle name="-_법인세비용-코크렙1호_04.10월 손익보정 내역(04.10.15~)_제2기 손익보정 내역(05.4.1~06.3.31)_Template회사작성분 검토_PEF(2) 2 2" xfId="20192"/>
    <cellStyle name="-_법인세비용-코크렙1호_04.10월 손익보정 내역(04.10.15~)_제2기 손익보정 내역(05.4.1~06.3.31)_Template회사작성분 검토_PEF(2) 3" xfId="20193"/>
    <cellStyle name="-_법인세비용-코크렙1호_04.10월 손익보정 내역(04.10.15~)_제2기 손익보정 내역(05.4.1~06.3.31)_Template회사작성분 검토_PEF(2)_I2 6월 결산 검증서_복합대출상품_20101119" xfId="20194"/>
    <cellStyle name="-_법인세비용-코크렙1호_04.10월 손익보정 내역(04.10.15~)_제2기 손익보정 내역(05.4.1~06.3.31)_Template회사작성분 검토_PEF(2)_I2 6월 결산 검증서_복합대출상품_20101119 2" xfId="20195"/>
    <cellStyle name="-_법인세비용-코크렙1호_04.10월 손익보정 내역(04.10.15~)_제2기 손익보정 내역(05.4.1~06.3.31)_Template회사작성분 검토_PEF(2)_I2 6월 결산 검증서_복합대출상품_20101119 2 2" xfId="20196"/>
    <cellStyle name="-_법인세비용-코크렙1호_1.창업관련 회계처리" xfId="20197"/>
    <cellStyle name="-_법인세비용-코크렙1호_1.창업관련 회계처리 2" xfId="20198"/>
    <cellStyle name="-_법인세비용-코크렙1호_1.창업관련 회계처리 2 2" xfId="20199"/>
    <cellStyle name="-_법인세비용-코크렙1호_1.창업관련 회계처리 3" xfId="20200"/>
    <cellStyle name="-_법인세비용-코크렙1호_1.창업관련 회계처리_I2 6월 결산 검증서_복합대출상품_20101119" xfId="20201"/>
    <cellStyle name="-_법인세비용-코크렙1호_1.창업관련 회계처리_I2 6월 결산 검증서_복합대출상품_20101119 2" xfId="20202"/>
    <cellStyle name="-_법인세비용-코크렙1호_1.창업관련 회계처리_I2 6월 결산 검증서_복합대출상품_20101119 2 2" xfId="20203"/>
    <cellStyle name="-_법인세비용-코크렙1호_1.창업관련 회계처리_Template회사작성분 검토_PEF(2)" xfId="20204"/>
    <cellStyle name="-_법인세비용-코크렙1호_1.창업관련 회계처리_Template회사작성분 검토_PEF(2) 2" xfId="20205"/>
    <cellStyle name="-_법인세비용-코크렙1호_1.창업관련 회계처리_Template회사작성분 검토_PEF(2) 2 2" xfId="20206"/>
    <cellStyle name="-_법인세비용-코크렙1호_1.창업관련 회계처리_Template회사작성분 검토_PEF(2) 3" xfId="20207"/>
    <cellStyle name="-_법인세비용-코크렙1호_1.창업관련 회계처리_Template회사작성분 검토_PEF(2)_I2 6월 결산 검증서_복합대출상품_20101119" xfId="20208"/>
    <cellStyle name="-_법인세비용-코크렙1호_1.창업관련 회계처리_Template회사작성분 검토_PEF(2)_I2 6월 결산 검증서_복합대출상품_20101119 2" xfId="20209"/>
    <cellStyle name="-_법인세비용-코크렙1호_1.창업관련 회계처리_Template회사작성분 검토_PEF(2)_I2 6월 결산 검증서_복합대출상품_20101119 2 2" xfId="20210"/>
    <cellStyle name="-_법인세비용-코크렙1호_I2 6월 결산 검증서_복합대출상품_20101119" xfId="20211"/>
    <cellStyle name="-_법인세비용-코크렙1호_I2 6월 결산 검증서_복합대출상품_20101119 2" xfId="20212"/>
    <cellStyle name="-_법인세비용-코크렙1호_I2 6월 결산 검증서_복합대출상품_20101119 2 2" xfId="20213"/>
    <cellStyle name="-_법인세비용-코크렙1호_name of fund" xfId="20214"/>
    <cellStyle name="-_법인세비용-코크렙1호_name of fund 2" xfId="20215"/>
    <cellStyle name="-_법인세비용-코크렙1호_name of fund 2 2" xfId="20216"/>
    <cellStyle name="-_법인세비용-코크렙1호_name of fund 3" xfId="20217"/>
    <cellStyle name="-_법인세비용-코크렙1호_name of fund_I2 6월 결산 검증서_복합대출상품_20101119" xfId="20218"/>
    <cellStyle name="-_법인세비용-코크렙1호_name of fund_I2 6월 결산 검증서_복합대출상품_20101119 2" xfId="20219"/>
    <cellStyle name="-_법인세비용-코크렙1호_name of fund_I2 6월 결산 검증서_복합대출상품_20101119 2 2" xfId="20220"/>
    <cellStyle name="-_법인세비용-코크렙1호_name of fund_name of fund" xfId="20221"/>
    <cellStyle name="-_법인세비용-코크렙1호_name of fund_name of fund 2" xfId="20222"/>
    <cellStyle name="-_법인세비용-코크렙1호_name of fund_name of fund 2 2" xfId="20223"/>
    <cellStyle name="-_법인세비용-코크렙1호_name of fund_name of fund 3" xfId="20224"/>
    <cellStyle name="-_법인세비용-코크렙1호_name of fund_name of fund_I2 6월 결산 검증서_복합대출상품_20101119" xfId="20225"/>
    <cellStyle name="-_법인세비용-코크렙1호_name of fund_name of fund_I2 6월 결산 검증서_복합대출상품_20101119 2" xfId="20226"/>
    <cellStyle name="-_법인세비용-코크렙1호_name of fund_name of fund_I2 6월 결산 검증서_복합대출상품_20101119 2 2" xfId="20227"/>
    <cellStyle name="-_법인세비용-코크렙1호_name of fund_name of fund_Template회사작성분 검토_PEF(2)" xfId="20228"/>
    <cellStyle name="-_법인세비용-코크렙1호_name of fund_name of fund_Template회사작성분 검토_PEF(2) 2" xfId="20229"/>
    <cellStyle name="-_법인세비용-코크렙1호_name of fund_name of fund_Template회사작성분 검토_PEF(2) 2 2" xfId="20230"/>
    <cellStyle name="-_법인세비용-코크렙1호_name of fund_name of fund_Template회사작성분 검토_PEF(2) 3" xfId="20231"/>
    <cellStyle name="-_법인세비용-코크렙1호_name of fund_name of fund_Template회사작성분 검토_PEF(2)_I2 6월 결산 검증서_복합대출상품_20101119" xfId="20232"/>
    <cellStyle name="-_법인세비용-코크렙1호_name of fund_name of fund_Template회사작성분 검토_PEF(2)_I2 6월 결산 검증서_복합대출상품_20101119 2" xfId="20233"/>
    <cellStyle name="-_법인세비용-코크렙1호_name of fund_name of fund_Template회사작성분 검토_PEF(2)_I2 6월 결산 검증서_복합대출상품_20101119 2 2" xfId="20234"/>
    <cellStyle name="-_법인세비용-코크렙1호_name of fund_Template회사작성분 검토_PEF(2)" xfId="20235"/>
    <cellStyle name="-_법인세비용-코크렙1호_name of fund_Template회사작성분 검토_PEF(2) 2" xfId="20236"/>
    <cellStyle name="-_법인세비용-코크렙1호_name of fund_Template회사작성분 검토_PEF(2) 2 2" xfId="20237"/>
    <cellStyle name="-_법인세비용-코크렙1호_name of fund_Template회사작성분 검토_PEF(2) 3" xfId="20238"/>
    <cellStyle name="-_법인세비용-코크렙1호_name of fund_Template회사작성분 검토_PEF(2)_I2 6월 결산 검증서_복합대출상품_20101119" xfId="20239"/>
    <cellStyle name="-_법인세비용-코크렙1호_name of fund_Template회사작성분 검토_PEF(2)_I2 6월 결산 검증서_복합대출상품_20101119 2" xfId="20240"/>
    <cellStyle name="-_법인세비용-코크렙1호_name of fund_Template회사작성분 검토_PEF(2)_I2 6월 결산 검증서_복합대출상품_20101119 2 2" xfId="20241"/>
    <cellStyle name="-_법인세비용-코크렙1호_SUN 입력용fund" xfId="20242"/>
    <cellStyle name="-_법인세비용-코크렙1호_SUN 입력용fund 2" xfId="20243"/>
    <cellStyle name="-_법인세비용-코크렙1호_SUN 입력용fund 2 2" xfId="20244"/>
    <cellStyle name="-_법인세비용-코크렙1호_SUN 입력용fund 3" xfId="20245"/>
    <cellStyle name="-_법인세비용-코크렙1호_SUN 입력용fund_I2 6월 결산 검증서_복합대출상품_20101119" xfId="20246"/>
    <cellStyle name="-_법인세비용-코크렙1호_SUN 입력용fund_I2 6월 결산 검증서_복합대출상품_20101119 2" xfId="20247"/>
    <cellStyle name="-_법인세비용-코크렙1호_SUN 입력용fund_I2 6월 결산 검증서_복합대출상품_20101119 2 2" xfId="20248"/>
    <cellStyle name="-_법인세비용-코크렙1호_SUN 입력용fund_name of fund" xfId="20249"/>
    <cellStyle name="-_법인세비용-코크렙1호_SUN 입력용fund_name of fund 2" xfId="20250"/>
    <cellStyle name="-_법인세비용-코크렙1호_SUN 입력용fund_name of fund 2 2" xfId="20251"/>
    <cellStyle name="-_법인세비용-코크렙1호_SUN 입력용fund_name of fund 3" xfId="20252"/>
    <cellStyle name="-_법인세비용-코크렙1호_SUN 입력용fund_name of fund_I2 6월 결산 검증서_복합대출상품_20101119" xfId="20253"/>
    <cellStyle name="-_법인세비용-코크렙1호_SUN 입력용fund_name of fund_I2 6월 결산 검증서_복합대출상품_20101119 2" xfId="20254"/>
    <cellStyle name="-_법인세비용-코크렙1호_SUN 입력용fund_name of fund_I2 6월 결산 검증서_복합대출상품_20101119 2 2" xfId="20255"/>
    <cellStyle name="-_법인세비용-코크렙1호_SUN 입력용fund_name of fund_Template회사작성분 검토_PEF(2)" xfId="20256"/>
    <cellStyle name="-_법인세비용-코크렙1호_SUN 입력용fund_name of fund_Template회사작성분 검토_PEF(2) 2" xfId="20257"/>
    <cellStyle name="-_법인세비용-코크렙1호_SUN 입력용fund_name of fund_Template회사작성분 검토_PEF(2) 2 2" xfId="20258"/>
    <cellStyle name="-_법인세비용-코크렙1호_SUN 입력용fund_name of fund_Template회사작성분 검토_PEF(2) 3" xfId="20259"/>
    <cellStyle name="-_법인세비용-코크렙1호_SUN 입력용fund_name of fund_Template회사작성분 검토_PEF(2)_I2 6월 결산 검증서_복합대출상품_20101119" xfId="20260"/>
    <cellStyle name="-_법인세비용-코크렙1호_SUN 입력용fund_name of fund_Template회사작성분 검토_PEF(2)_I2 6월 결산 검증서_복합대출상품_20101119 2" xfId="20261"/>
    <cellStyle name="-_법인세비용-코크렙1호_SUN 입력용fund_name of fund_Template회사작성분 검토_PEF(2)_I2 6월 결산 검증서_복합대출상품_20101119 2 2" xfId="20262"/>
    <cellStyle name="-_법인세비용-코크렙1호_SUN 입력용fund_Template회사작성분 검토_PEF(2)" xfId="20263"/>
    <cellStyle name="-_법인세비용-코크렙1호_SUN 입력용fund_Template회사작성분 검토_PEF(2) 2" xfId="20264"/>
    <cellStyle name="-_법인세비용-코크렙1호_SUN 입력용fund_Template회사작성분 검토_PEF(2) 2 2" xfId="20265"/>
    <cellStyle name="-_법인세비용-코크렙1호_SUN 입력용fund_Template회사작성분 검토_PEF(2) 3" xfId="20266"/>
    <cellStyle name="-_법인세비용-코크렙1호_SUN 입력용fund_Template회사작성분 검토_PEF(2)_I2 6월 결산 검증서_복합대출상품_20101119" xfId="20267"/>
    <cellStyle name="-_법인세비용-코크렙1호_SUN 입력용fund_Template회사작성분 검토_PEF(2)_I2 6월 결산 검증서_복합대출상품_20101119 2" xfId="20268"/>
    <cellStyle name="-_법인세비용-코크렙1호_SUN 입력용fund_Template회사작성분 검토_PEF(2)_I2 6월 결산 검증서_복합대출상품_20101119 2 2" xfId="20269"/>
    <cellStyle name="-_법인세비용-코크렙1호_Template회사작성분 검토_PEF(2)" xfId="20270"/>
    <cellStyle name="-_법인세비용-코크렙1호_Template회사작성분 검토_PEF(2) 2" xfId="20271"/>
    <cellStyle name="-_법인세비용-코크렙1호_Template회사작성분 검토_PEF(2) 2 2" xfId="20272"/>
    <cellStyle name="-_법인세비용-코크렙1호_Template회사작성분 검토_PEF(2) 3" xfId="20273"/>
    <cellStyle name="-_법인세비용-코크렙1호_Template회사작성분 검토_PEF(2)_I2 6월 결산 검증서_복합대출상품_20101119" xfId="20274"/>
    <cellStyle name="-_법인세비용-코크렙1호_Template회사작성분 검토_PEF(2)_I2 6월 결산 검증서_복합대출상품_20101119 2" xfId="20275"/>
    <cellStyle name="-_법인세비용-코크렙1호_Template회사작성분 검토_PEF(2)_I2 6월 결산 검증서_복합대출상품_20101119 2 2" xfId="20276"/>
    <cellStyle name="-_벽산페인트(03,LHY)1" xfId="20277"/>
    <cellStyle name="-_벽산페인트(03,LHY)1 2" xfId="20278"/>
    <cellStyle name="-_벽산페인트(03,LHY)1 2 2" xfId="20279"/>
    <cellStyle name="-_벽산페인트(03,LHY)1 3" xfId="20280"/>
    <cellStyle name="_변경최종_인센티브" xfId="27558"/>
    <cellStyle name="_별첨(계획서및실적서양식)" xfId="7543"/>
    <cellStyle name="_별첨(계획서및실적서양식)_1" xfId="7544"/>
    <cellStyle name="_별첨1223" xfId="7545"/>
    <cellStyle name="_별첨자료(1-4)" xfId="20281"/>
    <cellStyle name="_별첨자료(매스)-080119" xfId="7546"/>
    <cellStyle name="_별첨자료(양정부)-081029" xfId="7547"/>
    <cellStyle name="_보고_해외법인실적 (2002.12)" xfId="27559"/>
    <cellStyle name="_보고02-건축공사감액보고서(0714)" xfId="7548"/>
    <cellStyle name="_보고용_법인별손익(5월 당월_누계)" xfId="27560"/>
    <cellStyle name="_보고자료(12월말)_PL" xfId="27561"/>
    <cellStyle name="_보고자료(9월말)_김종영" xfId="27562"/>
    <cellStyle name="_보령제약-assign" xfId="7549"/>
    <cellStyle name="_복사본 Book2" xfId="20282"/>
    <cellStyle name="_복사본 예비비 반영안(2002.10.30)-영문판" xfId="20283"/>
    <cellStyle name="_본사신고서(2기예정) (2)" xfId="20284"/>
    <cellStyle name="_부산임투 자료" xfId="20285"/>
    <cellStyle name="_부속명세서(자산부채1∼29)" xfId="20286"/>
    <cellStyle name="_부속명세서(자산부채1∼29) 2" xfId="20287"/>
    <cellStyle name="_부속명세서(자산부채1∼29) 2 2" xfId="20288"/>
    <cellStyle name="_부속명세서(자산부채1∼29) 2 2 2" xfId="30757"/>
    <cellStyle name="_부속명세서(자산부채1∼29) 2 3" xfId="30756"/>
    <cellStyle name="_부속명세서(자산부채1∼29) 3" xfId="20289"/>
    <cellStyle name="_부속명세서(자산부채1∼29) 3 2" xfId="30758"/>
    <cellStyle name="_부속명세서(자산부채1∼29) 4" xfId="30755"/>
    <cellStyle name="_부속명세서(자산부채1∼29)_Posco건설(2004기말)" xfId="20290"/>
    <cellStyle name="_부속명세서(자산부채1∼29)_Posco건설(2004기말) 2" xfId="20291"/>
    <cellStyle name="_부속명세서(자산부채1∼29)_Posco건설(2004기말) 2 2" xfId="20292"/>
    <cellStyle name="_부속명세서(자산부채1∼29)_Posco건설(2004기말) 2 2 2" xfId="30761"/>
    <cellStyle name="_부속명세서(자산부채1∼29)_Posco건설(2004기말) 2 3" xfId="30760"/>
    <cellStyle name="_부속명세서(자산부채1∼29)_Posco건설(2004기말) 3" xfId="20293"/>
    <cellStyle name="_부속명세서(자산부채1∼29)_Posco건설(2004기말) 3 2" xfId="30762"/>
    <cellStyle name="_부속명세서(자산부채1∼29)_Posco건설(2004기말) 4" xfId="30759"/>
    <cellStyle name="_부속명세서(자산부채1∼29)_기본조서(2004)" xfId="20294"/>
    <cellStyle name="_부속명세서(자산부채1∼29)_기본조서(2004) 2" xfId="20295"/>
    <cellStyle name="_부속명세서(자산부채1∼29)_기본조서(2004) 2 2" xfId="20296"/>
    <cellStyle name="_부속명세서(자산부채1∼29)_기본조서(2004) 2 2 2" xfId="30765"/>
    <cellStyle name="_부속명세서(자산부채1∼29)_기본조서(2004) 2 3" xfId="30764"/>
    <cellStyle name="_부속명세서(자산부채1∼29)_기본조서(2004) 3" xfId="20297"/>
    <cellStyle name="_부속명세서(자산부채1∼29)_기본조서(2004) 3 2" xfId="30766"/>
    <cellStyle name="_부속명세서(자산부채1∼29)_기본조서(2004) 4" xfId="30763"/>
    <cellStyle name="_부속명세서(자산부채1∼29)_기본조서(blank)" xfId="20298"/>
    <cellStyle name="_부속명세서(자산부채1∼29)_기본조서(blank) 2" xfId="20299"/>
    <cellStyle name="_부속명세서(자산부채1∼29)_기본조서(blank) 2 2" xfId="20300"/>
    <cellStyle name="_부속명세서(자산부채1∼29)_기본조서(blank) 2 2 2" xfId="30769"/>
    <cellStyle name="_부속명세서(자산부채1∼29)_기본조서(blank) 2 3" xfId="30768"/>
    <cellStyle name="_부속명세서(자산부채1∼29)_기본조서(blank) 3" xfId="20301"/>
    <cellStyle name="_부속명세서(자산부채1∼29)_기본조서(blank) 3 2" xfId="30770"/>
    <cellStyle name="_부속명세서(자산부채1∼29)_기본조서(blank) 4" xfId="30767"/>
    <cellStyle name="_부에나비스타 빌라 설계견적" xfId="7550"/>
    <cellStyle name="_부천 중동 스타타워" xfId="7551"/>
    <cellStyle name="_북미수정자료" xfId="7552"/>
    <cellStyle name="_북미수정자료_인원재검토" xfId="7553"/>
    <cellStyle name="_북미수정자료_중국사업보고" xfId="7554"/>
    <cellStyle name="_북미수정자료_중국사업보고(11)" xfId="7555"/>
    <cellStyle name="_북미수정자료_중국사업보고(D안승인보고서1109)" xfId="7556"/>
    <cellStyle name="_북미수정자료_중국사업보고(천진)" xfId="7557"/>
    <cellStyle name="_북미수정자료_현대 제출 중국사업보고 손익" xfId="7558"/>
    <cellStyle name="_북미수정자료_현대제출보고서(0508제출)" xfId="7559"/>
    <cellStyle name="_분기비용내역" xfId="7560"/>
    <cellStyle name="_분석001-구조체투입관련" xfId="7561"/>
    <cellStyle name="-_분석조서" xfId="7562"/>
    <cellStyle name="_분석조서 손익-tklee" xfId="20302"/>
    <cellStyle name="-_분석조서_감사절차지시서-2003년1(1)" xfId="7563"/>
    <cellStyle name="-_분석조서_감사절차지시서-2003년1(1)_04년 중간(04.12.9)" xfId="7564"/>
    <cellStyle name="-_분석조서_감사절차지시서-2003년1(1)_interim(PAY ROLL)" xfId="7565"/>
    <cellStyle name="-_분석조서_감사절차지시서-2003년1(1)_interim-PAY ROLL" xfId="7566"/>
    <cellStyle name="-_분석조서_감사절차지시서-jonghari" xfId="7567"/>
    <cellStyle name="-_분석조서_감사절차지시서-jonghari_04년 중간(04.12.9)" xfId="7568"/>
    <cellStyle name="-_분석조서_감사절차지시서-jonghari_interim(PAY ROLL)" xfId="7569"/>
    <cellStyle name="-_분석조서_감사절차지시서-jonghari_interim-PAY ROLL" xfId="7570"/>
    <cellStyle name="-_분석조서_반도산업조서2003(용)" xfId="7571"/>
    <cellStyle name="-_분석조서_반도산업조서2003(용)_04년 중간(04.12.9)" xfId="7572"/>
    <cellStyle name="-_분석조서_반도산업조서2003(용)_interim(PAY ROLL)" xfId="7573"/>
    <cellStyle name="-_분석조서_반도산업조서2003(용)_interim-PAY ROLL" xfId="7574"/>
    <cellStyle name="-_분석조서_반도중간(04.11.30)" xfId="7575"/>
    <cellStyle name="-_분석조서_반도중간(04.11.30)_04년 중간(04.12.9)" xfId="7576"/>
    <cellStyle name="-_분석조서_반도중간(04.11.30)_interim(PAY ROLL)" xfId="7577"/>
    <cellStyle name="-_분석조서_반도중간(04.11.30)_interim-PAY ROLL" xfId="7578"/>
    <cellStyle name="-_분석조서_태성2003조서(이종하)" xfId="7579"/>
    <cellStyle name="-_분석조서_태성2003조서(이종하)_04년 중간(04.12.9)" xfId="7580"/>
    <cellStyle name="-_분석조서_태성2003조서(이종하)_interim(PAY ROLL)" xfId="7581"/>
    <cellStyle name="-_분석조서_태성2003조서(이종하)_interim-PAY ROLL" xfId="7582"/>
    <cellStyle name="_불공제(2기예정) (2)" xfId="20303"/>
    <cellStyle name="_사본 - 손익명세" xfId="7583"/>
    <cellStyle name="_사본 - 자산 명세" xfId="7584"/>
    <cellStyle name="_산업은행견적서_SDS_030222" xfId="7585"/>
    <cellStyle name="_산업은행견적서_SDS_030222_090601_인원계획_V1.0(제출용포함)" xfId="7586"/>
    <cellStyle name="_산업은행견적서_SDS_030222_090602_인원계획_V1.1(제출용포함)" xfId="7587"/>
    <cellStyle name="_산업은행견적서_SDS_030222_090602_인원계획_V1.2(제출용포함)_ybokseo" xfId="7588"/>
    <cellStyle name="_산업은행견적서_SDS_030222_090603_인원계획_V1.4(제출용포함)" xfId="7589"/>
    <cellStyle name="_산업은행견적서_SDS_030222_pwc_인력투입실적표(4월까지)_제출본" xfId="7590"/>
    <cellStyle name="_산업은행견적서_SDS_030222_pwc_인력투입실적표(4월까지)_제출본_090601_인원계획_V1.0(제출용포함)" xfId="7591"/>
    <cellStyle name="_산업은행견적서_SDS_030222_pwc_인력투입실적표(4월까지)_제출본_090602_인원계획_V1.1(제출용포함)" xfId="7592"/>
    <cellStyle name="_산업은행견적서_SDS_030222_pwc_인력투입실적표(4월까지)_제출본_090602_인원계획_V1.2(제출용포함)_ybokseo" xfId="7593"/>
    <cellStyle name="_산업은행견적서_SDS_030222_pwc_인력투입실적표(4월까지)_제출본_090603_인원계획_V1.4(제출용포함)" xfId="7594"/>
    <cellStyle name="_산업은행방카견적서_030321­_" xfId="7595"/>
    <cellStyle name="_산은자산운용" xfId="20304"/>
    <cellStyle name="_산은자산운용_CMC_조동희샘조서스타일" xfId="20305"/>
    <cellStyle name="_산출001-공동구공사" xfId="7596"/>
    <cellStyle name="_삼건베리클-2002년반기-정준형" xfId="7597"/>
    <cellStyle name="_삼사분기(외주)" xfId="7598"/>
    <cellStyle name="_삼성 실행 내역 수정" xfId="7599"/>
    <cellStyle name="_삼영중간" xfId="7600"/>
    <cellStyle name="_상반기전략회의0716" xfId="7601"/>
    <cellStyle name="_상반기평가회의(안)" xfId="7602"/>
    <cellStyle name="_생산 무형자산 명세서" xfId="20306"/>
    <cellStyle name="_샤시 (2)" xfId="7603"/>
    <cellStyle name="_샤시 (2)_1" xfId="7604"/>
    <cellStyle name="_샤시 (2)_2" xfId="7605"/>
    <cellStyle name="_서울여성병원-가실행(수정2)" xfId="7606"/>
    <cellStyle name="_서원양행-2002 FS - 양애리" xfId="7607"/>
    <cellStyle name="_선급비용_1.2" xfId="7608"/>
    <cellStyle name="_선급비용-KJH" xfId="7609"/>
    <cellStyle name="_세무조정 작성자료(생산에서 전사취합)" xfId="20307"/>
    <cellStyle name="_세무조정 추가자료(03.02.14일 기준)" xfId="20308"/>
    <cellStyle name="_세무조정6기" xfId="20309"/>
    <cellStyle name="_세무조정자료전사취합(박소정)" xfId="20310"/>
    <cellStyle name="_센터블 스파신축공사(토목공사-정주공영)" xfId="7610"/>
    <cellStyle name="_소코드1" xfId="460"/>
    <cellStyle name="_소코드1 2" xfId="7611"/>
    <cellStyle name="_소코드1 3" xfId="7612"/>
    <cellStyle name="_손익 비교" xfId="7613"/>
    <cellStyle name="_손익 비교_090601_인원계획_V1.0(제출용포함)" xfId="7614"/>
    <cellStyle name="_손익 비교_090602_인원계획_V1.1(제출용포함)" xfId="7615"/>
    <cellStyle name="_손익 비교_090602_인원계획_V1.2(제출용포함)_ybokseo" xfId="7616"/>
    <cellStyle name="_손익 비교_090603_인원계획_V1.4(제출용포함)" xfId="7617"/>
    <cellStyle name="_손익 비교_pwc_인력투입실적표(4월까지)_제출본" xfId="7618"/>
    <cellStyle name="_손익 비교_pwc_인력투입실적표(4월까지)_제출본_090601_인원계획_V1.0(제출용포함)" xfId="7619"/>
    <cellStyle name="_손익 비교_pwc_인력투입실적표(4월까지)_제출본_090602_인원계획_V1.1(제출용포함)" xfId="7620"/>
    <cellStyle name="_손익 비교_pwc_인력투입실적표(4월까지)_제출본_090602_인원계획_V1.2(제출용포함)_ybokseo" xfId="7621"/>
    <cellStyle name="_손익 비교_pwc_인력투입실적표(4월까지)_제출본_090603_인원계획_V1.4(제출용포함)" xfId="7622"/>
    <cellStyle name="_손익대차(2005)-동양시멘트(1)" xfId="20311"/>
    <cellStyle name="_쇼핑 보안솔루션 구축 프로젝트경비신청서03-03-19" xfId="7623"/>
    <cellStyle name="_수기작업_050630 현재 판매관리비" xfId="27563"/>
    <cellStyle name="_수기작업_계정이관 총괄표" xfId="27564"/>
    <cellStyle name="_수기작업_대출금" xfId="27565"/>
    <cellStyle name="_수기작업_퇴직급여충당금_6월분리" xfId="27566"/>
    <cellStyle name="_수기작업_판매관리비" xfId="27567"/>
    <cellStyle name="_수기작업_판매관리비(수정)" xfId="27568"/>
    <cellStyle name="_수기작업_판매관리비_6월 구분" xfId="27569"/>
    <cellStyle name="_수량" xfId="7624"/>
    <cellStyle name="_수산그룹미수금현황_20020506" xfId="27570"/>
    <cellStyle name="_수정-공항운송도급내역(0917)" xfId="7625"/>
    <cellStyle name="-_수정사항" xfId="7626"/>
    <cellStyle name="_수정사항(8월26일)" xfId="461"/>
    <cellStyle name="_수정사항(8월26일) 2" xfId="7627"/>
    <cellStyle name="_수정사항(8월26일) 3" xfId="7628"/>
    <cellStyle name="-_수정사항_감사절차지시서-2003년1(1)" xfId="7629"/>
    <cellStyle name="-_수정사항_감사절차지시서-2003년1(1)_04년 중간(04.12.9)" xfId="7630"/>
    <cellStyle name="-_수정사항_감사절차지시서-2003년1(1)_interim(PAY ROLL)" xfId="7631"/>
    <cellStyle name="-_수정사항_감사절차지시서-2003년1(1)_interim-PAY ROLL" xfId="7632"/>
    <cellStyle name="-_수정사항_감사절차지시서-jonghari" xfId="7633"/>
    <cellStyle name="-_수정사항_감사절차지시서-jonghari_04년 중간(04.12.9)" xfId="7634"/>
    <cellStyle name="-_수정사항_감사절차지시서-jonghari_interim(PAY ROLL)" xfId="7635"/>
    <cellStyle name="-_수정사항_감사절차지시서-jonghari_interim-PAY ROLL" xfId="7636"/>
    <cellStyle name="-_수정사항_반도산업조서2003(용)" xfId="7637"/>
    <cellStyle name="-_수정사항_반도산업조서2003(용)_04년 중간(04.12.9)" xfId="7638"/>
    <cellStyle name="-_수정사항_반도산업조서2003(용)_interim(PAY ROLL)" xfId="7639"/>
    <cellStyle name="-_수정사항_반도산업조서2003(용)_interim-PAY ROLL" xfId="7640"/>
    <cellStyle name="-_수정사항_반도중간(04.11.30)" xfId="7641"/>
    <cellStyle name="-_수정사항_반도중간(04.11.30)_04년 중간(04.12.9)" xfId="7642"/>
    <cellStyle name="-_수정사항_반도중간(04.11.30)_interim(PAY ROLL)" xfId="7643"/>
    <cellStyle name="-_수정사항_반도중간(04.11.30)_interim-PAY ROLL" xfId="7644"/>
    <cellStyle name="-_수정사항_태성2003조서(이종하)" xfId="7645"/>
    <cellStyle name="-_수정사항_태성2003조서(이종하)_04년 중간(04.12.9)" xfId="7646"/>
    <cellStyle name="-_수정사항_태성2003조서(이종하)_interim(PAY ROLL)" xfId="7647"/>
    <cellStyle name="-_수정사항_태성2003조서(이종하)_interim-PAY ROLL" xfId="7648"/>
    <cellStyle name="_실청구(2003)" xfId="7649"/>
    <cellStyle name="_실청구(2004년)" xfId="7650"/>
    <cellStyle name="_실청구(2004년)_090601_인원계획_V1.0(제출용포함)" xfId="7651"/>
    <cellStyle name="_실청구(2004년)_090602_인원계획_V1.1(제출용포함)" xfId="7652"/>
    <cellStyle name="_실청구(2004년)_090602_인원계획_V1.2(제출용포함)_ybokseo" xfId="7653"/>
    <cellStyle name="_실청구(2004년)_090603_인원계획_V1.4(제출용포함)" xfId="7654"/>
    <cellStyle name="_실청구(2004년)_pwc_인력투입실적표(4월까지)_제출본" xfId="7655"/>
    <cellStyle name="_실청구(2004년)_pwc_인력투입실적표(4월까지)_제출본_090601_인원계획_V1.0(제출용포함)" xfId="7656"/>
    <cellStyle name="_실청구(2004년)_pwc_인력투입실적표(4월까지)_제출본_090602_인원계획_V1.1(제출용포함)" xfId="7657"/>
    <cellStyle name="_실청구(2004년)_pwc_인력투입실적표(4월까지)_제출본_090602_인원계획_V1.2(제출용포함)_ybokseo" xfId="7658"/>
    <cellStyle name="_실청구(2004년)_pwc_인력투입실적표(4월까지)_제출본_090603_인원계획_V1.4(제출용포함)" xfId="7659"/>
    <cellStyle name="_실행01-총괄가실행(0828)" xfId="7660"/>
    <cellStyle name="_실행갑지" xfId="7661"/>
    <cellStyle name="_실행갑지(변경)" xfId="7662"/>
    <cellStyle name="_실행내역(아+부)" xfId="7663"/>
    <cellStyle name="_實行內譯書(광명_최종040914)" xfId="7664"/>
    <cellStyle name="_실행내역서(메가월드)" xfId="7665"/>
    <cellStyle name="_實行內譯書(평내)" xfId="7666"/>
    <cellStyle name="_실행예산(2003.01.10 최과장)" xfId="7667"/>
    <cellStyle name="_실행예산(논현)" xfId="7668"/>
    <cellStyle name="_실행예산(사장님)" xfId="7669"/>
    <cellStyle name="_실행예산(최종사장님승인)" xfId="7670"/>
    <cellStyle name="_아미고터워 리모델링공사(계약,실행내역)9월.3일 " xfId="7671"/>
    <cellStyle name="_아산제약 조정구 파트" xfId="20312"/>
    <cellStyle name="_아크-기말감사" xfId="20313"/>
    <cellStyle name="_아크로리버기준-개산견적기준(건축)" xfId="7672"/>
    <cellStyle name="_안산도시개발(2007년말기준)090303" xfId="7673"/>
    <cellStyle name="-_안진조서요약-유로넥스트(03)(LHY)" xfId="20314"/>
    <cellStyle name="-_안진조서요약-유로넥스트(03)(LHY) 2" xfId="20315"/>
    <cellStyle name="-_안진조서요약-유로넥스트(03)(LHY) 2 2" xfId="20316"/>
    <cellStyle name="-_안진조서요약-유로넥스트(03)(LHY) 3" xfId="20317"/>
    <cellStyle name="-_안진조서요약-유로넥스트(03)(LHY)_매직산업(03기말-LHY)" xfId="20318"/>
    <cellStyle name="-_안진조서요약-유로넥스트(03)(LHY)_매직산업(03기말-LHY) 2" xfId="20319"/>
    <cellStyle name="-_안진조서요약-유로넥스트(03)(LHY)_매직산업(03기말-LHY) 2 2" xfId="20320"/>
    <cellStyle name="-_안진조서요약-유로넥스트(03)(LHY)_매직산업(03기말-LHY) 3" xfId="20321"/>
    <cellStyle name="-_안진조서요약-유로넥스트(03)(LHY)_벽산페인트(03,LHY)1" xfId="20322"/>
    <cellStyle name="-_안진조서요약-유로넥스트(03)(LHY)_벽산페인트(03,LHY)1 2" xfId="20323"/>
    <cellStyle name="-_안진조서요약-유로넥스트(03)(LHY)_벽산페인트(03,LHY)1 2 2" xfId="20324"/>
    <cellStyle name="-_안진조서요약-유로넥스트(03)(LHY)_벽산페인트(03,LHY)1 3" xfId="20325"/>
    <cellStyle name="-_안진조서요약-유로넥스트(03)(LHY)_안진조서요약-유로넥스트(03)(LHY)" xfId="20326"/>
    <cellStyle name="-_안진조서요약-유로넥스트(03)(LHY)_안진조서요약-유로넥스트(03)(LHY) 2" xfId="20327"/>
    <cellStyle name="-_안진조서요약-유로넥스트(03)(LHY)_안진조서요약-유로넥스트(03)(LHY) 2 2" xfId="20328"/>
    <cellStyle name="-_안진조서요약-유로넥스트(03)(LHY)_안진조서요약-유로넥스트(03)(LHY) 3" xfId="20329"/>
    <cellStyle name="-_안진조서요약-유로넥스트(03)(LHY)_안진조서요약-유로넥스트(03)(LHY)_매직산업(03기말-LHY)" xfId="20330"/>
    <cellStyle name="-_안진조서요약-유로넥스트(03)(LHY)_안진조서요약-유로넥스트(03)(LHY)_매직산업(03기말-LHY) 2" xfId="20331"/>
    <cellStyle name="-_안진조서요약-유로넥스트(03)(LHY)_안진조서요약-유로넥스트(03)(LHY)_매직산업(03기말-LHY) 2 2" xfId="20332"/>
    <cellStyle name="-_안진조서요약-유로넥스트(03)(LHY)_안진조서요약-유로넥스트(03)(LHY)_매직산업(03기말-LHY) 3" xfId="20333"/>
    <cellStyle name="-_안진조서요약-유로넥스트(03)(LHY)_안진조서요약-유로넥스트(03)(LHY)_벽산페인트(03,LHY)1" xfId="20334"/>
    <cellStyle name="-_안진조서요약-유로넥스트(03)(LHY)_안진조서요약-유로넥스트(03)(LHY)_벽산페인트(03,LHY)1 2" xfId="20335"/>
    <cellStyle name="-_안진조서요약-유로넥스트(03)(LHY)_안진조서요약-유로넥스트(03)(LHY)_벽산페인트(03,LHY)1 2 2" xfId="20336"/>
    <cellStyle name="-_안진조서요약-유로넥스트(03)(LHY)_안진조서요약-유로넥스트(03)(LHY)_벽산페인트(03,LHY)1 3" xfId="20337"/>
    <cellStyle name="-_안진조서요약-유로넥스트(03)(LHY)_안진조서요약-유로넥스트(03)(LHY)_유로넥스트(03)(LHY)" xfId="20338"/>
    <cellStyle name="-_안진조서요약-유로넥스트(03)(LHY)_안진조서요약-유로넥스트(03)(LHY)_유로넥스트(03)(LHY) 2" xfId="20339"/>
    <cellStyle name="-_안진조서요약-유로넥스트(03)(LHY)_안진조서요약-유로넥스트(03)(LHY)_유로넥스트(03)(LHY) 2 2" xfId="20340"/>
    <cellStyle name="-_안진조서요약-유로넥스트(03)(LHY)_안진조서요약-유로넥스트(03)(LHY)_유로넥스트(03)(LHY) 3" xfId="20341"/>
    <cellStyle name="-_안진조서요약-유로넥스트(03)(LHY)_안진조서요약-유로넥스트(03)(LHY)_유로넥스트(03)(LHY)_매직산업(03기말-LHY)" xfId="20342"/>
    <cellStyle name="-_안진조서요약-유로넥스트(03)(LHY)_안진조서요약-유로넥스트(03)(LHY)_유로넥스트(03)(LHY)_매직산업(03기말-LHY) 2" xfId="20343"/>
    <cellStyle name="-_안진조서요약-유로넥스트(03)(LHY)_안진조서요약-유로넥스트(03)(LHY)_유로넥스트(03)(LHY)_매직산업(03기말-LHY) 2 2" xfId="20344"/>
    <cellStyle name="-_안진조서요약-유로넥스트(03)(LHY)_안진조서요약-유로넥스트(03)(LHY)_유로넥스트(03)(LHY)_매직산업(03기말-LHY) 3" xfId="20345"/>
    <cellStyle name="-_안진조서요약-유로넥스트(03)(LHY)_안진조서요약-유로넥스트(03)(LHY)_유로넥스트(03)(LHY)_벽산페인트(03,LHY)1" xfId="20346"/>
    <cellStyle name="-_안진조서요약-유로넥스트(03)(LHY)_안진조서요약-유로넥스트(03)(LHY)_유로넥스트(03)(LHY)_벽산페인트(03,LHY)1 2" xfId="20347"/>
    <cellStyle name="-_안진조서요약-유로넥스트(03)(LHY)_안진조서요약-유로넥스트(03)(LHY)_유로넥스트(03)(LHY)_벽산페인트(03,LHY)1 2 2" xfId="20348"/>
    <cellStyle name="-_안진조서요약-유로넥스트(03)(LHY)_안진조서요약-유로넥스트(03)(LHY)_유로넥스트(03)(LHY)_벽산페인트(03,LHY)1 3" xfId="20349"/>
    <cellStyle name="-_안진조서요약-유로넥스트(03)(LHY)_안진조서요약-유로넥스트(03)(LHY)_유로넥스트(03)(LHY)_한국유업-03(LHY)" xfId="20350"/>
    <cellStyle name="-_안진조서요약-유로넥스트(03)(LHY)_안진조서요약-유로넥스트(03)(LHY)_유로넥스트(03)(LHY)_한국유업-03(LHY) 2" xfId="20351"/>
    <cellStyle name="-_안진조서요약-유로넥스트(03)(LHY)_안진조서요약-유로넥스트(03)(LHY)_유로넥스트(03)(LHY)_한국유업-03(LHY) 2 2" xfId="20352"/>
    <cellStyle name="-_안진조서요약-유로넥스트(03)(LHY)_안진조서요약-유로넥스트(03)(LHY)_유로넥스트(03)(LHY)_한국유업-03(LHY) 3" xfId="20353"/>
    <cellStyle name="-_안진조서요약-유로넥스트(03)(LHY)_안진조서요약-유로넥스트(03)(LHY)_유로넥스트(03)(LHY)_한국유업-03(LHY)_매직산업(03기말-LHY)" xfId="20354"/>
    <cellStyle name="-_안진조서요약-유로넥스트(03)(LHY)_안진조서요약-유로넥스트(03)(LHY)_유로넥스트(03)(LHY)_한국유업-03(LHY)_매직산업(03기말-LHY) 2" xfId="20355"/>
    <cellStyle name="-_안진조서요약-유로넥스트(03)(LHY)_안진조서요약-유로넥스트(03)(LHY)_유로넥스트(03)(LHY)_한국유업-03(LHY)_매직산업(03기말-LHY) 2 2" xfId="20356"/>
    <cellStyle name="-_안진조서요약-유로넥스트(03)(LHY)_안진조서요약-유로넥스트(03)(LHY)_유로넥스트(03)(LHY)_한국유업-03(LHY)_매직산업(03기말-LHY) 3" xfId="20357"/>
    <cellStyle name="-_안진조서요약-유로넥스트(03)(LHY)_안진조서요약-유로넥스트(03)(LHY)_한국유업-03(LHY)" xfId="20358"/>
    <cellStyle name="-_안진조서요약-유로넥스트(03)(LHY)_안진조서요약-유로넥스트(03)(LHY)_한국유업-03(LHY) 2" xfId="20359"/>
    <cellStyle name="-_안진조서요약-유로넥스트(03)(LHY)_안진조서요약-유로넥스트(03)(LHY)_한국유업-03(LHY) 2 2" xfId="20360"/>
    <cellStyle name="-_안진조서요약-유로넥스트(03)(LHY)_안진조서요약-유로넥스트(03)(LHY)_한국유업-03(LHY) 3" xfId="20361"/>
    <cellStyle name="-_안진조서요약-유로넥스트(03)(LHY)_안진조서요약-유로넥스트(03)(LHY)_한국유업-03(LHY)_매직산업(03기말-LHY)" xfId="20362"/>
    <cellStyle name="-_안진조서요약-유로넥스트(03)(LHY)_안진조서요약-유로넥스트(03)(LHY)_한국유업-03(LHY)_매직산업(03기말-LHY) 2" xfId="20363"/>
    <cellStyle name="-_안진조서요약-유로넥스트(03)(LHY)_안진조서요약-유로넥스트(03)(LHY)_한국유업-03(LHY)_매직산업(03기말-LHY) 2 2" xfId="20364"/>
    <cellStyle name="-_안진조서요약-유로넥스트(03)(LHY)_안진조서요약-유로넥스트(03)(LHY)_한국유업-03(LHY)_매직산업(03기말-LHY) 3" xfId="20365"/>
    <cellStyle name="-_안진조서요약-유로넥스트(03)(LHY)_유로넥스트(03)(LHY)" xfId="20366"/>
    <cellStyle name="-_안진조서요약-유로넥스트(03)(LHY)_유로넥스트(03)(LHY) 2" xfId="20367"/>
    <cellStyle name="-_안진조서요약-유로넥스트(03)(LHY)_유로넥스트(03)(LHY) 2 2" xfId="20368"/>
    <cellStyle name="-_안진조서요약-유로넥스트(03)(LHY)_유로넥스트(03)(LHY) 3" xfId="20369"/>
    <cellStyle name="-_안진조서요약-유로넥스트(03)(LHY)_유로넥스트(03)(LHY)_매직산업(03기말-LHY)" xfId="20370"/>
    <cellStyle name="-_안진조서요약-유로넥스트(03)(LHY)_유로넥스트(03)(LHY)_매직산업(03기말-LHY) 2" xfId="20371"/>
    <cellStyle name="-_안진조서요약-유로넥스트(03)(LHY)_유로넥스트(03)(LHY)_매직산업(03기말-LHY) 2 2" xfId="20372"/>
    <cellStyle name="-_안진조서요약-유로넥스트(03)(LHY)_유로넥스트(03)(LHY)_매직산업(03기말-LHY) 3" xfId="20373"/>
    <cellStyle name="-_안진조서요약-유로넥스트(03)(LHY)_유로넥스트(03)(LHY)_벽산페인트(03,LHY)1" xfId="20374"/>
    <cellStyle name="-_안진조서요약-유로넥스트(03)(LHY)_유로넥스트(03)(LHY)_벽산페인트(03,LHY)1 2" xfId="20375"/>
    <cellStyle name="-_안진조서요약-유로넥스트(03)(LHY)_유로넥스트(03)(LHY)_벽산페인트(03,LHY)1 2 2" xfId="20376"/>
    <cellStyle name="-_안진조서요약-유로넥스트(03)(LHY)_유로넥스트(03)(LHY)_벽산페인트(03,LHY)1 3" xfId="20377"/>
    <cellStyle name="-_안진조서요약-유로넥스트(03)(LHY)_유로넥스트(03)(LHY)_유로넥스트(03)(LHY)" xfId="20378"/>
    <cellStyle name="-_안진조서요약-유로넥스트(03)(LHY)_유로넥스트(03)(LHY)_유로넥스트(03)(LHY) 2" xfId="20379"/>
    <cellStyle name="-_안진조서요약-유로넥스트(03)(LHY)_유로넥스트(03)(LHY)_유로넥스트(03)(LHY) 2 2" xfId="20380"/>
    <cellStyle name="-_안진조서요약-유로넥스트(03)(LHY)_유로넥스트(03)(LHY)_유로넥스트(03)(LHY) 3" xfId="20381"/>
    <cellStyle name="-_안진조서요약-유로넥스트(03)(LHY)_유로넥스트(03)(LHY)_유로넥스트(03)(LHY)_매직산업(03기말-LHY)" xfId="20382"/>
    <cellStyle name="-_안진조서요약-유로넥스트(03)(LHY)_유로넥스트(03)(LHY)_유로넥스트(03)(LHY)_매직산업(03기말-LHY) 2" xfId="20383"/>
    <cellStyle name="-_안진조서요약-유로넥스트(03)(LHY)_유로넥스트(03)(LHY)_유로넥스트(03)(LHY)_매직산업(03기말-LHY) 2 2" xfId="20384"/>
    <cellStyle name="-_안진조서요약-유로넥스트(03)(LHY)_유로넥스트(03)(LHY)_유로넥스트(03)(LHY)_매직산업(03기말-LHY) 3" xfId="20385"/>
    <cellStyle name="-_안진조서요약-유로넥스트(03)(LHY)_유로넥스트(03)(LHY)_유로넥스트(03)(LHY)_벽산페인트(03,LHY)1" xfId="20386"/>
    <cellStyle name="-_안진조서요약-유로넥스트(03)(LHY)_유로넥스트(03)(LHY)_유로넥스트(03)(LHY)_벽산페인트(03,LHY)1 2" xfId="20387"/>
    <cellStyle name="-_안진조서요약-유로넥스트(03)(LHY)_유로넥스트(03)(LHY)_유로넥스트(03)(LHY)_벽산페인트(03,LHY)1 2 2" xfId="20388"/>
    <cellStyle name="-_안진조서요약-유로넥스트(03)(LHY)_유로넥스트(03)(LHY)_유로넥스트(03)(LHY)_벽산페인트(03,LHY)1 3" xfId="20389"/>
    <cellStyle name="-_안진조서요약-유로넥스트(03)(LHY)_유로넥스트(03)(LHY)_유로넥스트(03)(LHY)_한국유업-03(LHY)" xfId="20390"/>
    <cellStyle name="-_안진조서요약-유로넥스트(03)(LHY)_유로넥스트(03)(LHY)_유로넥스트(03)(LHY)_한국유업-03(LHY) 2" xfId="20391"/>
    <cellStyle name="-_안진조서요약-유로넥스트(03)(LHY)_유로넥스트(03)(LHY)_유로넥스트(03)(LHY)_한국유업-03(LHY) 2 2" xfId="20392"/>
    <cellStyle name="-_안진조서요약-유로넥스트(03)(LHY)_유로넥스트(03)(LHY)_유로넥스트(03)(LHY)_한국유업-03(LHY) 3" xfId="20393"/>
    <cellStyle name="-_안진조서요약-유로넥스트(03)(LHY)_유로넥스트(03)(LHY)_유로넥스트(03)(LHY)_한국유업-03(LHY)_매직산업(03기말-LHY)" xfId="20394"/>
    <cellStyle name="-_안진조서요약-유로넥스트(03)(LHY)_유로넥스트(03)(LHY)_유로넥스트(03)(LHY)_한국유업-03(LHY)_매직산업(03기말-LHY) 2" xfId="20395"/>
    <cellStyle name="-_안진조서요약-유로넥스트(03)(LHY)_유로넥스트(03)(LHY)_유로넥스트(03)(LHY)_한국유업-03(LHY)_매직산업(03기말-LHY) 2 2" xfId="20396"/>
    <cellStyle name="-_안진조서요약-유로넥스트(03)(LHY)_유로넥스트(03)(LHY)_유로넥스트(03)(LHY)_한국유업-03(LHY)_매직산업(03기말-LHY) 3" xfId="20397"/>
    <cellStyle name="-_안진조서요약-유로넥스트(03)(LHY)_유로넥스트(03)(LHY)_한국유업-03(LHY)" xfId="20398"/>
    <cellStyle name="-_안진조서요약-유로넥스트(03)(LHY)_유로넥스트(03)(LHY)_한국유업-03(LHY) 2" xfId="20399"/>
    <cellStyle name="-_안진조서요약-유로넥스트(03)(LHY)_유로넥스트(03)(LHY)_한국유업-03(LHY) 2 2" xfId="20400"/>
    <cellStyle name="-_안진조서요약-유로넥스트(03)(LHY)_유로넥스트(03)(LHY)_한국유업-03(LHY) 3" xfId="20401"/>
    <cellStyle name="-_안진조서요약-유로넥스트(03)(LHY)_유로넥스트(03)(LHY)_한국유업-03(LHY)_매직산업(03기말-LHY)" xfId="20402"/>
    <cellStyle name="-_안진조서요약-유로넥스트(03)(LHY)_유로넥스트(03)(LHY)_한국유업-03(LHY)_매직산업(03기말-LHY) 2" xfId="20403"/>
    <cellStyle name="-_안진조서요약-유로넥스트(03)(LHY)_유로넥스트(03)(LHY)_한국유업-03(LHY)_매직산업(03기말-LHY) 2 2" xfId="20404"/>
    <cellStyle name="-_안진조서요약-유로넥스트(03)(LHY)_유로넥스트(03)(LHY)_한국유업-03(LHY)_매직산업(03기말-LHY) 3" xfId="20405"/>
    <cellStyle name="-_안진조서요약-유로넥스트(03)(LHY)_한국유업-03(LHY)" xfId="20406"/>
    <cellStyle name="-_안진조서요약-유로넥스트(03)(LHY)_한국유업-03(LHY) 2" xfId="20407"/>
    <cellStyle name="-_안진조서요약-유로넥스트(03)(LHY)_한국유업-03(LHY) 2 2" xfId="20408"/>
    <cellStyle name="-_안진조서요약-유로넥스트(03)(LHY)_한국유업-03(LHY) 3" xfId="20409"/>
    <cellStyle name="-_안진조서요약-유로넥스트(03)(LHY)_한국유업-03(LHY)_매직산업(03기말-LHY)" xfId="20410"/>
    <cellStyle name="-_안진조서요약-유로넥스트(03)(LHY)_한국유업-03(LHY)_매직산업(03기말-LHY) 2" xfId="20411"/>
    <cellStyle name="-_안진조서요약-유로넥스트(03)(LHY)_한국유업-03(LHY)_매직산업(03기말-LHY) 2 2" xfId="20412"/>
    <cellStyle name="-_안진조서요약-유로넥스트(03)(LHY)_한국유업-03(LHY)_매직산업(03기말-LHY) 3" xfId="20413"/>
    <cellStyle name="_알리안츠 DRS 컨설팅 사전원가(2002.05.16)" xfId="7674"/>
    <cellStyle name="_알리안츠 DRS 컨설팅 사전원가(2002.05.16)_090601_인원계획_V1.0(제출용포함)" xfId="7675"/>
    <cellStyle name="_알리안츠 DRS 컨설팅 사전원가(2002.05.16)_090602_인원계획_V1.1(제출용포함)" xfId="7676"/>
    <cellStyle name="_알리안츠 DRS 컨설팅 사전원가(2002.05.16)_090602_인원계획_V1.2(제출용포함)_ybokseo" xfId="7677"/>
    <cellStyle name="_알리안츠 DRS 컨설팅 사전원가(2002.05.16)_090603_인원계획_V1.4(제출용포함)" xfId="7678"/>
    <cellStyle name="_알리안츠 DRS 컨설팅 사전원가(2002.05.16)_pwc_인력투입실적표(4월까지)_제출본" xfId="7679"/>
    <cellStyle name="_알리안츠 DRS 컨설팅 사전원가(2002.05.16)_pwc_인력투입실적표(4월까지)_제출본_090601_인원계획_V1.0(제출용포함)" xfId="7680"/>
    <cellStyle name="_알리안츠 DRS 컨설팅 사전원가(2002.05.16)_pwc_인력투입실적표(4월까지)_제출본_090602_인원계획_V1.1(제출용포함)" xfId="7681"/>
    <cellStyle name="_알리안츠 DRS 컨설팅 사전원가(2002.05.16)_pwc_인력투입실적표(4월까지)_제출본_090602_인원계획_V1.2(제출용포함)_ybokseo" xfId="7682"/>
    <cellStyle name="_알리안츠 DRS 컨설팅 사전원가(2002.05.16)_pwc_인력투입실적표(4월까지)_제출본_090603_인원계획_V1.4(제출용포함)" xfId="7683"/>
    <cellStyle name="_양식" xfId="7684"/>
    <cellStyle name="_양식_1" xfId="7685"/>
    <cellStyle name="_양식_2" xfId="7686"/>
    <cellStyle name="_양식_팀공통" xfId="7687"/>
    <cellStyle name="_양양레미콘" xfId="20414"/>
    <cellStyle name="_양재동 도매센타(수정1006)" xfId="7688"/>
    <cellStyle name="_업무보고8월" xfId="20415"/>
    <cellStyle name="_업무보고8월 2" xfId="20416"/>
    <cellStyle name="_업무보고8월 2 2" xfId="20417"/>
    <cellStyle name="_업무보고8월 3" xfId="20418"/>
    <cellStyle name="_업무보고서(2003.6월)미수금예수금조정" xfId="462"/>
    <cellStyle name="_업무보고서(2003.6월)미수금예수금조정 2" xfId="7689"/>
    <cellStyle name="_업무보고서(2003.6월)미수금예수금조정 3" xfId="7690"/>
    <cellStyle name="_업무팀정보제공평가" xfId="27571"/>
    <cellStyle name="_업무협조-해외출장시 현금(외화)지급관련" xfId="7691"/>
    <cellStyle name="_여신심사부 이관대상업체(1)(2)" xfId="7692"/>
    <cellStyle name="_여의도(실행)" xfId="7693"/>
    <cellStyle name="_연결보고서_EXCEL_030124" xfId="27572"/>
    <cellStyle name="_연결재무제표(보고용)_연결" xfId="27573"/>
    <cellStyle name="_연구인력투자세액공제" xfId="20419"/>
    <cellStyle name="_영세율첨부서류 (2)" xfId="20420"/>
    <cellStyle name="_영업 무형자산" xfId="20421"/>
    <cellStyle name="_영업202" xfId="20422"/>
    <cellStyle name="_영업202 2" xfId="20423"/>
    <cellStyle name="_영업202 2 2" xfId="20424"/>
    <cellStyle name="_영업202 3" xfId="20425"/>
    <cellStyle name="_영업권 상각" xfId="20426"/>
    <cellStyle name="_영업외손익" xfId="20427"/>
    <cellStyle name="_영업외손익 LS" xfId="463"/>
    <cellStyle name="_영업외손익 LS 2" xfId="7694"/>
    <cellStyle name="_영업외손익 LS 3" xfId="7695"/>
    <cellStyle name="_영업외손익총괄표" xfId="27574"/>
    <cellStyle name="_예금명세" xfId="7696"/>
    <cellStyle name="_예적금명세" xfId="7697"/>
    <cellStyle name="_오공본드" xfId="7698"/>
    <cellStyle name="_오호석부장1014" xfId="464"/>
    <cellStyle name="_오호석부장1014 2" xfId="7699"/>
    <cellStyle name="_오호석부장1014 3" xfId="7700"/>
    <cellStyle name="_오호석차장0625" xfId="465"/>
    <cellStyle name="_오호석차장0625 2" xfId="7701"/>
    <cellStyle name="_오호석차장0625 3" xfId="7702"/>
    <cellStyle name="_오호석차장0723" xfId="466"/>
    <cellStyle name="_오호석차장0723 2" xfId="7703"/>
    <cellStyle name="_오호석차장0723 3" xfId="7704"/>
    <cellStyle name="_옥LS" xfId="7705"/>
    <cellStyle name="_옥LS_서원양행-2002 FS - 양애리" xfId="7706"/>
    <cellStyle name="_용인동백C2-3" xfId="7707"/>
    <cellStyle name="_우남 - 청산가치-080103" xfId="7708"/>
    <cellStyle name="_우남 - 청산가치-080103_동창종합건재(20081126)_청산가치" xfId="7709"/>
    <cellStyle name="_우남 - 청산가치-080103_동창종합건재(20081126)_청산가치_동창종합건재(20081126)_청산가치" xfId="7710"/>
    <cellStyle name="_우남 - 청산가치-080103_우남계속기업가치 - 최종표본" xfId="7711"/>
    <cellStyle name="_우남 - 청산가치-080103_우남계속기업가치 - 최종표본_동창종합건재(20081126)_청산가치" xfId="7712"/>
    <cellStyle name="_우남 - 청산가치-080103_우남계속기업가치 - 최종표본_동창종합건재(20081126)_청산가치_동창종합건재(20081126)_청산가치" xfId="7713"/>
    <cellStyle name="_우남계속기업가치 - 최종표본" xfId="7714"/>
    <cellStyle name="_운영비(보수비수정 김종완)020831" xfId="7715"/>
    <cellStyle name="_운영비산정모델_전북대_Ver4.0" xfId="7716"/>
    <cellStyle name="_원당 1차 실행001(030329)" xfId="7717"/>
    <cellStyle name="_원당실행내역" xfId="7718"/>
    <cellStyle name="_월례매출_1_상반기_11월당월 (2)_1월" xfId="7719"/>
    <cellStyle name="_월말보고-2002.06월" xfId="20428"/>
    <cellStyle name="_월업무실적보고" xfId="7720"/>
    <cellStyle name="_유경욱SW_미수수익0203" xfId="27575"/>
    <cellStyle name="_유경욱SW_미수수익0212" xfId="27576"/>
    <cellStyle name="_유경욱SW_미수수익0301" xfId="27577"/>
    <cellStyle name="_유경욱SW_미수수익0303" xfId="27578"/>
    <cellStyle name="_유니와이드_보안솔루션" xfId="7721"/>
    <cellStyle name="_유니텍 2002기말 - 양애리" xfId="7722"/>
    <cellStyle name="_유니텍0106반기" xfId="7723"/>
    <cellStyle name="_유니텍반기검토" xfId="7724"/>
    <cellStyle name="_유니텍반기검토_반기-나래시스템(2001)" xfId="7725"/>
    <cellStyle name="_유니텍반기검토_반기-나래시스템(2001)_서원양행-2002 FS - 양애리" xfId="7726"/>
    <cellStyle name="_유니텍반기검토_서원양행-2002 FS - 양애리" xfId="7727"/>
    <cellStyle name="_유니텍진행율계산" xfId="7728"/>
    <cellStyle name="-_유로넥스트(03)(LHY)" xfId="20429"/>
    <cellStyle name="-_유로넥스트(03)(LHY) 2" xfId="20430"/>
    <cellStyle name="-_유로넥스트(03)(LHY) 2 2" xfId="20431"/>
    <cellStyle name="-_유로넥스트(03)(LHY) 3" xfId="20432"/>
    <cellStyle name="-_유로넥스트(03)(LHY)_매직산업(03기말-LHY)" xfId="20433"/>
    <cellStyle name="-_유로넥스트(03)(LHY)_매직산업(03기말-LHY) 2" xfId="20434"/>
    <cellStyle name="-_유로넥스트(03)(LHY)_매직산업(03기말-LHY) 2 2" xfId="20435"/>
    <cellStyle name="-_유로넥스트(03)(LHY)_매직산업(03기말-LHY) 3" xfId="20436"/>
    <cellStyle name="-_유로넥스트(03)(LHY)_벽산페인트(03,LHY)1" xfId="20437"/>
    <cellStyle name="-_유로넥스트(03)(LHY)_벽산페인트(03,LHY)1 2" xfId="20438"/>
    <cellStyle name="-_유로넥스트(03)(LHY)_벽산페인트(03,LHY)1 2 2" xfId="20439"/>
    <cellStyle name="-_유로넥스트(03)(LHY)_벽산페인트(03,LHY)1 3" xfId="20440"/>
    <cellStyle name="-_유로넥스트(03)(LHY)_한국유업-03(LHY)" xfId="20441"/>
    <cellStyle name="-_유로넥스트(03)(LHY)_한국유업-03(LHY) 2" xfId="20442"/>
    <cellStyle name="-_유로넥스트(03)(LHY)_한국유업-03(LHY) 2 2" xfId="20443"/>
    <cellStyle name="-_유로넥스트(03)(LHY)_한국유업-03(LHY) 3" xfId="20444"/>
    <cellStyle name="-_유로넥스트(03)(LHY)_한국유업-03(LHY)_매직산업(03기말-LHY)" xfId="20445"/>
    <cellStyle name="-_유로넥스트(03)(LHY)_한국유업-03(LHY)_매직산업(03기말-LHY) 2" xfId="20446"/>
    <cellStyle name="-_유로넥스트(03)(LHY)_한국유업-03(LHY)_매직산업(03기말-LHY) 2 2" xfId="20447"/>
    <cellStyle name="-_유로넥스트(03)(LHY)_한국유업-03(LHY)_매직산업(03기말-LHY) 3" xfId="20448"/>
    <cellStyle name="_유첨3(서식)" xfId="7729"/>
    <cellStyle name="_유첨3(서식)_1" xfId="7730"/>
    <cellStyle name="_유형자산 처분명세 12월" xfId="20449"/>
    <cellStyle name="_유형자산(0512)" xfId="7731"/>
    <cellStyle name="_유형자산(0512)_KNE-06.반기-MIB" xfId="7732"/>
    <cellStyle name="_유형자산(0512)_KNE-06.반기-MIB_건미종합건설-계속기업" xfId="7733"/>
    <cellStyle name="_유형자산(0512)_KNE-06.반기-MIB_건미종합건설-계속기업_동창종합건재(20081126)_청산가치" xfId="7734"/>
    <cellStyle name="_유형자산(0512)_KNE-06.반기-MIB_건미종합건설-계속기업_동창종합건재(20081126)_청산가치_동창종합건재(20081126)_청산가치" xfId="7735"/>
    <cellStyle name="_유형자산(0512)_KNE-06.반기-MIB_건미종합건설-청산가치" xfId="7736"/>
    <cellStyle name="_유형자산(0512)_KNE-06.반기-MIB_건미종합건설-청산가치_동창종합건재(20081126)_청산가치" xfId="7737"/>
    <cellStyle name="_유형자산(0512)_KNE-06.반기-MIB_건미종합건설-청산가치_동창종합건재(20081126)_청산가치_동창종합건재(20081126)_청산가치" xfId="7738"/>
    <cellStyle name="_유형자산(0512)_KNE-06.반기-MIB_동창건재-재고자산" xfId="7739"/>
    <cellStyle name="_유형자산(0512)_KNE-06.반기-MIB_동창종합건재(20081126)_청산가치" xfId="7740"/>
    <cellStyle name="_유형자산(0512)_KNE-06.반기-MIB_우남계속기업가치 - 최종표본" xfId="7741"/>
    <cellStyle name="_유형자산(0512)_KNE-06.반기-MIB_우남계속기업가치 - 최종표본_동창종합건재(20081126)_청산가치" xfId="7742"/>
    <cellStyle name="_유형자산(0512)_KNE-06.반기-MIB_우남계속기업가치 - 최종표본_동창종합건재(20081126)_청산가치_동창종합건재(20081126)_청산가치" xfId="7743"/>
    <cellStyle name="_유형자산(0512)_KNE-06.반기-MIB_정부개발-재무제표확정-진행기준미인식1220-sms" xfId="7744"/>
    <cellStyle name="_유형자산(0512)_KNE-06.반기-MIB_정부개발-청산가치-1227-sms" xfId="7745"/>
    <cellStyle name="_유형자산(0512)_KNE-06.반기-MIB_정부개발-청산가치-1231-sms" xfId="7746"/>
    <cellStyle name="_유형자산(0512)_건미종합건설-계속기업" xfId="7747"/>
    <cellStyle name="_유형자산(0512)_건미종합건설-계속기업_동창종합건재(20081126)_청산가치" xfId="7748"/>
    <cellStyle name="_유형자산(0512)_건미종합건설-계속기업_동창종합건재(20081126)_청산가치_동창종합건재(20081126)_청산가치" xfId="7749"/>
    <cellStyle name="_유형자산(0512)_건미종합건설-청산가치" xfId="7750"/>
    <cellStyle name="_유형자산(0512)_건미종합건설-청산가치_동창종합건재(20081126)_청산가치" xfId="7751"/>
    <cellStyle name="_유형자산(0512)_건미종합건설-청산가치_동창종합건재(20081126)_청산가치_동창종합건재(20081126)_청산가치" xfId="7752"/>
    <cellStyle name="_유형자산(0512)_동창건재-재고자산" xfId="7753"/>
    <cellStyle name="_유형자산(0512)_동창종합건재(20081126)_청산가치" xfId="7754"/>
    <cellStyle name="_유형자산(0512)_우남계속기업가치 - 최종표본" xfId="7755"/>
    <cellStyle name="_유형자산(0512)_우남계속기업가치 - 최종표본_동창종합건재(20081126)_청산가치" xfId="7756"/>
    <cellStyle name="_유형자산(0512)_우남계속기업가치 - 최종표본_동창종합건재(20081126)_청산가치_동창종합건재(20081126)_청산가치" xfId="7757"/>
    <cellStyle name="_유형자산(0512)_정부개발-재무제표확정-진행기준미인식1220-sms" xfId="7758"/>
    <cellStyle name="_유형자산(0512)_정부개발-청산가치-1227-sms" xfId="7759"/>
    <cellStyle name="_유형자산(0512)_정부개발-청산가치-1231-sms" xfId="7760"/>
    <cellStyle name="_이앤이 3월말 LS" xfId="7761"/>
    <cellStyle name="_이앤이Leadschedule" xfId="7762"/>
    <cellStyle name="_이앤이Leadschedule0112" xfId="7763"/>
    <cellStyle name="_이앤이Leadschedule0112_Ljw" xfId="7764"/>
    <cellStyle name="_이앤이Leadschedule0112-cjk" xfId="7765"/>
    <cellStyle name="_이앤이Leadschedule0203" xfId="7766"/>
    <cellStyle name="_이앤이Leadschedule1" xfId="7767"/>
    <cellStyle name="_이앤이Leadschedule4" xfId="7768"/>
    <cellStyle name="_이앤이Leadschedule-ksw03" xfId="7769"/>
    <cellStyle name="_이앤이LS" xfId="7770"/>
    <cellStyle name="_이용욱(05.20) 2004편성2-4분기(수정최종)" xfId="27579"/>
    <cellStyle name="_이자비용" xfId="27580"/>
    <cellStyle name="_이재민과장0206_무형자산상각" xfId="467"/>
    <cellStyle name="_이재민과장0206_무형자산상각 2" xfId="7771"/>
    <cellStyle name="_이재민과장0206_무형자산상각 3" xfId="7772"/>
    <cellStyle name="_이지영_050331_마케팅일일속보_200504" xfId="27581"/>
    <cellStyle name="_이진우대리(0540725)" xfId="468"/>
    <cellStyle name="_이진우대리(0540725) 2" xfId="7773"/>
    <cellStyle name="_이진우대리(0540725) 3" xfId="7774"/>
    <cellStyle name="_이진우氏0204(2)" xfId="469"/>
    <cellStyle name="_이진우氏0204(2) 2" xfId="7775"/>
    <cellStyle name="_이진우氏0204(2) 3" xfId="7776"/>
    <cellStyle name="_이진우氏0727" xfId="470"/>
    <cellStyle name="_이진우氏0727 2" xfId="7777"/>
    <cellStyle name="_이진우氏0727 3" xfId="7778"/>
    <cellStyle name="_인건비" xfId="7779"/>
    <cellStyle name="_인네트_2001_기말감사" xfId="7780"/>
    <cellStyle name="_인네트_2001_중간감사(1205)" xfId="7781"/>
    <cellStyle name="_인네트_2001_중간감사(1205)_페타 Leadschedule2001-final" xfId="7782"/>
    <cellStyle name="_인네트lead schedule(2002년반기말)" xfId="7783"/>
    <cellStyle name="_인력 투입 계획" xfId="7784"/>
    <cellStyle name="_인력]_laroux_1" xfId="20450"/>
    <cellStyle name="_인센티브" xfId="27582"/>
    <cellStyle name="_인원계획표 " xfId="7785"/>
    <cellStyle name="_인원계획표 _04028적산수량집계" xfId="7786"/>
    <cellStyle name="_인원계획표 _04-가실행(작업중)" xfId="7787"/>
    <cellStyle name="_인원계획표 _04-가실행(작업중1)" xfId="7788"/>
    <cellStyle name="_인원계획표 _050720_조직수행방안" xfId="7789"/>
    <cellStyle name="_인원계획표 _050720_조직수행방안_050831_한부사장님보고" xfId="7790"/>
    <cellStyle name="_인원계획표 _050720_조직수행방안_051207_한부사장(조직및투입계획)" xfId="7791"/>
    <cellStyle name="_인원계획표 _KT견적요청" xfId="7792"/>
    <cellStyle name="_인원계획표 _가실행" xfId="7793"/>
    <cellStyle name="_인원계획표 _수원-가실행" xfId="7794"/>
    <cellStyle name="_인원계획표 _적격 " xfId="7795"/>
    <cellStyle name="_인원계획표 _적격 _04028적산수량집계" xfId="7796"/>
    <cellStyle name="_인원계획표 _적격 _04-가실행(작업중)" xfId="7797"/>
    <cellStyle name="_인원계획표 _적격 _04-가실행(작업중1)" xfId="7798"/>
    <cellStyle name="_인원계획표 _적격 _050720_조직수행방안" xfId="7799"/>
    <cellStyle name="_인원계획표 _적격 _050720_조직수행방안_050831_한부사장님보고" xfId="7800"/>
    <cellStyle name="_인원계획표 _적격 _050720_조직수행방안_051207_한부사장(조직및투입계획)" xfId="7801"/>
    <cellStyle name="_인원계획표 _적격 _KT견적요청" xfId="7802"/>
    <cellStyle name="_인원계획표 _적격 _가실행" xfId="7803"/>
    <cellStyle name="_인원계획표 _적격 _수원-가실행" xfId="7804"/>
    <cellStyle name="_인원실적" xfId="7805"/>
    <cellStyle name="_인원실적및계획" xfId="7806"/>
    <cellStyle name="_인원재검토" xfId="7807"/>
    <cellStyle name="_인정지급이자" xfId="20451"/>
    <cellStyle name="_인천운서지구2차" xfId="7808"/>
    <cellStyle name="_인츠2001" xfId="7809"/>
    <cellStyle name="_인츠2001-1" xfId="7810"/>
    <cellStyle name="_인터림기간 발생 가지급금" xfId="471"/>
    <cellStyle name="_인테리어" xfId="7811"/>
    <cellStyle name="_일반회생채권자명세서" xfId="7812"/>
    <cellStyle name="_임시_법인BS모음" xfId="27583"/>
    <cellStyle name="_임투최종" xfId="20452"/>
    <cellStyle name="_입찰갑지" xfId="7813"/>
    <cellStyle name="_입찰표지 " xfId="7814"/>
    <cellStyle name="_입찰표지 _04028적산수량집계" xfId="7815"/>
    <cellStyle name="_입찰표지 _04-가실행(작업중)" xfId="7816"/>
    <cellStyle name="_입찰표지 _04-가실행(작업중1)" xfId="7817"/>
    <cellStyle name="_입찰표지 _050720_조직수행방안" xfId="7818"/>
    <cellStyle name="_입찰표지 _050720_조직수행방안_050831_한부사장님보고" xfId="7819"/>
    <cellStyle name="_입찰표지 _050720_조직수행방안_051207_한부사장(조직및투입계획)" xfId="7820"/>
    <cellStyle name="_입찰표지 _KT견적요청" xfId="7821"/>
    <cellStyle name="_입찰표지 _가실행" xfId="7822"/>
    <cellStyle name="_입찰표지 _수원-가실행" xfId="7823"/>
    <cellStyle name="_자료01-공통가설" xfId="7824"/>
    <cellStyle name="_자료03-대안수량조정실행대비표" xfId="7825"/>
    <cellStyle name="_자료06-토목공사" xfId="7826"/>
    <cellStyle name="_자산리드시트" xfId="20453"/>
    <cellStyle name="_자회사배당익불산고려(7(1).18)" xfId="472"/>
    <cellStyle name="_자회사배당익불산고려(7(1).18) 2" xfId="7827"/>
    <cellStyle name="_자회사배당익불산고려(7(1).18) 3" xfId="7828"/>
    <cellStyle name="_작업01-조경공사0709" xfId="7829"/>
    <cellStyle name="_잡손실" xfId="27584"/>
    <cellStyle name="_잡이익" xfId="27585"/>
    <cellStyle name="_장지3,9가실행-최종" xfId="7830"/>
    <cellStyle name="_재무 seo(1543억원)(5월까지 실적)(최종수정)" xfId="27586"/>
    <cellStyle name="_재무실적6월" xfId="27587"/>
    <cellStyle name="_재무제표" xfId="20454"/>
    <cellStyle name="_재무제표(0412)tck확정" xfId="20455"/>
    <cellStyle name="_재무제표(보고용)0301" xfId="27588"/>
    <cellStyle name="_재무제표(보고용_1분기)0303" xfId="27589"/>
    <cellStyle name="_재무제표(분기보고용)0303" xfId="27590"/>
    <cellStyle name="_재무제표(현금흐름표)" xfId="20456"/>
    <cellStyle name="_재무제표관련_테코스_2001" xfId="7831"/>
    <cellStyle name="_재무제표관련_테코스_2001_서원양행-2002 FS - 양애리" xfId="7832"/>
    <cellStyle name="_재무지원부충당금" xfId="473"/>
    <cellStyle name="_재무지원부충당금 2" xfId="7833"/>
    <cellStyle name="_재무지원부충당금 3" xfId="7834"/>
    <cellStyle name="_적격 " xfId="7835"/>
    <cellStyle name="_적격 _04028적산수량집계" xfId="7836"/>
    <cellStyle name="_적격 _04-가실행(작업중)" xfId="7837"/>
    <cellStyle name="_적격 _04-가실행(작업중1)" xfId="7838"/>
    <cellStyle name="_적격 _050720_조직수행방안" xfId="7839"/>
    <cellStyle name="_적격 _050720_조직수행방안_050831_한부사장님보고" xfId="7840"/>
    <cellStyle name="_적격 _050720_조직수행방안_051207_한부사장(조직및투입계획)" xfId="7841"/>
    <cellStyle name="_적격 _KT견적요청" xfId="7842"/>
    <cellStyle name="_적격 _가실행" xfId="7843"/>
    <cellStyle name="_적격 _수원-가실행" xfId="7844"/>
    <cellStyle name="_적격 _집행갑지 " xfId="7845"/>
    <cellStyle name="_적격(화산) " xfId="7846"/>
    <cellStyle name="_적격(화산) _04028적산수량집계" xfId="7847"/>
    <cellStyle name="_적격(화산) _04-가실행(작업중)" xfId="7848"/>
    <cellStyle name="_적격(화산) _04-가실행(작업중1)" xfId="7849"/>
    <cellStyle name="_적격(화산) _050720_조직수행방안" xfId="7850"/>
    <cellStyle name="_적격(화산) _050720_조직수행방안_050831_한부사장님보고" xfId="7851"/>
    <cellStyle name="_적격(화산) _050720_조직수행방안_051207_한부사장(조직및투입계획)" xfId="7852"/>
    <cellStyle name="_적격(화산) _KT견적요청" xfId="7853"/>
    <cellStyle name="_적격(화산) _가실행" xfId="7854"/>
    <cellStyle name="_적격(화산) _수원-가실행" xfId="7855"/>
    <cellStyle name="_전기수정사항" xfId="20457"/>
    <cellStyle name="_점수산정총괄(조달청)" xfId="7856"/>
    <cellStyle name="_접대비" xfId="20458"/>
    <cellStyle name="_정기예금_이자_관리내역(기은SG자산운용-조연진)" xfId="20459"/>
    <cellStyle name="_정보제공(정보제공지수)" xfId="27591"/>
    <cellStyle name="_정부개발-재무제표확정-진행기준미인식1220-sms" xfId="7857"/>
    <cellStyle name="_정부개발-청산가치-1227-sms" xfId="7858"/>
    <cellStyle name="_정부개발-청산가치-1231-sms" xfId="7859"/>
    <cellStyle name="_정산표 및 수정분개" xfId="7860"/>
    <cellStyle name="_정산표(황금_04기말_0223_2200) " xfId="7861"/>
    <cellStyle name="_정산표_KCB_0712_ver4_Final" xfId="20460"/>
    <cellStyle name="_정산표등(20040323)" xfId="20461"/>
    <cellStyle name="_제2CRM추진" xfId="7862"/>
    <cellStyle name="_제출완료-공항운송가실행(0919)" xfId="7863"/>
    <cellStyle name="_조경" xfId="7864"/>
    <cellStyle name="_조서(장재덕)" xfId="20462"/>
    <cellStyle name="_조서(퇴충급여)" xfId="7865"/>
    <cellStyle name="_조서-김소원0206" xfId="7866"/>
    <cellStyle name="_조서-노은한03" xfId="7867"/>
    <cellStyle name="_조서-노은한04" xfId="7868"/>
    <cellStyle name="_조직유지_총괄표" xfId="7869"/>
    <cellStyle name="_주간보고" xfId="20463"/>
    <cellStyle name="_주간보고 2" xfId="20464"/>
    <cellStyle name="_주간보고 2 2" xfId="20465"/>
    <cellStyle name="_주간보고 3" xfId="20466"/>
    <cellStyle name="_주당순이익" xfId="7870"/>
    <cellStyle name="_주상복합기본자료" xfId="7871"/>
    <cellStyle name="_주상복합마감금액(분석표)" xfId="7872"/>
    <cellStyle name="_주식보상비용_보고용" xfId="27592"/>
    <cellStyle name="_주요계정부표(02년)" xfId="20467"/>
    <cellStyle name="_주요사항" xfId="20468"/>
    <cellStyle name="_주주사업무실적보고(2001.9)" xfId="7873"/>
    <cellStyle name="_주주총회자료-2001" xfId="20469"/>
    <cellStyle name="_중간보고" xfId="7874"/>
    <cellStyle name="_중간예납" xfId="20470"/>
    <cellStyle name="_중간예납조서" xfId="20471"/>
    <cellStyle name="_중국사업보고" xfId="7875"/>
    <cellStyle name="_중국사업보고(11)" xfId="7876"/>
    <cellStyle name="_중국사업보고(D안승인보고서1109)" xfId="7877"/>
    <cellStyle name="_중국사업보고(천진)" xfId="7878"/>
    <cellStyle name="_증빙조서1" xfId="20472"/>
    <cellStyle name="_증자이사회최종(01.3.7)" xfId="7879"/>
    <cellStyle name="_지분법적용" xfId="20473"/>
    <cellStyle name="_지원본부업무분장(20090320)" xfId="7880"/>
    <cellStyle name="_지정과제2차심의list" xfId="7881"/>
    <cellStyle name="_지정과제2차심의list_1" xfId="7882"/>
    <cellStyle name="_지정과제2차심의list_2" xfId="7883"/>
    <cellStyle name="_지정과제2차심의결과" xfId="7884"/>
    <cellStyle name="_지정과제2차심의결과(금액조정후최종)" xfId="7885"/>
    <cellStyle name="_지정과제2차심의결과(금액조정후최종)_1" xfId="7886"/>
    <cellStyle name="_지정과제2차심의결과_1" xfId="7887"/>
    <cellStyle name="_직매각기표_ver11_20100629작성_Final1_20100630_1" xfId="474"/>
    <cellStyle name="_직매각기표_ver11_20100629작성_Final1_성수" xfId="475"/>
    <cellStyle name="_진영.xls(신우회계법인)" xfId="7888"/>
    <cellStyle name="_진영0112.xls" xfId="7889"/>
    <cellStyle name="_집중관리(981231)" xfId="7890"/>
    <cellStyle name="_집중관리(981231)_1" xfId="7891"/>
    <cellStyle name="_집중관리(지정과제및 양식)" xfId="7892"/>
    <cellStyle name="_집중관리(지정과제및 양식)_1" xfId="7893"/>
    <cellStyle name="_집행갑지 " xfId="7894"/>
    <cellStyle name="_차입금보고자료" xfId="27593"/>
    <cellStyle name="_차주명세(20091204)" xfId="476"/>
    <cellStyle name="_차주명세(20091204) 2" xfId="477"/>
    <cellStyle name="_차주명세(20091204) 3" xfId="478"/>
    <cellStyle name="_차체 (2)" xfId="7895"/>
    <cellStyle name="_차체 (2)_1" xfId="7896"/>
    <cellStyle name="_참고01-50억대안제시" xfId="7897"/>
    <cellStyle name="_참고02-당초가실행" xfId="7898"/>
    <cellStyle name="_채권명세(20091204)" xfId="479"/>
    <cellStyle name="_채권명세(20091204) 2" xfId="480"/>
    <cellStyle name="_채권명세(20091204) 3" xfId="481"/>
    <cellStyle name="_채권명세_ 주간사_0518" xfId="482"/>
    <cellStyle name="_채권명세_ 주간사_0518 2" xfId="483"/>
    <cellStyle name="_채권명세_ 주간사_0518 3" xfId="484"/>
    <cellStyle name="_채권명세_0422_발송" xfId="485"/>
    <cellStyle name="_채권명세_0531" xfId="7899"/>
    <cellStyle name="_채권명세_090205_기초_발송(090209)" xfId="486"/>
    <cellStyle name="_채권명세_090205_기초_발송(090209) 2" xfId="487"/>
    <cellStyle name="_채권명세_090205_기초_발송(090209)_~5999479" xfId="488"/>
    <cellStyle name="_채권명세_090205_기초_발송(090209)_~5999479 2" xfId="489"/>
    <cellStyle name="_채권명세_090205_기초_발송(090209)_~5999479 3" xfId="490"/>
    <cellStyle name="_채권명세_090205_기초_발송(090209)_Project O_Valuation(KAMCO)_v11.2" xfId="491"/>
    <cellStyle name="_채권명세_090205_기초_발송(090209)_Project O_Valuation(KAMCO)_v11.2 2" xfId="492"/>
    <cellStyle name="_채권명세_090205_기초_발송(090209)_Project O_Valuation(KAMCO)_v11.2 3" xfId="493"/>
    <cellStyle name="_채권명세_090205_기초_발송(090209)_Project O_Valuation(KAMCO기준)_091126v10_가압류추가" xfId="494"/>
    <cellStyle name="_채권명세_090205_기초_발송(090209)_Project O_Valuation(KAMCO기준)_091126v10_가압류추가 2" xfId="495"/>
    <cellStyle name="_채권명세_090205_기초_발송(090209)_Project O_Valuation(KAMCO기준)_091126v10_가압류추가 3" xfId="496"/>
    <cellStyle name="_채권명세_090205_기초_발송(090209)_Project O_Valuation(KAMCO기준)_091126v4" xfId="497"/>
    <cellStyle name="_채권명세_090205_기초_발송(090209)_Project O_Valuation(KAMCO기준)_091126v4 2" xfId="498"/>
    <cellStyle name="_채권명세_090205_기초_발송(090209)_Project O_Valuation(KAMCO기준)_091126v4 3" xfId="499"/>
    <cellStyle name="_채권명세_090205_기초_발송(090209)_Project O_Valuation(KAMCO기준)_091126v9" xfId="500"/>
    <cellStyle name="_채권명세_090205_기초_발송(090209)_Project O_Valuation(KAMCO기준)_091126v9 2" xfId="501"/>
    <cellStyle name="_채권명세_090205_기초_발송(090209)_Project O_Valuation(KAMCO기준)_091126v9 3" xfId="502"/>
    <cellStyle name="_채권명세_090205_기초_발송(090209)_Project O_Valuation_1124" xfId="503"/>
    <cellStyle name="_채권명세_090205_기초_발송(090209)_Project O_Valuation_1124 2" xfId="504"/>
    <cellStyle name="_채권명세_090205_기초_발송(090209)_Project O_Valuation_1124 3" xfId="505"/>
    <cellStyle name="_채권명세_090205_기초_발송(090209)_Project O_Valuation_1125_오후" xfId="506"/>
    <cellStyle name="_채권명세_090205_기초_발송(090209)_Project O_Valuation_1125_오후 2" xfId="507"/>
    <cellStyle name="_채권명세_090205_기초_발송(090209)_Project O_Valuation_1125_오후 3" xfId="508"/>
    <cellStyle name="_채권명세_090205_기초_발송(090209)_Project O_Valuation_1126_오전" xfId="509"/>
    <cellStyle name="_채권명세_090205_기초_발송(090209)_Project O_Valuation_1126_오전 2" xfId="510"/>
    <cellStyle name="_채권명세_090205_기초_발송(090209)_Project O_Valuation_1126_오전 3" xfId="511"/>
    <cellStyle name="_채권명세_090205_기초_발송(090209)_Project O_Valuation_1126_저녁" xfId="512"/>
    <cellStyle name="_채권명세_090205_기초_발송(090209)_Project O_Valuation_1126_저녁 2" xfId="513"/>
    <cellStyle name="_채권명세_090205_기초_발송(090209)_Project O_Valuation_1126_저녁 3" xfId="514"/>
    <cellStyle name="_채권명세_090205_기초_발송(090209)_Project O_Valuation_v1" xfId="515"/>
    <cellStyle name="_채권명세_090205_기초_발송(090209)_Project O_Valuation_v1 2" xfId="516"/>
    <cellStyle name="_채권명세_090205_기초_발송(090209)_Project O_Valuation_v1 3" xfId="517"/>
    <cellStyle name="_채권명세_090205_기초_발송(090209)_Project O_Valuation_v3.0" xfId="518"/>
    <cellStyle name="_채권명세_090205_기초_발송(090209)_Project O_Valuation_v3.0 2" xfId="519"/>
    <cellStyle name="_채권명세_090205_기초_발송(090209)_Project O_Valuation_v3.0 3" xfId="520"/>
    <cellStyle name="_채권명세_090205_기초_발송(090209)_Project O_Valuation_v3.5" xfId="521"/>
    <cellStyle name="_채권명세_090205_기초_발송(090209)_Project O_Valuation_v3.5 2" xfId="522"/>
    <cellStyle name="_채권명세_090205_기초_발송(090209)_Project O_Valuation_v3.5 3" xfId="523"/>
    <cellStyle name="_채권명세_090205_기초_발송(090209)_Project O_Valuation_v7.0" xfId="524"/>
    <cellStyle name="_채권명세_090205_기초_발송(090209)_Project O2_Valuation_v1.3" xfId="525"/>
    <cellStyle name="_채권명세_090205_기초_발송(090209)_WR Bank 2009 4Q 지석 1124" xfId="526"/>
    <cellStyle name="_채권명세_090205_기초_발송(090209)_WR Bank 2009 4Q 지석 1124 2" xfId="527"/>
    <cellStyle name="_채권명세_090205_기초_발송(090209)_WR Bank 2009 4Q 지석 1124 3" xfId="528"/>
    <cellStyle name="_채권명세_090205_기초_발송(090209)_WR Bank 2010 1Q 공담분석_0221" xfId="529"/>
    <cellStyle name="_채권명세_090205_기초_발송(090209)_WR Bank 2010 1Q 유덕현(0212)" xfId="530"/>
    <cellStyle name="_채권명세_090205_기초_발송(090209)_WR Bank 2010 1Q 지석 취합자료(0217)" xfId="531"/>
    <cellStyle name="_채권명세_090205_기초_발송(090209)_낙찰가율정리3" xfId="532"/>
    <cellStyle name="_채권명세_090205_기초_발송(090209)_낙찰가율정리3 2" xfId="533"/>
    <cellStyle name="_채권명세_090205_기초_발송(090209)_낙찰가율정리3 3" xfId="534"/>
    <cellStyle name="_채권명세_작업중_0522" xfId="535"/>
    <cellStyle name="_채권명세_작업중_0522 2" xfId="536"/>
    <cellStyle name="_채권명세_작업중_0522_~5999479" xfId="537"/>
    <cellStyle name="_채권명세_작업중_0522_~5999479 2" xfId="538"/>
    <cellStyle name="_채권명세_작업중_0522_~5999479 3" xfId="539"/>
    <cellStyle name="_채권명세_작업중_0522_Project O_Valuation(KAMCO)_v11.2" xfId="540"/>
    <cellStyle name="_채권명세_작업중_0522_Project O_Valuation(KAMCO)_v11.2 2" xfId="541"/>
    <cellStyle name="_채권명세_작업중_0522_Project O_Valuation(KAMCO)_v11.2 3" xfId="542"/>
    <cellStyle name="_채권명세_작업중_0522_Project O_Valuation(KAMCO기준)_091126v10_가압류추가" xfId="543"/>
    <cellStyle name="_채권명세_작업중_0522_Project O_Valuation(KAMCO기준)_091126v10_가압류추가 2" xfId="544"/>
    <cellStyle name="_채권명세_작업중_0522_Project O_Valuation(KAMCO기준)_091126v10_가압류추가 3" xfId="545"/>
    <cellStyle name="_채권명세_작업중_0522_Project O_Valuation(KAMCO기준)_091126v4" xfId="546"/>
    <cellStyle name="_채권명세_작업중_0522_Project O_Valuation(KAMCO기준)_091126v4 2" xfId="547"/>
    <cellStyle name="_채권명세_작업중_0522_Project O_Valuation(KAMCO기준)_091126v4 3" xfId="548"/>
    <cellStyle name="_채권명세_작업중_0522_Project O_Valuation(KAMCO기준)_091126v9" xfId="549"/>
    <cellStyle name="_채권명세_작업중_0522_Project O_Valuation(KAMCO기준)_091126v9 2" xfId="550"/>
    <cellStyle name="_채권명세_작업중_0522_Project O_Valuation(KAMCO기준)_091126v9 3" xfId="551"/>
    <cellStyle name="_채권명세_작업중_0522_Project O_Valuation_1124" xfId="552"/>
    <cellStyle name="_채권명세_작업중_0522_Project O_Valuation_1124 2" xfId="553"/>
    <cellStyle name="_채권명세_작업중_0522_Project O_Valuation_1124 3" xfId="554"/>
    <cellStyle name="_채권명세_작업중_0522_Project O_Valuation_1125_오후" xfId="555"/>
    <cellStyle name="_채권명세_작업중_0522_Project O_Valuation_1125_오후 2" xfId="556"/>
    <cellStyle name="_채권명세_작업중_0522_Project O_Valuation_1125_오후 3" xfId="557"/>
    <cellStyle name="_채권명세_작업중_0522_Project O_Valuation_1126_오전" xfId="558"/>
    <cellStyle name="_채권명세_작업중_0522_Project O_Valuation_1126_오전 2" xfId="559"/>
    <cellStyle name="_채권명세_작업중_0522_Project O_Valuation_1126_오전 3" xfId="560"/>
    <cellStyle name="_채권명세_작업중_0522_Project O_Valuation_1126_저녁" xfId="561"/>
    <cellStyle name="_채권명세_작업중_0522_Project O_Valuation_1126_저녁 2" xfId="562"/>
    <cellStyle name="_채권명세_작업중_0522_Project O_Valuation_1126_저녁 3" xfId="563"/>
    <cellStyle name="_채권명세_작업중_0522_Project O_Valuation_v1" xfId="564"/>
    <cellStyle name="_채권명세_작업중_0522_Project O_Valuation_v1 2" xfId="565"/>
    <cellStyle name="_채권명세_작업중_0522_Project O_Valuation_v1 3" xfId="566"/>
    <cellStyle name="_채권명세_작업중_0522_Project O_Valuation_v3.0" xfId="567"/>
    <cellStyle name="_채권명세_작업중_0522_Project O_Valuation_v3.0 2" xfId="568"/>
    <cellStyle name="_채권명세_작업중_0522_Project O_Valuation_v3.0 3" xfId="569"/>
    <cellStyle name="_채권명세_작업중_0522_Project O_Valuation_v3.5" xfId="570"/>
    <cellStyle name="_채권명세_작업중_0522_Project O_Valuation_v3.5 2" xfId="571"/>
    <cellStyle name="_채권명세_작업중_0522_Project O_Valuation_v3.5 3" xfId="572"/>
    <cellStyle name="_채권명세_작업중_0522_Project O_Valuation_v7.0" xfId="573"/>
    <cellStyle name="_채권명세_작업중_0522_Project O2_Valuation_v1.3" xfId="574"/>
    <cellStyle name="_채권명세_작업중_0522_WR Bank 2009 4Q 지석 1124" xfId="575"/>
    <cellStyle name="_채권명세_작업중_0522_WR Bank 2009 4Q 지석 1124 2" xfId="576"/>
    <cellStyle name="_채권명세_작업중_0522_WR Bank 2009 4Q 지석 1124 3" xfId="577"/>
    <cellStyle name="_채권명세_작업중_0522_WR Bank 2010 1Q 공담분석_0221" xfId="578"/>
    <cellStyle name="_채권명세_작업중_0522_WR Bank 2010 1Q 유덕현(0212)" xfId="579"/>
    <cellStyle name="_채권명세_작업중_0522_WR Bank 2010 1Q 지석 취합자료(0217)" xfId="580"/>
    <cellStyle name="_채권명세_작업중_0522_낙찰가율정리3" xfId="581"/>
    <cellStyle name="_채권명세_작업중_0522_낙찰가율정리3 2" xfId="582"/>
    <cellStyle name="_채권명세_작업중_0522_낙찰가율정리3 3" xfId="583"/>
    <cellStyle name="_채권명세_주간사(1)_0426" xfId="584"/>
    <cellStyle name="_채권명세_주간사_0209" xfId="585"/>
    <cellStyle name="_채권명세_주간사_0209 2" xfId="586"/>
    <cellStyle name="_채권명세_주간사_0209 3" xfId="587"/>
    <cellStyle name="_채권명세_주간사_0218" xfId="588"/>
    <cellStyle name="_채권명세_주간사_0218 2" xfId="589"/>
    <cellStyle name="_채권명세_주간사_0218 3" xfId="590"/>
    <cellStyle name="_채권명세_주간사_0223(1)" xfId="591"/>
    <cellStyle name="_채권명세_주간사_0223(1) 2" xfId="592"/>
    <cellStyle name="_채권명세_주간사_0223(1) 3" xfId="593"/>
    <cellStyle name="_채권명세_주간사_0224" xfId="594"/>
    <cellStyle name="_채권명세_주간사_0224 2" xfId="595"/>
    <cellStyle name="_채권명세_주간사_0224 3" xfId="596"/>
    <cellStyle name="_채권명세_주간사_0428" xfId="597"/>
    <cellStyle name="_채권명세_주간사_0506" xfId="598"/>
    <cellStyle name="_채권명세_주간사_0514" xfId="599"/>
    <cellStyle name="_채권명세_주간사_0514 2" xfId="600"/>
    <cellStyle name="_채권명세_주간사_0514 3" xfId="601"/>
    <cellStyle name="_채권명세_주간사_0519" xfId="602"/>
    <cellStyle name="_채권명세_주간사_0519 2" xfId="603"/>
    <cellStyle name="_채권명세_주간사_0519 3" xfId="604"/>
    <cellStyle name="_채권명세_주간사_0520(v2)" xfId="605"/>
    <cellStyle name="_채권명세_주간사_0520(v2) 2" xfId="606"/>
    <cellStyle name="_채권명세_주간사_0520(v2) 3" xfId="607"/>
    <cellStyle name="_채권명세_주간사_0527" xfId="608"/>
    <cellStyle name="_채권명세_주간사_0527 2" xfId="609"/>
    <cellStyle name="_채권명세_주간사_0527 3" xfId="610"/>
    <cellStyle name="_채권명세_주간사_0531" xfId="611"/>
    <cellStyle name="_채권명세_주간사_0531 2" xfId="612"/>
    <cellStyle name="_채권명세_주간사_0531 3" xfId="613"/>
    <cellStyle name="_채권명세_주간사_1120" xfId="614"/>
    <cellStyle name="_채권명세_주간사_1120 2" xfId="615"/>
    <cellStyle name="_채권명세_주간사_1120 3" xfId="616"/>
    <cellStyle name="_채권명세_주간사_1120_~5999479" xfId="617"/>
    <cellStyle name="_채권명세_주간사_1120_~5999479 2" xfId="618"/>
    <cellStyle name="_채권명세_주간사_1120_~5999479 3" xfId="619"/>
    <cellStyle name="_채권명세_주간사_1120_Project O_Valuation(KAMCO)_v11.2" xfId="620"/>
    <cellStyle name="_채권명세_주간사_1120_Project O_Valuation(KAMCO)_v11.2 2" xfId="621"/>
    <cellStyle name="_채권명세_주간사_1120_Project O_Valuation(KAMCO)_v11.2 3" xfId="622"/>
    <cellStyle name="_채권명세_주간사_1120_Project O_Valuation(KAMCO기준)_091126v10_가압류추가" xfId="623"/>
    <cellStyle name="_채권명세_주간사_1120_Project O_Valuation(KAMCO기준)_091126v10_가압류추가 2" xfId="624"/>
    <cellStyle name="_채권명세_주간사_1120_Project O_Valuation(KAMCO기준)_091126v10_가압류추가 3" xfId="625"/>
    <cellStyle name="_채권명세_주간사_1120_Project O_Valuation(KAMCO기준)_091126v4" xfId="626"/>
    <cellStyle name="_채권명세_주간사_1120_Project O_Valuation(KAMCO기준)_091126v4 2" xfId="627"/>
    <cellStyle name="_채권명세_주간사_1120_Project O_Valuation(KAMCO기준)_091126v4 3" xfId="628"/>
    <cellStyle name="_채권명세_주간사_1120_Project O_Valuation(KAMCO기준)_091126v9" xfId="629"/>
    <cellStyle name="_채권명세_주간사_1120_Project O_Valuation(KAMCO기준)_091126v9 2" xfId="630"/>
    <cellStyle name="_채권명세_주간사_1120_Project O_Valuation(KAMCO기준)_091126v9 3" xfId="631"/>
    <cellStyle name="_채권명세_주간사_1120_Project O_Valuation_1124" xfId="632"/>
    <cellStyle name="_채권명세_주간사_1120_Project O_Valuation_1124 2" xfId="633"/>
    <cellStyle name="_채권명세_주간사_1120_Project O_Valuation_1124 3" xfId="634"/>
    <cellStyle name="_채권명세_주간사_1120_Project O_Valuation_1125_오후" xfId="635"/>
    <cellStyle name="_채권명세_주간사_1120_Project O_Valuation_1125_오후 2" xfId="636"/>
    <cellStyle name="_채권명세_주간사_1120_Project O_Valuation_1125_오후 3" xfId="637"/>
    <cellStyle name="_채권명세_주간사_1120_Project O_Valuation_1126_오전" xfId="638"/>
    <cellStyle name="_채권명세_주간사_1120_Project O_Valuation_1126_오전 2" xfId="639"/>
    <cellStyle name="_채권명세_주간사_1120_Project O_Valuation_1126_오전 3" xfId="640"/>
    <cellStyle name="_채권명세_주간사_1120_Project O_Valuation_1126_저녁" xfId="641"/>
    <cellStyle name="_채권명세_주간사_1120_Project O_Valuation_1126_저녁 2" xfId="642"/>
    <cellStyle name="_채권명세_주간사_1120_Project O_Valuation_1126_저녁 3" xfId="643"/>
    <cellStyle name="_채권명세_주간사_1120_Project O_Valuation_v1" xfId="644"/>
    <cellStyle name="_채권명세_주간사_1120_Project O_Valuation_v1 2" xfId="645"/>
    <cellStyle name="_채권명세_주간사_1120_Project O_Valuation_v1 3" xfId="646"/>
    <cellStyle name="_채권명세_주간사_1120_Project O_Valuation_v3.0" xfId="647"/>
    <cellStyle name="_채권명세_주간사_1120_Project O_Valuation_v3.0 2" xfId="648"/>
    <cellStyle name="_채권명세_주간사_1120_Project O_Valuation_v3.0 3" xfId="649"/>
    <cellStyle name="_채권명세_주간사_1120_Project O_Valuation_v3.5" xfId="650"/>
    <cellStyle name="_채권명세_주간사_1120_Project O_Valuation_v3.5 2" xfId="651"/>
    <cellStyle name="_채권명세_주간사_1120_Project O_Valuation_v3.5 3" xfId="652"/>
    <cellStyle name="_채권명세_주간사_1120_Project O_Valuation_v7.0" xfId="653"/>
    <cellStyle name="_채권명세_주간사_1120_Project O2_Valuation_v1.3" xfId="654"/>
    <cellStyle name="_채권명세_주간사_1120_WR Bank 2009 4Q 지석 1124" xfId="655"/>
    <cellStyle name="_채권명세_주간사_1120_WR Bank 2009 4Q 지석 1124 2" xfId="656"/>
    <cellStyle name="_채권명세_주간사_1120_WR Bank 2009 4Q 지석 1124 3" xfId="657"/>
    <cellStyle name="_채권명세_주간사_1120_WR Bank 2010 1Q 공담분석_0221" xfId="658"/>
    <cellStyle name="_채권명세_주간사_1120_WR Bank 2010 1Q 유덕현(0212)" xfId="659"/>
    <cellStyle name="_채권명세_주간사_1120_WR Bank 2010 1Q 지석 취합자료(0217)" xfId="660"/>
    <cellStyle name="_채권명세_주간사_1120_낙찰가율정리3" xfId="661"/>
    <cellStyle name="_채권명세_주간사_1120_낙찰가율정리3 2" xfId="662"/>
    <cellStyle name="_채권명세_주간사_1120_낙찰가율정리3 3" xfId="663"/>
    <cellStyle name="_채권명세_주간사_1125(1)" xfId="664"/>
    <cellStyle name="_채권명세_주간사_1125(1) 2" xfId="665"/>
    <cellStyle name="_채권명세_주간사_1125(1) 3" xfId="666"/>
    <cellStyle name="_채권명세_주간사발송_0208" xfId="667"/>
    <cellStyle name="_채권명세_주간사발송_0208 2" xfId="668"/>
    <cellStyle name="_채권명세_주간사발송_0208 3" xfId="669"/>
    <cellStyle name="_채권명세_주간사발송_1118" xfId="670"/>
    <cellStyle name="_채권명세_주간사발송_1118 2" xfId="671"/>
    <cellStyle name="_채권명세_주간사발송_1118 3" xfId="672"/>
    <cellStyle name="_채권명세_주간사발송_1118_~5999479" xfId="673"/>
    <cellStyle name="_채권명세_주간사발송_1118_~5999479 2" xfId="674"/>
    <cellStyle name="_채권명세_주간사발송_1118_~5999479 3" xfId="675"/>
    <cellStyle name="_채권명세_주간사발송_1118_Project O_Valuation(KAMCO)_v11.2" xfId="676"/>
    <cellStyle name="_채권명세_주간사발송_1118_Project O_Valuation(KAMCO)_v11.2 2" xfId="677"/>
    <cellStyle name="_채권명세_주간사발송_1118_Project O_Valuation(KAMCO)_v11.2 3" xfId="678"/>
    <cellStyle name="_채권명세_주간사발송_1118_Project O_Valuation(KAMCO기준)_091126v10_가압류추가" xfId="679"/>
    <cellStyle name="_채권명세_주간사발송_1118_Project O_Valuation(KAMCO기준)_091126v10_가압류추가 2" xfId="680"/>
    <cellStyle name="_채권명세_주간사발송_1118_Project O_Valuation(KAMCO기준)_091126v10_가압류추가 3" xfId="681"/>
    <cellStyle name="_채권명세_주간사발송_1118_Project O_Valuation(KAMCO기준)_091126v4" xfId="682"/>
    <cellStyle name="_채권명세_주간사발송_1118_Project O_Valuation(KAMCO기준)_091126v4 2" xfId="683"/>
    <cellStyle name="_채권명세_주간사발송_1118_Project O_Valuation(KAMCO기준)_091126v4 3" xfId="684"/>
    <cellStyle name="_채권명세_주간사발송_1118_Project O_Valuation(KAMCO기준)_091126v9" xfId="685"/>
    <cellStyle name="_채권명세_주간사발송_1118_Project O_Valuation(KAMCO기준)_091126v9 2" xfId="686"/>
    <cellStyle name="_채권명세_주간사발송_1118_Project O_Valuation(KAMCO기준)_091126v9 3" xfId="687"/>
    <cellStyle name="_채권명세_주간사발송_1118_Project O_Valuation_1124" xfId="688"/>
    <cellStyle name="_채권명세_주간사발송_1118_Project O_Valuation_1124 2" xfId="689"/>
    <cellStyle name="_채권명세_주간사발송_1118_Project O_Valuation_1124 3" xfId="690"/>
    <cellStyle name="_채권명세_주간사발송_1118_Project O_Valuation_1125_오후" xfId="691"/>
    <cellStyle name="_채권명세_주간사발송_1118_Project O_Valuation_1125_오후 2" xfId="692"/>
    <cellStyle name="_채권명세_주간사발송_1118_Project O_Valuation_1125_오후 3" xfId="693"/>
    <cellStyle name="_채권명세_주간사발송_1118_Project O_Valuation_1126_오전" xfId="694"/>
    <cellStyle name="_채권명세_주간사발송_1118_Project O_Valuation_1126_오전 2" xfId="695"/>
    <cellStyle name="_채권명세_주간사발송_1118_Project O_Valuation_1126_오전 3" xfId="696"/>
    <cellStyle name="_채권명세_주간사발송_1118_Project O_Valuation_1126_저녁" xfId="697"/>
    <cellStyle name="_채권명세_주간사발송_1118_Project O_Valuation_1126_저녁 2" xfId="698"/>
    <cellStyle name="_채권명세_주간사발송_1118_Project O_Valuation_1126_저녁 3" xfId="699"/>
    <cellStyle name="_채권명세_주간사발송_1118_Project O_Valuation_v1" xfId="700"/>
    <cellStyle name="_채권명세_주간사발송_1118_Project O_Valuation_v1 2" xfId="701"/>
    <cellStyle name="_채권명세_주간사발송_1118_Project O_Valuation_v1 3" xfId="702"/>
    <cellStyle name="_채권명세_주간사발송_1118_Project O_Valuation_v3.0" xfId="703"/>
    <cellStyle name="_채권명세_주간사발송_1118_Project O_Valuation_v3.0 2" xfId="704"/>
    <cellStyle name="_채권명세_주간사발송_1118_Project O_Valuation_v3.0 3" xfId="705"/>
    <cellStyle name="_채권명세_주간사발송_1118_Project O_Valuation_v3.5" xfId="706"/>
    <cellStyle name="_채권명세_주간사발송_1118_Project O_Valuation_v3.5 2" xfId="707"/>
    <cellStyle name="_채권명세_주간사발송_1118_Project O_Valuation_v3.5 3" xfId="708"/>
    <cellStyle name="_채권명세_주간사발송_1118_Project O_Valuation_v7.0" xfId="709"/>
    <cellStyle name="_채권명세_주간사발송_1118_Project O2_Valuation_v1.3" xfId="710"/>
    <cellStyle name="_채권명세_주간사발송_1118_WR Bank 2009 4Q 지석 1124" xfId="711"/>
    <cellStyle name="_채권명세_주간사발송_1118_WR Bank 2009 4Q 지석 1124 2" xfId="712"/>
    <cellStyle name="_채권명세_주간사발송_1118_WR Bank 2009 4Q 지석 1124 3" xfId="713"/>
    <cellStyle name="_채권명세_주간사발송_1118_WR Bank 2010 1Q 공담분석_0221" xfId="714"/>
    <cellStyle name="_채권명세_주간사발송_1118_WR Bank 2010 1Q 유덕현(0212)" xfId="715"/>
    <cellStyle name="_채권명세_주간사발송_1118_WR Bank 2010 1Q 지석 취합자료(0217)" xfId="716"/>
    <cellStyle name="_채권명세_주간사발송_1118_낙찰가율정리3" xfId="717"/>
    <cellStyle name="_채권명세_주간사발송_1118_낙찰가율정리3 2" xfId="718"/>
    <cellStyle name="_채권명세_주간사발송_1118_낙찰가율정리3 3" xfId="719"/>
    <cellStyle name="_채권명세_회계법인_미수이자반영_0528" xfId="720"/>
    <cellStyle name="_채권명세_회계법인_미수이자반영_0528 2" xfId="721"/>
    <cellStyle name="_채권명세_회계법인_미수이자반영_0528_~5999479" xfId="722"/>
    <cellStyle name="_채권명세_회계법인_미수이자반영_0528_~5999479 2" xfId="723"/>
    <cellStyle name="_채권명세_회계법인_미수이자반영_0528_~5999479 3" xfId="724"/>
    <cellStyle name="_채권명세_회계법인_미수이자반영_0528_Project O_Valuation(KAMCO)_v11.2" xfId="725"/>
    <cellStyle name="_채권명세_회계법인_미수이자반영_0528_Project O_Valuation(KAMCO)_v11.2 2" xfId="726"/>
    <cellStyle name="_채권명세_회계법인_미수이자반영_0528_Project O_Valuation(KAMCO)_v11.2 3" xfId="727"/>
    <cellStyle name="_채권명세_회계법인_미수이자반영_0528_Project O_Valuation(KAMCO기준)_091126v10_가압류추가" xfId="728"/>
    <cellStyle name="_채권명세_회계법인_미수이자반영_0528_Project O_Valuation(KAMCO기준)_091126v10_가압류추가 2" xfId="729"/>
    <cellStyle name="_채권명세_회계법인_미수이자반영_0528_Project O_Valuation(KAMCO기준)_091126v10_가압류추가 3" xfId="730"/>
    <cellStyle name="_채권명세_회계법인_미수이자반영_0528_Project O_Valuation(KAMCO기준)_091126v4" xfId="731"/>
    <cellStyle name="_채권명세_회계법인_미수이자반영_0528_Project O_Valuation(KAMCO기준)_091126v4 2" xfId="732"/>
    <cellStyle name="_채권명세_회계법인_미수이자반영_0528_Project O_Valuation(KAMCO기준)_091126v4 3" xfId="733"/>
    <cellStyle name="_채권명세_회계법인_미수이자반영_0528_Project O_Valuation(KAMCO기준)_091126v9" xfId="734"/>
    <cellStyle name="_채권명세_회계법인_미수이자반영_0528_Project O_Valuation(KAMCO기준)_091126v9 2" xfId="735"/>
    <cellStyle name="_채권명세_회계법인_미수이자반영_0528_Project O_Valuation(KAMCO기준)_091126v9 3" xfId="736"/>
    <cellStyle name="_채권명세_회계법인_미수이자반영_0528_Project O_Valuation_1124" xfId="737"/>
    <cellStyle name="_채권명세_회계법인_미수이자반영_0528_Project O_Valuation_1124 2" xfId="738"/>
    <cellStyle name="_채권명세_회계법인_미수이자반영_0528_Project O_Valuation_1124 3" xfId="739"/>
    <cellStyle name="_채권명세_회계법인_미수이자반영_0528_Project O_Valuation_1125_오후" xfId="740"/>
    <cellStyle name="_채권명세_회계법인_미수이자반영_0528_Project O_Valuation_1125_오후 2" xfId="741"/>
    <cellStyle name="_채권명세_회계법인_미수이자반영_0528_Project O_Valuation_1125_오후 3" xfId="742"/>
    <cellStyle name="_채권명세_회계법인_미수이자반영_0528_Project O_Valuation_1126_오전" xfId="743"/>
    <cellStyle name="_채권명세_회계법인_미수이자반영_0528_Project O_Valuation_1126_오전 2" xfId="744"/>
    <cellStyle name="_채권명세_회계법인_미수이자반영_0528_Project O_Valuation_1126_오전 3" xfId="745"/>
    <cellStyle name="_채권명세_회계법인_미수이자반영_0528_Project O_Valuation_1126_저녁" xfId="746"/>
    <cellStyle name="_채권명세_회계법인_미수이자반영_0528_Project O_Valuation_1126_저녁 2" xfId="747"/>
    <cellStyle name="_채권명세_회계법인_미수이자반영_0528_Project O_Valuation_1126_저녁 3" xfId="748"/>
    <cellStyle name="_채권명세_회계법인_미수이자반영_0528_Project O_Valuation_v1" xfId="749"/>
    <cellStyle name="_채권명세_회계법인_미수이자반영_0528_Project O_Valuation_v1 2" xfId="750"/>
    <cellStyle name="_채권명세_회계법인_미수이자반영_0528_Project O_Valuation_v1 3" xfId="751"/>
    <cellStyle name="_채권명세_회계법인_미수이자반영_0528_Project O_Valuation_v3.0" xfId="752"/>
    <cellStyle name="_채권명세_회계법인_미수이자반영_0528_Project O_Valuation_v3.0 2" xfId="753"/>
    <cellStyle name="_채권명세_회계법인_미수이자반영_0528_Project O_Valuation_v3.0 3" xfId="754"/>
    <cellStyle name="_채권명세_회계법인_미수이자반영_0528_Project O_Valuation_v3.5" xfId="755"/>
    <cellStyle name="_채권명세_회계법인_미수이자반영_0528_Project O_Valuation_v3.5 2" xfId="756"/>
    <cellStyle name="_채권명세_회계법인_미수이자반영_0528_Project O_Valuation_v3.5 3" xfId="757"/>
    <cellStyle name="_채권명세_회계법인_미수이자반영_0528_Project O_Valuation_v7.0" xfId="758"/>
    <cellStyle name="_채권명세_회계법인_미수이자반영_0528_Project O2_Valuation_v1.3" xfId="759"/>
    <cellStyle name="_채권명세_회계법인_미수이자반영_0528_WR Bank 2009 4Q 지석 1124" xfId="760"/>
    <cellStyle name="_채권명세_회계법인_미수이자반영_0528_WR Bank 2009 4Q 지석 1124 2" xfId="761"/>
    <cellStyle name="_채권명세_회계법인_미수이자반영_0528_WR Bank 2009 4Q 지석 1124 3" xfId="762"/>
    <cellStyle name="_채권명세_회계법인_미수이자반영_0528_WR Bank 2010 1Q 공담분석_0221" xfId="763"/>
    <cellStyle name="_채권명세_회계법인_미수이자반영_0528_WR Bank 2010 1Q 유덕현(0212)" xfId="764"/>
    <cellStyle name="_채권명세_회계법인_미수이자반영_0528_WR Bank 2010 1Q 지석 취합자료(0217)" xfId="765"/>
    <cellStyle name="_채권명세_회계법인_미수이자반영_0528_낙찰가율정리3" xfId="766"/>
    <cellStyle name="_채권명세_회계법인_미수이자반영_0528_낙찰가율정리3 2" xfId="767"/>
    <cellStyle name="_채권명세_회계법인_미수이자반영_0528_낙찰가율정리3 3" xfId="768"/>
    <cellStyle name="_천안사직동공동주택" xfId="7900"/>
    <cellStyle name="_체크리스트" xfId="20474"/>
    <cellStyle name="_총괄" xfId="20475"/>
    <cellStyle name="_총괄표-2002반기(홍성훈)" xfId="27594"/>
    <cellStyle name="_총수신 실적" xfId="27595"/>
    <cellStyle name="_총수신 진도현황_3월_v01" xfId="27596"/>
    <cellStyle name="_최시창CPA_영업권감액고려" xfId="27597"/>
    <cellStyle name="_최종 분석조서 2001 3 분기" xfId="20476"/>
    <cellStyle name="_최종 투입 공수 산정" xfId="7901"/>
    <cellStyle name="_최종보고-파주완료030401" xfId="7902"/>
    <cellStyle name="_최종사업계획(2001.3.7)" xfId="7903"/>
    <cellStyle name="_最終實行(평내)" xfId="7904"/>
    <cellStyle name="_최종이사회자료(01.2.증자)" xfId="7905"/>
    <cellStyle name="_추가적립명세_0908" xfId="7906"/>
    <cellStyle name="_추가충당금명세" xfId="7907"/>
    <cellStyle name="_추정손익및자본수지-가유" xfId="7908"/>
    <cellStyle name="_충당금결산_200906_v3(완료-파생MTM충당금반영)" xfId="769"/>
    <cellStyle name="_충당금결산_200906_v3(완료-파생MTM충당금반영) 2" xfId="7909"/>
    <cellStyle name="_충당금결산_200906_v3(완료-파생MTM충당금반영) 3" xfId="7910"/>
    <cellStyle name="_충당금결산0706(최종)" xfId="20477"/>
    <cellStyle name="_카드채권유무" xfId="7911"/>
    <cellStyle name="_캠코개별분개(지속적관여)_20090527_박승민" xfId="20478"/>
    <cellStyle name="_코리안클릭-2002중간-양애리" xfId="7912"/>
    <cellStyle name="_코마스HW(1023)" xfId="7913"/>
    <cellStyle name="_타병원비교" xfId="7914"/>
    <cellStyle name="-_태성2003조서(이종하)" xfId="7915"/>
    <cellStyle name="-_태성2003조서(이종하)_04년 중간(04.12.9)" xfId="7916"/>
    <cellStyle name="-_태성2003조서(이종하)_interim(PAY ROLL)" xfId="7917"/>
    <cellStyle name="-_태성2003조서(이종하)_interim-PAY ROLL" xfId="7918"/>
    <cellStyle name="_테스트" xfId="20479"/>
    <cellStyle name="_테코스" xfId="7919"/>
    <cellStyle name="_테코스(2001_기말감사)" xfId="7920"/>
    <cellStyle name="_테코스(2001_기말감사)_2001_FS_법인세비용 반영전" xfId="7921"/>
    <cellStyle name="_테코스(2001_기말감사)_2001_FS_법인세비용 반영전_2002_반기검토-삼건베리클" xfId="7922"/>
    <cellStyle name="_테코스(2001_기말감사)_2001_FS_법인세비용 반영전_삼건베리클-2002년반기-정준형" xfId="7923"/>
    <cellStyle name="_테코스(2001_기말감사)_2001_FS_법인세비용 반영전_서원양행-2002 FS - 양애리" xfId="7924"/>
    <cellStyle name="_테코스(2001_기말감사)_서원양행-2002 FS - 양애리" xfId="7925"/>
    <cellStyle name="_테코스(2001_기말감사)_테코스_2001_기말" xfId="7926"/>
    <cellStyle name="_테코스(2001_기말감사)_테코스_2001_기말_2001_FS_법인세비용 반영전" xfId="7927"/>
    <cellStyle name="_테코스(2001_기말감사)_테코스_2001_기말_2001_FS_법인세비용 반영전_2002_반기검토-삼건베리클" xfId="7928"/>
    <cellStyle name="_테코스(2001_기말감사)_테코스_2001_기말_2001_FS_법인세비용 반영전_삼건베리클-2002년반기-정준형" xfId="7929"/>
    <cellStyle name="_테코스(2001_기말감사)_테코스_2001_기말_2001_FS_법인세비용 반영전_서원양행-2002 FS - 양애리" xfId="7930"/>
    <cellStyle name="_테코스(2001_기말감사)_테코스_2001_기말_서원양행-2002 FS - 양애리" xfId="7931"/>
    <cellStyle name="_테코스_2001_FS_법인세비용 반영전" xfId="7932"/>
    <cellStyle name="_테코스_2001_FS_법인세비용 반영전_2002_반기검토-삼건베리클" xfId="7933"/>
    <cellStyle name="_테코스_2001_FS_법인세비용 반영전_삼건베리클-2002년반기-정준형" xfId="7934"/>
    <cellStyle name="_테코스_2001_FS_법인세비용 반영전_서원양행-2002 FS - 양애리" xfId="7935"/>
    <cellStyle name="_테코스_2001_기말" xfId="7936"/>
    <cellStyle name="_테코스_2001_기말_서원양행-2002 FS - 양애리" xfId="7937"/>
    <cellStyle name="_테코스_imm창투기말" xfId="7938"/>
    <cellStyle name="_테코스_leadsheet-나래" xfId="7939"/>
    <cellStyle name="_테코스_반기-나래시스템(2001)" xfId="7940"/>
    <cellStyle name="_테코스_반기-나래시스템(2001)_서원양행-2002 FS - 양애리" xfId="7941"/>
    <cellStyle name="_테코스_서원양행-2002 FS - 양애리" xfId="7942"/>
    <cellStyle name="_테코스_인네트_2001_기말감사" xfId="7943"/>
    <cellStyle name="_테코스_인네트_2001_기말감사_2001_FS_법인세비용 반영전" xfId="7944"/>
    <cellStyle name="_테코스_인네트_2001_기말감사_2001_FS_법인세비용 반영전_2002_반기검토-삼건베리클" xfId="7945"/>
    <cellStyle name="_테코스_인네트_2001_기말감사_2001_FS_법인세비용 반영전_삼건베리클-2002년반기-정준형" xfId="7946"/>
    <cellStyle name="_테코스_인네트_2001_기말감사_2001_FS_법인세비용 반영전_서원양행-2002 FS - 양애리" xfId="7947"/>
    <cellStyle name="_테코스_인네트_2001_기말감사_서원양행-2002 FS - 양애리" xfId="7948"/>
    <cellStyle name="_테코스_인네트_2001_기말감사_테코스(2001_기말감사)" xfId="7949"/>
    <cellStyle name="_테코스_인네트_2001_기말감사_테코스(2001_기말감사)_2001_FS_법인세비용 반영전" xfId="7950"/>
    <cellStyle name="_테코스_인네트_2001_기말감사_테코스(2001_기말감사)_2001_FS_법인세비용 반영전_2002_반기검토-삼건베리클" xfId="7951"/>
    <cellStyle name="_테코스_인네트_2001_기말감사_테코스(2001_기말감사)_2001_FS_법인세비용 반영전_삼건베리클-2002년반기-정준형" xfId="7952"/>
    <cellStyle name="_테코스_인네트_2001_기말감사_테코스(2001_기말감사)_2001_FS_법인세비용 반영전_서원양행-2002 FS - 양애리" xfId="7953"/>
    <cellStyle name="_테코스_인네트_2001_기말감사_테코스(2001_기말감사)_서원양행-2002 FS - 양애리" xfId="7954"/>
    <cellStyle name="_테코스_인네트_2001_기말감사_테코스(2001_기말감사)_테코스_2001_기말" xfId="7955"/>
    <cellStyle name="_테코스_인네트_2001_기말감사_테코스(2001_기말감사)_테코스_2001_기말_2001_FS_법인세비용 반영전" xfId="7956"/>
    <cellStyle name="_테코스_인네트_2001_기말감사_테코스(2001_기말감사)_테코스_2001_기말_2001_FS_법인세비용 반영전_2002_반기검토-삼건베리클" xfId="7957"/>
    <cellStyle name="_테코스_인네트_2001_기말감사_테코스(2001_기말감사)_테코스_2001_기말_2001_FS_법인세비용 반영전_삼건베리클-2002년반기-정준형" xfId="7958"/>
    <cellStyle name="_테코스_인네트_2001_기말감사_테코스(2001_기말감사)_테코스_2001_기말_2001_FS_법인세비용 반영전_서원양행-2002 FS - 양애리" xfId="7959"/>
    <cellStyle name="_테코스_인네트_2001_기말감사_테코스(2001_기말감사)_테코스_2001_기말_서원양행-2002 FS - 양애리" xfId="7960"/>
    <cellStyle name="_테코스_인네트_2001_반기검토(최종본2)" xfId="7961"/>
    <cellStyle name="_테코스_인네트_2001_반기검토(최종본2)_서원양행-2002 FS - 양애리" xfId="7962"/>
    <cellStyle name="_테코스_테코스(2001_반기검토)" xfId="7963"/>
    <cellStyle name="_테코스_테코스(2001_반기검토)_2001_FS_법인세비용 반영전" xfId="7964"/>
    <cellStyle name="_테코스_테코스(2001_반기검토)_2001_FS_법인세비용 반영전_2002_반기검토-삼건베리클" xfId="7965"/>
    <cellStyle name="_테코스_테코스(2001_반기검토)_2001_FS_법인세비용 반영전_삼건베리클-2002년반기-정준형" xfId="7966"/>
    <cellStyle name="_테코스_테코스(2001_반기검토)_2001_FS_법인세비용 반영전_서원양행-2002 FS - 양애리" xfId="7967"/>
    <cellStyle name="_테코스_테코스(2001_반기검토)_leadsheet-나래" xfId="7968"/>
    <cellStyle name="_테코스_테코스(2001_반기검토)_서원양행-2002 FS - 양애리" xfId="7969"/>
    <cellStyle name="_테코스_테코스(2001_반기검토)_재무제표관련_테코스_2001" xfId="7970"/>
    <cellStyle name="_테코스_테코스(2001_반기검토)_재무제표관련_테코스_2001_서원양행-2002 FS - 양애리" xfId="7971"/>
    <cellStyle name="_테코스_테코스(2001_반기검토)_테코스(2001_기말감사)" xfId="7972"/>
    <cellStyle name="_테코스_테코스(2001_반기검토)_테코스(2001_기말감사)_2001_FS_법인세비용 반영전" xfId="7973"/>
    <cellStyle name="_테코스_테코스(2001_반기검토)_테코스(2001_기말감사)_2001_FS_법인세비용 반영전_2002_반기검토-삼건베리클" xfId="7974"/>
    <cellStyle name="_테코스_테코스(2001_반기검토)_테코스(2001_기말감사)_2001_FS_법인세비용 반영전_삼건베리클-2002년반기-정준형" xfId="7975"/>
    <cellStyle name="_테코스_테코스(2001_반기검토)_테코스(2001_기말감사)_2001_FS_법인세비용 반영전_서원양행-2002 FS - 양애리" xfId="7976"/>
    <cellStyle name="_테코스_테코스(2001_반기검토)_테코스(2001_기말감사)_서원양행-2002 FS - 양애리" xfId="7977"/>
    <cellStyle name="_테코스_테코스(2001_반기검토)_테코스(2001_기말감사)_테코스_2001_기말" xfId="7978"/>
    <cellStyle name="_테코스_테코스(2001_반기검토)_테코스(2001_기말감사)_테코스_2001_기말_2001_FS_법인세비용 반영전" xfId="7979"/>
    <cellStyle name="_테코스_테코스(2001_반기검토)_테코스(2001_기말감사)_테코스_2001_기말_2001_FS_법인세비용 반영전_2002_반기검토-삼건베리클" xfId="7980"/>
    <cellStyle name="_테코스_테코스(2001_반기검토)_테코스(2001_기말감사)_테코스_2001_기말_2001_FS_법인세비용 반영전_삼건베리클-2002년반기-정준형" xfId="7981"/>
    <cellStyle name="_테코스_테코스(2001_반기검토)_테코스(2001_기말감사)_테코스_2001_기말_2001_FS_법인세비용 반영전_서원양행-2002 FS - 양애리" xfId="7982"/>
    <cellStyle name="_테코스_테코스(2001_반기검토)_테코스(2001_기말감사)_테코스_2001_기말_서원양행-2002 FS - 양애리" xfId="7983"/>
    <cellStyle name="_테코스_테코스(2001_반기검토)_페타 Leadschedule2001-final" xfId="7984"/>
    <cellStyle name="_테코스_테코스_2001_기말" xfId="7985"/>
    <cellStyle name="_테코스_테코스_2001_기말_2001_FS_법인세비용 반영전" xfId="7986"/>
    <cellStyle name="_테코스_테코스_2001_기말_2001_FS_법인세비용 반영전_2002_반기검토-삼건베리클" xfId="7987"/>
    <cellStyle name="_테코스_테코스_2001_기말_2001_FS_법인세비용 반영전_삼건베리클-2002년반기-정준형" xfId="7988"/>
    <cellStyle name="_테코스_테코스_2001_기말_2001_FS_법인세비용 반영전_서원양행-2002 FS - 양애리" xfId="7989"/>
    <cellStyle name="_테코스_테코스_2001_기말_서원양행-2002 FS - 양애리" xfId="7990"/>
    <cellStyle name="_테코스_페타 Leadschedule2001-final" xfId="7991"/>
    <cellStyle name="_테코스2001반기조서" xfId="7992"/>
    <cellStyle name="_테코스2001반기조서_2001_FS_법인세비용 반영전" xfId="7993"/>
    <cellStyle name="_테코스2001반기조서_2001_FS_법인세비용 반영전_2002_반기검토-삼건베리클" xfId="7994"/>
    <cellStyle name="_테코스2001반기조서_2001_FS_법인세비용 반영전_삼건베리클-2002년반기-정준형" xfId="7995"/>
    <cellStyle name="_테코스2001반기조서_2001_FS_법인세비용 반영전_서원양행-2002 FS - 양애리" xfId="7996"/>
    <cellStyle name="_테코스2001반기조서_Book1" xfId="7997"/>
    <cellStyle name="_테코스2001반기조서_Book1_2001_FS_법인세비용 반영전" xfId="7998"/>
    <cellStyle name="_테코스2001반기조서_Book1_2001_FS_법인세비용 반영전_2002_반기검토-삼건베리클" xfId="7999"/>
    <cellStyle name="_테코스2001반기조서_Book1_2001_FS_법인세비용 반영전_삼건베리클-2002년반기-정준형" xfId="8000"/>
    <cellStyle name="_테코스2001반기조서_Book1_2001_FS_법인세비용 반영전_서원양행-2002 FS - 양애리" xfId="8001"/>
    <cellStyle name="_테코스2001반기조서_Book1_leadsheet-나래" xfId="8002"/>
    <cellStyle name="_테코스2001반기조서_Book1_서원양행-2002 FS - 양애리" xfId="8003"/>
    <cellStyle name="_테코스2001반기조서_Book1_테코스(2001_기말감사)" xfId="8004"/>
    <cellStyle name="_테코스2001반기조서_Book1_테코스(2001_기말감사)_2001_FS_법인세비용 반영전" xfId="8005"/>
    <cellStyle name="_테코스2001반기조서_Book1_테코스(2001_기말감사)_2001_FS_법인세비용 반영전_2002_반기검토-삼건베리클" xfId="8006"/>
    <cellStyle name="_테코스2001반기조서_Book1_테코스(2001_기말감사)_2001_FS_법인세비용 반영전_삼건베리클-2002년반기-정준형" xfId="8007"/>
    <cellStyle name="_테코스2001반기조서_Book1_테코스(2001_기말감사)_2001_FS_법인세비용 반영전_서원양행-2002 FS - 양애리" xfId="8008"/>
    <cellStyle name="_테코스2001반기조서_Book1_테코스(2001_기말감사)_서원양행-2002 FS - 양애리" xfId="8009"/>
    <cellStyle name="_테코스2001반기조서_Book1_테코스(2001_기말감사)_테코스_2001_기말" xfId="8010"/>
    <cellStyle name="_테코스2001반기조서_Book1_테코스(2001_기말감사)_테코스_2001_기말_2001_FS_법인세비용 반영전" xfId="8011"/>
    <cellStyle name="_테코스2001반기조서_Book1_테코스(2001_기말감사)_테코스_2001_기말_2001_FS_법인세비용 반영전_2002_반기검토-삼건베리클" xfId="8012"/>
    <cellStyle name="_테코스2001반기조서_Book1_테코스(2001_기말감사)_테코스_2001_기말_2001_FS_법인세비용 반영전_삼건베리클-2002년반기-정준형" xfId="8013"/>
    <cellStyle name="_테코스2001반기조서_Book1_테코스(2001_기말감사)_테코스_2001_기말_2001_FS_법인세비용 반영전_서원양행-2002 FS - 양애리" xfId="8014"/>
    <cellStyle name="_테코스2001반기조서_Book1_테코스(2001_기말감사)_테코스_2001_기말_서원양행-2002 FS - 양애리" xfId="8015"/>
    <cellStyle name="_테코스2001반기조서_Book1_페타 Leadschedule2001-final" xfId="8016"/>
    <cellStyle name="_테코스2001반기조서_imm창투기말" xfId="8017"/>
    <cellStyle name="_테코스2001반기조서_leadsheet-나래" xfId="8018"/>
    <cellStyle name="_테코스2001반기조서_감사조서(2001)_링스텍_기말" xfId="8019"/>
    <cellStyle name="_테코스2001반기조서_감사조서(2001)_링스텍_기말_서원양행-2002 FS - 양애리" xfId="8020"/>
    <cellStyle name="_테코스2001반기조서_링스텍lead schedule(2001년기말)-이덕근" xfId="8021"/>
    <cellStyle name="_테코스2001반기조서_링스텍lead schedule(2001년기말)-이덕근_서원양행-2002 FS - 양애리" xfId="8022"/>
    <cellStyle name="_테코스2001반기조서_반기-나래시스템(2001)" xfId="8023"/>
    <cellStyle name="_테코스2001반기조서_반기-나래시스템(2001)_서원양행-2002 FS - 양애리" xfId="8024"/>
    <cellStyle name="_테코스2001반기조서_서원양행-2002 FS - 양애리" xfId="8025"/>
    <cellStyle name="_테코스2001반기조서_워커힐_2001_기말" xfId="8026"/>
    <cellStyle name="_테코스2001반기조서_워커힐_2001_기말_서원양행-2002 FS - 양애리" xfId="8027"/>
    <cellStyle name="_테코스2001반기조서_워커힐_2001_반기검토" xfId="8028"/>
    <cellStyle name="_테코스2001반기조서_워커힐_2001_반기검토_서원양행-2002 FS - 양애리" xfId="8029"/>
    <cellStyle name="_테코스2001반기조서_워커힐_2001_반기재무제표4" xfId="8030"/>
    <cellStyle name="_테코스2001반기조서_워커힐_2001_반기재무제표4_서원양행-2002 FS - 양애리" xfId="8031"/>
    <cellStyle name="_테코스2001반기조서_인네트_2001_기말" xfId="8032"/>
    <cellStyle name="_테코스2001반기조서_인네트_2001_기말_서원양행-2002 FS - 양애리" xfId="8033"/>
    <cellStyle name="_테코스2001반기조서_인네트_2001_기말감사" xfId="8034"/>
    <cellStyle name="_테코스2001반기조서_인네트_2001_기말감사_2001_FS_법인세비용 반영전" xfId="8035"/>
    <cellStyle name="_테코스2001반기조서_인네트_2001_기말감사_2001_FS_법인세비용 반영전_2002_반기검토-삼건베리클" xfId="8036"/>
    <cellStyle name="_테코스2001반기조서_인네트_2001_기말감사_2001_FS_법인세비용 반영전_삼건베리클-2002년반기-정준형" xfId="8037"/>
    <cellStyle name="_테코스2001반기조서_인네트_2001_기말감사_2001_FS_법인세비용 반영전_서원양행-2002 FS - 양애리" xfId="8038"/>
    <cellStyle name="_테코스2001반기조서_인네트_2001_기말감사_서원양행-2002 FS - 양애리" xfId="8039"/>
    <cellStyle name="_테코스2001반기조서_인네트_2001_기말감사_테코스(2001_기말감사)" xfId="8040"/>
    <cellStyle name="_테코스2001반기조서_인네트_2001_기말감사_테코스(2001_기말감사)_2001_FS_법인세비용 반영전" xfId="8041"/>
    <cellStyle name="_테코스2001반기조서_인네트_2001_기말감사_테코스(2001_기말감사)_2001_FS_법인세비용 반영전_2002_반기검토-삼건베리클" xfId="8042"/>
    <cellStyle name="_테코스2001반기조서_인네트_2001_기말감사_테코스(2001_기말감사)_2001_FS_법인세비용 반영전_삼건베리클-2002년반기-정준형" xfId="8043"/>
    <cellStyle name="_테코스2001반기조서_인네트_2001_기말감사_테코스(2001_기말감사)_2001_FS_법인세비용 반영전_서원양행-2002 FS - 양애리" xfId="8044"/>
    <cellStyle name="_테코스2001반기조서_인네트_2001_기말감사_테코스(2001_기말감사)_서원양행-2002 FS - 양애리" xfId="8045"/>
    <cellStyle name="_테코스2001반기조서_인네트_2001_기말감사_테코스(2001_기말감사)_테코스_2001_기말" xfId="8046"/>
    <cellStyle name="_테코스2001반기조서_인네트_2001_기말감사_테코스(2001_기말감사)_테코스_2001_기말_2001_FS_법인세비용 반영전" xfId="8047"/>
    <cellStyle name="_테코스2001반기조서_인네트_2001_기말감사_테코스(2001_기말감사)_테코스_2001_기말_2001_FS_법인세비용 반영전_2002_반기검토-삼건베리클" xfId="8048"/>
    <cellStyle name="_테코스2001반기조서_인네트_2001_기말감사_테코스(2001_기말감사)_테코스_2001_기말_2001_FS_법인세비용 반영전_삼건베리클-2002년반기-정준형" xfId="8049"/>
    <cellStyle name="_테코스2001반기조서_인네트_2001_기말감사_테코스(2001_기말감사)_테코스_2001_기말_2001_FS_법인세비용 반영전_서원양행-2002 FS - 양애리" xfId="8050"/>
    <cellStyle name="_테코스2001반기조서_인네트_2001_기말감사_테코스(2001_기말감사)_테코스_2001_기말_서원양행-2002 FS - 양애리" xfId="8051"/>
    <cellStyle name="_테코스2001반기조서_인네트_2001_반기검토(최종본2)" xfId="8052"/>
    <cellStyle name="_테코스2001반기조서_인네트_2001_반기검토(최종본2)_서원양행-2002 FS - 양애리" xfId="8053"/>
    <cellStyle name="_테코스2001반기조서_테코스(2001_반기검토)" xfId="8054"/>
    <cellStyle name="_테코스2001반기조서_테코스(2001_반기검토)_2001_FS_법인세비용 반영전" xfId="8055"/>
    <cellStyle name="_테코스2001반기조서_테코스(2001_반기검토)_2001_FS_법인세비용 반영전_2002_반기검토-삼건베리클" xfId="8056"/>
    <cellStyle name="_테코스2001반기조서_테코스(2001_반기검토)_2001_FS_법인세비용 반영전_삼건베리클-2002년반기-정준형" xfId="8057"/>
    <cellStyle name="_테코스2001반기조서_테코스(2001_반기검토)_2001_FS_법인세비용 반영전_서원양행-2002 FS - 양애리" xfId="8058"/>
    <cellStyle name="_테코스2001반기조서_테코스(2001_반기검토)_leadsheet-나래" xfId="8059"/>
    <cellStyle name="_테코스2001반기조서_테코스(2001_반기검토)_서원양행-2002 FS - 양애리" xfId="8060"/>
    <cellStyle name="_테코스2001반기조서_테코스(2001_반기검토)_재무제표관련_테코스_2001" xfId="8061"/>
    <cellStyle name="_테코스2001반기조서_테코스(2001_반기검토)_재무제표관련_테코스_2001_서원양행-2002 FS - 양애리" xfId="8062"/>
    <cellStyle name="_테코스2001반기조서_테코스(2001_반기검토)_테코스(2001_기말감사)" xfId="8063"/>
    <cellStyle name="_테코스2001반기조서_테코스(2001_반기검토)_테코스(2001_기말감사)_2001_FS_법인세비용 반영전" xfId="8064"/>
    <cellStyle name="_테코스2001반기조서_테코스(2001_반기검토)_테코스(2001_기말감사)_2001_FS_법인세비용 반영전_2002_반기검토-삼건베리클" xfId="8065"/>
    <cellStyle name="_테코스2001반기조서_테코스(2001_반기검토)_테코스(2001_기말감사)_2001_FS_법인세비용 반영전_삼건베리클-2002년반기-정준형" xfId="8066"/>
    <cellStyle name="_테코스2001반기조서_테코스(2001_반기검토)_테코스(2001_기말감사)_2001_FS_법인세비용 반영전_서원양행-2002 FS - 양애리" xfId="8067"/>
    <cellStyle name="_테코스2001반기조서_테코스(2001_반기검토)_테코스(2001_기말감사)_서원양행-2002 FS - 양애리" xfId="8068"/>
    <cellStyle name="_테코스2001반기조서_테코스(2001_반기검토)_테코스(2001_기말감사)_테코스_2001_기말" xfId="8069"/>
    <cellStyle name="_테코스2001반기조서_테코스(2001_반기검토)_테코스(2001_기말감사)_테코스_2001_기말_2001_FS_법인세비용 반영전" xfId="8070"/>
    <cellStyle name="_테코스2001반기조서_테코스(2001_반기검토)_테코스(2001_기말감사)_테코스_2001_기말_2001_FS_법인세비용 반영전_2002_반기검토-삼건베리클" xfId="8071"/>
    <cellStyle name="_테코스2001반기조서_테코스(2001_반기검토)_테코스(2001_기말감사)_테코스_2001_기말_2001_FS_법인세비용 반영전_삼건베리클-2002년반기-정준형" xfId="8072"/>
    <cellStyle name="_테코스2001반기조서_테코스(2001_반기검토)_테코스(2001_기말감사)_테코스_2001_기말_2001_FS_법인세비용 반영전_서원양행-2002 FS - 양애리" xfId="8073"/>
    <cellStyle name="_테코스2001반기조서_테코스(2001_반기검토)_테코스(2001_기말감사)_테코스_2001_기말_서원양행-2002 FS - 양애리" xfId="8074"/>
    <cellStyle name="_테코스2001반기조서_테코스(2001_반기검토)_페타 Leadschedule2001-final" xfId="8075"/>
    <cellStyle name="_테코스2001반기조서_테코스_2001_기말" xfId="8076"/>
    <cellStyle name="_테코스2001반기조서_테코스_2001_기말_2001_FS_법인세비용 반영전" xfId="8077"/>
    <cellStyle name="_테코스2001반기조서_테코스_2001_기말_2001_FS_법인세비용 반영전_2002_반기검토-삼건베리클" xfId="8078"/>
    <cellStyle name="_테코스2001반기조서_테코스_2001_기말_2001_FS_법인세비용 반영전_삼건베리클-2002년반기-정준형" xfId="8079"/>
    <cellStyle name="_테코스2001반기조서_테코스_2001_기말_2001_FS_법인세비용 반영전_서원양행-2002 FS - 양애리" xfId="8080"/>
    <cellStyle name="_테코스2001반기조서_테코스_2001_기말_서원양행-2002 FS - 양애리" xfId="8081"/>
    <cellStyle name="_테코스2001반기조서_페타 Leadschedule2001-final" xfId="8082"/>
    <cellStyle name="_테코스조서" xfId="8083"/>
    <cellStyle name="_테코스조서_서원양행-2002 FS - 양애리" xfId="8084"/>
    <cellStyle name="_토공및흙막이공사" xfId="8085"/>
    <cellStyle name="_토목-정주" xfId="8086"/>
    <cellStyle name="_통합총무팀업무분장" xfId="8087"/>
    <cellStyle name="_통화옵션업체성향분석(090331)" xfId="8088"/>
    <cellStyle name="_퇴직급여충당금" xfId="8089"/>
    <cellStyle name="_퇴충조서" xfId="20480"/>
    <cellStyle name="_투자비1" xfId="20481"/>
    <cellStyle name="_투자비1_1" xfId="20482"/>
    <cellStyle name="_투팔양식" xfId="8090"/>
    <cellStyle name="_팀공통양식" xfId="8091"/>
    <cellStyle name="_파생 현금흐름표(최종)" xfId="27598"/>
    <cellStyle name="_파생 현금흐름표(최종)_파생상품요청양식(080211)(1)_최종" xfId="27599"/>
    <cellStyle name="_파생상품" xfId="27600"/>
    <cellStyle name="_파생상품관련충당금파일0904_v2(완료)" xfId="8092"/>
    <cellStyle name="_파생상품요청양식" xfId="27601"/>
    <cellStyle name="_파생상품요청양식_파생 현금흐름표(최종)" xfId="27602"/>
    <cellStyle name="_파생상품요청양식_파생 현금흐름표(최종)_파생상품요청양식(080211)(1)_최종" xfId="27603"/>
    <cellStyle name="_파주출판물개략완료" xfId="8093"/>
    <cellStyle name="_파주출판물개략완료Ⅲ" xfId="8094"/>
    <cellStyle name="_파키스탄 TE사" xfId="8095"/>
    <cellStyle name="_판관,제조경비" xfId="770"/>
    <cellStyle name="_판관,제조경비 2" xfId="8096"/>
    <cellStyle name="_판관,제조경비 3" xfId="8097"/>
    <cellStyle name="_판관비 LS" xfId="771"/>
    <cellStyle name="_판관비 LS 2" xfId="8098"/>
    <cellStyle name="_판관비 LS 3" xfId="8099"/>
    <cellStyle name="_팩스교신" xfId="8100"/>
    <cellStyle name="_페타 Leadschedule2001(1)" xfId="8101"/>
    <cellStyle name="_페타 Leadschedule2001(1)_페타 Leadschedule2001-final" xfId="8102"/>
    <cellStyle name="_페타 Leadschedule2001(영중)" xfId="8103"/>
    <cellStyle name="_페타 Leadschedule2001(영중)_페타 Leadschedule2001-final" xfId="8104"/>
    <cellStyle name="_페타 Leadschedule2001-final" xfId="8105"/>
    <cellStyle name="_페타 Leadschedule2001-최종" xfId="8106"/>
    <cellStyle name="_페타 Leadschedule2001-최종_페타 Leadschedule2001-final" xfId="8107"/>
    <cellStyle name="_페타_Leadschedule2001" xfId="8108"/>
    <cellStyle name="_평가_SAC2009_3Q_0828" xfId="772"/>
    <cellStyle name="_평가_SAC2009_3Q_0828 2" xfId="773"/>
    <cellStyle name="_평가_SAC2009_3Q_0828 3" xfId="774"/>
    <cellStyle name="_평가_SAC2009_3Q_0828_Project O_Valuation_v7.0" xfId="775"/>
    <cellStyle name="_평가_SAC2009_3Q_0828_Project O2_Valuation_v1.3" xfId="776"/>
    <cellStyle name="_평가_SAC2009_3Q_0828_WR Bank 2010 1Q 공담분석_0221" xfId="777"/>
    <cellStyle name="_평가_SAC2009_3Q_0828_WR Bank 2010 1Q 유덕현(0212)" xfId="778"/>
    <cellStyle name="_평가_SAC2009_3Q_0828_WR Bank 2010 1Q 지석 취합자료(0217)" xfId="779"/>
    <cellStyle name="_평당공사비(05.26)" xfId="8109"/>
    <cellStyle name="_품의파일" xfId="780"/>
    <cellStyle name="_품의파일 2" xfId="8110"/>
    <cellStyle name="_품의파일 3" xfId="8111"/>
    <cellStyle name="_하나로정보센터 견적(각층별 최종)" xfId="8112"/>
    <cellStyle name="-_한국유업-03(LHY)" xfId="20483"/>
    <cellStyle name="-_한국유업-03(LHY) 2" xfId="20484"/>
    <cellStyle name="-_한국유업-03(LHY) 2 2" xfId="20485"/>
    <cellStyle name="-_한국유업-03(LHY) 3" xfId="20486"/>
    <cellStyle name="-_한국유업-03(LHY)_매직산업(03기말-LHY)" xfId="20487"/>
    <cellStyle name="-_한국유업-03(LHY)_매직산업(03기말-LHY) 2" xfId="20488"/>
    <cellStyle name="-_한국유업-03(LHY)_매직산업(03기말-LHY) 2 2" xfId="20489"/>
    <cellStyle name="-_한국유업-03(LHY)_매직산업(03기말-LHY) 3" xfId="20490"/>
    <cellStyle name="_한국은행공동숙소관수설비공사0820" xfId="8113"/>
    <cellStyle name="_한국은행공동숙소수경시설공사0820" xfId="8114"/>
    <cellStyle name="_한남동리첸시아(수량)" xfId="8115"/>
    <cellStyle name="_한일도요-2001FS(최종)" xfId="20491"/>
    <cellStyle name="_합계(2기예정) (2)" xfId="20492"/>
    <cellStyle name="_해외출장시 선지급관련" xfId="8116"/>
    <cellStyle name="_현금흐름표" xfId="20493"/>
    <cellStyle name="_현금흐름표(최종)­_외화환산적용" xfId="20494"/>
    <cellStyle name="_현금흐름표(트레인)" xfId="20495"/>
    <cellStyle name="_현담정산표2003" xfId="20496"/>
    <cellStyle name="_현대 제출 중국사업보고 손익" xfId="8117"/>
    <cellStyle name="_현대제출보고서(0508제출)" xfId="8118"/>
    <cellStyle name="_현대카드_양식(품의서,협조전)" xfId="8119"/>
    <cellStyle name="_현장완료" xfId="8120"/>
    <cellStyle name="_현황(보고용)" xfId="8121"/>
    <cellStyle name="_홍민기SW_미수수익" xfId="27604"/>
    <cellStyle name="_홍민기SW_미수수익_결산" xfId="27605"/>
    <cellStyle name="_홍민기SW_양수도대금미수수익" xfId="27606"/>
    <cellStyle name="_화성동탄(TK자료)-주택기획팀" xfId="8122"/>
    <cellStyle name="_확정방안" xfId="20497"/>
    <cellStyle name="_확정재무제표" xfId="20498"/>
    <cellStyle name="_황금에스티19기CF(20040217)" xfId="8123"/>
    <cellStyle name="_황제의 실행0623최종결재용" xfId="8124"/>
    <cellStyle name="_회계감사-삼건베리컬" xfId="8125"/>
    <cellStyle name="_회계감사-삼건베리컬_서원양행-2002 FS - 양애리" xfId="8126"/>
    <cellStyle name="_회계감사-삼건베리클" xfId="8127"/>
    <cellStyle name="_회계감사-삼건베리클_서원양행-2002 FS - 양애리" xfId="8128"/>
    <cellStyle name="_회계감사-삼건베리클1" xfId="8129"/>
    <cellStyle name="_회계사제출자료_20030930" xfId="20499"/>
    <cellStyle name="_회사제시재무제표-정산표" xfId="20500"/>
    <cellStyle name="_회생-양정부(계속기업가치)-KHW(08.12.26)" xfId="8130"/>
    <cellStyle name="_회의보고" xfId="8131"/>
    <cellStyle name="_회의보고1" xfId="8132"/>
    <cellStyle name="_회장님일정" xfId="20501"/>
    <cellStyle name="`|" xfId="20502"/>
    <cellStyle name="¡¾¨u￠￢ⓒ÷A¨u," xfId="8133"/>
    <cellStyle name="’E‰Y [0.00]_laroux" xfId="781"/>
    <cellStyle name="’E‰Y_laroux" xfId="782"/>
    <cellStyle name="–¢’è‹`" xfId="8134"/>
    <cellStyle name="£ BP" xfId="20503"/>
    <cellStyle name="￡Currency [0]" xfId="8135"/>
    <cellStyle name="￡Currency [1]" xfId="8136"/>
    <cellStyle name="￡Currency [2]" xfId="8137"/>
    <cellStyle name="￡Currency [p]" xfId="8138"/>
    <cellStyle name="￡Currency [p2]" xfId="8139"/>
    <cellStyle name="￡Pounds" xfId="8140"/>
    <cellStyle name="¤@?e_laroux" xfId="20504"/>
    <cellStyle name="¤@¯ë_laroux" xfId="20505"/>
    <cellStyle name="¤d¤A|i[0]_laroux" xfId="20506"/>
    <cellStyle name="¤d¤A|i_laroux" xfId="20507"/>
    <cellStyle name="¤d¤À¦ì[0]_laroux" xfId="20508"/>
    <cellStyle name="¤d¤À¦ì_laroux" xfId="20509"/>
    <cellStyle name="¥ JY" xfId="20510"/>
    <cellStyle name="=C:\WINDOWS\SYSTEM32\COMMAND.COM" xfId="8141"/>
    <cellStyle name="=today()" xfId="8142"/>
    <cellStyle name="±a°e" xfId="8143"/>
    <cellStyle name="⥜준_제강원가최종_1" xfId="8144"/>
    <cellStyle name="△백분율" xfId="8145"/>
    <cellStyle name="△콤마" xfId="8146"/>
    <cellStyle name="°ia¤¼o " xfId="8147"/>
    <cellStyle name="°ia¤aa " xfId="8148"/>
    <cellStyle name="°iA¤Aa·A2_10¿u2WA¸ºI " xfId="8149"/>
    <cellStyle name="°ßAu" xfId="8150"/>
    <cellStyle name="µÚ¿¡ ¿À´Â ÇÏÀÌÆÛ¸µÅ©" xfId="20511"/>
    <cellStyle name="•W_Book3" xfId="8151"/>
    <cellStyle name="æøè [0.00" xfId="783"/>
    <cellStyle name="æøè [0.00 2" xfId="20512"/>
    <cellStyle name="æØè [0.00]_PRODUCT DETAIL Q1" xfId="784"/>
    <cellStyle name="æøè [0.00_2. 은행분담금 추정 (20090930기준)_작업_2" xfId="785"/>
    <cellStyle name="æøè_produ" xfId="786"/>
    <cellStyle name="êý [0.00]_pr" xfId="787"/>
    <cellStyle name="êý_product d" xfId="788"/>
    <cellStyle name="W?_BOOKSHIP" xfId="789"/>
    <cellStyle name="W_BOOKSHIP" xfId="790"/>
    <cellStyle name="0" xfId="791"/>
    <cellStyle name="0,0_x000d__x000a_NA_x000d__x000a_" xfId="8152"/>
    <cellStyle name="0,0_x000d__x000a_NA_x000d__x000a_ 2" xfId="20513"/>
    <cellStyle name="0,0_x000d__x000a_NA_x000d__x000a_ 3" xfId="20514"/>
    <cellStyle name="0,0_x000d__x000a_NA_x000d__x000a_ 4" xfId="20515"/>
    <cellStyle name="0.0" xfId="8153"/>
    <cellStyle name="0.0 2" xfId="20516"/>
    <cellStyle name="0.0 3" xfId="28639"/>
    <cellStyle name="0.00" xfId="8154"/>
    <cellStyle name="0.00 2" xfId="28640"/>
    <cellStyle name="0_A  4 WFS 1Q_20100517" xfId="20517"/>
    <cellStyle name="0_Africa A &amp; C Package Q2 FY03" xfId="20518"/>
    <cellStyle name="0_Hana 2011-1 Program_Data Disk_Pool B_v2(v5-1더밸류-이교민)" xfId="8155"/>
    <cellStyle name="0_Hana 2011-1 Program_Data Disk_Pool B_v2(v5-1더밸류-이교민)_SHB 2011-2 Program_Data Disk_Pool C,B_v1(v2더밸류_이교민)" xfId="8156"/>
    <cellStyle name="0_Hana 2011-1 Program_Data Disk_Pool B_v2(v5-1더밸류-이교민)_차주명관리_20110726_v1" xfId="8157"/>
    <cellStyle name="0_SHB_2011-3_담보sheet(더밸류_v6이교민)" xfId="8158"/>
    <cellStyle name="0_SHB_2011-3_담보sheet(더밸류_v6이교민)_차주명관리_20110726_v1" xfId="8159"/>
    <cellStyle name="0_wp1221(최영붕)" xfId="20519"/>
    <cellStyle name="0_권리분석" xfId="8160"/>
    <cellStyle name="0_권리분석_v1(최초)-4" xfId="8161"/>
    <cellStyle name="0_재무지원부충당금" xfId="792"/>
    <cellStyle name="0_재무지원부충당금_1" xfId="793"/>
    <cellStyle name="0_재무지원부충당금_1_Hana 2011-1 Program_Data Disk_Pool B_v2(v5-1더밸류-이교민)" xfId="8162"/>
    <cellStyle name="0_재무지원부충당금_1_Hana 2011-1 Program_Data Disk_Pool B_v2(v5-1더밸류-이교민)_SHB 2011-2 Program_Data Disk_Pool C,B_v1(v2더밸류_이교민)" xfId="8163"/>
    <cellStyle name="0_재무지원부충당금_1_Hana 2011-1 Program_Data Disk_Pool B_v2(v5-1더밸류-이교민)_차주명관리_20110726_v1" xfId="8164"/>
    <cellStyle name="0_재무지원부충당금_1_SHB_2011-3_담보sheet(더밸류_v6이교민)" xfId="8165"/>
    <cellStyle name="0_재무지원부충당금_1_SHB_2011-3_담보sheet(더밸류_v6이교민)_차주명관리_20110726_v1" xfId="8166"/>
    <cellStyle name="0_재무지원부충당금_1_권리분석_v1(최초)-4" xfId="8167"/>
    <cellStyle name="0_재무지원부충당금_1_예외적립품의_0910(완료)" xfId="794"/>
    <cellStyle name="0_재무지원부충당금_1_예외적립품의_0910(완료)_Hana 2011-1 Program_Data Disk_Pool B_v2(v5-1더밸류-이교민)" xfId="8168"/>
    <cellStyle name="0_재무지원부충당금_1_예외적립품의_0910(완료)_Hana 2011-1 Program_Data Disk_Pool B_v2(v5-1더밸류-이교민)_SHB 2011-2 Program_Data Disk_Pool C,B_v1(v2더밸류_이교민)" xfId="8169"/>
    <cellStyle name="0_재무지원부충당금_1_예외적립품의_0910(완료)_Hana 2011-1 Program_Data Disk_Pool B_v2(v5-1더밸류-이교민)_차주명관리_20110726_v1" xfId="8170"/>
    <cellStyle name="0_재무지원부충당금_1_예외적립품의_0910(완료)_SHB_2011-3_담보sheet(더밸류_v6이교민)" xfId="8171"/>
    <cellStyle name="0_재무지원부충당금_1_예외적립품의_0910(완료)_SHB_2011-3_담보sheet(더밸류_v6이교민)_차주명관리_20110726_v1" xfId="8172"/>
    <cellStyle name="0_재무지원부충당금_1_예외적립품의_0910(완료)_권리분석_v1(최초)-4" xfId="8173"/>
    <cellStyle name="0_재무지원부충당금_1_추가적립업체명세(완료)V_3황동인대리님" xfId="795"/>
    <cellStyle name="0_재무지원부충당금_1_추가적립업체명세(완료)V_3황동인대리님_Hana 2011-1 Program_Data Disk_Pool B_v2(v5-1더밸류-이교민)" xfId="8174"/>
    <cellStyle name="0_재무지원부충당금_1_추가적립업체명세(완료)V_3황동인대리님_Hana 2011-1 Program_Data Disk_Pool B_v2(v5-1더밸류-이교민)_SHB 2011-2 Program_Data Disk_Pool C,B_v1(v2더밸류_이교민)" xfId="8175"/>
    <cellStyle name="0_재무지원부충당금_1_추가적립업체명세(완료)V_3황동인대리님_Hana 2011-1 Program_Data Disk_Pool B_v2(v5-1더밸류-이교민)_차주명관리_20110726_v1" xfId="8176"/>
    <cellStyle name="0_재무지원부충당금_1_추가적립업체명세(완료)V_3황동인대리님_SHB_2011-3_담보sheet(더밸류_v6이교민)" xfId="8177"/>
    <cellStyle name="0_재무지원부충당금_1_추가적립업체명세(완료)V_3황동인대리님_SHB_2011-3_담보sheet(더밸류_v6이교민)_차주명관리_20110726_v1" xfId="8178"/>
    <cellStyle name="0_재무지원부충당금_1_추가적립업체명세(완료)V_3황동인대리님_권리분석_v1(최초)-4" xfId="8179"/>
    <cellStyle name="0_재무지원부충당금_Hana 2011-1 Program_Data Disk_Pool B_v2(v5-1더밸류-이교민)" xfId="8180"/>
    <cellStyle name="0_재무지원부충당금_Hana 2011-1 Program_Data Disk_Pool B_v2(v5-1더밸류-이교민)_SHB 2011-2 Program_Data Disk_Pool C,B_v1(v2더밸류_이교민)" xfId="8181"/>
    <cellStyle name="0_재무지원부충당금_Hana 2011-1 Program_Data Disk_Pool B_v2(v5-1더밸류-이교민)_차주명관리_20110726_v1" xfId="8182"/>
    <cellStyle name="0_재무지원부충당금_SHB_2011-3_담보sheet(더밸류_v6이교민)" xfId="8183"/>
    <cellStyle name="0_재무지원부충당금_SHB_2011-3_담보sheet(더밸류_v6이교민)_차주명관리_20110726_v1" xfId="8184"/>
    <cellStyle name="0_재무지원부충당금_권리분석_v1(최초)-4" xfId="8185"/>
    <cellStyle name="0_추가충당금명세_0630_V3" xfId="796"/>
    <cellStyle name="0_추가충당금명세_0630_V3_Hana 2011-1 Program_Data Disk_Pool B_v2(v5-1더밸류-이교민)" xfId="8186"/>
    <cellStyle name="0_추가충당금명세_0630_V3_Hana 2011-1 Program_Data Disk_Pool B_v2(v5-1더밸류-이교민)_SHB 2011-2 Program_Data Disk_Pool C,B_v1(v2더밸류_이교민)" xfId="8187"/>
    <cellStyle name="0_추가충당금명세_0630_V3_Hana 2011-1 Program_Data Disk_Pool B_v2(v5-1더밸류-이교민)_차주명관리_20110726_v1" xfId="8188"/>
    <cellStyle name="0_추가충당금명세_0630_V3_SHB_2011-3_담보sheet(더밸류_v6이교민)" xfId="8189"/>
    <cellStyle name="0_추가충당금명세_0630_V3_SHB_2011-3_담보sheet(더밸류_v6이교민)_차주명관리_20110726_v1" xfId="8190"/>
    <cellStyle name="0_추가충당금명세_0630_V3_권리분석_v1(최초)-4" xfId="8191"/>
    <cellStyle name="0뾍R_x0005_?뾍b_x0005_" xfId="8192"/>
    <cellStyle name="1" xfId="8193"/>
    <cellStyle name="1 000 Kc_laroux" xfId="20520"/>
    <cellStyle name="1 000 Ke_laroux" xfId="20521"/>
    <cellStyle name="1 2" xfId="20522"/>
    <cellStyle name="1 2 2" xfId="30771"/>
    <cellStyle name="1 3" xfId="20523"/>
    <cellStyle name="1 3 2" xfId="30772"/>
    <cellStyle name="1." xfId="8194"/>
    <cellStyle name="¹?ºð?²" xfId="797"/>
    <cellStyle name="1_laroux" xfId="8195"/>
    <cellStyle name="1_laroux_ATC-YOON1" xfId="8196"/>
    <cellStyle name="1_단가조사표" xfId="8197"/>
    <cellStyle name="1_단가조사표_1011소각" xfId="8198"/>
    <cellStyle name="1_단가조사표_1113교~1" xfId="8199"/>
    <cellStyle name="1_단가조사표_121내역" xfId="8200"/>
    <cellStyle name="1_단가조사표_객토량" xfId="8201"/>
    <cellStyle name="1_단가조사표_교통센~1" xfId="8202"/>
    <cellStyle name="1_단가조사표_교통센터412" xfId="8203"/>
    <cellStyle name="1_단가조사표_교통수" xfId="8204"/>
    <cellStyle name="1_단가조사표_교통수량산출서" xfId="8205"/>
    <cellStyle name="1_단가조사표_구조물대가 (2)" xfId="8206"/>
    <cellStyle name="1_단가조사표_내역서 (2)" xfId="8207"/>
    <cellStyle name="1_단가조사표_대전관저지구" xfId="8208"/>
    <cellStyle name="1_단가조사표_동측지~1" xfId="8209"/>
    <cellStyle name="1_단가조사표_동측지원422" xfId="8210"/>
    <cellStyle name="1_단가조사표_동측지원512" xfId="8211"/>
    <cellStyle name="1_단가조사표_동측지원524" xfId="8212"/>
    <cellStyle name="1_단가조사표_부대422" xfId="8213"/>
    <cellStyle name="1_단가조사표_부대시설" xfId="8214"/>
    <cellStyle name="1_단가조사표_소각수~1" xfId="8215"/>
    <cellStyle name="1_단가조사표_소각수내역서" xfId="8216"/>
    <cellStyle name="1_단가조사표_소각수목2" xfId="8217"/>
    <cellStyle name="1_단가조사표_수량산출서 (2)" xfId="8218"/>
    <cellStyle name="1_단가조사표_엑스포~1" xfId="8219"/>
    <cellStyle name="1_단가조사표_엑스포한빛1" xfId="8220"/>
    <cellStyle name="1_단가조사표_여객터미널331" xfId="8221"/>
    <cellStyle name="1_단가조사표_여객터미널513" xfId="8222"/>
    <cellStyle name="1_단가조사표_여객터미널629" xfId="8223"/>
    <cellStyle name="1_단가조사표_외곽도로616" xfId="8224"/>
    <cellStyle name="1_단가조사표_용인죽전수량" xfId="8225"/>
    <cellStyle name="1_단가조사표_원가계~1" xfId="8226"/>
    <cellStyle name="1_단가조사표_유기질" xfId="8227"/>
    <cellStyle name="1_단가조사표_자재조서 (2)" xfId="8228"/>
    <cellStyle name="1_단가조사표_총괄내역" xfId="8229"/>
    <cellStyle name="1_단가조사표_총괄내역 (2)" xfId="8230"/>
    <cellStyle name="1_단가조사표_터미널도로403" xfId="8231"/>
    <cellStyle name="1_단가조사표_터미널도로429" xfId="8232"/>
    <cellStyle name="1_단가조사표_포장일위" xfId="8233"/>
    <cellStyle name="10" xfId="8234"/>
    <cellStyle name="100" xfId="8235"/>
    <cellStyle name="12" xfId="20524"/>
    <cellStyle name="120" xfId="8236"/>
    <cellStyle name="123" xfId="798"/>
    <cellStyle name="16" xfId="20525"/>
    <cellStyle name="19990216" xfId="799"/>
    <cellStyle name="19990216 2" xfId="8237"/>
    <cellStyle name="19990216 3" xfId="8238"/>
    <cellStyle name="¹e" xfId="8239"/>
    <cellStyle name="¹éºðà²" xfId="800"/>
    <cellStyle name="¹éºðà² 2" xfId="20526"/>
    <cellStyle name="¹eºÐA²_±aA¸" xfId="8240"/>
    <cellStyle name="1월" xfId="8241"/>
    <cellStyle name="1월당월 (2)_1월" xfId="8242"/>
    <cellStyle name="2" xfId="8243"/>
    <cellStyle name="2)" xfId="8244"/>
    <cellStyle name="2_laroux" xfId="8245"/>
    <cellStyle name="2_laroux_ATC-YOON1" xfId="8246"/>
    <cellStyle name="2_단가조사표" xfId="8247"/>
    <cellStyle name="2_단가조사표_1011소각" xfId="8248"/>
    <cellStyle name="2_단가조사표_1113교~1" xfId="8249"/>
    <cellStyle name="2_단가조사표_121내역" xfId="8250"/>
    <cellStyle name="2_단가조사표_객토량" xfId="8251"/>
    <cellStyle name="2_단가조사표_교통센~1" xfId="8252"/>
    <cellStyle name="2_단가조사표_교통센터412" xfId="8253"/>
    <cellStyle name="2_단가조사표_교통수" xfId="8254"/>
    <cellStyle name="2_단가조사표_교통수량산출서" xfId="8255"/>
    <cellStyle name="2_단가조사표_구조물대가 (2)" xfId="8256"/>
    <cellStyle name="2_단가조사표_내역서 (2)" xfId="8257"/>
    <cellStyle name="2_단가조사표_대전관저지구" xfId="8258"/>
    <cellStyle name="2_단가조사표_동측지~1" xfId="8259"/>
    <cellStyle name="2_단가조사표_동측지원422" xfId="8260"/>
    <cellStyle name="2_단가조사표_동측지원512" xfId="8261"/>
    <cellStyle name="2_단가조사표_동측지원524" xfId="8262"/>
    <cellStyle name="2_단가조사표_부대422" xfId="8263"/>
    <cellStyle name="2_단가조사표_부대시설" xfId="8264"/>
    <cellStyle name="2_단가조사표_소각수~1" xfId="8265"/>
    <cellStyle name="2_단가조사표_소각수내역서" xfId="8266"/>
    <cellStyle name="2_단가조사표_소각수목2" xfId="8267"/>
    <cellStyle name="2_단가조사표_수량산출서 (2)" xfId="8268"/>
    <cellStyle name="2_단가조사표_엑스포~1" xfId="8269"/>
    <cellStyle name="2_단가조사표_엑스포한빛1" xfId="8270"/>
    <cellStyle name="2_단가조사표_여객터미널331" xfId="8271"/>
    <cellStyle name="2_단가조사표_여객터미널513" xfId="8272"/>
    <cellStyle name="2_단가조사표_여객터미널629" xfId="8273"/>
    <cellStyle name="2_단가조사표_외곽도로616" xfId="8274"/>
    <cellStyle name="2_단가조사표_용인죽전수량" xfId="8275"/>
    <cellStyle name="2_단가조사표_원가계~1" xfId="8276"/>
    <cellStyle name="2_단가조사표_유기질" xfId="8277"/>
    <cellStyle name="2_단가조사표_자재조서 (2)" xfId="8278"/>
    <cellStyle name="2_단가조사표_총괄내역" xfId="8279"/>
    <cellStyle name="2_단가조사표_총괄내역 (2)" xfId="8280"/>
    <cellStyle name="2_단가조사표_터미널도로403" xfId="8281"/>
    <cellStyle name="2_단가조사표_터미널도로429" xfId="8282"/>
    <cellStyle name="2_단가조사표_포장일위" xfId="8283"/>
    <cellStyle name="20% - Accent1" xfId="801"/>
    <cellStyle name="20% - Accent1 2" xfId="802"/>
    <cellStyle name="20% - Accent1 2 2" xfId="803"/>
    <cellStyle name="20% - Accent1 2 2 2" xfId="804"/>
    <cellStyle name="20% - Accent1 2 2 3" xfId="805"/>
    <cellStyle name="20% - Accent1 2 3" xfId="806"/>
    <cellStyle name="20% - Accent1 2 4" xfId="807"/>
    <cellStyle name="20% - Accent1 3" xfId="808"/>
    <cellStyle name="20% - Accent1 4" xfId="809"/>
    <cellStyle name="20% - Accent1 5" xfId="810"/>
    <cellStyle name="20% - Accent1 6" xfId="811"/>
    <cellStyle name="20% - Accent1_2011-3차 매각 작업(실사팀 송부용)_0712" xfId="8284"/>
    <cellStyle name="20% - Accent2" xfId="812"/>
    <cellStyle name="20% - Accent2 2" xfId="813"/>
    <cellStyle name="20% - Accent2 2 2" xfId="814"/>
    <cellStyle name="20% - Accent2 2 2 2" xfId="815"/>
    <cellStyle name="20% - Accent2 2 2 3" xfId="816"/>
    <cellStyle name="20% - Accent2 2 3" xfId="817"/>
    <cellStyle name="20% - Accent2 2 4" xfId="818"/>
    <cellStyle name="20% - Accent2 3" xfId="819"/>
    <cellStyle name="20% - Accent2 4" xfId="820"/>
    <cellStyle name="20% - Accent2 5" xfId="821"/>
    <cellStyle name="20% - Accent2 6" xfId="822"/>
    <cellStyle name="20% - Accent2_2011-3차 매각 작업(실사팀 송부용)_0712" xfId="8285"/>
    <cellStyle name="20% - Accent3" xfId="823"/>
    <cellStyle name="20% - Accent3 2" xfId="824"/>
    <cellStyle name="20% - Accent3 2 2" xfId="825"/>
    <cellStyle name="20% - Accent3 2 2 2" xfId="826"/>
    <cellStyle name="20% - Accent3 2 2 3" xfId="827"/>
    <cellStyle name="20% - Accent3 2 3" xfId="828"/>
    <cellStyle name="20% - Accent3 2 4" xfId="829"/>
    <cellStyle name="20% - Accent3 3" xfId="830"/>
    <cellStyle name="20% - Accent3 4" xfId="831"/>
    <cellStyle name="20% - Accent3 5" xfId="832"/>
    <cellStyle name="20% - Accent3 6" xfId="833"/>
    <cellStyle name="20% - Accent3_2011-3차 매각 작업(실사팀 송부용)_0712" xfId="8286"/>
    <cellStyle name="20% - Accent4" xfId="834"/>
    <cellStyle name="20% - Accent4 2" xfId="835"/>
    <cellStyle name="20% - Accent4 2 2" xfId="836"/>
    <cellStyle name="20% - Accent4 2 2 2" xfId="837"/>
    <cellStyle name="20% - Accent4 2 2 3" xfId="838"/>
    <cellStyle name="20% - Accent4 2 3" xfId="839"/>
    <cellStyle name="20% - Accent4 2 4" xfId="840"/>
    <cellStyle name="20% - Accent4 3" xfId="841"/>
    <cellStyle name="20% - Accent4 4" xfId="842"/>
    <cellStyle name="20% - Accent4 5" xfId="843"/>
    <cellStyle name="20% - Accent4 6" xfId="844"/>
    <cellStyle name="20% - Accent4_2011-3차 매각 작업(실사팀 송부용)_0712" xfId="8287"/>
    <cellStyle name="20% - Accent5" xfId="845"/>
    <cellStyle name="20% - Accent5 2" xfId="846"/>
    <cellStyle name="20% - Accent5 2 2" xfId="847"/>
    <cellStyle name="20% - Accent5 2 2 2" xfId="848"/>
    <cellStyle name="20% - Accent5 2 2 3" xfId="849"/>
    <cellStyle name="20% - Accent5 2 3" xfId="850"/>
    <cellStyle name="20% - Accent5 2 4" xfId="851"/>
    <cellStyle name="20% - Accent5 3" xfId="852"/>
    <cellStyle name="20% - Accent5 4" xfId="853"/>
    <cellStyle name="20% - Accent5 5" xfId="854"/>
    <cellStyle name="20% - Accent5 6" xfId="855"/>
    <cellStyle name="20% - Accent5_2011-3차 매각 작업(실사팀 송부용)_0712" xfId="8288"/>
    <cellStyle name="20% - Accent6" xfId="856"/>
    <cellStyle name="20% - Accent6 2" xfId="857"/>
    <cellStyle name="20% - Accent6 2 2" xfId="858"/>
    <cellStyle name="20% - Accent6 2 2 2" xfId="859"/>
    <cellStyle name="20% - Accent6 2 2 3" xfId="860"/>
    <cellStyle name="20% - Accent6 2 3" xfId="861"/>
    <cellStyle name="20% - Accent6 2 4" xfId="862"/>
    <cellStyle name="20% - Accent6 3" xfId="863"/>
    <cellStyle name="20% - Accent6 4" xfId="864"/>
    <cellStyle name="20% - Accent6 5" xfId="865"/>
    <cellStyle name="20% - Accent6 6" xfId="866"/>
    <cellStyle name="20% - Accent6_2011-3차 매각 작업(실사팀 송부용)_0712" xfId="8289"/>
    <cellStyle name="20% - 强调文字颜色 1" xfId="20527"/>
    <cellStyle name="20% - 强调文字颜色 2" xfId="20528"/>
    <cellStyle name="20% - 强调文字颜色 3" xfId="20529"/>
    <cellStyle name="20% - 强调文字颜色 4" xfId="20530"/>
    <cellStyle name="20% - 强调文字颜色 5" xfId="20531"/>
    <cellStyle name="20% - 强调文字颜色 6" xfId="20532"/>
    <cellStyle name="20% - 강조색1 10" xfId="8290"/>
    <cellStyle name="20% - 강조색1 11" xfId="8291"/>
    <cellStyle name="20% - 강조색1 12" xfId="8292"/>
    <cellStyle name="20% - 강조색1 13" xfId="8293"/>
    <cellStyle name="20% - 강조색1 13 2" xfId="8294"/>
    <cellStyle name="20% - 강조색1 14" xfId="8295"/>
    <cellStyle name="20% - 강조색1 14 2" xfId="8296"/>
    <cellStyle name="20% - 강조색1 15" xfId="20533"/>
    <cellStyle name="20% - 강조색1 16" xfId="20534"/>
    <cellStyle name="20% - 강조색1 17" xfId="20535"/>
    <cellStyle name="20% - 강조색1 18" xfId="20536"/>
    <cellStyle name="20% - 강조색1 18 2" xfId="20537"/>
    <cellStyle name="20% - 강조색1 19" xfId="20538"/>
    <cellStyle name="20% - 강조색1 19 2" xfId="20539"/>
    <cellStyle name="20% - 강조색1 2" xfId="867"/>
    <cellStyle name="20% - 강조색1 2 10" xfId="8297"/>
    <cellStyle name="20% - 강조색1 2 11" xfId="8298"/>
    <cellStyle name="20% - 강조색1 2 12" xfId="8299"/>
    <cellStyle name="20% - 강조색1 2 13" xfId="8300"/>
    <cellStyle name="20% - 강조색1 2 14" xfId="8301"/>
    <cellStyle name="20% - 강조색1 2 15" xfId="8302"/>
    <cellStyle name="20% - 강조색1 2 16" xfId="8303"/>
    <cellStyle name="20% - 강조색1 2 17" xfId="8304"/>
    <cellStyle name="20% - 강조색1 2 18" xfId="8305"/>
    <cellStyle name="20% - 강조색1 2 19" xfId="8306"/>
    <cellStyle name="20% - 강조색1 2 2" xfId="868"/>
    <cellStyle name="20% - 강조색1 2 2 10" xfId="8307"/>
    <cellStyle name="20% - 강조색1 2 2 11" xfId="8308"/>
    <cellStyle name="20% - 강조색1 2 2 12" xfId="8309"/>
    <cellStyle name="20% - 강조색1 2 2 13" xfId="8310"/>
    <cellStyle name="20% - 강조색1 2 2 14" xfId="8311"/>
    <cellStyle name="20% - 강조색1 2 2 15" xfId="8312"/>
    <cellStyle name="20% - 강조색1 2 2 16" xfId="8313"/>
    <cellStyle name="20% - 강조색1 2 2 17" xfId="8314"/>
    <cellStyle name="20% - 강조색1 2 2 18" xfId="8315"/>
    <cellStyle name="20% - 강조색1 2 2 19" xfId="8316"/>
    <cellStyle name="20% - 강조색1 2 2 2" xfId="8317"/>
    <cellStyle name="20% - 강조색1 2 2 20" xfId="8318"/>
    <cellStyle name="20% - 강조색1 2 2 21" xfId="8319"/>
    <cellStyle name="20% - 강조색1 2 2 22" xfId="8320"/>
    <cellStyle name="20% - 강조색1 2 2 23" xfId="8321"/>
    <cellStyle name="20% - 강조색1 2 2 3" xfId="8322"/>
    <cellStyle name="20% - 강조색1 2 2 4" xfId="8323"/>
    <cellStyle name="20% - 강조색1 2 2 5" xfId="8324"/>
    <cellStyle name="20% - 강조색1 2 2 6" xfId="8325"/>
    <cellStyle name="20% - 강조색1 2 2 7" xfId="8326"/>
    <cellStyle name="20% - 강조색1 2 2 8" xfId="8327"/>
    <cellStyle name="20% - 강조색1 2 2 9" xfId="8328"/>
    <cellStyle name="20% - 강조색1 2 20" xfId="8329"/>
    <cellStyle name="20% - 강조색1 2 21" xfId="8330"/>
    <cellStyle name="20% - 강조색1 2 22" xfId="8331"/>
    <cellStyle name="20% - 강조색1 2 23" xfId="8332"/>
    <cellStyle name="20% - 강조색1 2 24" xfId="8333"/>
    <cellStyle name="20% - 강조색1 2 25" xfId="8334"/>
    <cellStyle name="20% - 강조색1 2 26" xfId="8335"/>
    <cellStyle name="20% - 강조색1 2 27" xfId="8336"/>
    <cellStyle name="20% - 강조색1 2 28" xfId="8337"/>
    <cellStyle name="20% - 강조색1 2 29" xfId="8338"/>
    <cellStyle name="20% - 강조색1 2 3" xfId="869"/>
    <cellStyle name="20% - 강조색1 2 3 10" xfId="8339"/>
    <cellStyle name="20% - 강조색1 2 3 11" xfId="8340"/>
    <cellStyle name="20% - 강조색1 2 3 12" xfId="8341"/>
    <cellStyle name="20% - 강조색1 2 3 13" xfId="8342"/>
    <cellStyle name="20% - 강조색1 2 3 14" xfId="8343"/>
    <cellStyle name="20% - 강조색1 2 3 15" xfId="8344"/>
    <cellStyle name="20% - 강조색1 2 3 16" xfId="8345"/>
    <cellStyle name="20% - 강조색1 2 3 17" xfId="8346"/>
    <cellStyle name="20% - 강조색1 2 3 18" xfId="8347"/>
    <cellStyle name="20% - 강조색1 2 3 19" xfId="8348"/>
    <cellStyle name="20% - 강조색1 2 3 2" xfId="8349"/>
    <cellStyle name="20% - 강조색1 2 3 20" xfId="8350"/>
    <cellStyle name="20% - 강조색1 2 3 21" xfId="8351"/>
    <cellStyle name="20% - 강조색1 2 3 3" xfId="8352"/>
    <cellStyle name="20% - 강조색1 2 3 4" xfId="8353"/>
    <cellStyle name="20% - 강조색1 2 3 5" xfId="8354"/>
    <cellStyle name="20% - 강조색1 2 3 6" xfId="8355"/>
    <cellStyle name="20% - 강조색1 2 3 7" xfId="8356"/>
    <cellStyle name="20% - 강조색1 2 3 8" xfId="8357"/>
    <cellStyle name="20% - 강조색1 2 3 9" xfId="8358"/>
    <cellStyle name="20% - 강조색1 2 30" xfId="8359"/>
    <cellStyle name="20% - 강조색1 2 31" xfId="8360"/>
    <cellStyle name="20% - 강조색1 2 4" xfId="870"/>
    <cellStyle name="20% - 강조색1 2 4 10" xfId="8361"/>
    <cellStyle name="20% - 강조색1 2 4 11" xfId="8362"/>
    <cellStyle name="20% - 강조색1 2 4 12" xfId="8363"/>
    <cellStyle name="20% - 강조색1 2 4 13" xfId="8364"/>
    <cellStyle name="20% - 강조색1 2 4 14" xfId="8365"/>
    <cellStyle name="20% - 강조색1 2 4 15" xfId="8366"/>
    <cellStyle name="20% - 강조색1 2 4 16" xfId="8367"/>
    <cellStyle name="20% - 강조색1 2 4 17" xfId="8368"/>
    <cellStyle name="20% - 강조색1 2 4 18" xfId="8369"/>
    <cellStyle name="20% - 강조색1 2 4 19" xfId="8370"/>
    <cellStyle name="20% - 강조색1 2 4 2" xfId="8371"/>
    <cellStyle name="20% - 강조색1 2 4 20" xfId="8372"/>
    <cellStyle name="20% - 강조색1 2 4 3" xfId="8373"/>
    <cellStyle name="20% - 강조색1 2 4 4" xfId="8374"/>
    <cellStyle name="20% - 강조색1 2 4 5" xfId="8375"/>
    <cellStyle name="20% - 강조색1 2 4 6" xfId="8376"/>
    <cellStyle name="20% - 강조색1 2 4 7" xfId="8377"/>
    <cellStyle name="20% - 강조색1 2 4 8" xfId="8378"/>
    <cellStyle name="20% - 강조색1 2 4 9" xfId="8379"/>
    <cellStyle name="20% - 강조색1 2 5" xfId="8380"/>
    <cellStyle name="20% - 강조색1 2 6" xfId="8381"/>
    <cellStyle name="20% - 강조색1 2 7" xfId="8382"/>
    <cellStyle name="20% - 강조색1 2 7 2" xfId="8383"/>
    <cellStyle name="20% - 강조색1 2 8" xfId="8384"/>
    <cellStyle name="20% - 강조색1 2 9" xfId="8385"/>
    <cellStyle name="20% - 강조색1 20" xfId="20540"/>
    <cellStyle name="20% - 강조색1 20 2" xfId="20541"/>
    <cellStyle name="20% - 강조색1 21" xfId="20542"/>
    <cellStyle name="20% - 강조색1 21 2" xfId="20543"/>
    <cellStyle name="20% - 강조색1 22" xfId="20544"/>
    <cellStyle name="20% - 강조색1 22 2" xfId="20545"/>
    <cellStyle name="20% - 강조색1 23" xfId="20546"/>
    <cellStyle name="20% - 강조색1 24" xfId="20547"/>
    <cellStyle name="20% - 강조색1 25" xfId="20548"/>
    <cellStyle name="20% - 강조색1 26" xfId="20549"/>
    <cellStyle name="20% - 강조색1 27" xfId="20550"/>
    <cellStyle name="20% - 강조색1 28" xfId="20551"/>
    <cellStyle name="20% - 강조색1 29" xfId="20552"/>
    <cellStyle name="20% - 강조색1 3" xfId="871"/>
    <cellStyle name="20% - 강조색1 3 10" xfId="8386"/>
    <cellStyle name="20% - 강조색1 3 11" xfId="8387"/>
    <cellStyle name="20% - 강조색1 3 12" xfId="8388"/>
    <cellStyle name="20% - 강조색1 3 13" xfId="8389"/>
    <cellStyle name="20% - 강조색1 3 14" xfId="8390"/>
    <cellStyle name="20% - 강조색1 3 15" xfId="8391"/>
    <cellStyle name="20% - 강조색1 3 16" xfId="8392"/>
    <cellStyle name="20% - 강조색1 3 17" xfId="8393"/>
    <cellStyle name="20% - 강조색1 3 18" xfId="8394"/>
    <cellStyle name="20% - 강조색1 3 19" xfId="8395"/>
    <cellStyle name="20% - 강조색1 3 2" xfId="8396"/>
    <cellStyle name="20% - 강조색1 3 2 10" xfId="8397"/>
    <cellStyle name="20% - 강조색1 3 2 11" xfId="8398"/>
    <cellStyle name="20% - 강조색1 3 2 12" xfId="8399"/>
    <cellStyle name="20% - 강조색1 3 2 13" xfId="8400"/>
    <cellStyle name="20% - 강조색1 3 2 14" xfId="8401"/>
    <cellStyle name="20% - 강조색1 3 2 15" xfId="8402"/>
    <cellStyle name="20% - 강조색1 3 2 16" xfId="8403"/>
    <cellStyle name="20% - 강조색1 3 2 17" xfId="8404"/>
    <cellStyle name="20% - 강조색1 3 2 18" xfId="8405"/>
    <cellStyle name="20% - 강조색1 3 2 19" xfId="8406"/>
    <cellStyle name="20% - 강조색1 3 2 2" xfId="8407"/>
    <cellStyle name="20% - 강조색1 3 2 20" xfId="8408"/>
    <cellStyle name="20% - 강조색1 3 2 21" xfId="8409"/>
    <cellStyle name="20% - 강조색1 3 2 3" xfId="8410"/>
    <cellStyle name="20% - 강조색1 3 2 4" xfId="8411"/>
    <cellStyle name="20% - 강조색1 3 2 5" xfId="8412"/>
    <cellStyle name="20% - 강조색1 3 2 6" xfId="8413"/>
    <cellStyle name="20% - 강조색1 3 2 7" xfId="8414"/>
    <cellStyle name="20% - 강조색1 3 2 8" xfId="8415"/>
    <cellStyle name="20% - 강조색1 3 2 9" xfId="8416"/>
    <cellStyle name="20% - 강조색1 3 20" xfId="8417"/>
    <cellStyle name="20% - 강조색1 3 21" xfId="8418"/>
    <cellStyle name="20% - 강조색1 3 22" xfId="8419"/>
    <cellStyle name="20% - 강조색1 3 23" xfId="8420"/>
    <cellStyle name="20% - 강조색1 3 24" xfId="8421"/>
    <cellStyle name="20% - 강조색1 3 25" xfId="8422"/>
    <cellStyle name="20% - 강조색1 3 26" xfId="8423"/>
    <cellStyle name="20% - 강조색1 3 27" xfId="8424"/>
    <cellStyle name="20% - 강조색1 3 28" xfId="8425"/>
    <cellStyle name="20% - 강조색1 3 29" xfId="8426"/>
    <cellStyle name="20% - 강조색1 3 3" xfId="8427"/>
    <cellStyle name="20% - 강조색1 3 3 10" xfId="8428"/>
    <cellStyle name="20% - 강조색1 3 3 11" xfId="8429"/>
    <cellStyle name="20% - 강조색1 3 3 12" xfId="8430"/>
    <cellStyle name="20% - 강조색1 3 3 13" xfId="8431"/>
    <cellStyle name="20% - 강조색1 3 3 14" xfId="8432"/>
    <cellStyle name="20% - 강조색1 3 3 15" xfId="8433"/>
    <cellStyle name="20% - 강조색1 3 3 16" xfId="8434"/>
    <cellStyle name="20% - 강조색1 3 3 17" xfId="8435"/>
    <cellStyle name="20% - 강조색1 3 3 18" xfId="8436"/>
    <cellStyle name="20% - 강조색1 3 3 19" xfId="8437"/>
    <cellStyle name="20% - 강조색1 3 3 2" xfId="8438"/>
    <cellStyle name="20% - 강조색1 3 3 20" xfId="8439"/>
    <cellStyle name="20% - 강조색1 3 3 21" xfId="8440"/>
    <cellStyle name="20% - 강조색1 3 3 3" xfId="8441"/>
    <cellStyle name="20% - 강조색1 3 3 4" xfId="8442"/>
    <cellStyle name="20% - 강조색1 3 3 5" xfId="8443"/>
    <cellStyle name="20% - 강조색1 3 3 6" xfId="8444"/>
    <cellStyle name="20% - 강조색1 3 3 7" xfId="8445"/>
    <cellStyle name="20% - 강조색1 3 3 8" xfId="8446"/>
    <cellStyle name="20% - 강조색1 3 3 9" xfId="8447"/>
    <cellStyle name="20% - 강조색1 3 30" xfId="8448"/>
    <cellStyle name="20% - 강조색1 3 31" xfId="8449"/>
    <cellStyle name="20% - 강조색1 3 32" xfId="8450"/>
    <cellStyle name="20% - 강조색1 3 4" xfId="8451"/>
    <cellStyle name="20% - 강조색1 3 4 10" xfId="8452"/>
    <cellStyle name="20% - 강조색1 3 4 11" xfId="8453"/>
    <cellStyle name="20% - 강조색1 3 4 12" xfId="8454"/>
    <cellStyle name="20% - 강조색1 3 4 13" xfId="8455"/>
    <cellStyle name="20% - 강조색1 3 4 14" xfId="8456"/>
    <cellStyle name="20% - 강조색1 3 4 15" xfId="8457"/>
    <cellStyle name="20% - 강조색1 3 4 16" xfId="8458"/>
    <cellStyle name="20% - 강조색1 3 4 17" xfId="8459"/>
    <cellStyle name="20% - 강조색1 3 4 18" xfId="8460"/>
    <cellStyle name="20% - 강조색1 3 4 19" xfId="8461"/>
    <cellStyle name="20% - 강조색1 3 4 2" xfId="8462"/>
    <cellStyle name="20% - 강조색1 3 4 20" xfId="8463"/>
    <cellStyle name="20% - 강조색1 3 4 3" xfId="8464"/>
    <cellStyle name="20% - 강조색1 3 4 4" xfId="8465"/>
    <cellStyle name="20% - 강조색1 3 4 5" xfId="8466"/>
    <cellStyle name="20% - 강조색1 3 4 6" xfId="8467"/>
    <cellStyle name="20% - 강조색1 3 4 7" xfId="8468"/>
    <cellStyle name="20% - 강조색1 3 4 8" xfId="8469"/>
    <cellStyle name="20% - 강조색1 3 4 9" xfId="8470"/>
    <cellStyle name="20% - 강조색1 3 5" xfId="8471"/>
    <cellStyle name="20% - 강조색1 3 6" xfId="8472"/>
    <cellStyle name="20% - 강조색1 3 7" xfId="8473"/>
    <cellStyle name="20% - 강조색1 3 8" xfId="8474"/>
    <cellStyle name="20% - 강조색1 3 9" xfId="8475"/>
    <cellStyle name="20% - 강조색1 30" xfId="20553"/>
    <cellStyle name="20% - 강조색1 31" xfId="20554"/>
    <cellStyle name="20% - 강조색1 32" xfId="20555"/>
    <cellStyle name="20% - 강조색1 33" xfId="20556"/>
    <cellStyle name="20% - 강조색1 34" xfId="20557"/>
    <cellStyle name="20% - 강조색1 34 2" xfId="20558"/>
    <cellStyle name="20% - 강조색1 34 2 2" xfId="20559"/>
    <cellStyle name="20% - 강조색1 34 3" xfId="20560"/>
    <cellStyle name="20% - 강조색1 34 4" xfId="20561"/>
    <cellStyle name="20% - 강조색1 34 5" xfId="20562"/>
    <cellStyle name="20% - 강조색1 35" xfId="20563"/>
    <cellStyle name="20% - 강조색1 35 2" xfId="20564"/>
    <cellStyle name="20% - 강조색1 35 2 2" xfId="20565"/>
    <cellStyle name="20% - 강조색1 35 3" xfId="20566"/>
    <cellStyle name="20% - 강조색1 35 4" xfId="20567"/>
    <cellStyle name="20% - 강조색1 35 5" xfId="20568"/>
    <cellStyle name="20% - 강조색1 36" xfId="20569"/>
    <cellStyle name="20% - 강조색1 36 2" xfId="20570"/>
    <cellStyle name="20% - 강조색1 36 2 2" xfId="20571"/>
    <cellStyle name="20% - 강조색1 36 3" xfId="20572"/>
    <cellStyle name="20% - 강조색1 36 4" xfId="20573"/>
    <cellStyle name="20% - 강조색1 36 5" xfId="20574"/>
    <cellStyle name="20% - 강조색1 4" xfId="872"/>
    <cellStyle name="20% - 강조색1 4 10" xfId="8476"/>
    <cellStyle name="20% - 강조색1 4 2" xfId="8477"/>
    <cellStyle name="20% - 강조색1 4 2 2" xfId="8478"/>
    <cellStyle name="20% - 강조색1 4 3" xfId="8479"/>
    <cellStyle name="20% - 강조색1 4 3 2" xfId="8480"/>
    <cellStyle name="20% - 강조색1 4 4" xfId="8481"/>
    <cellStyle name="20% - 강조색1 4 5" xfId="8482"/>
    <cellStyle name="20% - 강조색1 4 6" xfId="8483"/>
    <cellStyle name="20% - 강조색1 4 7" xfId="8484"/>
    <cellStyle name="20% - 강조색1 4 8" xfId="8485"/>
    <cellStyle name="20% - 강조색1 4 9" xfId="8486"/>
    <cellStyle name="20% - 강조색1 5" xfId="873"/>
    <cellStyle name="20% - 강조색1 5 2" xfId="8487"/>
    <cellStyle name="20% - 강조색1 5 2 2" xfId="8488"/>
    <cellStyle name="20% - 강조색1 5 3" xfId="8489"/>
    <cellStyle name="20% - 강조색1 5 3 2" xfId="8490"/>
    <cellStyle name="20% - 강조색1 5 4" xfId="8491"/>
    <cellStyle name="20% - 강조색1 6" xfId="8492"/>
    <cellStyle name="20% - 강조색1 6 2" xfId="8493"/>
    <cellStyle name="20% - 강조색1 6 3" xfId="8494"/>
    <cellStyle name="20% - 강조색1 7" xfId="8495"/>
    <cellStyle name="20% - 강조색1 7 2" xfId="8496"/>
    <cellStyle name="20% - 강조색1 7 3" xfId="8497"/>
    <cellStyle name="20% - 강조색1 8" xfId="8498"/>
    <cellStyle name="20% - 강조색1 8 2" xfId="8499"/>
    <cellStyle name="20% - 강조색1 8 3" xfId="8500"/>
    <cellStyle name="20% - 강조색1 9" xfId="8501"/>
    <cellStyle name="20% - 강조색2 10" xfId="8502"/>
    <cellStyle name="20% - 강조색2 11" xfId="8503"/>
    <cellStyle name="20% - 강조색2 12" xfId="8504"/>
    <cellStyle name="20% - 강조색2 13" xfId="8505"/>
    <cellStyle name="20% - 강조색2 13 2" xfId="8506"/>
    <cellStyle name="20% - 강조색2 14" xfId="8507"/>
    <cellStyle name="20% - 강조색2 14 2" xfId="8508"/>
    <cellStyle name="20% - 강조색2 15" xfId="20575"/>
    <cellStyle name="20% - 강조색2 16" xfId="20576"/>
    <cellStyle name="20% - 강조색2 17" xfId="20577"/>
    <cellStyle name="20% - 강조색2 18" xfId="20578"/>
    <cellStyle name="20% - 강조색2 18 2" xfId="20579"/>
    <cellStyle name="20% - 강조색2 19" xfId="20580"/>
    <cellStyle name="20% - 강조색2 19 2" xfId="20581"/>
    <cellStyle name="20% - 강조색2 2" xfId="874"/>
    <cellStyle name="20% - 강조색2 2 10" xfId="8509"/>
    <cellStyle name="20% - 강조색2 2 11" xfId="8510"/>
    <cellStyle name="20% - 강조색2 2 12" xfId="8511"/>
    <cellStyle name="20% - 강조색2 2 13" xfId="8512"/>
    <cellStyle name="20% - 강조색2 2 14" xfId="8513"/>
    <cellStyle name="20% - 강조색2 2 15" xfId="8514"/>
    <cellStyle name="20% - 강조색2 2 16" xfId="8515"/>
    <cellStyle name="20% - 강조색2 2 17" xfId="8516"/>
    <cellStyle name="20% - 강조색2 2 18" xfId="8517"/>
    <cellStyle name="20% - 강조색2 2 19" xfId="8518"/>
    <cellStyle name="20% - 강조색2 2 2" xfId="875"/>
    <cellStyle name="20% - 강조색2 2 2 10" xfId="8519"/>
    <cellStyle name="20% - 강조색2 2 2 11" xfId="8520"/>
    <cellStyle name="20% - 강조색2 2 2 12" xfId="8521"/>
    <cellStyle name="20% - 강조색2 2 2 13" xfId="8522"/>
    <cellStyle name="20% - 강조색2 2 2 14" xfId="8523"/>
    <cellStyle name="20% - 강조색2 2 2 15" xfId="8524"/>
    <cellStyle name="20% - 강조색2 2 2 16" xfId="8525"/>
    <cellStyle name="20% - 강조색2 2 2 17" xfId="8526"/>
    <cellStyle name="20% - 강조색2 2 2 18" xfId="8527"/>
    <cellStyle name="20% - 강조색2 2 2 19" xfId="8528"/>
    <cellStyle name="20% - 강조색2 2 2 2" xfId="8529"/>
    <cellStyle name="20% - 강조색2 2 2 20" xfId="8530"/>
    <cellStyle name="20% - 강조색2 2 2 21" xfId="8531"/>
    <cellStyle name="20% - 강조색2 2 2 22" xfId="8532"/>
    <cellStyle name="20% - 강조색2 2 2 23" xfId="8533"/>
    <cellStyle name="20% - 강조색2 2 2 3" xfId="8534"/>
    <cellStyle name="20% - 강조색2 2 2 4" xfId="8535"/>
    <cellStyle name="20% - 강조색2 2 2 5" xfId="8536"/>
    <cellStyle name="20% - 강조색2 2 2 6" xfId="8537"/>
    <cellStyle name="20% - 강조색2 2 2 7" xfId="8538"/>
    <cellStyle name="20% - 강조색2 2 2 8" xfId="8539"/>
    <cellStyle name="20% - 강조색2 2 2 9" xfId="8540"/>
    <cellStyle name="20% - 강조색2 2 20" xfId="8541"/>
    <cellStyle name="20% - 강조색2 2 21" xfId="8542"/>
    <cellStyle name="20% - 강조색2 2 22" xfId="8543"/>
    <cellStyle name="20% - 강조색2 2 23" xfId="8544"/>
    <cellStyle name="20% - 강조색2 2 24" xfId="8545"/>
    <cellStyle name="20% - 강조색2 2 25" xfId="8546"/>
    <cellStyle name="20% - 강조색2 2 26" xfId="8547"/>
    <cellStyle name="20% - 강조색2 2 27" xfId="8548"/>
    <cellStyle name="20% - 강조색2 2 28" xfId="8549"/>
    <cellStyle name="20% - 강조색2 2 29" xfId="8550"/>
    <cellStyle name="20% - 강조색2 2 3" xfId="876"/>
    <cellStyle name="20% - 강조색2 2 3 10" xfId="8551"/>
    <cellStyle name="20% - 강조색2 2 3 11" xfId="8552"/>
    <cellStyle name="20% - 강조색2 2 3 12" xfId="8553"/>
    <cellStyle name="20% - 강조색2 2 3 13" xfId="8554"/>
    <cellStyle name="20% - 강조색2 2 3 14" xfId="8555"/>
    <cellStyle name="20% - 강조색2 2 3 15" xfId="8556"/>
    <cellStyle name="20% - 강조색2 2 3 16" xfId="8557"/>
    <cellStyle name="20% - 강조색2 2 3 17" xfId="8558"/>
    <cellStyle name="20% - 강조색2 2 3 18" xfId="8559"/>
    <cellStyle name="20% - 강조색2 2 3 19" xfId="8560"/>
    <cellStyle name="20% - 강조색2 2 3 2" xfId="8561"/>
    <cellStyle name="20% - 강조색2 2 3 20" xfId="8562"/>
    <cellStyle name="20% - 강조색2 2 3 21" xfId="8563"/>
    <cellStyle name="20% - 강조색2 2 3 3" xfId="8564"/>
    <cellStyle name="20% - 강조색2 2 3 4" xfId="8565"/>
    <cellStyle name="20% - 강조색2 2 3 5" xfId="8566"/>
    <cellStyle name="20% - 강조색2 2 3 6" xfId="8567"/>
    <cellStyle name="20% - 강조색2 2 3 7" xfId="8568"/>
    <cellStyle name="20% - 강조색2 2 3 8" xfId="8569"/>
    <cellStyle name="20% - 강조색2 2 3 9" xfId="8570"/>
    <cellStyle name="20% - 강조색2 2 30" xfId="8571"/>
    <cellStyle name="20% - 강조색2 2 31" xfId="8572"/>
    <cellStyle name="20% - 강조색2 2 4" xfId="877"/>
    <cellStyle name="20% - 강조색2 2 4 10" xfId="8573"/>
    <cellStyle name="20% - 강조색2 2 4 11" xfId="8574"/>
    <cellStyle name="20% - 강조색2 2 4 12" xfId="8575"/>
    <cellStyle name="20% - 강조색2 2 4 13" xfId="8576"/>
    <cellStyle name="20% - 강조색2 2 4 14" xfId="8577"/>
    <cellStyle name="20% - 강조색2 2 4 15" xfId="8578"/>
    <cellStyle name="20% - 강조색2 2 4 16" xfId="8579"/>
    <cellStyle name="20% - 강조색2 2 4 17" xfId="8580"/>
    <cellStyle name="20% - 강조색2 2 4 18" xfId="8581"/>
    <cellStyle name="20% - 강조색2 2 4 19" xfId="8582"/>
    <cellStyle name="20% - 강조색2 2 4 2" xfId="8583"/>
    <cellStyle name="20% - 강조색2 2 4 20" xfId="8584"/>
    <cellStyle name="20% - 강조색2 2 4 3" xfId="8585"/>
    <cellStyle name="20% - 강조색2 2 4 4" xfId="8586"/>
    <cellStyle name="20% - 강조색2 2 4 5" xfId="8587"/>
    <cellStyle name="20% - 강조색2 2 4 6" xfId="8588"/>
    <cellStyle name="20% - 강조색2 2 4 7" xfId="8589"/>
    <cellStyle name="20% - 강조색2 2 4 8" xfId="8590"/>
    <cellStyle name="20% - 강조색2 2 4 9" xfId="8591"/>
    <cellStyle name="20% - 강조색2 2 5" xfId="8592"/>
    <cellStyle name="20% - 강조색2 2 6" xfId="8593"/>
    <cellStyle name="20% - 강조색2 2 7" xfId="8594"/>
    <cellStyle name="20% - 강조색2 2 7 2" xfId="8595"/>
    <cellStyle name="20% - 강조색2 2 8" xfId="8596"/>
    <cellStyle name="20% - 강조색2 2 9" xfId="8597"/>
    <cellStyle name="20% - 강조색2 20" xfId="20582"/>
    <cellStyle name="20% - 강조색2 20 2" xfId="20583"/>
    <cellStyle name="20% - 강조색2 21" xfId="20584"/>
    <cellStyle name="20% - 강조색2 21 2" xfId="20585"/>
    <cellStyle name="20% - 강조색2 22" xfId="20586"/>
    <cellStyle name="20% - 강조색2 22 2" xfId="20587"/>
    <cellStyle name="20% - 강조색2 23" xfId="20588"/>
    <cellStyle name="20% - 강조색2 24" xfId="20589"/>
    <cellStyle name="20% - 강조색2 25" xfId="20590"/>
    <cellStyle name="20% - 강조색2 26" xfId="20591"/>
    <cellStyle name="20% - 강조색2 27" xfId="20592"/>
    <cellStyle name="20% - 강조색2 28" xfId="20593"/>
    <cellStyle name="20% - 강조색2 29" xfId="20594"/>
    <cellStyle name="20% - 강조색2 3" xfId="878"/>
    <cellStyle name="20% - 강조색2 3 10" xfId="8598"/>
    <cellStyle name="20% - 강조색2 3 11" xfId="8599"/>
    <cellStyle name="20% - 강조색2 3 12" xfId="8600"/>
    <cellStyle name="20% - 강조색2 3 13" xfId="8601"/>
    <cellStyle name="20% - 강조색2 3 14" xfId="8602"/>
    <cellStyle name="20% - 강조색2 3 15" xfId="8603"/>
    <cellStyle name="20% - 강조색2 3 16" xfId="8604"/>
    <cellStyle name="20% - 강조색2 3 17" xfId="8605"/>
    <cellStyle name="20% - 강조색2 3 18" xfId="8606"/>
    <cellStyle name="20% - 강조색2 3 19" xfId="8607"/>
    <cellStyle name="20% - 강조색2 3 2" xfId="8608"/>
    <cellStyle name="20% - 강조색2 3 2 10" xfId="8609"/>
    <cellStyle name="20% - 강조색2 3 2 11" xfId="8610"/>
    <cellStyle name="20% - 강조색2 3 2 12" xfId="8611"/>
    <cellStyle name="20% - 강조색2 3 2 13" xfId="8612"/>
    <cellStyle name="20% - 강조색2 3 2 14" xfId="8613"/>
    <cellStyle name="20% - 강조색2 3 2 15" xfId="8614"/>
    <cellStyle name="20% - 강조색2 3 2 16" xfId="8615"/>
    <cellStyle name="20% - 강조색2 3 2 17" xfId="8616"/>
    <cellStyle name="20% - 강조색2 3 2 18" xfId="8617"/>
    <cellStyle name="20% - 강조색2 3 2 19" xfId="8618"/>
    <cellStyle name="20% - 강조색2 3 2 2" xfId="8619"/>
    <cellStyle name="20% - 강조색2 3 2 20" xfId="8620"/>
    <cellStyle name="20% - 강조색2 3 2 21" xfId="8621"/>
    <cellStyle name="20% - 강조색2 3 2 3" xfId="8622"/>
    <cellStyle name="20% - 강조색2 3 2 4" xfId="8623"/>
    <cellStyle name="20% - 강조색2 3 2 5" xfId="8624"/>
    <cellStyle name="20% - 강조색2 3 2 6" xfId="8625"/>
    <cellStyle name="20% - 강조색2 3 2 7" xfId="8626"/>
    <cellStyle name="20% - 강조색2 3 2 8" xfId="8627"/>
    <cellStyle name="20% - 강조색2 3 2 9" xfId="8628"/>
    <cellStyle name="20% - 강조색2 3 20" xfId="8629"/>
    <cellStyle name="20% - 강조색2 3 21" xfId="8630"/>
    <cellStyle name="20% - 강조색2 3 22" xfId="8631"/>
    <cellStyle name="20% - 강조색2 3 23" xfId="8632"/>
    <cellStyle name="20% - 강조색2 3 24" xfId="8633"/>
    <cellStyle name="20% - 강조색2 3 25" xfId="8634"/>
    <cellStyle name="20% - 강조색2 3 26" xfId="8635"/>
    <cellStyle name="20% - 강조색2 3 27" xfId="8636"/>
    <cellStyle name="20% - 강조색2 3 28" xfId="8637"/>
    <cellStyle name="20% - 강조색2 3 29" xfId="8638"/>
    <cellStyle name="20% - 강조색2 3 3" xfId="8639"/>
    <cellStyle name="20% - 강조색2 3 3 10" xfId="8640"/>
    <cellStyle name="20% - 강조색2 3 3 11" xfId="8641"/>
    <cellStyle name="20% - 강조색2 3 3 12" xfId="8642"/>
    <cellStyle name="20% - 강조색2 3 3 13" xfId="8643"/>
    <cellStyle name="20% - 강조색2 3 3 14" xfId="8644"/>
    <cellStyle name="20% - 강조색2 3 3 15" xfId="8645"/>
    <cellStyle name="20% - 강조색2 3 3 16" xfId="8646"/>
    <cellStyle name="20% - 강조색2 3 3 17" xfId="8647"/>
    <cellStyle name="20% - 강조색2 3 3 18" xfId="8648"/>
    <cellStyle name="20% - 강조색2 3 3 19" xfId="8649"/>
    <cellStyle name="20% - 강조색2 3 3 2" xfId="8650"/>
    <cellStyle name="20% - 강조색2 3 3 20" xfId="8651"/>
    <cellStyle name="20% - 강조색2 3 3 21" xfId="8652"/>
    <cellStyle name="20% - 강조색2 3 3 3" xfId="8653"/>
    <cellStyle name="20% - 강조색2 3 3 4" xfId="8654"/>
    <cellStyle name="20% - 강조색2 3 3 5" xfId="8655"/>
    <cellStyle name="20% - 강조색2 3 3 6" xfId="8656"/>
    <cellStyle name="20% - 강조색2 3 3 7" xfId="8657"/>
    <cellStyle name="20% - 강조색2 3 3 8" xfId="8658"/>
    <cellStyle name="20% - 강조색2 3 3 9" xfId="8659"/>
    <cellStyle name="20% - 강조색2 3 30" xfId="8660"/>
    <cellStyle name="20% - 강조색2 3 31" xfId="8661"/>
    <cellStyle name="20% - 강조색2 3 32" xfId="8662"/>
    <cellStyle name="20% - 강조색2 3 4" xfId="8663"/>
    <cellStyle name="20% - 강조색2 3 4 10" xfId="8664"/>
    <cellStyle name="20% - 강조색2 3 4 11" xfId="8665"/>
    <cellStyle name="20% - 강조색2 3 4 12" xfId="8666"/>
    <cellStyle name="20% - 강조색2 3 4 13" xfId="8667"/>
    <cellStyle name="20% - 강조색2 3 4 14" xfId="8668"/>
    <cellStyle name="20% - 강조색2 3 4 15" xfId="8669"/>
    <cellStyle name="20% - 강조색2 3 4 16" xfId="8670"/>
    <cellStyle name="20% - 강조색2 3 4 17" xfId="8671"/>
    <cellStyle name="20% - 강조색2 3 4 18" xfId="8672"/>
    <cellStyle name="20% - 강조색2 3 4 19" xfId="8673"/>
    <cellStyle name="20% - 강조색2 3 4 2" xfId="8674"/>
    <cellStyle name="20% - 강조색2 3 4 20" xfId="8675"/>
    <cellStyle name="20% - 강조색2 3 4 3" xfId="8676"/>
    <cellStyle name="20% - 강조색2 3 4 4" xfId="8677"/>
    <cellStyle name="20% - 강조색2 3 4 5" xfId="8678"/>
    <cellStyle name="20% - 강조색2 3 4 6" xfId="8679"/>
    <cellStyle name="20% - 강조색2 3 4 7" xfId="8680"/>
    <cellStyle name="20% - 강조색2 3 4 8" xfId="8681"/>
    <cellStyle name="20% - 강조색2 3 4 9" xfId="8682"/>
    <cellStyle name="20% - 강조색2 3 5" xfId="8683"/>
    <cellStyle name="20% - 강조색2 3 6" xfId="8684"/>
    <cellStyle name="20% - 강조색2 3 7" xfId="8685"/>
    <cellStyle name="20% - 강조색2 3 8" xfId="8686"/>
    <cellStyle name="20% - 강조색2 3 9" xfId="8687"/>
    <cellStyle name="20% - 강조색2 30" xfId="20595"/>
    <cellStyle name="20% - 강조색2 31" xfId="20596"/>
    <cellStyle name="20% - 강조색2 32" xfId="20597"/>
    <cellStyle name="20% - 강조색2 33" xfId="20598"/>
    <cellStyle name="20% - 강조색2 34" xfId="20599"/>
    <cellStyle name="20% - 강조색2 34 2" xfId="20600"/>
    <cellStyle name="20% - 강조색2 34 2 2" xfId="20601"/>
    <cellStyle name="20% - 강조색2 34 3" xfId="20602"/>
    <cellStyle name="20% - 강조색2 34 4" xfId="20603"/>
    <cellStyle name="20% - 강조색2 34 5" xfId="20604"/>
    <cellStyle name="20% - 강조색2 35" xfId="20605"/>
    <cellStyle name="20% - 강조색2 35 2" xfId="20606"/>
    <cellStyle name="20% - 강조색2 35 2 2" xfId="20607"/>
    <cellStyle name="20% - 강조색2 35 3" xfId="20608"/>
    <cellStyle name="20% - 강조색2 35 4" xfId="20609"/>
    <cellStyle name="20% - 강조색2 35 5" xfId="20610"/>
    <cellStyle name="20% - 강조색2 36" xfId="20611"/>
    <cellStyle name="20% - 강조색2 36 2" xfId="20612"/>
    <cellStyle name="20% - 강조색2 36 2 2" xfId="20613"/>
    <cellStyle name="20% - 강조색2 36 3" xfId="20614"/>
    <cellStyle name="20% - 강조색2 36 4" xfId="20615"/>
    <cellStyle name="20% - 강조색2 36 5" xfId="20616"/>
    <cellStyle name="20% - 강조색2 4" xfId="879"/>
    <cellStyle name="20% - 강조색2 4 10" xfId="8688"/>
    <cellStyle name="20% - 강조색2 4 2" xfId="8689"/>
    <cellStyle name="20% - 강조색2 4 2 2" xfId="8690"/>
    <cellStyle name="20% - 강조색2 4 3" xfId="8691"/>
    <cellStyle name="20% - 강조색2 4 3 2" xfId="8692"/>
    <cellStyle name="20% - 강조색2 4 4" xfId="8693"/>
    <cellStyle name="20% - 강조색2 4 5" xfId="8694"/>
    <cellStyle name="20% - 강조색2 4 6" xfId="8695"/>
    <cellStyle name="20% - 강조색2 4 7" xfId="8696"/>
    <cellStyle name="20% - 강조색2 4 8" xfId="8697"/>
    <cellStyle name="20% - 강조색2 4 9" xfId="8698"/>
    <cellStyle name="20% - 강조색2 5" xfId="880"/>
    <cellStyle name="20% - 강조색2 5 2" xfId="8699"/>
    <cellStyle name="20% - 강조색2 5 2 2" xfId="8700"/>
    <cellStyle name="20% - 강조색2 5 3" xfId="8701"/>
    <cellStyle name="20% - 강조색2 5 3 2" xfId="8702"/>
    <cellStyle name="20% - 강조색2 5 4" xfId="8703"/>
    <cellStyle name="20% - 강조색2 6" xfId="8704"/>
    <cellStyle name="20% - 강조색2 6 2" xfId="8705"/>
    <cellStyle name="20% - 강조색2 6 3" xfId="8706"/>
    <cellStyle name="20% - 강조색2 7" xfId="8707"/>
    <cellStyle name="20% - 강조색2 7 2" xfId="8708"/>
    <cellStyle name="20% - 강조색2 7 3" xfId="8709"/>
    <cellStyle name="20% - 강조색2 8" xfId="8710"/>
    <cellStyle name="20% - 강조색2 8 2" xfId="8711"/>
    <cellStyle name="20% - 강조색2 8 3" xfId="8712"/>
    <cellStyle name="20% - 강조색2 9" xfId="8713"/>
    <cellStyle name="20% - 강조색3 10" xfId="8714"/>
    <cellStyle name="20% - 강조색3 11" xfId="8715"/>
    <cellStyle name="20% - 강조색3 12" xfId="8716"/>
    <cellStyle name="20% - 강조색3 13" xfId="8717"/>
    <cellStyle name="20% - 강조색3 13 2" xfId="8718"/>
    <cellStyle name="20% - 강조색3 14" xfId="8719"/>
    <cellStyle name="20% - 강조색3 14 2" xfId="8720"/>
    <cellStyle name="20% - 강조색3 15" xfId="20617"/>
    <cellStyle name="20% - 강조색3 16" xfId="20618"/>
    <cellStyle name="20% - 강조색3 17" xfId="20619"/>
    <cellStyle name="20% - 강조색3 18" xfId="20620"/>
    <cellStyle name="20% - 강조색3 18 2" xfId="20621"/>
    <cellStyle name="20% - 강조색3 19" xfId="20622"/>
    <cellStyle name="20% - 강조색3 19 2" xfId="20623"/>
    <cellStyle name="20% - 강조색3 2" xfId="881"/>
    <cellStyle name="20% - 강조색3 2 10" xfId="8721"/>
    <cellStyle name="20% - 강조색3 2 11" xfId="8722"/>
    <cellStyle name="20% - 강조색3 2 12" xfId="8723"/>
    <cellStyle name="20% - 강조색3 2 13" xfId="8724"/>
    <cellStyle name="20% - 강조색3 2 14" xfId="8725"/>
    <cellStyle name="20% - 강조색3 2 15" xfId="8726"/>
    <cellStyle name="20% - 강조색3 2 16" xfId="8727"/>
    <cellStyle name="20% - 강조색3 2 17" xfId="8728"/>
    <cellStyle name="20% - 강조색3 2 18" xfId="8729"/>
    <cellStyle name="20% - 강조색3 2 19" xfId="8730"/>
    <cellStyle name="20% - 강조색3 2 2" xfId="882"/>
    <cellStyle name="20% - 강조색3 2 2 10" xfId="8731"/>
    <cellStyle name="20% - 강조색3 2 2 11" xfId="8732"/>
    <cellStyle name="20% - 강조색3 2 2 12" xfId="8733"/>
    <cellStyle name="20% - 강조색3 2 2 13" xfId="8734"/>
    <cellStyle name="20% - 강조색3 2 2 14" xfId="8735"/>
    <cellStyle name="20% - 강조색3 2 2 15" xfId="8736"/>
    <cellStyle name="20% - 강조색3 2 2 16" xfId="8737"/>
    <cellStyle name="20% - 강조색3 2 2 17" xfId="8738"/>
    <cellStyle name="20% - 강조색3 2 2 18" xfId="8739"/>
    <cellStyle name="20% - 강조색3 2 2 19" xfId="8740"/>
    <cellStyle name="20% - 강조색3 2 2 2" xfId="8741"/>
    <cellStyle name="20% - 강조색3 2 2 20" xfId="8742"/>
    <cellStyle name="20% - 강조색3 2 2 21" xfId="8743"/>
    <cellStyle name="20% - 강조색3 2 2 22" xfId="8744"/>
    <cellStyle name="20% - 강조색3 2 2 23" xfId="8745"/>
    <cellStyle name="20% - 강조색3 2 2 3" xfId="8746"/>
    <cellStyle name="20% - 강조색3 2 2 4" xfId="8747"/>
    <cellStyle name="20% - 강조색3 2 2 5" xfId="8748"/>
    <cellStyle name="20% - 강조색3 2 2 6" xfId="8749"/>
    <cellStyle name="20% - 강조색3 2 2 7" xfId="8750"/>
    <cellStyle name="20% - 강조색3 2 2 8" xfId="8751"/>
    <cellStyle name="20% - 강조색3 2 2 9" xfId="8752"/>
    <cellStyle name="20% - 강조색3 2 20" xfId="8753"/>
    <cellStyle name="20% - 강조색3 2 21" xfId="8754"/>
    <cellStyle name="20% - 강조색3 2 22" xfId="8755"/>
    <cellStyle name="20% - 강조색3 2 23" xfId="8756"/>
    <cellStyle name="20% - 강조색3 2 24" xfId="8757"/>
    <cellStyle name="20% - 강조색3 2 25" xfId="8758"/>
    <cellStyle name="20% - 강조색3 2 26" xfId="8759"/>
    <cellStyle name="20% - 강조색3 2 27" xfId="8760"/>
    <cellStyle name="20% - 강조색3 2 28" xfId="8761"/>
    <cellStyle name="20% - 강조색3 2 29" xfId="8762"/>
    <cellStyle name="20% - 강조색3 2 3" xfId="883"/>
    <cellStyle name="20% - 강조색3 2 3 10" xfId="8763"/>
    <cellStyle name="20% - 강조색3 2 3 11" xfId="8764"/>
    <cellStyle name="20% - 강조색3 2 3 12" xfId="8765"/>
    <cellStyle name="20% - 강조색3 2 3 13" xfId="8766"/>
    <cellStyle name="20% - 강조색3 2 3 14" xfId="8767"/>
    <cellStyle name="20% - 강조색3 2 3 15" xfId="8768"/>
    <cellStyle name="20% - 강조색3 2 3 16" xfId="8769"/>
    <cellStyle name="20% - 강조색3 2 3 17" xfId="8770"/>
    <cellStyle name="20% - 강조색3 2 3 18" xfId="8771"/>
    <cellStyle name="20% - 강조색3 2 3 19" xfId="8772"/>
    <cellStyle name="20% - 강조색3 2 3 2" xfId="8773"/>
    <cellStyle name="20% - 강조색3 2 3 20" xfId="8774"/>
    <cellStyle name="20% - 강조색3 2 3 21" xfId="8775"/>
    <cellStyle name="20% - 강조색3 2 3 3" xfId="8776"/>
    <cellStyle name="20% - 강조색3 2 3 4" xfId="8777"/>
    <cellStyle name="20% - 강조색3 2 3 5" xfId="8778"/>
    <cellStyle name="20% - 강조색3 2 3 6" xfId="8779"/>
    <cellStyle name="20% - 강조색3 2 3 7" xfId="8780"/>
    <cellStyle name="20% - 강조색3 2 3 8" xfId="8781"/>
    <cellStyle name="20% - 강조색3 2 3 9" xfId="8782"/>
    <cellStyle name="20% - 강조색3 2 30" xfId="8783"/>
    <cellStyle name="20% - 강조색3 2 31" xfId="8784"/>
    <cellStyle name="20% - 강조색3 2 4" xfId="884"/>
    <cellStyle name="20% - 강조색3 2 4 10" xfId="8785"/>
    <cellStyle name="20% - 강조색3 2 4 11" xfId="8786"/>
    <cellStyle name="20% - 강조색3 2 4 12" xfId="8787"/>
    <cellStyle name="20% - 강조색3 2 4 13" xfId="8788"/>
    <cellStyle name="20% - 강조색3 2 4 14" xfId="8789"/>
    <cellStyle name="20% - 강조색3 2 4 15" xfId="8790"/>
    <cellStyle name="20% - 강조색3 2 4 16" xfId="8791"/>
    <cellStyle name="20% - 강조색3 2 4 17" xfId="8792"/>
    <cellStyle name="20% - 강조색3 2 4 18" xfId="8793"/>
    <cellStyle name="20% - 강조색3 2 4 19" xfId="8794"/>
    <cellStyle name="20% - 강조색3 2 4 2" xfId="8795"/>
    <cellStyle name="20% - 강조색3 2 4 20" xfId="8796"/>
    <cellStyle name="20% - 강조색3 2 4 3" xfId="8797"/>
    <cellStyle name="20% - 강조색3 2 4 4" xfId="8798"/>
    <cellStyle name="20% - 강조색3 2 4 5" xfId="8799"/>
    <cellStyle name="20% - 강조색3 2 4 6" xfId="8800"/>
    <cellStyle name="20% - 강조색3 2 4 7" xfId="8801"/>
    <cellStyle name="20% - 강조색3 2 4 8" xfId="8802"/>
    <cellStyle name="20% - 강조색3 2 4 9" xfId="8803"/>
    <cellStyle name="20% - 강조색3 2 5" xfId="8804"/>
    <cellStyle name="20% - 강조색3 2 6" xfId="8805"/>
    <cellStyle name="20% - 강조색3 2 7" xfId="8806"/>
    <cellStyle name="20% - 강조색3 2 7 2" xfId="8807"/>
    <cellStyle name="20% - 강조색3 2 8" xfId="8808"/>
    <cellStyle name="20% - 강조색3 2 9" xfId="8809"/>
    <cellStyle name="20% - 강조색3 20" xfId="20624"/>
    <cellStyle name="20% - 강조색3 20 2" xfId="20625"/>
    <cellStyle name="20% - 강조색3 21" xfId="20626"/>
    <cellStyle name="20% - 강조색3 21 2" xfId="20627"/>
    <cellStyle name="20% - 강조색3 22" xfId="20628"/>
    <cellStyle name="20% - 강조색3 22 2" xfId="20629"/>
    <cellStyle name="20% - 강조색3 23" xfId="20630"/>
    <cellStyle name="20% - 강조색3 24" xfId="20631"/>
    <cellStyle name="20% - 강조색3 25" xfId="20632"/>
    <cellStyle name="20% - 강조색3 26" xfId="20633"/>
    <cellStyle name="20% - 강조색3 27" xfId="20634"/>
    <cellStyle name="20% - 강조색3 28" xfId="20635"/>
    <cellStyle name="20% - 강조색3 29" xfId="20636"/>
    <cellStyle name="20% - 강조색3 3" xfId="885"/>
    <cellStyle name="20% - 강조색3 3 10" xfId="8810"/>
    <cellStyle name="20% - 강조색3 3 11" xfId="8811"/>
    <cellStyle name="20% - 강조색3 3 12" xfId="8812"/>
    <cellStyle name="20% - 강조색3 3 13" xfId="8813"/>
    <cellStyle name="20% - 강조색3 3 14" xfId="8814"/>
    <cellStyle name="20% - 강조색3 3 15" xfId="8815"/>
    <cellStyle name="20% - 강조색3 3 16" xfId="8816"/>
    <cellStyle name="20% - 강조색3 3 17" xfId="8817"/>
    <cellStyle name="20% - 강조색3 3 18" xfId="8818"/>
    <cellStyle name="20% - 강조색3 3 19" xfId="8819"/>
    <cellStyle name="20% - 강조색3 3 2" xfId="8820"/>
    <cellStyle name="20% - 강조색3 3 2 10" xfId="8821"/>
    <cellStyle name="20% - 강조색3 3 2 11" xfId="8822"/>
    <cellStyle name="20% - 강조색3 3 2 12" xfId="8823"/>
    <cellStyle name="20% - 강조색3 3 2 13" xfId="8824"/>
    <cellStyle name="20% - 강조색3 3 2 14" xfId="8825"/>
    <cellStyle name="20% - 강조색3 3 2 15" xfId="8826"/>
    <cellStyle name="20% - 강조색3 3 2 16" xfId="8827"/>
    <cellStyle name="20% - 강조색3 3 2 17" xfId="8828"/>
    <cellStyle name="20% - 강조색3 3 2 18" xfId="8829"/>
    <cellStyle name="20% - 강조색3 3 2 19" xfId="8830"/>
    <cellStyle name="20% - 강조색3 3 2 2" xfId="8831"/>
    <cellStyle name="20% - 강조색3 3 2 20" xfId="8832"/>
    <cellStyle name="20% - 강조색3 3 2 21" xfId="8833"/>
    <cellStyle name="20% - 강조색3 3 2 3" xfId="8834"/>
    <cellStyle name="20% - 강조색3 3 2 4" xfId="8835"/>
    <cellStyle name="20% - 강조색3 3 2 5" xfId="8836"/>
    <cellStyle name="20% - 강조색3 3 2 6" xfId="8837"/>
    <cellStyle name="20% - 강조색3 3 2 7" xfId="8838"/>
    <cellStyle name="20% - 강조색3 3 2 8" xfId="8839"/>
    <cellStyle name="20% - 강조색3 3 2 9" xfId="8840"/>
    <cellStyle name="20% - 강조색3 3 20" xfId="8841"/>
    <cellStyle name="20% - 강조색3 3 21" xfId="8842"/>
    <cellStyle name="20% - 강조색3 3 22" xfId="8843"/>
    <cellStyle name="20% - 강조색3 3 23" xfId="8844"/>
    <cellStyle name="20% - 강조색3 3 24" xfId="8845"/>
    <cellStyle name="20% - 강조색3 3 25" xfId="8846"/>
    <cellStyle name="20% - 강조색3 3 26" xfId="8847"/>
    <cellStyle name="20% - 강조색3 3 27" xfId="8848"/>
    <cellStyle name="20% - 강조색3 3 28" xfId="8849"/>
    <cellStyle name="20% - 강조색3 3 29" xfId="8850"/>
    <cellStyle name="20% - 강조색3 3 3" xfId="8851"/>
    <cellStyle name="20% - 강조색3 3 3 10" xfId="8852"/>
    <cellStyle name="20% - 강조색3 3 3 11" xfId="8853"/>
    <cellStyle name="20% - 강조색3 3 3 12" xfId="8854"/>
    <cellStyle name="20% - 강조색3 3 3 13" xfId="8855"/>
    <cellStyle name="20% - 강조색3 3 3 14" xfId="8856"/>
    <cellStyle name="20% - 강조색3 3 3 15" xfId="8857"/>
    <cellStyle name="20% - 강조색3 3 3 16" xfId="8858"/>
    <cellStyle name="20% - 강조색3 3 3 17" xfId="8859"/>
    <cellStyle name="20% - 강조색3 3 3 18" xfId="8860"/>
    <cellStyle name="20% - 강조색3 3 3 19" xfId="8861"/>
    <cellStyle name="20% - 강조색3 3 3 2" xfId="8862"/>
    <cellStyle name="20% - 강조색3 3 3 20" xfId="8863"/>
    <cellStyle name="20% - 강조색3 3 3 21" xfId="8864"/>
    <cellStyle name="20% - 강조색3 3 3 3" xfId="8865"/>
    <cellStyle name="20% - 강조색3 3 3 4" xfId="8866"/>
    <cellStyle name="20% - 강조색3 3 3 5" xfId="8867"/>
    <cellStyle name="20% - 강조색3 3 3 6" xfId="8868"/>
    <cellStyle name="20% - 강조색3 3 3 7" xfId="8869"/>
    <cellStyle name="20% - 강조색3 3 3 8" xfId="8870"/>
    <cellStyle name="20% - 강조색3 3 3 9" xfId="8871"/>
    <cellStyle name="20% - 강조색3 3 30" xfId="8872"/>
    <cellStyle name="20% - 강조색3 3 31" xfId="8873"/>
    <cellStyle name="20% - 강조색3 3 32" xfId="8874"/>
    <cellStyle name="20% - 강조색3 3 4" xfId="8875"/>
    <cellStyle name="20% - 강조색3 3 4 10" xfId="8876"/>
    <cellStyle name="20% - 강조색3 3 4 11" xfId="8877"/>
    <cellStyle name="20% - 강조색3 3 4 12" xfId="8878"/>
    <cellStyle name="20% - 강조색3 3 4 13" xfId="8879"/>
    <cellStyle name="20% - 강조색3 3 4 14" xfId="8880"/>
    <cellStyle name="20% - 강조색3 3 4 15" xfId="8881"/>
    <cellStyle name="20% - 강조색3 3 4 16" xfId="8882"/>
    <cellStyle name="20% - 강조색3 3 4 17" xfId="8883"/>
    <cellStyle name="20% - 강조색3 3 4 18" xfId="8884"/>
    <cellStyle name="20% - 강조색3 3 4 19" xfId="8885"/>
    <cellStyle name="20% - 강조색3 3 4 2" xfId="8886"/>
    <cellStyle name="20% - 강조색3 3 4 20" xfId="8887"/>
    <cellStyle name="20% - 강조색3 3 4 3" xfId="8888"/>
    <cellStyle name="20% - 강조색3 3 4 4" xfId="8889"/>
    <cellStyle name="20% - 강조색3 3 4 5" xfId="8890"/>
    <cellStyle name="20% - 강조색3 3 4 6" xfId="8891"/>
    <cellStyle name="20% - 강조색3 3 4 7" xfId="8892"/>
    <cellStyle name="20% - 강조색3 3 4 8" xfId="8893"/>
    <cellStyle name="20% - 강조색3 3 4 9" xfId="8894"/>
    <cellStyle name="20% - 강조색3 3 5" xfId="8895"/>
    <cellStyle name="20% - 강조색3 3 6" xfId="8896"/>
    <cellStyle name="20% - 강조색3 3 7" xfId="8897"/>
    <cellStyle name="20% - 강조색3 3 8" xfId="8898"/>
    <cellStyle name="20% - 강조색3 3 9" xfId="8899"/>
    <cellStyle name="20% - 강조색3 30" xfId="20637"/>
    <cellStyle name="20% - 강조색3 31" xfId="20638"/>
    <cellStyle name="20% - 강조색3 32" xfId="20639"/>
    <cellStyle name="20% - 강조색3 33" xfId="20640"/>
    <cellStyle name="20% - 강조색3 34" xfId="20641"/>
    <cellStyle name="20% - 강조색3 34 2" xfId="20642"/>
    <cellStyle name="20% - 강조색3 34 2 2" xfId="20643"/>
    <cellStyle name="20% - 강조색3 34 3" xfId="20644"/>
    <cellStyle name="20% - 강조색3 34 4" xfId="20645"/>
    <cellStyle name="20% - 강조색3 34 5" xfId="20646"/>
    <cellStyle name="20% - 강조색3 35" xfId="20647"/>
    <cellStyle name="20% - 강조색3 35 2" xfId="20648"/>
    <cellStyle name="20% - 강조색3 35 2 2" xfId="20649"/>
    <cellStyle name="20% - 강조색3 35 3" xfId="20650"/>
    <cellStyle name="20% - 강조색3 35 4" xfId="20651"/>
    <cellStyle name="20% - 강조색3 35 5" xfId="20652"/>
    <cellStyle name="20% - 강조색3 36" xfId="20653"/>
    <cellStyle name="20% - 강조색3 36 2" xfId="20654"/>
    <cellStyle name="20% - 강조색3 36 2 2" xfId="20655"/>
    <cellStyle name="20% - 강조색3 36 3" xfId="20656"/>
    <cellStyle name="20% - 강조색3 36 4" xfId="20657"/>
    <cellStyle name="20% - 강조색3 36 5" xfId="20658"/>
    <cellStyle name="20% - 강조색3 4" xfId="886"/>
    <cellStyle name="20% - 강조색3 4 10" xfId="8900"/>
    <cellStyle name="20% - 강조색3 4 2" xfId="8901"/>
    <cellStyle name="20% - 강조색3 4 2 2" xfId="8902"/>
    <cellStyle name="20% - 강조색3 4 3" xfId="8903"/>
    <cellStyle name="20% - 강조색3 4 3 2" xfId="8904"/>
    <cellStyle name="20% - 강조색3 4 4" xfId="8905"/>
    <cellStyle name="20% - 강조색3 4 5" xfId="8906"/>
    <cellStyle name="20% - 강조색3 4 6" xfId="8907"/>
    <cellStyle name="20% - 강조색3 4 7" xfId="8908"/>
    <cellStyle name="20% - 강조색3 4 8" xfId="8909"/>
    <cellStyle name="20% - 강조색3 4 9" xfId="8910"/>
    <cellStyle name="20% - 강조색3 5" xfId="887"/>
    <cellStyle name="20% - 강조색3 5 2" xfId="8911"/>
    <cellStyle name="20% - 강조색3 5 2 2" xfId="8912"/>
    <cellStyle name="20% - 강조색3 5 3" xfId="8913"/>
    <cellStyle name="20% - 강조색3 5 3 2" xfId="8914"/>
    <cellStyle name="20% - 강조색3 5 4" xfId="8915"/>
    <cellStyle name="20% - 강조색3 6" xfId="8916"/>
    <cellStyle name="20% - 강조색3 6 2" xfId="8917"/>
    <cellStyle name="20% - 강조색3 6 3" xfId="8918"/>
    <cellStyle name="20% - 강조색3 7" xfId="8919"/>
    <cellStyle name="20% - 강조색3 7 2" xfId="8920"/>
    <cellStyle name="20% - 강조색3 7 3" xfId="8921"/>
    <cellStyle name="20% - 강조색3 8" xfId="8922"/>
    <cellStyle name="20% - 강조색3 8 2" xfId="8923"/>
    <cellStyle name="20% - 강조색3 8 3" xfId="8924"/>
    <cellStyle name="20% - 강조색3 9" xfId="8925"/>
    <cellStyle name="20% - 강조색4 10" xfId="8926"/>
    <cellStyle name="20% - 강조색4 11" xfId="8927"/>
    <cellStyle name="20% - 강조색4 12" xfId="8928"/>
    <cellStyle name="20% - 강조색4 13" xfId="8929"/>
    <cellStyle name="20% - 강조색4 13 2" xfId="8930"/>
    <cellStyle name="20% - 강조색4 14" xfId="8931"/>
    <cellStyle name="20% - 강조색4 14 2" xfId="8932"/>
    <cellStyle name="20% - 강조색4 15" xfId="20659"/>
    <cellStyle name="20% - 강조색4 16" xfId="20660"/>
    <cellStyle name="20% - 강조색4 17" xfId="20661"/>
    <cellStyle name="20% - 강조색4 18" xfId="20662"/>
    <cellStyle name="20% - 강조색4 18 2" xfId="20663"/>
    <cellStyle name="20% - 강조색4 19" xfId="20664"/>
    <cellStyle name="20% - 강조색4 19 2" xfId="20665"/>
    <cellStyle name="20% - 강조색4 2" xfId="888"/>
    <cellStyle name="20% - 강조색4 2 10" xfId="8933"/>
    <cellStyle name="20% - 강조색4 2 11" xfId="8934"/>
    <cellStyle name="20% - 강조색4 2 12" xfId="8935"/>
    <cellStyle name="20% - 강조색4 2 13" xfId="8936"/>
    <cellStyle name="20% - 강조색4 2 14" xfId="8937"/>
    <cellStyle name="20% - 강조색4 2 15" xfId="8938"/>
    <cellStyle name="20% - 강조색4 2 16" xfId="8939"/>
    <cellStyle name="20% - 강조색4 2 17" xfId="8940"/>
    <cellStyle name="20% - 강조색4 2 18" xfId="8941"/>
    <cellStyle name="20% - 강조색4 2 19" xfId="8942"/>
    <cellStyle name="20% - 강조색4 2 2" xfId="889"/>
    <cellStyle name="20% - 강조색4 2 2 10" xfId="8943"/>
    <cellStyle name="20% - 강조색4 2 2 11" xfId="8944"/>
    <cellStyle name="20% - 강조색4 2 2 12" xfId="8945"/>
    <cellStyle name="20% - 강조색4 2 2 13" xfId="8946"/>
    <cellStyle name="20% - 강조색4 2 2 14" xfId="8947"/>
    <cellStyle name="20% - 강조색4 2 2 15" xfId="8948"/>
    <cellStyle name="20% - 강조색4 2 2 16" xfId="8949"/>
    <cellStyle name="20% - 강조색4 2 2 17" xfId="8950"/>
    <cellStyle name="20% - 강조색4 2 2 18" xfId="8951"/>
    <cellStyle name="20% - 강조색4 2 2 19" xfId="8952"/>
    <cellStyle name="20% - 강조색4 2 2 2" xfId="8953"/>
    <cellStyle name="20% - 강조색4 2 2 20" xfId="8954"/>
    <cellStyle name="20% - 강조색4 2 2 21" xfId="8955"/>
    <cellStyle name="20% - 강조색4 2 2 22" xfId="8956"/>
    <cellStyle name="20% - 강조색4 2 2 23" xfId="8957"/>
    <cellStyle name="20% - 강조색4 2 2 3" xfId="8958"/>
    <cellStyle name="20% - 강조색4 2 2 4" xfId="8959"/>
    <cellStyle name="20% - 강조색4 2 2 5" xfId="8960"/>
    <cellStyle name="20% - 강조색4 2 2 6" xfId="8961"/>
    <cellStyle name="20% - 강조색4 2 2 7" xfId="8962"/>
    <cellStyle name="20% - 강조색4 2 2 8" xfId="8963"/>
    <cellStyle name="20% - 강조색4 2 2 9" xfId="8964"/>
    <cellStyle name="20% - 강조색4 2 20" xfId="8965"/>
    <cellStyle name="20% - 강조색4 2 21" xfId="8966"/>
    <cellStyle name="20% - 강조색4 2 22" xfId="8967"/>
    <cellStyle name="20% - 강조색4 2 23" xfId="8968"/>
    <cellStyle name="20% - 강조색4 2 24" xfId="8969"/>
    <cellStyle name="20% - 강조색4 2 25" xfId="8970"/>
    <cellStyle name="20% - 강조색4 2 26" xfId="8971"/>
    <cellStyle name="20% - 강조색4 2 27" xfId="8972"/>
    <cellStyle name="20% - 강조색4 2 28" xfId="8973"/>
    <cellStyle name="20% - 강조색4 2 29" xfId="8974"/>
    <cellStyle name="20% - 강조색4 2 3" xfId="890"/>
    <cellStyle name="20% - 강조색4 2 3 10" xfId="8975"/>
    <cellStyle name="20% - 강조색4 2 3 11" xfId="8976"/>
    <cellStyle name="20% - 강조색4 2 3 12" xfId="8977"/>
    <cellStyle name="20% - 강조색4 2 3 13" xfId="8978"/>
    <cellStyle name="20% - 강조색4 2 3 14" xfId="8979"/>
    <cellStyle name="20% - 강조색4 2 3 15" xfId="8980"/>
    <cellStyle name="20% - 강조색4 2 3 16" xfId="8981"/>
    <cellStyle name="20% - 강조색4 2 3 17" xfId="8982"/>
    <cellStyle name="20% - 강조색4 2 3 18" xfId="8983"/>
    <cellStyle name="20% - 강조색4 2 3 19" xfId="8984"/>
    <cellStyle name="20% - 강조색4 2 3 2" xfId="8985"/>
    <cellStyle name="20% - 강조색4 2 3 20" xfId="8986"/>
    <cellStyle name="20% - 강조색4 2 3 21" xfId="8987"/>
    <cellStyle name="20% - 강조색4 2 3 3" xfId="8988"/>
    <cellStyle name="20% - 강조색4 2 3 4" xfId="8989"/>
    <cellStyle name="20% - 강조색4 2 3 5" xfId="8990"/>
    <cellStyle name="20% - 강조색4 2 3 6" xfId="8991"/>
    <cellStyle name="20% - 강조색4 2 3 7" xfId="8992"/>
    <cellStyle name="20% - 강조색4 2 3 8" xfId="8993"/>
    <cellStyle name="20% - 강조색4 2 3 9" xfId="8994"/>
    <cellStyle name="20% - 강조색4 2 30" xfId="8995"/>
    <cellStyle name="20% - 강조색4 2 31" xfId="8996"/>
    <cellStyle name="20% - 강조색4 2 4" xfId="891"/>
    <cellStyle name="20% - 강조색4 2 4 10" xfId="8997"/>
    <cellStyle name="20% - 강조색4 2 4 11" xfId="8998"/>
    <cellStyle name="20% - 강조색4 2 4 12" xfId="8999"/>
    <cellStyle name="20% - 강조색4 2 4 13" xfId="9000"/>
    <cellStyle name="20% - 강조색4 2 4 14" xfId="9001"/>
    <cellStyle name="20% - 강조색4 2 4 15" xfId="9002"/>
    <cellStyle name="20% - 강조색4 2 4 16" xfId="9003"/>
    <cellStyle name="20% - 강조색4 2 4 17" xfId="9004"/>
    <cellStyle name="20% - 강조색4 2 4 18" xfId="9005"/>
    <cellStyle name="20% - 강조색4 2 4 19" xfId="9006"/>
    <cellStyle name="20% - 강조색4 2 4 2" xfId="9007"/>
    <cellStyle name="20% - 강조색4 2 4 20" xfId="9008"/>
    <cellStyle name="20% - 강조색4 2 4 3" xfId="9009"/>
    <cellStyle name="20% - 강조색4 2 4 4" xfId="9010"/>
    <cellStyle name="20% - 강조색4 2 4 5" xfId="9011"/>
    <cellStyle name="20% - 강조색4 2 4 6" xfId="9012"/>
    <cellStyle name="20% - 강조색4 2 4 7" xfId="9013"/>
    <cellStyle name="20% - 강조색4 2 4 8" xfId="9014"/>
    <cellStyle name="20% - 강조색4 2 4 9" xfId="9015"/>
    <cellStyle name="20% - 강조색4 2 5" xfId="9016"/>
    <cellStyle name="20% - 강조색4 2 6" xfId="9017"/>
    <cellStyle name="20% - 강조색4 2 7" xfId="9018"/>
    <cellStyle name="20% - 강조색4 2 7 2" xfId="9019"/>
    <cellStyle name="20% - 강조색4 2 8" xfId="9020"/>
    <cellStyle name="20% - 강조색4 2 9" xfId="9021"/>
    <cellStyle name="20% - 강조색4 20" xfId="20666"/>
    <cellStyle name="20% - 강조색4 20 2" xfId="20667"/>
    <cellStyle name="20% - 강조색4 21" xfId="20668"/>
    <cellStyle name="20% - 강조색4 21 2" xfId="20669"/>
    <cellStyle name="20% - 강조색4 22" xfId="20670"/>
    <cellStyle name="20% - 강조색4 22 2" xfId="20671"/>
    <cellStyle name="20% - 강조색4 23" xfId="20672"/>
    <cellStyle name="20% - 강조색4 24" xfId="20673"/>
    <cellStyle name="20% - 강조색4 25" xfId="20674"/>
    <cellStyle name="20% - 강조색4 26" xfId="20675"/>
    <cellStyle name="20% - 강조색4 27" xfId="20676"/>
    <cellStyle name="20% - 강조색4 28" xfId="20677"/>
    <cellStyle name="20% - 강조색4 29" xfId="20678"/>
    <cellStyle name="20% - 강조색4 3" xfId="892"/>
    <cellStyle name="20% - 강조색4 3 10" xfId="9022"/>
    <cellStyle name="20% - 강조색4 3 11" xfId="9023"/>
    <cellStyle name="20% - 강조색4 3 12" xfId="9024"/>
    <cellStyle name="20% - 강조색4 3 13" xfId="9025"/>
    <cellStyle name="20% - 강조색4 3 14" xfId="9026"/>
    <cellStyle name="20% - 강조색4 3 15" xfId="9027"/>
    <cellStyle name="20% - 강조색4 3 16" xfId="9028"/>
    <cellStyle name="20% - 강조색4 3 17" xfId="9029"/>
    <cellStyle name="20% - 강조색4 3 18" xfId="9030"/>
    <cellStyle name="20% - 강조색4 3 19" xfId="9031"/>
    <cellStyle name="20% - 강조색4 3 2" xfId="9032"/>
    <cellStyle name="20% - 강조색4 3 2 10" xfId="9033"/>
    <cellStyle name="20% - 강조색4 3 2 11" xfId="9034"/>
    <cellStyle name="20% - 강조색4 3 2 12" xfId="9035"/>
    <cellStyle name="20% - 강조색4 3 2 13" xfId="9036"/>
    <cellStyle name="20% - 강조색4 3 2 14" xfId="9037"/>
    <cellStyle name="20% - 강조색4 3 2 15" xfId="9038"/>
    <cellStyle name="20% - 강조색4 3 2 16" xfId="9039"/>
    <cellStyle name="20% - 강조색4 3 2 17" xfId="9040"/>
    <cellStyle name="20% - 강조색4 3 2 18" xfId="9041"/>
    <cellStyle name="20% - 강조색4 3 2 19" xfId="9042"/>
    <cellStyle name="20% - 강조색4 3 2 2" xfId="9043"/>
    <cellStyle name="20% - 강조색4 3 2 20" xfId="9044"/>
    <cellStyle name="20% - 강조색4 3 2 21" xfId="9045"/>
    <cellStyle name="20% - 강조색4 3 2 3" xfId="9046"/>
    <cellStyle name="20% - 강조색4 3 2 4" xfId="9047"/>
    <cellStyle name="20% - 강조색4 3 2 5" xfId="9048"/>
    <cellStyle name="20% - 강조색4 3 2 6" xfId="9049"/>
    <cellStyle name="20% - 강조색4 3 2 7" xfId="9050"/>
    <cellStyle name="20% - 강조색4 3 2 8" xfId="9051"/>
    <cellStyle name="20% - 강조색4 3 2 9" xfId="9052"/>
    <cellStyle name="20% - 강조색4 3 20" xfId="9053"/>
    <cellStyle name="20% - 강조색4 3 21" xfId="9054"/>
    <cellStyle name="20% - 강조색4 3 22" xfId="9055"/>
    <cellStyle name="20% - 강조색4 3 23" xfId="9056"/>
    <cellStyle name="20% - 강조색4 3 24" xfId="9057"/>
    <cellStyle name="20% - 강조색4 3 25" xfId="9058"/>
    <cellStyle name="20% - 강조색4 3 26" xfId="9059"/>
    <cellStyle name="20% - 강조색4 3 27" xfId="9060"/>
    <cellStyle name="20% - 강조색4 3 28" xfId="9061"/>
    <cellStyle name="20% - 강조색4 3 29" xfId="9062"/>
    <cellStyle name="20% - 강조색4 3 3" xfId="9063"/>
    <cellStyle name="20% - 강조색4 3 3 10" xfId="9064"/>
    <cellStyle name="20% - 강조색4 3 3 11" xfId="9065"/>
    <cellStyle name="20% - 강조색4 3 3 12" xfId="9066"/>
    <cellStyle name="20% - 강조색4 3 3 13" xfId="9067"/>
    <cellStyle name="20% - 강조색4 3 3 14" xfId="9068"/>
    <cellStyle name="20% - 강조색4 3 3 15" xfId="9069"/>
    <cellStyle name="20% - 강조색4 3 3 16" xfId="9070"/>
    <cellStyle name="20% - 강조색4 3 3 17" xfId="9071"/>
    <cellStyle name="20% - 강조색4 3 3 18" xfId="9072"/>
    <cellStyle name="20% - 강조색4 3 3 19" xfId="9073"/>
    <cellStyle name="20% - 강조색4 3 3 2" xfId="9074"/>
    <cellStyle name="20% - 강조색4 3 3 20" xfId="9075"/>
    <cellStyle name="20% - 강조색4 3 3 21" xfId="9076"/>
    <cellStyle name="20% - 강조색4 3 3 3" xfId="9077"/>
    <cellStyle name="20% - 강조색4 3 3 4" xfId="9078"/>
    <cellStyle name="20% - 강조색4 3 3 5" xfId="9079"/>
    <cellStyle name="20% - 강조색4 3 3 6" xfId="9080"/>
    <cellStyle name="20% - 강조색4 3 3 7" xfId="9081"/>
    <cellStyle name="20% - 강조색4 3 3 8" xfId="9082"/>
    <cellStyle name="20% - 강조색4 3 3 9" xfId="9083"/>
    <cellStyle name="20% - 강조색4 3 30" xfId="9084"/>
    <cellStyle name="20% - 강조색4 3 31" xfId="9085"/>
    <cellStyle name="20% - 강조색4 3 32" xfId="9086"/>
    <cellStyle name="20% - 강조색4 3 4" xfId="9087"/>
    <cellStyle name="20% - 강조색4 3 4 10" xfId="9088"/>
    <cellStyle name="20% - 강조색4 3 4 11" xfId="9089"/>
    <cellStyle name="20% - 강조색4 3 4 12" xfId="9090"/>
    <cellStyle name="20% - 강조색4 3 4 13" xfId="9091"/>
    <cellStyle name="20% - 강조색4 3 4 14" xfId="9092"/>
    <cellStyle name="20% - 강조색4 3 4 15" xfId="9093"/>
    <cellStyle name="20% - 강조색4 3 4 16" xfId="9094"/>
    <cellStyle name="20% - 강조색4 3 4 17" xfId="9095"/>
    <cellStyle name="20% - 강조색4 3 4 18" xfId="9096"/>
    <cellStyle name="20% - 강조색4 3 4 19" xfId="9097"/>
    <cellStyle name="20% - 강조색4 3 4 2" xfId="9098"/>
    <cellStyle name="20% - 강조색4 3 4 20" xfId="9099"/>
    <cellStyle name="20% - 강조색4 3 4 3" xfId="9100"/>
    <cellStyle name="20% - 강조색4 3 4 4" xfId="9101"/>
    <cellStyle name="20% - 강조색4 3 4 5" xfId="9102"/>
    <cellStyle name="20% - 강조색4 3 4 6" xfId="9103"/>
    <cellStyle name="20% - 강조색4 3 4 7" xfId="9104"/>
    <cellStyle name="20% - 강조색4 3 4 8" xfId="9105"/>
    <cellStyle name="20% - 강조색4 3 4 9" xfId="9106"/>
    <cellStyle name="20% - 강조색4 3 5" xfId="9107"/>
    <cellStyle name="20% - 강조색4 3 6" xfId="9108"/>
    <cellStyle name="20% - 강조색4 3 7" xfId="9109"/>
    <cellStyle name="20% - 강조색4 3 8" xfId="9110"/>
    <cellStyle name="20% - 강조색4 3 9" xfId="9111"/>
    <cellStyle name="20% - 강조색4 30" xfId="20679"/>
    <cellStyle name="20% - 강조색4 31" xfId="20680"/>
    <cellStyle name="20% - 강조색4 32" xfId="20681"/>
    <cellStyle name="20% - 강조색4 33" xfId="20682"/>
    <cellStyle name="20% - 강조색4 34" xfId="20683"/>
    <cellStyle name="20% - 강조색4 34 2" xfId="20684"/>
    <cellStyle name="20% - 강조색4 34 2 2" xfId="20685"/>
    <cellStyle name="20% - 강조색4 34 3" xfId="20686"/>
    <cellStyle name="20% - 강조색4 34 4" xfId="20687"/>
    <cellStyle name="20% - 강조색4 34 5" xfId="20688"/>
    <cellStyle name="20% - 강조색4 35" xfId="20689"/>
    <cellStyle name="20% - 강조색4 35 2" xfId="20690"/>
    <cellStyle name="20% - 강조색4 35 2 2" xfId="20691"/>
    <cellStyle name="20% - 강조색4 35 3" xfId="20692"/>
    <cellStyle name="20% - 강조색4 35 4" xfId="20693"/>
    <cellStyle name="20% - 강조색4 35 5" xfId="20694"/>
    <cellStyle name="20% - 강조색4 36" xfId="20695"/>
    <cellStyle name="20% - 강조색4 36 2" xfId="20696"/>
    <cellStyle name="20% - 강조색4 36 2 2" xfId="20697"/>
    <cellStyle name="20% - 강조색4 36 3" xfId="20698"/>
    <cellStyle name="20% - 강조색4 36 4" xfId="20699"/>
    <cellStyle name="20% - 강조색4 36 5" xfId="20700"/>
    <cellStyle name="20% - 강조색4 4" xfId="893"/>
    <cellStyle name="20% - 강조색4 4 10" xfId="9112"/>
    <cellStyle name="20% - 강조색4 4 2" xfId="9113"/>
    <cellStyle name="20% - 강조색4 4 2 2" xfId="9114"/>
    <cellStyle name="20% - 강조색4 4 3" xfId="9115"/>
    <cellStyle name="20% - 강조색4 4 3 2" xfId="9116"/>
    <cellStyle name="20% - 강조색4 4 4" xfId="9117"/>
    <cellStyle name="20% - 강조색4 4 5" xfId="9118"/>
    <cellStyle name="20% - 강조색4 4 6" xfId="9119"/>
    <cellStyle name="20% - 강조색4 4 7" xfId="9120"/>
    <cellStyle name="20% - 강조색4 4 8" xfId="9121"/>
    <cellStyle name="20% - 강조색4 4 9" xfId="9122"/>
    <cellStyle name="20% - 강조색4 5" xfId="894"/>
    <cellStyle name="20% - 강조색4 5 2" xfId="9123"/>
    <cellStyle name="20% - 강조색4 5 2 2" xfId="9124"/>
    <cellStyle name="20% - 강조색4 5 3" xfId="9125"/>
    <cellStyle name="20% - 강조색4 5 3 2" xfId="9126"/>
    <cellStyle name="20% - 강조색4 5 4" xfId="9127"/>
    <cellStyle name="20% - 강조색4 6" xfId="9128"/>
    <cellStyle name="20% - 강조색4 6 2" xfId="9129"/>
    <cellStyle name="20% - 강조색4 6 3" xfId="9130"/>
    <cellStyle name="20% - 강조색4 7" xfId="9131"/>
    <cellStyle name="20% - 강조색4 7 2" xfId="9132"/>
    <cellStyle name="20% - 강조색4 7 3" xfId="9133"/>
    <cellStyle name="20% - 강조색4 8" xfId="9134"/>
    <cellStyle name="20% - 강조색4 8 2" xfId="9135"/>
    <cellStyle name="20% - 강조색4 8 3" xfId="9136"/>
    <cellStyle name="20% - 강조색4 9" xfId="9137"/>
    <cellStyle name="20% - 강조색5 10" xfId="9138"/>
    <cellStyle name="20% - 강조색5 11" xfId="9139"/>
    <cellStyle name="20% - 강조색5 12" xfId="9140"/>
    <cellStyle name="20% - 강조색5 13" xfId="9141"/>
    <cellStyle name="20% - 강조색5 13 2" xfId="9142"/>
    <cellStyle name="20% - 강조색5 14" xfId="9143"/>
    <cellStyle name="20% - 강조색5 14 2" xfId="9144"/>
    <cellStyle name="20% - 강조색5 15" xfId="20701"/>
    <cellStyle name="20% - 강조색5 16" xfId="20702"/>
    <cellStyle name="20% - 강조색5 17" xfId="20703"/>
    <cellStyle name="20% - 강조색5 18" xfId="20704"/>
    <cellStyle name="20% - 강조색5 18 2" xfId="20705"/>
    <cellStyle name="20% - 강조색5 19" xfId="20706"/>
    <cellStyle name="20% - 강조색5 19 2" xfId="20707"/>
    <cellStyle name="20% - 강조색5 2" xfId="895"/>
    <cellStyle name="20% - 강조색5 2 10" xfId="9145"/>
    <cellStyle name="20% - 강조색5 2 11" xfId="9146"/>
    <cellStyle name="20% - 강조색5 2 12" xfId="9147"/>
    <cellStyle name="20% - 강조색5 2 13" xfId="9148"/>
    <cellStyle name="20% - 강조색5 2 14" xfId="9149"/>
    <cellStyle name="20% - 강조색5 2 15" xfId="9150"/>
    <cellStyle name="20% - 강조색5 2 16" xfId="9151"/>
    <cellStyle name="20% - 강조색5 2 17" xfId="9152"/>
    <cellStyle name="20% - 강조색5 2 18" xfId="9153"/>
    <cellStyle name="20% - 강조색5 2 19" xfId="9154"/>
    <cellStyle name="20% - 강조색5 2 2" xfId="896"/>
    <cellStyle name="20% - 강조색5 2 2 10" xfId="9155"/>
    <cellStyle name="20% - 강조색5 2 2 11" xfId="9156"/>
    <cellStyle name="20% - 강조색5 2 2 12" xfId="9157"/>
    <cellStyle name="20% - 강조색5 2 2 13" xfId="9158"/>
    <cellStyle name="20% - 강조색5 2 2 14" xfId="9159"/>
    <cellStyle name="20% - 강조색5 2 2 15" xfId="9160"/>
    <cellStyle name="20% - 강조색5 2 2 16" xfId="9161"/>
    <cellStyle name="20% - 강조색5 2 2 17" xfId="9162"/>
    <cellStyle name="20% - 강조색5 2 2 18" xfId="9163"/>
    <cellStyle name="20% - 강조색5 2 2 19" xfId="9164"/>
    <cellStyle name="20% - 강조색5 2 2 2" xfId="9165"/>
    <cellStyle name="20% - 강조색5 2 2 20" xfId="9166"/>
    <cellStyle name="20% - 강조색5 2 2 21" xfId="9167"/>
    <cellStyle name="20% - 강조색5 2 2 22" xfId="9168"/>
    <cellStyle name="20% - 강조색5 2 2 3" xfId="9169"/>
    <cellStyle name="20% - 강조색5 2 2 4" xfId="9170"/>
    <cellStyle name="20% - 강조색5 2 2 5" xfId="9171"/>
    <cellStyle name="20% - 강조색5 2 2 6" xfId="9172"/>
    <cellStyle name="20% - 강조색5 2 2 7" xfId="9173"/>
    <cellStyle name="20% - 강조색5 2 2 8" xfId="9174"/>
    <cellStyle name="20% - 강조색5 2 2 9" xfId="9175"/>
    <cellStyle name="20% - 강조색5 2 20" xfId="9176"/>
    <cellStyle name="20% - 강조색5 2 21" xfId="9177"/>
    <cellStyle name="20% - 강조색5 2 22" xfId="9178"/>
    <cellStyle name="20% - 강조색5 2 23" xfId="9179"/>
    <cellStyle name="20% - 강조색5 2 24" xfId="9180"/>
    <cellStyle name="20% - 강조색5 2 25" xfId="9181"/>
    <cellStyle name="20% - 강조색5 2 26" xfId="9182"/>
    <cellStyle name="20% - 강조색5 2 27" xfId="9183"/>
    <cellStyle name="20% - 강조색5 2 28" xfId="9184"/>
    <cellStyle name="20% - 강조색5 2 29" xfId="9185"/>
    <cellStyle name="20% - 강조색5 2 3" xfId="897"/>
    <cellStyle name="20% - 강조색5 2 3 10" xfId="9186"/>
    <cellStyle name="20% - 강조색5 2 3 11" xfId="9187"/>
    <cellStyle name="20% - 강조색5 2 3 12" xfId="9188"/>
    <cellStyle name="20% - 강조색5 2 3 13" xfId="9189"/>
    <cellStyle name="20% - 강조색5 2 3 14" xfId="9190"/>
    <cellStyle name="20% - 강조색5 2 3 15" xfId="9191"/>
    <cellStyle name="20% - 강조색5 2 3 16" xfId="9192"/>
    <cellStyle name="20% - 강조색5 2 3 17" xfId="9193"/>
    <cellStyle name="20% - 강조색5 2 3 18" xfId="9194"/>
    <cellStyle name="20% - 강조색5 2 3 19" xfId="9195"/>
    <cellStyle name="20% - 강조색5 2 3 2" xfId="9196"/>
    <cellStyle name="20% - 강조색5 2 3 20" xfId="9197"/>
    <cellStyle name="20% - 강조색5 2 3 21" xfId="9198"/>
    <cellStyle name="20% - 강조색5 2 3 3" xfId="9199"/>
    <cellStyle name="20% - 강조색5 2 3 4" xfId="9200"/>
    <cellStyle name="20% - 강조색5 2 3 5" xfId="9201"/>
    <cellStyle name="20% - 강조색5 2 3 6" xfId="9202"/>
    <cellStyle name="20% - 강조색5 2 3 7" xfId="9203"/>
    <cellStyle name="20% - 강조색5 2 3 8" xfId="9204"/>
    <cellStyle name="20% - 강조색5 2 3 9" xfId="9205"/>
    <cellStyle name="20% - 강조색5 2 30" xfId="9206"/>
    <cellStyle name="20% - 강조색5 2 4" xfId="898"/>
    <cellStyle name="20% - 강조색5 2 4 10" xfId="9207"/>
    <cellStyle name="20% - 강조색5 2 4 11" xfId="9208"/>
    <cellStyle name="20% - 강조색5 2 4 12" xfId="9209"/>
    <cellStyle name="20% - 강조색5 2 4 13" xfId="9210"/>
    <cellStyle name="20% - 강조색5 2 4 14" xfId="9211"/>
    <cellStyle name="20% - 강조색5 2 4 15" xfId="9212"/>
    <cellStyle name="20% - 강조색5 2 4 16" xfId="9213"/>
    <cellStyle name="20% - 강조색5 2 4 17" xfId="9214"/>
    <cellStyle name="20% - 강조색5 2 4 18" xfId="9215"/>
    <cellStyle name="20% - 강조색5 2 4 19" xfId="9216"/>
    <cellStyle name="20% - 강조색5 2 4 2" xfId="9217"/>
    <cellStyle name="20% - 강조색5 2 4 20" xfId="9218"/>
    <cellStyle name="20% - 강조색5 2 4 3" xfId="9219"/>
    <cellStyle name="20% - 강조색5 2 4 4" xfId="9220"/>
    <cellStyle name="20% - 강조색5 2 4 5" xfId="9221"/>
    <cellStyle name="20% - 강조색5 2 4 6" xfId="9222"/>
    <cellStyle name="20% - 강조색5 2 4 7" xfId="9223"/>
    <cellStyle name="20% - 강조색5 2 4 8" xfId="9224"/>
    <cellStyle name="20% - 강조색5 2 4 9" xfId="9225"/>
    <cellStyle name="20% - 강조색5 2 5" xfId="9226"/>
    <cellStyle name="20% - 강조색5 2 6" xfId="9227"/>
    <cellStyle name="20% - 강조색5 2 7" xfId="9228"/>
    <cellStyle name="20% - 강조색5 2 7 2" xfId="9229"/>
    <cellStyle name="20% - 강조색5 2 8" xfId="9230"/>
    <cellStyle name="20% - 강조색5 2 9" xfId="9231"/>
    <cellStyle name="20% - 강조색5 20" xfId="20708"/>
    <cellStyle name="20% - 강조색5 20 2" xfId="20709"/>
    <cellStyle name="20% - 강조색5 21" xfId="20710"/>
    <cellStyle name="20% - 강조색5 21 2" xfId="20711"/>
    <cellStyle name="20% - 강조색5 22" xfId="20712"/>
    <cellStyle name="20% - 강조색5 22 2" xfId="20713"/>
    <cellStyle name="20% - 강조색5 23" xfId="20714"/>
    <cellStyle name="20% - 강조색5 24" xfId="20715"/>
    <cellStyle name="20% - 강조색5 25" xfId="20716"/>
    <cellStyle name="20% - 강조색5 26" xfId="20717"/>
    <cellStyle name="20% - 강조색5 27" xfId="20718"/>
    <cellStyle name="20% - 강조색5 28" xfId="20719"/>
    <cellStyle name="20% - 강조색5 29" xfId="20720"/>
    <cellStyle name="20% - 강조색5 3" xfId="899"/>
    <cellStyle name="20% - 강조색5 3 10" xfId="9232"/>
    <cellStyle name="20% - 강조색5 3 11" xfId="9233"/>
    <cellStyle name="20% - 강조색5 3 12" xfId="9234"/>
    <cellStyle name="20% - 강조색5 3 13" xfId="9235"/>
    <cellStyle name="20% - 강조색5 3 14" xfId="9236"/>
    <cellStyle name="20% - 강조색5 3 15" xfId="9237"/>
    <cellStyle name="20% - 강조색5 3 16" xfId="9238"/>
    <cellStyle name="20% - 강조색5 3 17" xfId="9239"/>
    <cellStyle name="20% - 강조색5 3 18" xfId="9240"/>
    <cellStyle name="20% - 강조색5 3 19" xfId="9241"/>
    <cellStyle name="20% - 강조색5 3 2" xfId="9242"/>
    <cellStyle name="20% - 강조색5 3 2 10" xfId="9243"/>
    <cellStyle name="20% - 강조색5 3 2 11" xfId="9244"/>
    <cellStyle name="20% - 강조색5 3 2 12" xfId="9245"/>
    <cellStyle name="20% - 강조색5 3 2 13" xfId="9246"/>
    <cellStyle name="20% - 강조색5 3 2 14" xfId="9247"/>
    <cellStyle name="20% - 강조색5 3 2 15" xfId="9248"/>
    <cellStyle name="20% - 강조색5 3 2 16" xfId="9249"/>
    <cellStyle name="20% - 강조색5 3 2 17" xfId="9250"/>
    <cellStyle name="20% - 강조색5 3 2 18" xfId="9251"/>
    <cellStyle name="20% - 강조색5 3 2 19" xfId="9252"/>
    <cellStyle name="20% - 강조색5 3 2 2" xfId="9253"/>
    <cellStyle name="20% - 강조색5 3 2 20" xfId="9254"/>
    <cellStyle name="20% - 강조색5 3 2 21" xfId="9255"/>
    <cellStyle name="20% - 강조색5 3 2 3" xfId="9256"/>
    <cellStyle name="20% - 강조색5 3 2 4" xfId="9257"/>
    <cellStyle name="20% - 강조색5 3 2 5" xfId="9258"/>
    <cellStyle name="20% - 강조색5 3 2 6" xfId="9259"/>
    <cellStyle name="20% - 강조색5 3 2 7" xfId="9260"/>
    <cellStyle name="20% - 강조색5 3 2 8" xfId="9261"/>
    <cellStyle name="20% - 강조색5 3 2 9" xfId="9262"/>
    <cellStyle name="20% - 강조색5 3 20" xfId="9263"/>
    <cellStyle name="20% - 강조색5 3 21" xfId="9264"/>
    <cellStyle name="20% - 강조색5 3 22" xfId="9265"/>
    <cellStyle name="20% - 강조색5 3 23" xfId="9266"/>
    <cellStyle name="20% - 강조색5 3 24" xfId="9267"/>
    <cellStyle name="20% - 강조색5 3 25" xfId="9268"/>
    <cellStyle name="20% - 강조색5 3 26" xfId="9269"/>
    <cellStyle name="20% - 강조색5 3 27" xfId="9270"/>
    <cellStyle name="20% - 강조색5 3 28" xfId="9271"/>
    <cellStyle name="20% - 강조색5 3 29" xfId="9272"/>
    <cellStyle name="20% - 강조색5 3 3" xfId="9273"/>
    <cellStyle name="20% - 강조색5 3 3 10" xfId="9274"/>
    <cellStyle name="20% - 강조색5 3 3 11" xfId="9275"/>
    <cellStyle name="20% - 강조색5 3 3 12" xfId="9276"/>
    <cellStyle name="20% - 강조색5 3 3 13" xfId="9277"/>
    <cellStyle name="20% - 강조색5 3 3 14" xfId="9278"/>
    <cellStyle name="20% - 강조색5 3 3 15" xfId="9279"/>
    <cellStyle name="20% - 강조색5 3 3 16" xfId="9280"/>
    <cellStyle name="20% - 강조색5 3 3 17" xfId="9281"/>
    <cellStyle name="20% - 강조색5 3 3 18" xfId="9282"/>
    <cellStyle name="20% - 강조색5 3 3 19" xfId="9283"/>
    <cellStyle name="20% - 강조색5 3 3 2" xfId="9284"/>
    <cellStyle name="20% - 강조색5 3 3 20" xfId="9285"/>
    <cellStyle name="20% - 강조색5 3 3 21" xfId="9286"/>
    <cellStyle name="20% - 강조색5 3 3 3" xfId="9287"/>
    <cellStyle name="20% - 강조색5 3 3 4" xfId="9288"/>
    <cellStyle name="20% - 강조색5 3 3 5" xfId="9289"/>
    <cellStyle name="20% - 강조색5 3 3 6" xfId="9290"/>
    <cellStyle name="20% - 강조색5 3 3 7" xfId="9291"/>
    <cellStyle name="20% - 강조색5 3 3 8" xfId="9292"/>
    <cellStyle name="20% - 강조색5 3 3 9" xfId="9293"/>
    <cellStyle name="20% - 강조색5 3 30" xfId="9294"/>
    <cellStyle name="20% - 강조색5 3 31" xfId="9295"/>
    <cellStyle name="20% - 강조색5 3 4" xfId="9296"/>
    <cellStyle name="20% - 강조색5 3 4 10" xfId="9297"/>
    <cellStyle name="20% - 강조색5 3 4 11" xfId="9298"/>
    <cellStyle name="20% - 강조색5 3 4 12" xfId="9299"/>
    <cellStyle name="20% - 강조색5 3 4 13" xfId="9300"/>
    <cellStyle name="20% - 강조색5 3 4 14" xfId="9301"/>
    <cellStyle name="20% - 강조색5 3 4 15" xfId="9302"/>
    <cellStyle name="20% - 강조색5 3 4 16" xfId="9303"/>
    <cellStyle name="20% - 강조색5 3 4 17" xfId="9304"/>
    <cellStyle name="20% - 강조색5 3 4 18" xfId="9305"/>
    <cellStyle name="20% - 강조색5 3 4 19" xfId="9306"/>
    <cellStyle name="20% - 강조색5 3 4 2" xfId="9307"/>
    <cellStyle name="20% - 강조색5 3 4 20" xfId="9308"/>
    <cellStyle name="20% - 강조색5 3 4 3" xfId="9309"/>
    <cellStyle name="20% - 강조색5 3 4 4" xfId="9310"/>
    <cellStyle name="20% - 강조색5 3 4 5" xfId="9311"/>
    <cellStyle name="20% - 강조색5 3 4 6" xfId="9312"/>
    <cellStyle name="20% - 강조색5 3 4 7" xfId="9313"/>
    <cellStyle name="20% - 강조색5 3 4 8" xfId="9314"/>
    <cellStyle name="20% - 강조색5 3 4 9" xfId="9315"/>
    <cellStyle name="20% - 강조색5 3 5" xfId="9316"/>
    <cellStyle name="20% - 강조색5 3 6" xfId="9317"/>
    <cellStyle name="20% - 강조색5 3 7" xfId="9318"/>
    <cellStyle name="20% - 강조색5 3 8" xfId="9319"/>
    <cellStyle name="20% - 강조색5 3 9" xfId="9320"/>
    <cellStyle name="20% - 강조색5 30" xfId="20721"/>
    <cellStyle name="20% - 강조색5 31" xfId="20722"/>
    <cellStyle name="20% - 강조색5 32" xfId="20723"/>
    <cellStyle name="20% - 강조색5 33" xfId="20724"/>
    <cellStyle name="20% - 강조색5 34" xfId="20725"/>
    <cellStyle name="20% - 강조색5 34 2" xfId="20726"/>
    <cellStyle name="20% - 강조색5 34 2 2" xfId="20727"/>
    <cellStyle name="20% - 강조색5 34 3" xfId="20728"/>
    <cellStyle name="20% - 강조색5 34 4" xfId="20729"/>
    <cellStyle name="20% - 강조색5 34 5" xfId="20730"/>
    <cellStyle name="20% - 강조색5 35" xfId="20731"/>
    <cellStyle name="20% - 강조색5 35 2" xfId="20732"/>
    <cellStyle name="20% - 강조색5 35 2 2" xfId="20733"/>
    <cellStyle name="20% - 강조색5 35 3" xfId="20734"/>
    <cellStyle name="20% - 강조색5 35 4" xfId="20735"/>
    <cellStyle name="20% - 강조색5 35 5" xfId="20736"/>
    <cellStyle name="20% - 강조색5 36" xfId="20737"/>
    <cellStyle name="20% - 강조색5 36 2" xfId="20738"/>
    <cellStyle name="20% - 강조색5 36 2 2" xfId="20739"/>
    <cellStyle name="20% - 강조색5 36 3" xfId="20740"/>
    <cellStyle name="20% - 강조색5 36 4" xfId="20741"/>
    <cellStyle name="20% - 강조색5 36 5" xfId="20742"/>
    <cellStyle name="20% - 강조색5 4" xfId="900"/>
    <cellStyle name="20% - 강조색5 4 2" xfId="9321"/>
    <cellStyle name="20% - 강조색5 4 2 2" xfId="9322"/>
    <cellStyle name="20% - 강조색5 4 3" xfId="9323"/>
    <cellStyle name="20% - 강조색5 4 3 2" xfId="9324"/>
    <cellStyle name="20% - 강조색5 4 4" xfId="9325"/>
    <cellStyle name="20% - 강조색5 4 5" xfId="9326"/>
    <cellStyle name="20% - 강조색5 4 6" xfId="9327"/>
    <cellStyle name="20% - 강조색5 4 7" xfId="9328"/>
    <cellStyle name="20% - 강조색5 4 8" xfId="9329"/>
    <cellStyle name="20% - 강조색5 4 9" xfId="9330"/>
    <cellStyle name="20% - 강조색5 5" xfId="901"/>
    <cellStyle name="20% - 강조색5 5 2" xfId="9331"/>
    <cellStyle name="20% - 강조색5 5 2 2" xfId="9332"/>
    <cellStyle name="20% - 강조색5 5 3" xfId="9333"/>
    <cellStyle name="20% - 강조색5 5 3 2" xfId="9334"/>
    <cellStyle name="20% - 강조색5 5 4" xfId="20743"/>
    <cellStyle name="20% - 강조색5 6" xfId="9335"/>
    <cellStyle name="20% - 강조색5 6 2" xfId="9336"/>
    <cellStyle name="20% - 강조색5 7" xfId="9337"/>
    <cellStyle name="20% - 강조색5 7 2" xfId="9338"/>
    <cellStyle name="20% - 강조색5 8" xfId="9339"/>
    <cellStyle name="20% - 강조색5 8 2" xfId="9340"/>
    <cellStyle name="20% - 강조색5 9" xfId="9341"/>
    <cellStyle name="20% - 강조색6 10" xfId="9342"/>
    <cellStyle name="20% - 강조색6 11" xfId="9343"/>
    <cellStyle name="20% - 강조색6 12" xfId="9344"/>
    <cellStyle name="20% - 강조색6 13" xfId="9345"/>
    <cellStyle name="20% - 강조색6 13 2" xfId="9346"/>
    <cellStyle name="20% - 강조색6 14" xfId="9347"/>
    <cellStyle name="20% - 강조색6 14 2" xfId="9348"/>
    <cellStyle name="20% - 강조색6 15" xfId="20744"/>
    <cellStyle name="20% - 강조색6 16" xfId="20745"/>
    <cellStyle name="20% - 강조색6 17" xfId="20746"/>
    <cellStyle name="20% - 강조색6 18" xfId="20747"/>
    <cellStyle name="20% - 강조색6 18 2" xfId="20748"/>
    <cellStyle name="20% - 강조색6 19" xfId="20749"/>
    <cellStyle name="20% - 강조색6 19 2" xfId="20750"/>
    <cellStyle name="20% - 강조색6 2" xfId="902"/>
    <cellStyle name="20% - 강조색6 2 10" xfId="9349"/>
    <cellStyle name="20% - 강조색6 2 11" xfId="9350"/>
    <cellStyle name="20% - 강조색6 2 12" xfId="9351"/>
    <cellStyle name="20% - 강조색6 2 13" xfId="9352"/>
    <cellStyle name="20% - 강조색6 2 14" xfId="9353"/>
    <cellStyle name="20% - 강조색6 2 15" xfId="9354"/>
    <cellStyle name="20% - 강조색6 2 16" xfId="9355"/>
    <cellStyle name="20% - 강조색6 2 17" xfId="9356"/>
    <cellStyle name="20% - 강조색6 2 18" xfId="9357"/>
    <cellStyle name="20% - 강조색6 2 19" xfId="9358"/>
    <cellStyle name="20% - 강조색6 2 2" xfId="903"/>
    <cellStyle name="20% - 강조색6 2 2 10" xfId="9359"/>
    <cellStyle name="20% - 강조색6 2 2 11" xfId="9360"/>
    <cellStyle name="20% - 강조색6 2 2 12" xfId="9361"/>
    <cellStyle name="20% - 강조색6 2 2 13" xfId="9362"/>
    <cellStyle name="20% - 강조색6 2 2 14" xfId="9363"/>
    <cellStyle name="20% - 강조색6 2 2 15" xfId="9364"/>
    <cellStyle name="20% - 강조색6 2 2 16" xfId="9365"/>
    <cellStyle name="20% - 강조색6 2 2 17" xfId="9366"/>
    <cellStyle name="20% - 강조색6 2 2 18" xfId="9367"/>
    <cellStyle name="20% - 강조색6 2 2 19" xfId="9368"/>
    <cellStyle name="20% - 강조색6 2 2 2" xfId="9369"/>
    <cellStyle name="20% - 강조색6 2 2 20" xfId="9370"/>
    <cellStyle name="20% - 강조색6 2 2 21" xfId="9371"/>
    <cellStyle name="20% - 강조색6 2 2 22" xfId="9372"/>
    <cellStyle name="20% - 강조색6 2 2 3" xfId="9373"/>
    <cellStyle name="20% - 강조색6 2 2 4" xfId="9374"/>
    <cellStyle name="20% - 강조색6 2 2 5" xfId="9375"/>
    <cellStyle name="20% - 강조색6 2 2 6" xfId="9376"/>
    <cellStyle name="20% - 강조색6 2 2 7" xfId="9377"/>
    <cellStyle name="20% - 강조색6 2 2 8" xfId="9378"/>
    <cellStyle name="20% - 강조색6 2 2 9" xfId="9379"/>
    <cellStyle name="20% - 강조색6 2 20" xfId="9380"/>
    <cellStyle name="20% - 강조색6 2 21" xfId="9381"/>
    <cellStyle name="20% - 강조색6 2 22" xfId="9382"/>
    <cellStyle name="20% - 강조색6 2 23" xfId="9383"/>
    <cellStyle name="20% - 강조색6 2 24" xfId="9384"/>
    <cellStyle name="20% - 강조색6 2 25" xfId="9385"/>
    <cellStyle name="20% - 강조색6 2 26" xfId="9386"/>
    <cellStyle name="20% - 강조색6 2 27" xfId="9387"/>
    <cellStyle name="20% - 강조색6 2 28" xfId="9388"/>
    <cellStyle name="20% - 강조색6 2 29" xfId="9389"/>
    <cellStyle name="20% - 강조색6 2 3" xfId="904"/>
    <cellStyle name="20% - 강조색6 2 3 10" xfId="9390"/>
    <cellStyle name="20% - 강조색6 2 3 11" xfId="9391"/>
    <cellStyle name="20% - 강조색6 2 3 12" xfId="9392"/>
    <cellStyle name="20% - 강조색6 2 3 13" xfId="9393"/>
    <cellStyle name="20% - 강조색6 2 3 14" xfId="9394"/>
    <cellStyle name="20% - 강조색6 2 3 15" xfId="9395"/>
    <cellStyle name="20% - 강조색6 2 3 16" xfId="9396"/>
    <cellStyle name="20% - 강조색6 2 3 17" xfId="9397"/>
    <cellStyle name="20% - 강조색6 2 3 18" xfId="9398"/>
    <cellStyle name="20% - 강조색6 2 3 19" xfId="9399"/>
    <cellStyle name="20% - 강조색6 2 3 2" xfId="9400"/>
    <cellStyle name="20% - 강조색6 2 3 20" xfId="9401"/>
    <cellStyle name="20% - 강조색6 2 3 21" xfId="9402"/>
    <cellStyle name="20% - 강조색6 2 3 3" xfId="9403"/>
    <cellStyle name="20% - 강조색6 2 3 4" xfId="9404"/>
    <cellStyle name="20% - 강조색6 2 3 5" xfId="9405"/>
    <cellStyle name="20% - 강조색6 2 3 6" xfId="9406"/>
    <cellStyle name="20% - 강조색6 2 3 7" xfId="9407"/>
    <cellStyle name="20% - 강조색6 2 3 8" xfId="9408"/>
    <cellStyle name="20% - 강조색6 2 3 9" xfId="9409"/>
    <cellStyle name="20% - 강조색6 2 30" xfId="9410"/>
    <cellStyle name="20% - 강조색6 2 4" xfId="905"/>
    <cellStyle name="20% - 강조색6 2 4 10" xfId="9411"/>
    <cellStyle name="20% - 강조색6 2 4 11" xfId="9412"/>
    <cellStyle name="20% - 강조색6 2 4 12" xfId="9413"/>
    <cellStyle name="20% - 강조색6 2 4 13" xfId="9414"/>
    <cellStyle name="20% - 강조색6 2 4 14" xfId="9415"/>
    <cellStyle name="20% - 강조색6 2 4 15" xfId="9416"/>
    <cellStyle name="20% - 강조색6 2 4 16" xfId="9417"/>
    <cellStyle name="20% - 강조색6 2 4 17" xfId="9418"/>
    <cellStyle name="20% - 강조색6 2 4 18" xfId="9419"/>
    <cellStyle name="20% - 강조색6 2 4 19" xfId="9420"/>
    <cellStyle name="20% - 강조색6 2 4 2" xfId="9421"/>
    <cellStyle name="20% - 강조색6 2 4 20" xfId="9422"/>
    <cellStyle name="20% - 강조색6 2 4 3" xfId="9423"/>
    <cellStyle name="20% - 강조색6 2 4 4" xfId="9424"/>
    <cellStyle name="20% - 강조색6 2 4 5" xfId="9425"/>
    <cellStyle name="20% - 강조색6 2 4 6" xfId="9426"/>
    <cellStyle name="20% - 강조색6 2 4 7" xfId="9427"/>
    <cellStyle name="20% - 강조색6 2 4 8" xfId="9428"/>
    <cellStyle name="20% - 강조색6 2 4 9" xfId="9429"/>
    <cellStyle name="20% - 강조색6 2 5" xfId="9430"/>
    <cellStyle name="20% - 강조색6 2 6" xfId="9431"/>
    <cellStyle name="20% - 강조색6 2 7" xfId="9432"/>
    <cellStyle name="20% - 강조색6 2 7 2" xfId="9433"/>
    <cellStyle name="20% - 강조색6 2 8" xfId="9434"/>
    <cellStyle name="20% - 강조색6 2 9" xfId="9435"/>
    <cellStyle name="20% - 강조색6 20" xfId="20751"/>
    <cellStyle name="20% - 강조색6 20 2" xfId="20752"/>
    <cellStyle name="20% - 강조색6 21" xfId="20753"/>
    <cellStyle name="20% - 강조색6 21 2" xfId="20754"/>
    <cellStyle name="20% - 강조색6 22" xfId="20755"/>
    <cellStyle name="20% - 강조색6 22 2" xfId="20756"/>
    <cellStyle name="20% - 강조색6 23" xfId="20757"/>
    <cellStyle name="20% - 강조색6 24" xfId="20758"/>
    <cellStyle name="20% - 강조색6 25" xfId="20759"/>
    <cellStyle name="20% - 강조색6 26" xfId="20760"/>
    <cellStyle name="20% - 강조색6 27" xfId="20761"/>
    <cellStyle name="20% - 강조색6 28" xfId="20762"/>
    <cellStyle name="20% - 강조색6 29" xfId="20763"/>
    <cellStyle name="20% - 강조색6 3" xfId="906"/>
    <cellStyle name="20% - 강조색6 3 10" xfId="9436"/>
    <cellStyle name="20% - 강조색6 3 11" xfId="9437"/>
    <cellStyle name="20% - 강조색6 3 12" xfId="9438"/>
    <cellStyle name="20% - 강조색6 3 13" xfId="9439"/>
    <cellStyle name="20% - 강조색6 3 14" xfId="9440"/>
    <cellStyle name="20% - 강조색6 3 15" xfId="9441"/>
    <cellStyle name="20% - 강조색6 3 16" xfId="9442"/>
    <cellStyle name="20% - 강조색6 3 17" xfId="9443"/>
    <cellStyle name="20% - 강조색6 3 18" xfId="9444"/>
    <cellStyle name="20% - 강조색6 3 19" xfId="9445"/>
    <cellStyle name="20% - 강조색6 3 2" xfId="9446"/>
    <cellStyle name="20% - 강조색6 3 2 10" xfId="9447"/>
    <cellStyle name="20% - 강조색6 3 2 11" xfId="9448"/>
    <cellStyle name="20% - 강조색6 3 2 12" xfId="9449"/>
    <cellStyle name="20% - 강조색6 3 2 13" xfId="9450"/>
    <cellStyle name="20% - 강조색6 3 2 14" xfId="9451"/>
    <cellStyle name="20% - 강조색6 3 2 15" xfId="9452"/>
    <cellStyle name="20% - 강조색6 3 2 16" xfId="9453"/>
    <cellStyle name="20% - 강조색6 3 2 17" xfId="9454"/>
    <cellStyle name="20% - 강조색6 3 2 18" xfId="9455"/>
    <cellStyle name="20% - 강조색6 3 2 19" xfId="9456"/>
    <cellStyle name="20% - 강조색6 3 2 2" xfId="9457"/>
    <cellStyle name="20% - 강조색6 3 2 20" xfId="9458"/>
    <cellStyle name="20% - 강조색6 3 2 21" xfId="9459"/>
    <cellStyle name="20% - 강조색6 3 2 3" xfId="9460"/>
    <cellStyle name="20% - 강조색6 3 2 4" xfId="9461"/>
    <cellStyle name="20% - 강조색6 3 2 5" xfId="9462"/>
    <cellStyle name="20% - 강조색6 3 2 6" xfId="9463"/>
    <cellStyle name="20% - 강조색6 3 2 7" xfId="9464"/>
    <cellStyle name="20% - 강조색6 3 2 8" xfId="9465"/>
    <cellStyle name="20% - 강조색6 3 2 9" xfId="9466"/>
    <cellStyle name="20% - 강조색6 3 20" xfId="9467"/>
    <cellStyle name="20% - 강조색6 3 21" xfId="9468"/>
    <cellStyle name="20% - 강조색6 3 22" xfId="9469"/>
    <cellStyle name="20% - 강조색6 3 23" xfId="9470"/>
    <cellStyle name="20% - 강조색6 3 24" xfId="9471"/>
    <cellStyle name="20% - 강조색6 3 25" xfId="9472"/>
    <cellStyle name="20% - 강조색6 3 26" xfId="9473"/>
    <cellStyle name="20% - 강조색6 3 27" xfId="9474"/>
    <cellStyle name="20% - 강조색6 3 28" xfId="9475"/>
    <cellStyle name="20% - 강조색6 3 29" xfId="9476"/>
    <cellStyle name="20% - 강조색6 3 3" xfId="9477"/>
    <cellStyle name="20% - 강조색6 3 3 10" xfId="9478"/>
    <cellStyle name="20% - 강조색6 3 3 11" xfId="9479"/>
    <cellStyle name="20% - 강조색6 3 3 12" xfId="9480"/>
    <cellStyle name="20% - 강조색6 3 3 13" xfId="9481"/>
    <cellStyle name="20% - 강조색6 3 3 14" xfId="9482"/>
    <cellStyle name="20% - 강조색6 3 3 15" xfId="9483"/>
    <cellStyle name="20% - 강조색6 3 3 16" xfId="9484"/>
    <cellStyle name="20% - 강조색6 3 3 17" xfId="9485"/>
    <cellStyle name="20% - 강조색6 3 3 18" xfId="9486"/>
    <cellStyle name="20% - 강조색6 3 3 19" xfId="9487"/>
    <cellStyle name="20% - 강조색6 3 3 2" xfId="9488"/>
    <cellStyle name="20% - 강조색6 3 3 20" xfId="9489"/>
    <cellStyle name="20% - 강조색6 3 3 21" xfId="9490"/>
    <cellStyle name="20% - 강조색6 3 3 3" xfId="9491"/>
    <cellStyle name="20% - 강조색6 3 3 4" xfId="9492"/>
    <cellStyle name="20% - 강조색6 3 3 5" xfId="9493"/>
    <cellStyle name="20% - 강조색6 3 3 6" xfId="9494"/>
    <cellStyle name="20% - 강조색6 3 3 7" xfId="9495"/>
    <cellStyle name="20% - 강조색6 3 3 8" xfId="9496"/>
    <cellStyle name="20% - 강조색6 3 3 9" xfId="9497"/>
    <cellStyle name="20% - 강조색6 3 30" xfId="9498"/>
    <cellStyle name="20% - 강조색6 3 31" xfId="9499"/>
    <cellStyle name="20% - 강조색6 3 4" xfId="9500"/>
    <cellStyle name="20% - 강조색6 3 4 10" xfId="9501"/>
    <cellStyle name="20% - 강조색6 3 4 11" xfId="9502"/>
    <cellStyle name="20% - 강조색6 3 4 12" xfId="9503"/>
    <cellStyle name="20% - 강조색6 3 4 13" xfId="9504"/>
    <cellStyle name="20% - 강조색6 3 4 14" xfId="9505"/>
    <cellStyle name="20% - 강조색6 3 4 15" xfId="9506"/>
    <cellStyle name="20% - 강조색6 3 4 16" xfId="9507"/>
    <cellStyle name="20% - 강조색6 3 4 17" xfId="9508"/>
    <cellStyle name="20% - 강조색6 3 4 18" xfId="9509"/>
    <cellStyle name="20% - 강조색6 3 4 19" xfId="9510"/>
    <cellStyle name="20% - 강조색6 3 4 2" xfId="9511"/>
    <cellStyle name="20% - 강조색6 3 4 20" xfId="9512"/>
    <cellStyle name="20% - 강조색6 3 4 3" xfId="9513"/>
    <cellStyle name="20% - 강조색6 3 4 4" xfId="9514"/>
    <cellStyle name="20% - 강조색6 3 4 5" xfId="9515"/>
    <cellStyle name="20% - 강조색6 3 4 6" xfId="9516"/>
    <cellStyle name="20% - 강조색6 3 4 7" xfId="9517"/>
    <cellStyle name="20% - 강조색6 3 4 8" xfId="9518"/>
    <cellStyle name="20% - 강조색6 3 4 9" xfId="9519"/>
    <cellStyle name="20% - 강조색6 3 5" xfId="9520"/>
    <cellStyle name="20% - 강조색6 3 6" xfId="9521"/>
    <cellStyle name="20% - 강조색6 3 7" xfId="9522"/>
    <cellStyle name="20% - 강조색6 3 8" xfId="9523"/>
    <cellStyle name="20% - 강조색6 3 9" xfId="9524"/>
    <cellStyle name="20% - 강조색6 30" xfId="20764"/>
    <cellStyle name="20% - 강조색6 31" xfId="20765"/>
    <cellStyle name="20% - 강조색6 32" xfId="20766"/>
    <cellStyle name="20% - 강조색6 33" xfId="20767"/>
    <cellStyle name="20% - 강조색6 34" xfId="20768"/>
    <cellStyle name="20% - 강조색6 34 2" xfId="20769"/>
    <cellStyle name="20% - 강조색6 34 2 2" xfId="20770"/>
    <cellStyle name="20% - 강조색6 34 3" xfId="20771"/>
    <cellStyle name="20% - 강조색6 34 4" xfId="20772"/>
    <cellStyle name="20% - 강조색6 34 5" xfId="20773"/>
    <cellStyle name="20% - 강조색6 35" xfId="20774"/>
    <cellStyle name="20% - 강조색6 35 2" xfId="20775"/>
    <cellStyle name="20% - 강조색6 35 2 2" xfId="20776"/>
    <cellStyle name="20% - 강조색6 35 3" xfId="20777"/>
    <cellStyle name="20% - 강조색6 35 4" xfId="20778"/>
    <cellStyle name="20% - 강조색6 35 5" xfId="20779"/>
    <cellStyle name="20% - 강조색6 36" xfId="20780"/>
    <cellStyle name="20% - 강조색6 36 2" xfId="20781"/>
    <cellStyle name="20% - 강조색6 36 2 2" xfId="20782"/>
    <cellStyle name="20% - 강조색6 36 3" xfId="20783"/>
    <cellStyle name="20% - 강조색6 36 4" xfId="20784"/>
    <cellStyle name="20% - 강조색6 36 5" xfId="20785"/>
    <cellStyle name="20% - 강조색6 4" xfId="907"/>
    <cellStyle name="20% - 강조색6 4 2" xfId="9525"/>
    <cellStyle name="20% - 강조색6 4 2 2" xfId="9526"/>
    <cellStyle name="20% - 강조색6 4 3" xfId="9527"/>
    <cellStyle name="20% - 강조색6 4 3 2" xfId="9528"/>
    <cellStyle name="20% - 강조색6 4 4" xfId="9529"/>
    <cellStyle name="20% - 강조색6 4 5" xfId="9530"/>
    <cellStyle name="20% - 강조색6 4 6" xfId="9531"/>
    <cellStyle name="20% - 강조색6 4 7" xfId="9532"/>
    <cellStyle name="20% - 강조색6 4 8" xfId="9533"/>
    <cellStyle name="20% - 강조색6 4 9" xfId="9534"/>
    <cellStyle name="20% - 강조색6 5" xfId="908"/>
    <cellStyle name="20% - 강조색6 5 2" xfId="9535"/>
    <cellStyle name="20% - 강조색6 5 2 2" xfId="9536"/>
    <cellStyle name="20% - 강조색6 5 3" xfId="9537"/>
    <cellStyle name="20% - 강조색6 5 3 2" xfId="9538"/>
    <cellStyle name="20% - 강조색6 5 4" xfId="20786"/>
    <cellStyle name="20% - 강조색6 6" xfId="9539"/>
    <cellStyle name="20% - 강조색6 6 2" xfId="9540"/>
    <cellStyle name="20% - 강조색6 7" xfId="9541"/>
    <cellStyle name="20% - 강조색6 7 2" xfId="9542"/>
    <cellStyle name="20% - 강조색6 8" xfId="9543"/>
    <cellStyle name="20% - 강조색6 8 2" xfId="9544"/>
    <cellStyle name="20% - 강조색6 9" xfId="9545"/>
    <cellStyle name="2decimal" xfId="9546"/>
    <cellStyle name="2P" xfId="20787"/>
    <cellStyle name="_x0004_3;_x0018_" xfId="9547"/>
    <cellStyle name="301CPT" xfId="9548"/>
    <cellStyle name="³f¹o [0]_RESULTS" xfId="20788"/>
    <cellStyle name="³f¹ô [0]_RESULTS" xfId="20789"/>
    <cellStyle name="³f¹o[0]_laroux" xfId="20790"/>
    <cellStyle name="³f¹ô[0]_laroux" xfId="20791"/>
    <cellStyle name="³f¹o_laroux" xfId="20792"/>
    <cellStyle name="³f¹ô_laroux" xfId="20793"/>
    <cellStyle name="40% - Accent1" xfId="909"/>
    <cellStyle name="40% - Accent1 2" xfId="910"/>
    <cellStyle name="40% - Accent1 2 2" xfId="911"/>
    <cellStyle name="40% - Accent1 2 2 2" xfId="912"/>
    <cellStyle name="40% - Accent1 2 2 3" xfId="913"/>
    <cellStyle name="40% - Accent1 2 3" xfId="914"/>
    <cellStyle name="40% - Accent1 2 4" xfId="915"/>
    <cellStyle name="40% - Accent1 3" xfId="916"/>
    <cellStyle name="40% - Accent1 4" xfId="917"/>
    <cellStyle name="40% - Accent1 5" xfId="918"/>
    <cellStyle name="40% - Accent1 6" xfId="919"/>
    <cellStyle name="40% - Accent1_2011-3차 매각 작업(실사팀 송부용)_0712" xfId="9549"/>
    <cellStyle name="40% - Accent2" xfId="920"/>
    <cellStyle name="40% - Accent2 2" xfId="921"/>
    <cellStyle name="40% - Accent2 2 2" xfId="922"/>
    <cellStyle name="40% - Accent2 2 2 2" xfId="923"/>
    <cellStyle name="40% - Accent2 2 2 3" xfId="924"/>
    <cellStyle name="40% - Accent2 2 3" xfId="925"/>
    <cellStyle name="40% - Accent2 2 4" xfId="926"/>
    <cellStyle name="40% - Accent2 3" xfId="927"/>
    <cellStyle name="40% - Accent2 4" xfId="928"/>
    <cellStyle name="40% - Accent2 5" xfId="929"/>
    <cellStyle name="40% - Accent2 6" xfId="930"/>
    <cellStyle name="40% - Accent2_2011-3차 매각 작업(실사팀 송부용)_0712" xfId="9550"/>
    <cellStyle name="40% - Accent3" xfId="931"/>
    <cellStyle name="40% - Accent3 2" xfId="932"/>
    <cellStyle name="40% - Accent3 2 2" xfId="933"/>
    <cellStyle name="40% - Accent3 2 2 2" xfId="934"/>
    <cellStyle name="40% - Accent3 2 2 3" xfId="935"/>
    <cellStyle name="40% - Accent3 2 3" xfId="936"/>
    <cellStyle name="40% - Accent3 2 4" xfId="937"/>
    <cellStyle name="40% - Accent3 3" xfId="938"/>
    <cellStyle name="40% - Accent3 4" xfId="939"/>
    <cellStyle name="40% - Accent3 5" xfId="940"/>
    <cellStyle name="40% - Accent3 6" xfId="941"/>
    <cellStyle name="40% - Accent3_2011-3차 매각 작업(실사팀 송부용)_0712" xfId="9551"/>
    <cellStyle name="40% - Accent4" xfId="942"/>
    <cellStyle name="40% - Accent4 2" xfId="943"/>
    <cellStyle name="40% - Accent4 2 2" xfId="944"/>
    <cellStyle name="40% - Accent4 2 2 2" xfId="945"/>
    <cellStyle name="40% - Accent4 2 2 3" xfId="946"/>
    <cellStyle name="40% - Accent4 2 3" xfId="947"/>
    <cellStyle name="40% - Accent4 2 4" xfId="948"/>
    <cellStyle name="40% - Accent4 3" xfId="949"/>
    <cellStyle name="40% - Accent4 4" xfId="950"/>
    <cellStyle name="40% - Accent4 5" xfId="951"/>
    <cellStyle name="40% - Accent4 6" xfId="952"/>
    <cellStyle name="40% - Accent4_2011-3차 매각 작업(실사팀 송부용)_0712" xfId="9552"/>
    <cellStyle name="40% - Accent5" xfId="953"/>
    <cellStyle name="40% - Accent5 2" xfId="954"/>
    <cellStyle name="40% - Accent5 2 2" xfId="955"/>
    <cellStyle name="40% - Accent5 2 2 2" xfId="956"/>
    <cellStyle name="40% - Accent5 2 2 3" xfId="957"/>
    <cellStyle name="40% - Accent5 2 3" xfId="958"/>
    <cellStyle name="40% - Accent5 2 4" xfId="959"/>
    <cellStyle name="40% - Accent5 3" xfId="960"/>
    <cellStyle name="40% - Accent5 4" xfId="961"/>
    <cellStyle name="40% - Accent5 5" xfId="962"/>
    <cellStyle name="40% - Accent5 6" xfId="963"/>
    <cellStyle name="40% - Accent5_2011-3차 매각 작업(실사팀 송부용)_0712" xfId="9553"/>
    <cellStyle name="40% - Accent6" xfId="964"/>
    <cellStyle name="40% - Accent6 2" xfId="965"/>
    <cellStyle name="40% - Accent6 2 2" xfId="966"/>
    <cellStyle name="40% - Accent6 2 2 2" xfId="967"/>
    <cellStyle name="40% - Accent6 2 2 3" xfId="968"/>
    <cellStyle name="40% - Accent6 2 3" xfId="969"/>
    <cellStyle name="40% - Accent6 2 4" xfId="970"/>
    <cellStyle name="40% - Accent6 3" xfId="971"/>
    <cellStyle name="40% - Accent6 4" xfId="972"/>
    <cellStyle name="40% - Accent6 5" xfId="973"/>
    <cellStyle name="40% - Accent6 6" xfId="974"/>
    <cellStyle name="40% - Accent6_2011-3차 매각 작업(실사팀 송부용)_0712" xfId="9554"/>
    <cellStyle name="40% - 强调文字颜色 1" xfId="20794"/>
    <cellStyle name="40% - 强调文字颜色 2" xfId="20795"/>
    <cellStyle name="40% - 强调文字颜色 3" xfId="20796"/>
    <cellStyle name="40% - 强调文字颜色 4" xfId="20797"/>
    <cellStyle name="40% - 强调文字颜色 5" xfId="20798"/>
    <cellStyle name="40% - 强调文字颜色 6" xfId="20799"/>
    <cellStyle name="40% - 강조색1 10" xfId="9555"/>
    <cellStyle name="40% - 강조색1 11" xfId="9556"/>
    <cellStyle name="40% - 강조색1 12" xfId="9557"/>
    <cellStyle name="40% - 강조색1 13" xfId="9558"/>
    <cellStyle name="40% - 강조색1 13 2" xfId="9559"/>
    <cellStyle name="40% - 강조색1 14" xfId="9560"/>
    <cellStyle name="40% - 강조색1 14 2" xfId="9561"/>
    <cellStyle name="40% - 강조색1 15" xfId="20800"/>
    <cellStyle name="40% - 강조색1 16" xfId="20801"/>
    <cellStyle name="40% - 강조색1 17" xfId="20802"/>
    <cellStyle name="40% - 강조색1 18" xfId="20803"/>
    <cellStyle name="40% - 강조색1 18 2" xfId="20804"/>
    <cellStyle name="40% - 강조색1 19" xfId="20805"/>
    <cellStyle name="40% - 강조색1 19 2" xfId="20806"/>
    <cellStyle name="40% - 강조색1 2" xfId="975"/>
    <cellStyle name="40% - 강조색1 2 10" xfId="9562"/>
    <cellStyle name="40% - 강조색1 2 11" xfId="9563"/>
    <cellStyle name="40% - 강조색1 2 12" xfId="9564"/>
    <cellStyle name="40% - 강조색1 2 13" xfId="9565"/>
    <cellStyle name="40% - 강조색1 2 14" xfId="9566"/>
    <cellStyle name="40% - 강조색1 2 15" xfId="9567"/>
    <cellStyle name="40% - 강조색1 2 16" xfId="9568"/>
    <cellStyle name="40% - 강조색1 2 17" xfId="9569"/>
    <cellStyle name="40% - 강조색1 2 18" xfId="9570"/>
    <cellStyle name="40% - 강조색1 2 19" xfId="9571"/>
    <cellStyle name="40% - 강조색1 2 2" xfId="976"/>
    <cellStyle name="40% - 강조색1 2 2 10" xfId="9572"/>
    <cellStyle name="40% - 강조색1 2 2 11" xfId="9573"/>
    <cellStyle name="40% - 강조색1 2 2 12" xfId="9574"/>
    <cellStyle name="40% - 강조색1 2 2 13" xfId="9575"/>
    <cellStyle name="40% - 강조색1 2 2 14" xfId="9576"/>
    <cellStyle name="40% - 강조색1 2 2 15" xfId="9577"/>
    <cellStyle name="40% - 강조색1 2 2 16" xfId="9578"/>
    <cellStyle name="40% - 강조색1 2 2 17" xfId="9579"/>
    <cellStyle name="40% - 강조색1 2 2 18" xfId="9580"/>
    <cellStyle name="40% - 강조색1 2 2 19" xfId="9581"/>
    <cellStyle name="40% - 강조색1 2 2 2" xfId="9582"/>
    <cellStyle name="40% - 강조색1 2 2 20" xfId="9583"/>
    <cellStyle name="40% - 강조색1 2 2 21" xfId="9584"/>
    <cellStyle name="40% - 강조색1 2 2 22" xfId="9585"/>
    <cellStyle name="40% - 강조색1 2 2 3" xfId="9586"/>
    <cellStyle name="40% - 강조색1 2 2 4" xfId="9587"/>
    <cellStyle name="40% - 강조색1 2 2 5" xfId="9588"/>
    <cellStyle name="40% - 강조색1 2 2 6" xfId="9589"/>
    <cellStyle name="40% - 강조색1 2 2 7" xfId="9590"/>
    <cellStyle name="40% - 강조색1 2 2 8" xfId="9591"/>
    <cellStyle name="40% - 강조색1 2 2 9" xfId="9592"/>
    <cellStyle name="40% - 강조색1 2 20" xfId="9593"/>
    <cellStyle name="40% - 강조색1 2 21" xfId="9594"/>
    <cellStyle name="40% - 강조색1 2 22" xfId="9595"/>
    <cellStyle name="40% - 강조색1 2 23" xfId="9596"/>
    <cellStyle name="40% - 강조색1 2 24" xfId="9597"/>
    <cellStyle name="40% - 강조색1 2 25" xfId="9598"/>
    <cellStyle name="40% - 강조색1 2 26" xfId="9599"/>
    <cellStyle name="40% - 강조색1 2 27" xfId="9600"/>
    <cellStyle name="40% - 강조색1 2 28" xfId="9601"/>
    <cellStyle name="40% - 강조색1 2 29" xfId="9602"/>
    <cellStyle name="40% - 강조색1 2 3" xfId="977"/>
    <cellStyle name="40% - 강조색1 2 3 10" xfId="9603"/>
    <cellStyle name="40% - 강조색1 2 3 11" xfId="9604"/>
    <cellStyle name="40% - 강조색1 2 3 12" xfId="9605"/>
    <cellStyle name="40% - 강조색1 2 3 13" xfId="9606"/>
    <cellStyle name="40% - 강조색1 2 3 14" xfId="9607"/>
    <cellStyle name="40% - 강조색1 2 3 15" xfId="9608"/>
    <cellStyle name="40% - 강조색1 2 3 16" xfId="9609"/>
    <cellStyle name="40% - 강조색1 2 3 17" xfId="9610"/>
    <cellStyle name="40% - 강조색1 2 3 18" xfId="9611"/>
    <cellStyle name="40% - 강조색1 2 3 19" xfId="9612"/>
    <cellStyle name="40% - 강조색1 2 3 2" xfId="9613"/>
    <cellStyle name="40% - 강조색1 2 3 20" xfId="9614"/>
    <cellStyle name="40% - 강조색1 2 3 21" xfId="9615"/>
    <cellStyle name="40% - 강조색1 2 3 3" xfId="9616"/>
    <cellStyle name="40% - 강조색1 2 3 4" xfId="9617"/>
    <cellStyle name="40% - 강조색1 2 3 5" xfId="9618"/>
    <cellStyle name="40% - 강조색1 2 3 6" xfId="9619"/>
    <cellStyle name="40% - 강조색1 2 3 7" xfId="9620"/>
    <cellStyle name="40% - 강조색1 2 3 8" xfId="9621"/>
    <cellStyle name="40% - 강조색1 2 3 9" xfId="9622"/>
    <cellStyle name="40% - 강조색1 2 30" xfId="9623"/>
    <cellStyle name="40% - 강조색1 2 4" xfId="978"/>
    <cellStyle name="40% - 강조색1 2 4 10" xfId="9624"/>
    <cellStyle name="40% - 강조색1 2 4 11" xfId="9625"/>
    <cellStyle name="40% - 강조색1 2 4 12" xfId="9626"/>
    <cellStyle name="40% - 강조색1 2 4 13" xfId="9627"/>
    <cellStyle name="40% - 강조색1 2 4 14" xfId="9628"/>
    <cellStyle name="40% - 강조색1 2 4 15" xfId="9629"/>
    <cellStyle name="40% - 강조색1 2 4 16" xfId="9630"/>
    <cellStyle name="40% - 강조색1 2 4 17" xfId="9631"/>
    <cellStyle name="40% - 강조색1 2 4 18" xfId="9632"/>
    <cellStyle name="40% - 강조색1 2 4 19" xfId="9633"/>
    <cellStyle name="40% - 강조색1 2 4 2" xfId="9634"/>
    <cellStyle name="40% - 강조색1 2 4 20" xfId="9635"/>
    <cellStyle name="40% - 강조색1 2 4 3" xfId="9636"/>
    <cellStyle name="40% - 강조색1 2 4 4" xfId="9637"/>
    <cellStyle name="40% - 강조색1 2 4 5" xfId="9638"/>
    <cellStyle name="40% - 강조색1 2 4 6" xfId="9639"/>
    <cellStyle name="40% - 강조색1 2 4 7" xfId="9640"/>
    <cellStyle name="40% - 강조색1 2 4 8" xfId="9641"/>
    <cellStyle name="40% - 강조색1 2 4 9" xfId="9642"/>
    <cellStyle name="40% - 강조색1 2 5" xfId="9643"/>
    <cellStyle name="40% - 강조색1 2 6" xfId="9644"/>
    <cellStyle name="40% - 강조색1 2 7" xfId="9645"/>
    <cellStyle name="40% - 강조색1 2 7 2" xfId="9646"/>
    <cellStyle name="40% - 강조색1 2 8" xfId="9647"/>
    <cellStyle name="40% - 강조색1 2 9" xfId="9648"/>
    <cellStyle name="40% - 강조색1 20" xfId="20807"/>
    <cellStyle name="40% - 강조색1 20 2" xfId="20808"/>
    <cellStyle name="40% - 강조색1 21" xfId="20809"/>
    <cellStyle name="40% - 강조색1 21 2" xfId="20810"/>
    <cellStyle name="40% - 강조색1 22" xfId="20811"/>
    <cellStyle name="40% - 강조색1 22 2" xfId="20812"/>
    <cellStyle name="40% - 강조색1 23" xfId="20813"/>
    <cellStyle name="40% - 강조색1 24" xfId="20814"/>
    <cellStyle name="40% - 강조색1 25" xfId="20815"/>
    <cellStyle name="40% - 강조색1 26" xfId="20816"/>
    <cellStyle name="40% - 강조색1 27" xfId="20817"/>
    <cellStyle name="40% - 강조색1 28" xfId="20818"/>
    <cellStyle name="40% - 강조색1 29" xfId="20819"/>
    <cellStyle name="40% - 강조색1 3" xfId="979"/>
    <cellStyle name="40% - 강조색1 3 10" xfId="9649"/>
    <cellStyle name="40% - 강조색1 3 11" xfId="9650"/>
    <cellStyle name="40% - 강조색1 3 12" xfId="9651"/>
    <cellStyle name="40% - 강조색1 3 13" xfId="9652"/>
    <cellStyle name="40% - 강조색1 3 14" xfId="9653"/>
    <cellStyle name="40% - 강조색1 3 15" xfId="9654"/>
    <cellStyle name="40% - 강조색1 3 16" xfId="9655"/>
    <cellStyle name="40% - 강조색1 3 17" xfId="9656"/>
    <cellStyle name="40% - 강조색1 3 18" xfId="9657"/>
    <cellStyle name="40% - 강조색1 3 19" xfId="9658"/>
    <cellStyle name="40% - 강조색1 3 2" xfId="9659"/>
    <cellStyle name="40% - 강조색1 3 2 10" xfId="9660"/>
    <cellStyle name="40% - 강조색1 3 2 11" xfId="9661"/>
    <cellStyle name="40% - 강조색1 3 2 12" xfId="9662"/>
    <cellStyle name="40% - 강조색1 3 2 13" xfId="9663"/>
    <cellStyle name="40% - 강조색1 3 2 14" xfId="9664"/>
    <cellStyle name="40% - 강조색1 3 2 15" xfId="9665"/>
    <cellStyle name="40% - 강조색1 3 2 16" xfId="9666"/>
    <cellStyle name="40% - 강조색1 3 2 17" xfId="9667"/>
    <cellStyle name="40% - 강조색1 3 2 18" xfId="9668"/>
    <cellStyle name="40% - 강조색1 3 2 19" xfId="9669"/>
    <cellStyle name="40% - 강조색1 3 2 2" xfId="9670"/>
    <cellStyle name="40% - 강조색1 3 2 20" xfId="9671"/>
    <cellStyle name="40% - 강조색1 3 2 21" xfId="9672"/>
    <cellStyle name="40% - 강조색1 3 2 3" xfId="9673"/>
    <cellStyle name="40% - 강조색1 3 2 4" xfId="9674"/>
    <cellStyle name="40% - 강조색1 3 2 5" xfId="9675"/>
    <cellStyle name="40% - 강조색1 3 2 6" xfId="9676"/>
    <cellStyle name="40% - 강조색1 3 2 7" xfId="9677"/>
    <cellStyle name="40% - 강조색1 3 2 8" xfId="9678"/>
    <cellStyle name="40% - 강조색1 3 2 9" xfId="9679"/>
    <cellStyle name="40% - 강조색1 3 20" xfId="9680"/>
    <cellStyle name="40% - 강조색1 3 21" xfId="9681"/>
    <cellStyle name="40% - 강조색1 3 22" xfId="9682"/>
    <cellStyle name="40% - 강조색1 3 23" xfId="9683"/>
    <cellStyle name="40% - 강조색1 3 24" xfId="9684"/>
    <cellStyle name="40% - 강조색1 3 25" xfId="9685"/>
    <cellStyle name="40% - 강조색1 3 26" xfId="9686"/>
    <cellStyle name="40% - 강조색1 3 27" xfId="9687"/>
    <cellStyle name="40% - 강조색1 3 28" xfId="9688"/>
    <cellStyle name="40% - 강조색1 3 29" xfId="9689"/>
    <cellStyle name="40% - 강조색1 3 3" xfId="9690"/>
    <cellStyle name="40% - 강조색1 3 3 10" xfId="9691"/>
    <cellStyle name="40% - 강조색1 3 3 11" xfId="9692"/>
    <cellStyle name="40% - 강조색1 3 3 12" xfId="9693"/>
    <cellStyle name="40% - 강조색1 3 3 13" xfId="9694"/>
    <cellStyle name="40% - 강조색1 3 3 14" xfId="9695"/>
    <cellStyle name="40% - 강조색1 3 3 15" xfId="9696"/>
    <cellStyle name="40% - 강조색1 3 3 16" xfId="9697"/>
    <cellStyle name="40% - 강조색1 3 3 17" xfId="9698"/>
    <cellStyle name="40% - 강조색1 3 3 18" xfId="9699"/>
    <cellStyle name="40% - 강조색1 3 3 19" xfId="9700"/>
    <cellStyle name="40% - 강조색1 3 3 2" xfId="9701"/>
    <cellStyle name="40% - 강조색1 3 3 20" xfId="9702"/>
    <cellStyle name="40% - 강조색1 3 3 21" xfId="9703"/>
    <cellStyle name="40% - 강조색1 3 3 3" xfId="9704"/>
    <cellStyle name="40% - 강조색1 3 3 4" xfId="9705"/>
    <cellStyle name="40% - 강조색1 3 3 5" xfId="9706"/>
    <cellStyle name="40% - 강조색1 3 3 6" xfId="9707"/>
    <cellStyle name="40% - 강조색1 3 3 7" xfId="9708"/>
    <cellStyle name="40% - 강조색1 3 3 8" xfId="9709"/>
    <cellStyle name="40% - 강조색1 3 3 9" xfId="9710"/>
    <cellStyle name="40% - 강조색1 3 30" xfId="9711"/>
    <cellStyle name="40% - 강조색1 3 31" xfId="9712"/>
    <cellStyle name="40% - 강조색1 3 4" xfId="9713"/>
    <cellStyle name="40% - 강조색1 3 4 10" xfId="9714"/>
    <cellStyle name="40% - 강조색1 3 4 11" xfId="9715"/>
    <cellStyle name="40% - 강조색1 3 4 12" xfId="9716"/>
    <cellStyle name="40% - 강조색1 3 4 13" xfId="9717"/>
    <cellStyle name="40% - 강조색1 3 4 14" xfId="9718"/>
    <cellStyle name="40% - 강조색1 3 4 15" xfId="9719"/>
    <cellStyle name="40% - 강조색1 3 4 16" xfId="9720"/>
    <cellStyle name="40% - 강조색1 3 4 17" xfId="9721"/>
    <cellStyle name="40% - 강조색1 3 4 18" xfId="9722"/>
    <cellStyle name="40% - 강조색1 3 4 19" xfId="9723"/>
    <cellStyle name="40% - 강조색1 3 4 2" xfId="9724"/>
    <cellStyle name="40% - 강조색1 3 4 20" xfId="9725"/>
    <cellStyle name="40% - 강조색1 3 4 3" xfId="9726"/>
    <cellStyle name="40% - 강조색1 3 4 4" xfId="9727"/>
    <cellStyle name="40% - 강조색1 3 4 5" xfId="9728"/>
    <cellStyle name="40% - 강조색1 3 4 6" xfId="9729"/>
    <cellStyle name="40% - 강조색1 3 4 7" xfId="9730"/>
    <cellStyle name="40% - 강조색1 3 4 8" xfId="9731"/>
    <cellStyle name="40% - 강조색1 3 4 9" xfId="9732"/>
    <cellStyle name="40% - 강조색1 3 5" xfId="9733"/>
    <cellStyle name="40% - 강조색1 3 6" xfId="9734"/>
    <cellStyle name="40% - 강조색1 3 7" xfId="9735"/>
    <cellStyle name="40% - 강조색1 3 8" xfId="9736"/>
    <cellStyle name="40% - 강조색1 3 9" xfId="9737"/>
    <cellStyle name="40% - 강조색1 30" xfId="20820"/>
    <cellStyle name="40% - 강조색1 31" xfId="20821"/>
    <cellStyle name="40% - 강조색1 32" xfId="20822"/>
    <cellStyle name="40% - 강조색1 33" xfId="20823"/>
    <cellStyle name="40% - 강조색1 34" xfId="20824"/>
    <cellStyle name="40% - 강조색1 34 2" xfId="20825"/>
    <cellStyle name="40% - 강조색1 34 2 2" xfId="20826"/>
    <cellStyle name="40% - 강조색1 34 3" xfId="20827"/>
    <cellStyle name="40% - 강조색1 34 4" xfId="20828"/>
    <cellStyle name="40% - 강조색1 34 5" xfId="20829"/>
    <cellStyle name="40% - 강조색1 35" xfId="20830"/>
    <cellStyle name="40% - 강조색1 35 2" xfId="20831"/>
    <cellStyle name="40% - 강조색1 35 2 2" xfId="20832"/>
    <cellStyle name="40% - 강조색1 35 3" xfId="20833"/>
    <cellStyle name="40% - 강조색1 35 4" xfId="20834"/>
    <cellStyle name="40% - 강조색1 35 5" xfId="20835"/>
    <cellStyle name="40% - 강조색1 36" xfId="20836"/>
    <cellStyle name="40% - 강조색1 36 2" xfId="20837"/>
    <cellStyle name="40% - 강조색1 36 2 2" xfId="20838"/>
    <cellStyle name="40% - 강조색1 36 3" xfId="20839"/>
    <cellStyle name="40% - 강조색1 36 4" xfId="20840"/>
    <cellStyle name="40% - 강조색1 36 5" xfId="20841"/>
    <cellStyle name="40% - 강조색1 4" xfId="980"/>
    <cellStyle name="40% - 강조색1 4 2" xfId="9738"/>
    <cellStyle name="40% - 강조색1 4 2 2" xfId="9739"/>
    <cellStyle name="40% - 강조색1 4 3" xfId="9740"/>
    <cellStyle name="40% - 강조색1 4 3 2" xfId="9741"/>
    <cellStyle name="40% - 강조색1 4 4" xfId="9742"/>
    <cellStyle name="40% - 강조색1 4 5" xfId="9743"/>
    <cellStyle name="40% - 강조색1 4 6" xfId="9744"/>
    <cellStyle name="40% - 강조색1 4 7" xfId="9745"/>
    <cellStyle name="40% - 강조색1 4 8" xfId="9746"/>
    <cellStyle name="40% - 강조색1 4 9" xfId="9747"/>
    <cellStyle name="40% - 강조색1 5" xfId="981"/>
    <cellStyle name="40% - 강조색1 5 2" xfId="9748"/>
    <cellStyle name="40% - 강조색1 5 2 2" xfId="9749"/>
    <cellStyle name="40% - 강조색1 5 3" xfId="9750"/>
    <cellStyle name="40% - 강조색1 5 3 2" xfId="9751"/>
    <cellStyle name="40% - 강조색1 5 4" xfId="20842"/>
    <cellStyle name="40% - 강조색1 6" xfId="9752"/>
    <cellStyle name="40% - 강조색1 6 2" xfId="9753"/>
    <cellStyle name="40% - 강조색1 7" xfId="9754"/>
    <cellStyle name="40% - 강조색1 7 2" xfId="9755"/>
    <cellStyle name="40% - 강조색1 8" xfId="9756"/>
    <cellStyle name="40% - 강조색1 8 2" xfId="9757"/>
    <cellStyle name="40% - 강조색1 9" xfId="9758"/>
    <cellStyle name="40% - 강조색2 10" xfId="9759"/>
    <cellStyle name="40% - 강조색2 11" xfId="9760"/>
    <cellStyle name="40% - 강조색2 12" xfId="9761"/>
    <cellStyle name="40% - 강조색2 13" xfId="9762"/>
    <cellStyle name="40% - 강조색2 13 2" xfId="9763"/>
    <cellStyle name="40% - 강조색2 14" xfId="9764"/>
    <cellStyle name="40% - 강조색2 14 2" xfId="9765"/>
    <cellStyle name="40% - 강조색2 15" xfId="20843"/>
    <cellStyle name="40% - 강조색2 16" xfId="20844"/>
    <cellStyle name="40% - 강조색2 17" xfId="20845"/>
    <cellStyle name="40% - 강조색2 18" xfId="20846"/>
    <cellStyle name="40% - 강조색2 18 2" xfId="20847"/>
    <cellStyle name="40% - 강조색2 19" xfId="20848"/>
    <cellStyle name="40% - 강조색2 19 2" xfId="20849"/>
    <cellStyle name="40% - 강조색2 2" xfId="982"/>
    <cellStyle name="40% - 강조색2 2 10" xfId="9766"/>
    <cellStyle name="40% - 강조색2 2 11" xfId="9767"/>
    <cellStyle name="40% - 강조색2 2 12" xfId="9768"/>
    <cellStyle name="40% - 강조색2 2 13" xfId="9769"/>
    <cellStyle name="40% - 강조색2 2 14" xfId="9770"/>
    <cellStyle name="40% - 강조색2 2 15" xfId="9771"/>
    <cellStyle name="40% - 강조색2 2 16" xfId="9772"/>
    <cellStyle name="40% - 강조색2 2 17" xfId="9773"/>
    <cellStyle name="40% - 강조색2 2 18" xfId="9774"/>
    <cellStyle name="40% - 강조색2 2 19" xfId="9775"/>
    <cellStyle name="40% - 강조색2 2 2" xfId="983"/>
    <cellStyle name="40% - 강조색2 2 2 10" xfId="9776"/>
    <cellStyle name="40% - 강조색2 2 2 11" xfId="9777"/>
    <cellStyle name="40% - 강조색2 2 2 12" xfId="9778"/>
    <cellStyle name="40% - 강조색2 2 2 13" xfId="9779"/>
    <cellStyle name="40% - 강조색2 2 2 14" xfId="9780"/>
    <cellStyle name="40% - 강조색2 2 2 15" xfId="9781"/>
    <cellStyle name="40% - 강조색2 2 2 16" xfId="9782"/>
    <cellStyle name="40% - 강조색2 2 2 17" xfId="9783"/>
    <cellStyle name="40% - 강조색2 2 2 18" xfId="9784"/>
    <cellStyle name="40% - 강조색2 2 2 19" xfId="9785"/>
    <cellStyle name="40% - 강조색2 2 2 2" xfId="9786"/>
    <cellStyle name="40% - 강조색2 2 2 20" xfId="9787"/>
    <cellStyle name="40% - 강조색2 2 2 21" xfId="9788"/>
    <cellStyle name="40% - 강조색2 2 2 22" xfId="9789"/>
    <cellStyle name="40% - 강조색2 2 2 3" xfId="9790"/>
    <cellStyle name="40% - 강조색2 2 2 4" xfId="9791"/>
    <cellStyle name="40% - 강조색2 2 2 5" xfId="9792"/>
    <cellStyle name="40% - 강조색2 2 2 6" xfId="9793"/>
    <cellStyle name="40% - 강조색2 2 2 7" xfId="9794"/>
    <cellStyle name="40% - 강조색2 2 2 8" xfId="9795"/>
    <cellStyle name="40% - 강조색2 2 2 9" xfId="9796"/>
    <cellStyle name="40% - 강조색2 2 20" xfId="9797"/>
    <cellStyle name="40% - 강조색2 2 21" xfId="9798"/>
    <cellStyle name="40% - 강조색2 2 22" xfId="9799"/>
    <cellStyle name="40% - 강조색2 2 23" xfId="9800"/>
    <cellStyle name="40% - 강조색2 2 24" xfId="9801"/>
    <cellStyle name="40% - 강조색2 2 25" xfId="9802"/>
    <cellStyle name="40% - 강조색2 2 26" xfId="9803"/>
    <cellStyle name="40% - 강조색2 2 27" xfId="9804"/>
    <cellStyle name="40% - 강조색2 2 28" xfId="9805"/>
    <cellStyle name="40% - 강조색2 2 29" xfId="9806"/>
    <cellStyle name="40% - 강조색2 2 3" xfId="984"/>
    <cellStyle name="40% - 강조색2 2 3 10" xfId="9807"/>
    <cellStyle name="40% - 강조색2 2 3 11" xfId="9808"/>
    <cellStyle name="40% - 강조색2 2 3 12" xfId="9809"/>
    <cellStyle name="40% - 강조색2 2 3 13" xfId="9810"/>
    <cellStyle name="40% - 강조색2 2 3 14" xfId="9811"/>
    <cellStyle name="40% - 강조색2 2 3 15" xfId="9812"/>
    <cellStyle name="40% - 강조색2 2 3 16" xfId="9813"/>
    <cellStyle name="40% - 강조색2 2 3 17" xfId="9814"/>
    <cellStyle name="40% - 강조색2 2 3 18" xfId="9815"/>
    <cellStyle name="40% - 강조색2 2 3 19" xfId="9816"/>
    <cellStyle name="40% - 강조색2 2 3 2" xfId="9817"/>
    <cellStyle name="40% - 강조색2 2 3 20" xfId="9818"/>
    <cellStyle name="40% - 강조색2 2 3 21" xfId="9819"/>
    <cellStyle name="40% - 강조색2 2 3 3" xfId="9820"/>
    <cellStyle name="40% - 강조색2 2 3 4" xfId="9821"/>
    <cellStyle name="40% - 강조색2 2 3 5" xfId="9822"/>
    <cellStyle name="40% - 강조색2 2 3 6" xfId="9823"/>
    <cellStyle name="40% - 강조색2 2 3 7" xfId="9824"/>
    <cellStyle name="40% - 강조색2 2 3 8" xfId="9825"/>
    <cellStyle name="40% - 강조색2 2 3 9" xfId="9826"/>
    <cellStyle name="40% - 강조색2 2 30" xfId="9827"/>
    <cellStyle name="40% - 강조색2 2 4" xfId="985"/>
    <cellStyle name="40% - 강조색2 2 4 10" xfId="9828"/>
    <cellStyle name="40% - 강조색2 2 4 11" xfId="9829"/>
    <cellStyle name="40% - 강조색2 2 4 12" xfId="9830"/>
    <cellStyle name="40% - 강조색2 2 4 13" xfId="9831"/>
    <cellStyle name="40% - 강조색2 2 4 14" xfId="9832"/>
    <cellStyle name="40% - 강조색2 2 4 15" xfId="9833"/>
    <cellStyle name="40% - 강조색2 2 4 16" xfId="9834"/>
    <cellStyle name="40% - 강조색2 2 4 17" xfId="9835"/>
    <cellStyle name="40% - 강조색2 2 4 18" xfId="9836"/>
    <cellStyle name="40% - 강조색2 2 4 19" xfId="9837"/>
    <cellStyle name="40% - 강조색2 2 4 2" xfId="9838"/>
    <cellStyle name="40% - 강조색2 2 4 20" xfId="9839"/>
    <cellStyle name="40% - 강조색2 2 4 3" xfId="9840"/>
    <cellStyle name="40% - 강조색2 2 4 4" xfId="9841"/>
    <cellStyle name="40% - 강조색2 2 4 5" xfId="9842"/>
    <cellStyle name="40% - 강조색2 2 4 6" xfId="9843"/>
    <cellStyle name="40% - 강조색2 2 4 7" xfId="9844"/>
    <cellStyle name="40% - 강조색2 2 4 8" xfId="9845"/>
    <cellStyle name="40% - 강조색2 2 4 9" xfId="9846"/>
    <cellStyle name="40% - 강조색2 2 5" xfId="9847"/>
    <cellStyle name="40% - 강조색2 2 6" xfId="9848"/>
    <cellStyle name="40% - 강조색2 2 7" xfId="9849"/>
    <cellStyle name="40% - 강조색2 2 7 2" xfId="9850"/>
    <cellStyle name="40% - 강조색2 2 8" xfId="9851"/>
    <cellStyle name="40% - 강조색2 2 9" xfId="9852"/>
    <cellStyle name="40% - 강조색2 20" xfId="20850"/>
    <cellStyle name="40% - 강조색2 20 2" xfId="20851"/>
    <cellStyle name="40% - 강조색2 21" xfId="20852"/>
    <cellStyle name="40% - 강조색2 21 2" xfId="20853"/>
    <cellStyle name="40% - 강조색2 22" xfId="20854"/>
    <cellStyle name="40% - 강조색2 22 2" xfId="20855"/>
    <cellStyle name="40% - 강조색2 23" xfId="20856"/>
    <cellStyle name="40% - 강조색2 24" xfId="20857"/>
    <cellStyle name="40% - 강조색2 25" xfId="20858"/>
    <cellStyle name="40% - 강조색2 26" xfId="20859"/>
    <cellStyle name="40% - 강조색2 27" xfId="20860"/>
    <cellStyle name="40% - 강조색2 28" xfId="20861"/>
    <cellStyle name="40% - 강조색2 29" xfId="20862"/>
    <cellStyle name="40% - 강조색2 3" xfId="986"/>
    <cellStyle name="40% - 강조색2 3 10" xfId="9853"/>
    <cellStyle name="40% - 강조색2 3 11" xfId="9854"/>
    <cellStyle name="40% - 강조색2 3 12" xfId="9855"/>
    <cellStyle name="40% - 강조색2 3 13" xfId="9856"/>
    <cellStyle name="40% - 강조색2 3 14" xfId="9857"/>
    <cellStyle name="40% - 강조색2 3 15" xfId="9858"/>
    <cellStyle name="40% - 강조색2 3 16" xfId="9859"/>
    <cellStyle name="40% - 강조색2 3 17" xfId="9860"/>
    <cellStyle name="40% - 강조색2 3 18" xfId="9861"/>
    <cellStyle name="40% - 강조색2 3 19" xfId="9862"/>
    <cellStyle name="40% - 강조색2 3 2" xfId="9863"/>
    <cellStyle name="40% - 강조색2 3 2 10" xfId="9864"/>
    <cellStyle name="40% - 강조색2 3 2 11" xfId="9865"/>
    <cellStyle name="40% - 강조색2 3 2 12" xfId="9866"/>
    <cellStyle name="40% - 강조색2 3 2 13" xfId="9867"/>
    <cellStyle name="40% - 강조색2 3 2 14" xfId="9868"/>
    <cellStyle name="40% - 강조색2 3 2 15" xfId="9869"/>
    <cellStyle name="40% - 강조색2 3 2 16" xfId="9870"/>
    <cellStyle name="40% - 강조색2 3 2 17" xfId="9871"/>
    <cellStyle name="40% - 강조색2 3 2 18" xfId="9872"/>
    <cellStyle name="40% - 강조색2 3 2 19" xfId="9873"/>
    <cellStyle name="40% - 강조색2 3 2 2" xfId="9874"/>
    <cellStyle name="40% - 강조색2 3 2 20" xfId="9875"/>
    <cellStyle name="40% - 강조색2 3 2 21" xfId="9876"/>
    <cellStyle name="40% - 강조색2 3 2 3" xfId="9877"/>
    <cellStyle name="40% - 강조색2 3 2 4" xfId="9878"/>
    <cellStyle name="40% - 강조색2 3 2 5" xfId="9879"/>
    <cellStyle name="40% - 강조색2 3 2 6" xfId="9880"/>
    <cellStyle name="40% - 강조색2 3 2 7" xfId="9881"/>
    <cellStyle name="40% - 강조색2 3 2 8" xfId="9882"/>
    <cellStyle name="40% - 강조색2 3 2 9" xfId="9883"/>
    <cellStyle name="40% - 강조색2 3 20" xfId="9884"/>
    <cellStyle name="40% - 강조색2 3 21" xfId="9885"/>
    <cellStyle name="40% - 강조색2 3 22" xfId="9886"/>
    <cellStyle name="40% - 강조색2 3 23" xfId="9887"/>
    <cellStyle name="40% - 강조색2 3 24" xfId="9888"/>
    <cellStyle name="40% - 강조색2 3 25" xfId="9889"/>
    <cellStyle name="40% - 강조색2 3 26" xfId="9890"/>
    <cellStyle name="40% - 강조색2 3 27" xfId="9891"/>
    <cellStyle name="40% - 강조색2 3 28" xfId="9892"/>
    <cellStyle name="40% - 강조색2 3 29" xfId="9893"/>
    <cellStyle name="40% - 강조색2 3 3" xfId="9894"/>
    <cellStyle name="40% - 강조색2 3 3 10" xfId="9895"/>
    <cellStyle name="40% - 강조색2 3 3 11" xfId="9896"/>
    <cellStyle name="40% - 강조색2 3 3 12" xfId="9897"/>
    <cellStyle name="40% - 강조색2 3 3 13" xfId="9898"/>
    <cellStyle name="40% - 강조색2 3 3 14" xfId="9899"/>
    <cellStyle name="40% - 강조색2 3 3 15" xfId="9900"/>
    <cellStyle name="40% - 강조색2 3 3 16" xfId="9901"/>
    <cellStyle name="40% - 강조색2 3 3 17" xfId="9902"/>
    <cellStyle name="40% - 강조색2 3 3 18" xfId="9903"/>
    <cellStyle name="40% - 강조색2 3 3 19" xfId="9904"/>
    <cellStyle name="40% - 강조색2 3 3 2" xfId="9905"/>
    <cellStyle name="40% - 강조색2 3 3 20" xfId="9906"/>
    <cellStyle name="40% - 강조색2 3 3 21" xfId="9907"/>
    <cellStyle name="40% - 강조색2 3 3 3" xfId="9908"/>
    <cellStyle name="40% - 강조색2 3 3 4" xfId="9909"/>
    <cellStyle name="40% - 강조색2 3 3 5" xfId="9910"/>
    <cellStyle name="40% - 강조색2 3 3 6" xfId="9911"/>
    <cellStyle name="40% - 강조색2 3 3 7" xfId="9912"/>
    <cellStyle name="40% - 강조색2 3 3 8" xfId="9913"/>
    <cellStyle name="40% - 강조색2 3 3 9" xfId="9914"/>
    <cellStyle name="40% - 강조색2 3 30" xfId="9915"/>
    <cellStyle name="40% - 강조색2 3 31" xfId="9916"/>
    <cellStyle name="40% - 강조색2 3 4" xfId="9917"/>
    <cellStyle name="40% - 강조색2 3 4 10" xfId="9918"/>
    <cellStyle name="40% - 강조색2 3 4 11" xfId="9919"/>
    <cellStyle name="40% - 강조색2 3 4 12" xfId="9920"/>
    <cellStyle name="40% - 강조색2 3 4 13" xfId="9921"/>
    <cellStyle name="40% - 강조색2 3 4 14" xfId="9922"/>
    <cellStyle name="40% - 강조색2 3 4 15" xfId="9923"/>
    <cellStyle name="40% - 강조색2 3 4 16" xfId="9924"/>
    <cellStyle name="40% - 강조색2 3 4 17" xfId="9925"/>
    <cellStyle name="40% - 강조색2 3 4 18" xfId="9926"/>
    <cellStyle name="40% - 강조색2 3 4 19" xfId="9927"/>
    <cellStyle name="40% - 강조색2 3 4 2" xfId="9928"/>
    <cellStyle name="40% - 강조색2 3 4 20" xfId="9929"/>
    <cellStyle name="40% - 강조색2 3 4 3" xfId="9930"/>
    <cellStyle name="40% - 강조색2 3 4 4" xfId="9931"/>
    <cellStyle name="40% - 강조색2 3 4 5" xfId="9932"/>
    <cellStyle name="40% - 강조색2 3 4 6" xfId="9933"/>
    <cellStyle name="40% - 강조색2 3 4 7" xfId="9934"/>
    <cellStyle name="40% - 강조색2 3 4 8" xfId="9935"/>
    <cellStyle name="40% - 강조색2 3 4 9" xfId="9936"/>
    <cellStyle name="40% - 강조색2 3 5" xfId="9937"/>
    <cellStyle name="40% - 강조색2 3 6" xfId="9938"/>
    <cellStyle name="40% - 강조색2 3 7" xfId="9939"/>
    <cellStyle name="40% - 강조색2 3 8" xfId="9940"/>
    <cellStyle name="40% - 강조색2 3 9" xfId="9941"/>
    <cellStyle name="40% - 강조색2 30" xfId="20863"/>
    <cellStyle name="40% - 강조색2 31" xfId="20864"/>
    <cellStyle name="40% - 강조색2 32" xfId="20865"/>
    <cellStyle name="40% - 강조색2 33" xfId="20866"/>
    <cellStyle name="40% - 강조색2 34" xfId="20867"/>
    <cellStyle name="40% - 강조색2 34 2" xfId="20868"/>
    <cellStyle name="40% - 강조색2 34 2 2" xfId="20869"/>
    <cellStyle name="40% - 강조색2 34 3" xfId="20870"/>
    <cellStyle name="40% - 강조색2 34 4" xfId="20871"/>
    <cellStyle name="40% - 강조색2 34 5" xfId="20872"/>
    <cellStyle name="40% - 강조색2 35" xfId="20873"/>
    <cellStyle name="40% - 강조색2 35 2" xfId="20874"/>
    <cellStyle name="40% - 강조색2 35 2 2" xfId="20875"/>
    <cellStyle name="40% - 강조색2 35 3" xfId="20876"/>
    <cellStyle name="40% - 강조색2 35 4" xfId="20877"/>
    <cellStyle name="40% - 강조색2 35 5" xfId="20878"/>
    <cellStyle name="40% - 강조색2 36" xfId="20879"/>
    <cellStyle name="40% - 강조색2 36 2" xfId="20880"/>
    <cellStyle name="40% - 강조색2 36 2 2" xfId="20881"/>
    <cellStyle name="40% - 강조색2 36 3" xfId="20882"/>
    <cellStyle name="40% - 강조색2 36 4" xfId="20883"/>
    <cellStyle name="40% - 강조색2 36 5" xfId="20884"/>
    <cellStyle name="40% - 강조색2 4" xfId="987"/>
    <cellStyle name="40% - 강조색2 4 2" xfId="9942"/>
    <cellStyle name="40% - 강조색2 4 2 2" xfId="9943"/>
    <cellStyle name="40% - 강조색2 4 3" xfId="9944"/>
    <cellStyle name="40% - 강조색2 4 3 2" xfId="9945"/>
    <cellStyle name="40% - 강조색2 4 4" xfId="9946"/>
    <cellStyle name="40% - 강조색2 4 5" xfId="9947"/>
    <cellStyle name="40% - 강조색2 4 6" xfId="9948"/>
    <cellStyle name="40% - 강조색2 4 7" xfId="9949"/>
    <cellStyle name="40% - 강조색2 4 8" xfId="9950"/>
    <cellStyle name="40% - 강조색2 4 9" xfId="9951"/>
    <cellStyle name="40% - 강조색2 5" xfId="988"/>
    <cellStyle name="40% - 강조색2 5 2" xfId="9952"/>
    <cellStyle name="40% - 강조색2 5 2 2" xfId="9953"/>
    <cellStyle name="40% - 강조색2 5 3" xfId="9954"/>
    <cellStyle name="40% - 강조색2 5 3 2" xfId="9955"/>
    <cellStyle name="40% - 강조색2 5 4" xfId="20885"/>
    <cellStyle name="40% - 강조색2 6" xfId="9956"/>
    <cellStyle name="40% - 강조색2 6 2" xfId="9957"/>
    <cellStyle name="40% - 강조색2 7" xfId="9958"/>
    <cellStyle name="40% - 강조색2 7 2" xfId="9959"/>
    <cellStyle name="40% - 강조색2 8" xfId="9960"/>
    <cellStyle name="40% - 강조색2 8 2" xfId="9961"/>
    <cellStyle name="40% - 강조색2 9" xfId="9962"/>
    <cellStyle name="40% - 강조색3 10" xfId="9963"/>
    <cellStyle name="40% - 강조색3 11" xfId="9964"/>
    <cellStyle name="40% - 강조색3 12" xfId="9965"/>
    <cellStyle name="40% - 강조색3 13" xfId="9966"/>
    <cellStyle name="40% - 강조색3 13 2" xfId="9967"/>
    <cellStyle name="40% - 강조색3 14" xfId="9968"/>
    <cellStyle name="40% - 강조색3 14 2" xfId="9969"/>
    <cellStyle name="40% - 강조색3 15" xfId="20886"/>
    <cellStyle name="40% - 강조색3 16" xfId="20887"/>
    <cellStyle name="40% - 강조색3 17" xfId="20888"/>
    <cellStyle name="40% - 강조색3 18" xfId="20889"/>
    <cellStyle name="40% - 강조색3 18 2" xfId="20890"/>
    <cellStyle name="40% - 강조색3 19" xfId="20891"/>
    <cellStyle name="40% - 강조색3 19 2" xfId="20892"/>
    <cellStyle name="40% - 강조색3 2" xfId="989"/>
    <cellStyle name="40% - 강조색3 2 10" xfId="9970"/>
    <cellStyle name="40% - 강조색3 2 11" xfId="9971"/>
    <cellStyle name="40% - 강조색3 2 12" xfId="9972"/>
    <cellStyle name="40% - 강조색3 2 13" xfId="9973"/>
    <cellStyle name="40% - 강조색3 2 14" xfId="9974"/>
    <cellStyle name="40% - 강조색3 2 15" xfId="9975"/>
    <cellStyle name="40% - 강조색3 2 16" xfId="9976"/>
    <cellStyle name="40% - 강조색3 2 17" xfId="9977"/>
    <cellStyle name="40% - 강조색3 2 18" xfId="9978"/>
    <cellStyle name="40% - 강조색3 2 19" xfId="9979"/>
    <cellStyle name="40% - 강조색3 2 2" xfId="990"/>
    <cellStyle name="40% - 강조색3 2 2 10" xfId="9980"/>
    <cellStyle name="40% - 강조색3 2 2 11" xfId="9981"/>
    <cellStyle name="40% - 강조색3 2 2 12" xfId="9982"/>
    <cellStyle name="40% - 강조색3 2 2 13" xfId="9983"/>
    <cellStyle name="40% - 강조색3 2 2 14" xfId="9984"/>
    <cellStyle name="40% - 강조색3 2 2 15" xfId="9985"/>
    <cellStyle name="40% - 강조색3 2 2 16" xfId="9986"/>
    <cellStyle name="40% - 강조색3 2 2 17" xfId="9987"/>
    <cellStyle name="40% - 강조색3 2 2 18" xfId="9988"/>
    <cellStyle name="40% - 강조색3 2 2 19" xfId="9989"/>
    <cellStyle name="40% - 강조색3 2 2 2" xfId="9990"/>
    <cellStyle name="40% - 강조색3 2 2 20" xfId="9991"/>
    <cellStyle name="40% - 강조색3 2 2 21" xfId="9992"/>
    <cellStyle name="40% - 강조색3 2 2 22" xfId="9993"/>
    <cellStyle name="40% - 강조색3 2 2 23" xfId="9994"/>
    <cellStyle name="40% - 강조색3 2 2 3" xfId="9995"/>
    <cellStyle name="40% - 강조색3 2 2 4" xfId="9996"/>
    <cellStyle name="40% - 강조색3 2 2 5" xfId="9997"/>
    <cellStyle name="40% - 강조색3 2 2 6" xfId="9998"/>
    <cellStyle name="40% - 강조색3 2 2 7" xfId="9999"/>
    <cellStyle name="40% - 강조색3 2 2 8" xfId="10000"/>
    <cellStyle name="40% - 강조색3 2 2 9" xfId="10001"/>
    <cellStyle name="40% - 강조색3 2 20" xfId="10002"/>
    <cellStyle name="40% - 강조색3 2 21" xfId="10003"/>
    <cellStyle name="40% - 강조색3 2 22" xfId="10004"/>
    <cellStyle name="40% - 강조색3 2 23" xfId="10005"/>
    <cellStyle name="40% - 강조색3 2 24" xfId="10006"/>
    <cellStyle name="40% - 강조색3 2 25" xfId="10007"/>
    <cellStyle name="40% - 강조색3 2 26" xfId="10008"/>
    <cellStyle name="40% - 강조색3 2 27" xfId="10009"/>
    <cellStyle name="40% - 강조색3 2 28" xfId="10010"/>
    <cellStyle name="40% - 강조색3 2 29" xfId="10011"/>
    <cellStyle name="40% - 강조색3 2 3" xfId="991"/>
    <cellStyle name="40% - 강조색3 2 3 10" xfId="10012"/>
    <cellStyle name="40% - 강조색3 2 3 11" xfId="10013"/>
    <cellStyle name="40% - 강조색3 2 3 12" xfId="10014"/>
    <cellStyle name="40% - 강조색3 2 3 13" xfId="10015"/>
    <cellStyle name="40% - 강조색3 2 3 14" xfId="10016"/>
    <cellStyle name="40% - 강조색3 2 3 15" xfId="10017"/>
    <cellStyle name="40% - 강조색3 2 3 16" xfId="10018"/>
    <cellStyle name="40% - 강조색3 2 3 17" xfId="10019"/>
    <cellStyle name="40% - 강조색3 2 3 18" xfId="10020"/>
    <cellStyle name="40% - 강조색3 2 3 19" xfId="10021"/>
    <cellStyle name="40% - 강조색3 2 3 2" xfId="10022"/>
    <cellStyle name="40% - 강조색3 2 3 20" xfId="10023"/>
    <cellStyle name="40% - 강조색3 2 3 21" xfId="10024"/>
    <cellStyle name="40% - 강조색3 2 3 3" xfId="10025"/>
    <cellStyle name="40% - 강조색3 2 3 4" xfId="10026"/>
    <cellStyle name="40% - 강조색3 2 3 5" xfId="10027"/>
    <cellStyle name="40% - 강조색3 2 3 6" xfId="10028"/>
    <cellStyle name="40% - 강조색3 2 3 7" xfId="10029"/>
    <cellStyle name="40% - 강조색3 2 3 8" xfId="10030"/>
    <cellStyle name="40% - 강조색3 2 3 9" xfId="10031"/>
    <cellStyle name="40% - 강조색3 2 30" xfId="10032"/>
    <cellStyle name="40% - 강조색3 2 31" xfId="10033"/>
    <cellStyle name="40% - 강조색3 2 4" xfId="992"/>
    <cellStyle name="40% - 강조색3 2 4 10" xfId="10034"/>
    <cellStyle name="40% - 강조색3 2 4 11" xfId="10035"/>
    <cellStyle name="40% - 강조색3 2 4 12" xfId="10036"/>
    <cellStyle name="40% - 강조색3 2 4 13" xfId="10037"/>
    <cellStyle name="40% - 강조색3 2 4 14" xfId="10038"/>
    <cellStyle name="40% - 강조색3 2 4 15" xfId="10039"/>
    <cellStyle name="40% - 강조색3 2 4 16" xfId="10040"/>
    <cellStyle name="40% - 강조색3 2 4 17" xfId="10041"/>
    <cellStyle name="40% - 강조색3 2 4 18" xfId="10042"/>
    <cellStyle name="40% - 강조색3 2 4 19" xfId="10043"/>
    <cellStyle name="40% - 강조색3 2 4 2" xfId="10044"/>
    <cellStyle name="40% - 강조색3 2 4 20" xfId="10045"/>
    <cellStyle name="40% - 강조색3 2 4 3" xfId="10046"/>
    <cellStyle name="40% - 강조색3 2 4 4" xfId="10047"/>
    <cellStyle name="40% - 강조색3 2 4 5" xfId="10048"/>
    <cellStyle name="40% - 강조색3 2 4 6" xfId="10049"/>
    <cellStyle name="40% - 강조색3 2 4 7" xfId="10050"/>
    <cellStyle name="40% - 강조색3 2 4 8" xfId="10051"/>
    <cellStyle name="40% - 강조색3 2 4 9" xfId="10052"/>
    <cellStyle name="40% - 강조색3 2 5" xfId="10053"/>
    <cellStyle name="40% - 강조색3 2 6" xfId="10054"/>
    <cellStyle name="40% - 강조색3 2 7" xfId="10055"/>
    <cellStyle name="40% - 강조색3 2 7 2" xfId="10056"/>
    <cellStyle name="40% - 강조색3 2 8" xfId="10057"/>
    <cellStyle name="40% - 강조색3 2 9" xfId="10058"/>
    <cellStyle name="40% - 강조색3 20" xfId="20893"/>
    <cellStyle name="40% - 강조색3 20 2" xfId="20894"/>
    <cellStyle name="40% - 강조색3 21" xfId="20895"/>
    <cellStyle name="40% - 강조색3 21 2" xfId="20896"/>
    <cellStyle name="40% - 강조색3 22" xfId="20897"/>
    <cellStyle name="40% - 강조색3 22 2" xfId="20898"/>
    <cellStyle name="40% - 강조색3 23" xfId="20899"/>
    <cellStyle name="40% - 강조색3 24" xfId="20900"/>
    <cellStyle name="40% - 강조색3 25" xfId="20901"/>
    <cellStyle name="40% - 강조색3 26" xfId="20902"/>
    <cellStyle name="40% - 강조색3 27" xfId="20903"/>
    <cellStyle name="40% - 강조색3 28" xfId="20904"/>
    <cellStyle name="40% - 강조색3 29" xfId="20905"/>
    <cellStyle name="40% - 강조색3 3" xfId="993"/>
    <cellStyle name="40% - 강조색3 3 10" xfId="10059"/>
    <cellStyle name="40% - 강조색3 3 11" xfId="10060"/>
    <cellStyle name="40% - 강조색3 3 12" xfId="10061"/>
    <cellStyle name="40% - 강조색3 3 13" xfId="10062"/>
    <cellStyle name="40% - 강조색3 3 14" xfId="10063"/>
    <cellStyle name="40% - 강조색3 3 15" xfId="10064"/>
    <cellStyle name="40% - 강조색3 3 16" xfId="10065"/>
    <cellStyle name="40% - 강조색3 3 17" xfId="10066"/>
    <cellStyle name="40% - 강조색3 3 18" xfId="10067"/>
    <cellStyle name="40% - 강조색3 3 19" xfId="10068"/>
    <cellStyle name="40% - 강조색3 3 2" xfId="10069"/>
    <cellStyle name="40% - 강조색3 3 2 10" xfId="10070"/>
    <cellStyle name="40% - 강조색3 3 2 11" xfId="10071"/>
    <cellStyle name="40% - 강조색3 3 2 12" xfId="10072"/>
    <cellStyle name="40% - 강조색3 3 2 13" xfId="10073"/>
    <cellStyle name="40% - 강조색3 3 2 14" xfId="10074"/>
    <cellStyle name="40% - 강조색3 3 2 15" xfId="10075"/>
    <cellStyle name="40% - 강조색3 3 2 16" xfId="10076"/>
    <cellStyle name="40% - 강조색3 3 2 17" xfId="10077"/>
    <cellStyle name="40% - 강조색3 3 2 18" xfId="10078"/>
    <cellStyle name="40% - 강조색3 3 2 19" xfId="10079"/>
    <cellStyle name="40% - 강조색3 3 2 2" xfId="10080"/>
    <cellStyle name="40% - 강조색3 3 2 20" xfId="10081"/>
    <cellStyle name="40% - 강조색3 3 2 21" xfId="10082"/>
    <cellStyle name="40% - 강조색3 3 2 3" xfId="10083"/>
    <cellStyle name="40% - 강조색3 3 2 4" xfId="10084"/>
    <cellStyle name="40% - 강조색3 3 2 5" xfId="10085"/>
    <cellStyle name="40% - 강조색3 3 2 6" xfId="10086"/>
    <cellStyle name="40% - 강조색3 3 2 7" xfId="10087"/>
    <cellStyle name="40% - 강조색3 3 2 8" xfId="10088"/>
    <cellStyle name="40% - 강조색3 3 2 9" xfId="10089"/>
    <cellStyle name="40% - 강조색3 3 20" xfId="10090"/>
    <cellStyle name="40% - 강조색3 3 21" xfId="10091"/>
    <cellStyle name="40% - 강조색3 3 22" xfId="10092"/>
    <cellStyle name="40% - 강조색3 3 23" xfId="10093"/>
    <cellStyle name="40% - 강조색3 3 24" xfId="10094"/>
    <cellStyle name="40% - 강조색3 3 25" xfId="10095"/>
    <cellStyle name="40% - 강조색3 3 26" xfId="10096"/>
    <cellStyle name="40% - 강조색3 3 27" xfId="10097"/>
    <cellStyle name="40% - 강조색3 3 28" xfId="10098"/>
    <cellStyle name="40% - 강조색3 3 29" xfId="10099"/>
    <cellStyle name="40% - 강조색3 3 3" xfId="10100"/>
    <cellStyle name="40% - 강조색3 3 3 10" xfId="10101"/>
    <cellStyle name="40% - 강조색3 3 3 11" xfId="10102"/>
    <cellStyle name="40% - 강조색3 3 3 12" xfId="10103"/>
    <cellStyle name="40% - 강조색3 3 3 13" xfId="10104"/>
    <cellStyle name="40% - 강조색3 3 3 14" xfId="10105"/>
    <cellStyle name="40% - 강조색3 3 3 15" xfId="10106"/>
    <cellStyle name="40% - 강조색3 3 3 16" xfId="10107"/>
    <cellStyle name="40% - 강조색3 3 3 17" xfId="10108"/>
    <cellStyle name="40% - 강조색3 3 3 18" xfId="10109"/>
    <cellStyle name="40% - 강조색3 3 3 19" xfId="10110"/>
    <cellStyle name="40% - 강조색3 3 3 2" xfId="10111"/>
    <cellStyle name="40% - 강조색3 3 3 20" xfId="10112"/>
    <cellStyle name="40% - 강조색3 3 3 21" xfId="10113"/>
    <cellStyle name="40% - 강조색3 3 3 3" xfId="10114"/>
    <cellStyle name="40% - 강조색3 3 3 4" xfId="10115"/>
    <cellStyle name="40% - 강조색3 3 3 5" xfId="10116"/>
    <cellStyle name="40% - 강조색3 3 3 6" xfId="10117"/>
    <cellStyle name="40% - 강조색3 3 3 7" xfId="10118"/>
    <cellStyle name="40% - 강조색3 3 3 8" xfId="10119"/>
    <cellStyle name="40% - 강조색3 3 3 9" xfId="10120"/>
    <cellStyle name="40% - 강조색3 3 30" xfId="10121"/>
    <cellStyle name="40% - 강조색3 3 31" xfId="10122"/>
    <cellStyle name="40% - 강조색3 3 32" xfId="10123"/>
    <cellStyle name="40% - 강조색3 3 4" xfId="10124"/>
    <cellStyle name="40% - 강조색3 3 4 10" xfId="10125"/>
    <cellStyle name="40% - 강조색3 3 4 11" xfId="10126"/>
    <cellStyle name="40% - 강조색3 3 4 12" xfId="10127"/>
    <cellStyle name="40% - 강조색3 3 4 13" xfId="10128"/>
    <cellStyle name="40% - 강조색3 3 4 14" xfId="10129"/>
    <cellStyle name="40% - 강조색3 3 4 15" xfId="10130"/>
    <cellStyle name="40% - 강조색3 3 4 16" xfId="10131"/>
    <cellStyle name="40% - 강조색3 3 4 17" xfId="10132"/>
    <cellStyle name="40% - 강조색3 3 4 18" xfId="10133"/>
    <cellStyle name="40% - 강조색3 3 4 19" xfId="10134"/>
    <cellStyle name="40% - 강조색3 3 4 2" xfId="10135"/>
    <cellStyle name="40% - 강조색3 3 4 20" xfId="10136"/>
    <cellStyle name="40% - 강조색3 3 4 3" xfId="10137"/>
    <cellStyle name="40% - 강조색3 3 4 4" xfId="10138"/>
    <cellStyle name="40% - 강조색3 3 4 5" xfId="10139"/>
    <cellStyle name="40% - 강조색3 3 4 6" xfId="10140"/>
    <cellStyle name="40% - 강조색3 3 4 7" xfId="10141"/>
    <cellStyle name="40% - 강조색3 3 4 8" xfId="10142"/>
    <cellStyle name="40% - 강조색3 3 4 9" xfId="10143"/>
    <cellStyle name="40% - 강조색3 3 5" xfId="10144"/>
    <cellStyle name="40% - 강조색3 3 6" xfId="10145"/>
    <cellStyle name="40% - 강조색3 3 7" xfId="10146"/>
    <cellStyle name="40% - 강조색3 3 8" xfId="10147"/>
    <cellStyle name="40% - 강조색3 3 9" xfId="10148"/>
    <cellStyle name="40% - 강조색3 30" xfId="20906"/>
    <cellStyle name="40% - 강조색3 31" xfId="20907"/>
    <cellStyle name="40% - 강조색3 32" xfId="20908"/>
    <cellStyle name="40% - 강조색3 33" xfId="20909"/>
    <cellStyle name="40% - 강조색3 34" xfId="20910"/>
    <cellStyle name="40% - 강조색3 34 2" xfId="20911"/>
    <cellStyle name="40% - 강조색3 34 2 2" xfId="20912"/>
    <cellStyle name="40% - 강조색3 34 3" xfId="20913"/>
    <cellStyle name="40% - 강조색3 34 4" xfId="20914"/>
    <cellStyle name="40% - 강조색3 34 5" xfId="20915"/>
    <cellStyle name="40% - 강조색3 35" xfId="20916"/>
    <cellStyle name="40% - 강조색3 35 2" xfId="20917"/>
    <cellStyle name="40% - 강조색3 35 2 2" xfId="20918"/>
    <cellStyle name="40% - 강조색3 35 3" xfId="20919"/>
    <cellStyle name="40% - 강조색3 35 4" xfId="20920"/>
    <cellStyle name="40% - 강조색3 35 5" xfId="20921"/>
    <cellStyle name="40% - 강조색3 36" xfId="20922"/>
    <cellStyle name="40% - 강조색3 36 2" xfId="20923"/>
    <cellStyle name="40% - 강조색3 36 2 2" xfId="20924"/>
    <cellStyle name="40% - 강조색3 36 3" xfId="20925"/>
    <cellStyle name="40% - 강조색3 36 4" xfId="20926"/>
    <cellStyle name="40% - 강조색3 36 5" xfId="20927"/>
    <cellStyle name="40% - 강조색3 4" xfId="994"/>
    <cellStyle name="40% - 강조색3 4 10" xfId="10149"/>
    <cellStyle name="40% - 강조색3 4 2" xfId="10150"/>
    <cellStyle name="40% - 강조색3 4 2 2" xfId="10151"/>
    <cellStyle name="40% - 강조색3 4 3" xfId="10152"/>
    <cellStyle name="40% - 강조색3 4 3 2" xfId="10153"/>
    <cellStyle name="40% - 강조색3 4 4" xfId="10154"/>
    <cellStyle name="40% - 강조색3 4 5" xfId="10155"/>
    <cellStyle name="40% - 강조색3 4 6" xfId="10156"/>
    <cellStyle name="40% - 강조색3 4 7" xfId="10157"/>
    <cellStyle name="40% - 강조색3 4 8" xfId="10158"/>
    <cellStyle name="40% - 강조색3 4 9" xfId="10159"/>
    <cellStyle name="40% - 강조색3 5" xfId="995"/>
    <cellStyle name="40% - 강조색3 5 2" xfId="10160"/>
    <cellStyle name="40% - 강조색3 5 2 2" xfId="10161"/>
    <cellStyle name="40% - 강조색3 5 3" xfId="10162"/>
    <cellStyle name="40% - 강조색3 5 3 2" xfId="10163"/>
    <cellStyle name="40% - 강조색3 5 4" xfId="10164"/>
    <cellStyle name="40% - 강조색3 6" xfId="10165"/>
    <cellStyle name="40% - 강조색3 6 2" xfId="10166"/>
    <cellStyle name="40% - 강조색3 6 3" xfId="10167"/>
    <cellStyle name="40% - 강조색3 7" xfId="10168"/>
    <cellStyle name="40% - 강조색3 7 2" xfId="10169"/>
    <cellStyle name="40% - 강조색3 7 3" xfId="10170"/>
    <cellStyle name="40% - 강조색3 8" xfId="10171"/>
    <cellStyle name="40% - 강조색3 8 2" xfId="10172"/>
    <cellStyle name="40% - 강조색3 8 3" xfId="10173"/>
    <cellStyle name="40% - 강조색3 9" xfId="10174"/>
    <cellStyle name="40% - 강조색4 10" xfId="10175"/>
    <cellStyle name="40% - 강조색4 11" xfId="10176"/>
    <cellStyle name="40% - 강조색4 12" xfId="10177"/>
    <cellStyle name="40% - 강조색4 13" xfId="10178"/>
    <cellStyle name="40% - 강조색4 13 2" xfId="10179"/>
    <cellStyle name="40% - 강조색4 14" xfId="10180"/>
    <cellStyle name="40% - 강조색4 14 2" xfId="10181"/>
    <cellStyle name="40% - 강조색4 15" xfId="20928"/>
    <cellStyle name="40% - 강조색4 16" xfId="20929"/>
    <cellStyle name="40% - 강조색4 17" xfId="20930"/>
    <cellStyle name="40% - 강조색4 18" xfId="20931"/>
    <cellStyle name="40% - 강조색4 18 2" xfId="20932"/>
    <cellStyle name="40% - 강조색4 19" xfId="20933"/>
    <cellStyle name="40% - 강조색4 19 2" xfId="20934"/>
    <cellStyle name="40% - 강조색4 2" xfId="996"/>
    <cellStyle name="40% - 강조색4 2 10" xfId="10182"/>
    <cellStyle name="40% - 강조색4 2 11" xfId="10183"/>
    <cellStyle name="40% - 강조색4 2 12" xfId="10184"/>
    <cellStyle name="40% - 강조색4 2 13" xfId="10185"/>
    <cellStyle name="40% - 강조색4 2 14" xfId="10186"/>
    <cellStyle name="40% - 강조색4 2 15" xfId="10187"/>
    <cellStyle name="40% - 강조색4 2 16" xfId="10188"/>
    <cellStyle name="40% - 강조색4 2 17" xfId="10189"/>
    <cellStyle name="40% - 강조색4 2 18" xfId="10190"/>
    <cellStyle name="40% - 강조색4 2 19" xfId="10191"/>
    <cellStyle name="40% - 강조색4 2 2" xfId="997"/>
    <cellStyle name="40% - 강조색4 2 2 10" xfId="10192"/>
    <cellStyle name="40% - 강조색4 2 2 11" xfId="10193"/>
    <cellStyle name="40% - 강조색4 2 2 12" xfId="10194"/>
    <cellStyle name="40% - 강조색4 2 2 13" xfId="10195"/>
    <cellStyle name="40% - 강조색4 2 2 14" xfId="10196"/>
    <cellStyle name="40% - 강조색4 2 2 15" xfId="10197"/>
    <cellStyle name="40% - 강조색4 2 2 16" xfId="10198"/>
    <cellStyle name="40% - 강조색4 2 2 17" xfId="10199"/>
    <cellStyle name="40% - 강조색4 2 2 18" xfId="10200"/>
    <cellStyle name="40% - 강조색4 2 2 19" xfId="10201"/>
    <cellStyle name="40% - 강조색4 2 2 2" xfId="10202"/>
    <cellStyle name="40% - 강조색4 2 2 20" xfId="10203"/>
    <cellStyle name="40% - 강조색4 2 2 21" xfId="10204"/>
    <cellStyle name="40% - 강조색4 2 2 22" xfId="10205"/>
    <cellStyle name="40% - 강조색4 2 2 3" xfId="10206"/>
    <cellStyle name="40% - 강조색4 2 2 4" xfId="10207"/>
    <cellStyle name="40% - 강조색4 2 2 5" xfId="10208"/>
    <cellStyle name="40% - 강조색4 2 2 6" xfId="10209"/>
    <cellStyle name="40% - 강조색4 2 2 7" xfId="10210"/>
    <cellStyle name="40% - 강조색4 2 2 8" xfId="10211"/>
    <cellStyle name="40% - 강조색4 2 2 9" xfId="10212"/>
    <cellStyle name="40% - 강조색4 2 20" xfId="10213"/>
    <cellStyle name="40% - 강조색4 2 21" xfId="10214"/>
    <cellStyle name="40% - 강조색4 2 22" xfId="10215"/>
    <cellStyle name="40% - 강조색4 2 23" xfId="10216"/>
    <cellStyle name="40% - 강조색4 2 24" xfId="10217"/>
    <cellStyle name="40% - 강조색4 2 25" xfId="10218"/>
    <cellStyle name="40% - 강조색4 2 26" xfId="10219"/>
    <cellStyle name="40% - 강조색4 2 27" xfId="10220"/>
    <cellStyle name="40% - 강조색4 2 28" xfId="10221"/>
    <cellStyle name="40% - 강조색4 2 29" xfId="10222"/>
    <cellStyle name="40% - 강조색4 2 3" xfId="998"/>
    <cellStyle name="40% - 강조색4 2 3 10" xfId="10223"/>
    <cellStyle name="40% - 강조색4 2 3 11" xfId="10224"/>
    <cellStyle name="40% - 강조색4 2 3 12" xfId="10225"/>
    <cellStyle name="40% - 강조색4 2 3 13" xfId="10226"/>
    <cellStyle name="40% - 강조색4 2 3 14" xfId="10227"/>
    <cellStyle name="40% - 강조색4 2 3 15" xfId="10228"/>
    <cellStyle name="40% - 강조색4 2 3 16" xfId="10229"/>
    <cellStyle name="40% - 강조색4 2 3 17" xfId="10230"/>
    <cellStyle name="40% - 강조색4 2 3 18" xfId="10231"/>
    <cellStyle name="40% - 강조색4 2 3 19" xfId="10232"/>
    <cellStyle name="40% - 강조색4 2 3 2" xfId="10233"/>
    <cellStyle name="40% - 강조색4 2 3 20" xfId="10234"/>
    <cellStyle name="40% - 강조색4 2 3 21" xfId="10235"/>
    <cellStyle name="40% - 강조색4 2 3 3" xfId="10236"/>
    <cellStyle name="40% - 강조색4 2 3 4" xfId="10237"/>
    <cellStyle name="40% - 강조색4 2 3 5" xfId="10238"/>
    <cellStyle name="40% - 강조색4 2 3 6" xfId="10239"/>
    <cellStyle name="40% - 강조색4 2 3 7" xfId="10240"/>
    <cellStyle name="40% - 강조색4 2 3 8" xfId="10241"/>
    <cellStyle name="40% - 강조색4 2 3 9" xfId="10242"/>
    <cellStyle name="40% - 강조색4 2 30" xfId="10243"/>
    <cellStyle name="40% - 강조색4 2 4" xfId="999"/>
    <cellStyle name="40% - 강조색4 2 4 10" xfId="10244"/>
    <cellStyle name="40% - 강조색4 2 4 11" xfId="10245"/>
    <cellStyle name="40% - 강조색4 2 4 12" xfId="10246"/>
    <cellStyle name="40% - 강조색4 2 4 13" xfId="10247"/>
    <cellStyle name="40% - 강조색4 2 4 14" xfId="10248"/>
    <cellStyle name="40% - 강조색4 2 4 15" xfId="10249"/>
    <cellStyle name="40% - 강조색4 2 4 16" xfId="10250"/>
    <cellStyle name="40% - 강조색4 2 4 17" xfId="10251"/>
    <cellStyle name="40% - 강조색4 2 4 18" xfId="10252"/>
    <cellStyle name="40% - 강조색4 2 4 19" xfId="10253"/>
    <cellStyle name="40% - 강조색4 2 4 2" xfId="10254"/>
    <cellStyle name="40% - 강조색4 2 4 20" xfId="10255"/>
    <cellStyle name="40% - 강조색4 2 4 3" xfId="10256"/>
    <cellStyle name="40% - 강조색4 2 4 4" xfId="10257"/>
    <cellStyle name="40% - 강조색4 2 4 5" xfId="10258"/>
    <cellStyle name="40% - 강조색4 2 4 6" xfId="10259"/>
    <cellStyle name="40% - 강조색4 2 4 7" xfId="10260"/>
    <cellStyle name="40% - 강조색4 2 4 8" xfId="10261"/>
    <cellStyle name="40% - 강조색4 2 4 9" xfId="10262"/>
    <cellStyle name="40% - 강조색4 2 5" xfId="10263"/>
    <cellStyle name="40% - 강조색4 2 6" xfId="10264"/>
    <cellStyle name="40% - 강조색4 2 7" xfId="10265"/>
    <cellStyle name="40% - 강조색4 2 7 2" xfId="10266"/>
    <cellStyle name="40% - 강조색4 2 8" xfId="10267"/>
    <cellStyle name="40% - 강조색4 2 9" xfId="10268"/>
    <cellStyle name="40% - 강조색4 20" xfId="20935"/>
    <cellStyle name="40% - 강조색4 20 2" xfId="20936"/>
    <cellStyle name="40% - 강조색4 21" xfId="20937"/>
    <cellStyle name="40% - 강조색4 21 2" xfId="20938"/>
    <cellStyle name="40% - 강조색4 22" xfId="20939"/>
    <cellStyle name="40% - 강조색4 22 2" xfId="20940"/>
    <cellStyle name="40% - 강조색4 23" xfId="20941"/>
    <cellStyle name="40% - 강조색4 24" xfId="20942"/>
    <cellStyle name="40% - 강조색4 25" xfId="20943"/>
    <cellStyle name="40% - 강조색4 26" xfId="20944"/>
    <cellStyle name="40% - 강조색4 27" xfId="20945"/>
    <cellStyle name="40% - 강조색4 28" xfId="20946"/>
    <cellStyle name="40% - 강조색4 29" xfId="20947"/>
    <cellStyle name="40% - 강조색4 3" xfId="1000"/>
    <cellStyle name="40% - 강조색4 3 10" xfId="10269"/>
    <cellStyle name="40% - 강조색4 3 11" xfId="10270"/>
    <cellStyle name="40% - 강조색4 3 12" xfId="10271"/>
    <cellStyle name="40% - 강조색4 3 13" xfId="10272"/>
    <cellStyle name="40% - 강조색4 3 14" xfId="10273"/>
    <cellStyle name="40% - 강조색4 3 15" xfId="10274"/>
    <cellStyle name="40% - 강조색4 3 16" xfId="10275"/>
    <cellStyle name="40% - 강조색4 3 17" xfId="10276"/>
    <cellStyle name="40% - 강조색4 3 18" xfId="10277"/>
    <cellStyle name="40% - 강조색4 3 19" xfId="10278"/>
    <cellStyle name="40% - 강조색4 3 2" xfId="10279"/>
    <cellStyle name="40% - 강조색4 3 2 10" xfId="10280"/>
    <cellStyle name="40% - 강조색4 3 2 11" xfId="10281"/>
    <cellStyle name="40% - 강조색4 3 2 12" xfId="10282"/>
    <cellStyle name="40% - 강조색4 3 2 13" xfId="10283"/>
    <cellStyle name="40% - 강조색4 3 2 14" xfId="10284"/>
    <cellStyle name="40% - 강조색4 3 2 15" xfId="10285"/>
    <cellStyle name="40% - 강조색4 3 2 16" xfId="10286"/>
    <cellStyle name="40% - 강조색4 3 2 17" xfId="10287"/>
    <cellStyle name="40% - 강조색4 3 2 18" xfId="10288"/>
    <cellStyle name="40% - 강조색4 3 2 19" xfId="10289"/>
    <cellStyle name="40% - 강조색4 3 2 2" xfId="10290"/>
    <cellStyle name="40% - 강조색4 3 2 20" xfId="10291"/>
    <cellStyle name="40% - 강조색4 3 2 21" xfId="10292"/>
    <cellStyle name="40% - 강조색4 3 2 3" xfId="10293"/>
    <cellStyle name="40% - 강조색4 3 2 4" xfId="10294"/>
    <cellStyle name="40% - 강조색4 3 2 5" xfId="10295"/>
    <cellStyle name="40% - 강조색4 3 2 6" xfId="10296"/>
    <cellStyle name="40% - 강조색4 3 2 7" xfId="10297"/>
    <cellStyle name="40% - 강조색4 3 2 8" xfId="10298"/>
    <cellStyle name="40% - 강조색4 3 2 9" xfId="10299"/>
    <cellStyle name="40% - 강조색4 3 20" xfId="10300"/>
    <cellStyle name="40% - 강조색4 3 21" xfId="10301"/>
    <cellStyle name="40% - 강조색4 3 22" xfId="10302"/>
    <cellStyle name="40% - 강조색4 3 23" xfId="10303"/>
    <cellStyle name="40% - 강조색4 3 24" xfId="10304"/>
    <cellStyle name="40% - 강조색4 3 25" xfId="10305"/>
    <cellStyle name="40% - 강조색4 3 26" xfId="10306"/>
    <cellStyle name="40% - 강조색4 3 27" xfId="10307"/>
    <cellStyle name="40% - 강조색4 3 28" xfId="10308"/>
    <cellStyle name="40% - 강조색4 3 29" xfId="10309"/>
    <cellStyle name="40% - 강조색4 3 3" xfId="10310"/>
    <cellStyle name="40% - 강조색4 3 3 10" xfId="10311"/>
    <cellStyle name="40% - 강조색4 3 3 11" xfId="10312"/>
    <cellStyle name="40% - 강조색4 3 3 12" xfId="10313"/>
    <cellStyle name="40% - 강조색4 3 3 13" xfId="10314"/>
    <cellStyle name="40% - 강조색4 3 3 14" xfId="10315"/>
    <cellStyle name="40% - 강조색4 3 3 15" xfId="10316"/>
    <cellStyle name="40% - 강조색4 3 3 16" xfId="10317"/>
    <cellStyle name="40% - 강조색4 3 3 17" xfId="10318"/>
    <cellStyle name="40% - 강조색4 3 3 18" xfId="10319"/>
    <cellStyle name="40% - 강조색4 3 3 19" xfId="10320"/>
    <cellStyle name="40% - 강조색4 3 3 2" xfId="10321"/>
    <cellStyle name="40% - 강조색4 3 3 20" xfId="10322"/>
    <cellStyle name="40% - 강조색4 3 3 21" xfId="10323"/>
    <cellStyle name="40% - 강조색4 3 3 3" xfId="10324"/>
    <cellStyle name="40% - 강조색4 3 3 4" xfId="10325"/>
    <cellStyle name="40% - 강조색4 3 3 5" xfId="10326"/>
    <cellStyle name="40% - 강조색4 3 3 6" xfId="10327"/>
    <cellStyle name="40% - 강조색4 3 3 7" xfId="10328"/>
    <cellStyle name="40% - 강조색4 3 3 8" xfId="10329"/>
    <cellStyle name="40% - 강조색4 3 3 9" xfId="10330"/>
    <cellStyle name="40% - 강조색4 3 30" xfId="10331"/>
    <cellStyle name="40% - 강조색4 3 31" xfId="10332"/>
    <cellStyle name="40% - 강조색4 3 4" xfId="10333"/>
    <cellStyle name="40% - 강조색4 3 4 10" xfId="10334"/>
    <cellStyle name="40% - 강조색4 3 4 11" xfId="10335"/>
    <cellStyle name="40% - 강조색4 3 4 12" xfId="10336"/>
    <cellStyle name="40% - 강조색4 3 4 13" xfId="10337"/>
    <cellStyle name="40% - 강조색4 3 4 14" xfId="10338"/>
    <cellStyle name="40% - 강조색4 3 4 15" xfId="10339"/>
    <cellStyle name="40% - 강조색4 3 4 16" xfId="10340"/>
    <cellStyle name="40% - 강조색4 3 4 17" xfId="10341"/>
    <cellStyle name="40% - 강조색4 3 4 18" xfId="10342"/>
    <cellStyle name="40% - 강조색4 3 4 19" xfId="10343"/>
    <cellStyle name="40% - 강조색4 3 4 2" xfId="10344"/>
    <cellStyle name="40% - 강조색4 3 4 20" xfId="10345"/>
    <cellStyle name="40% - 강조색4 3 4 3" xfId="10346"/>
    <cellStyle name="40% - 강조색4 3 4 4" xfId="10347"/>
    <cellStyle name="40% - 강조색4 3 4 5" xfId="10348"/>
    <cellStyle name="40% - 강조색4 3 4 6" xfId="10349"/>
    <cellStyle name="40% - 강조색4 3 4 7" xfId="10350"/>
    <cellStyle name="40% - 강조색4 3 4 8" xfId="10351"/>
    <cellStyle name="40% - 강조색4 3 4 9" xfId="10352"/>
    <cellStyle name="40% - 강조색4 3 5" xfId="10353"/>
    <cellStyle name="40% - 강조색4 3 6" xfId="10354"/>
    <cellStyle name="40% - 강조색4 3 7" xfId="10355"/>
    <cellStyle name="40% - 강조색4 3 8" xfId="10356"/>
    <cellStyle name="40% - 강조색4 3 9" xfId="10357"/>
    <cellStyle name="40% - 강조색4 30" xfId="20948"/>
    <cellStyle name="40% - 강조색4 31" xfId="20949"/>
    <cellStyle name="40% - 강조색4 32" xfId="20950"/>
    <cellStyle name="40% - 강조색4 33" xfId="20951"/>
    <cellStyle name="40% - 강조색4 34" xfId="20952"/>
    <cellStyle name="40% - 강조색4 34 2" xfId="20953"/>
    <cellStyle name="40% - 강조색4 34 2 2" xfId="20954"/>
    <cellStyle name="40% - 강조색4 34 3" xfId="20955"/>
    <cellStyle name="40% - 강조색4 34 4" xfId="20956"/>
    <cellStyle name="40% - 강조색4 34 5" xfId="20957"/>
    <cellStyle name="40% - 강조색4 35" xfId="20958"/>
    <cellStyle name="40% - 강조색4 35 2" xfId="20959"/>
    <cellStyle name="40% - 강조색4 35 2 2" xfId="20960"/>
    <cellStyle name="40% - 강조색4 35 3" xfId="20961"/>
    <cellStyle name="40% - 강조색4 35 4" xfId="20962"/>
    <cellStyle name="40% - 강조색4 35 5" xfId="20963"/>
    <cellStyle name="40% - 강조색4 36" xfId="20964"/>
    <cellStyle name="40% - 강조색4 36 2" xfId="20965"/>
    <cellStyle name="40% - 강조색4 36 2 2" xfId="20966"/>
    <cellStyle name="40% - 강조색4 36 3" xfId="20967"/>
    <cellStyle name="40% - 강조색4 36 4" xfId="20968"/>
    <cellStyle name="40% - 강조색4 36 5" xfId="20969"/>
    <cellStyle name="40% - 강조색4 4" xfId="1001"/>
    <cellStyle name="40% - 강조색4 4 2" xfId="10358"/>
    <cellStyle name="40% - 강조색4 4 2 2" xfId="10359"/>
    <cellStyle name="40% - 강조색4 4 3" xfId="10360"/>
    <cellStyle name="40% - 강조색4 4 3 2" xfId="10361"/>
    <cellStyle name="40% - 강조색4 4 4" xfId="10362"/>
    <cellStyle name="40% - 강조색4 4 5" xfId="10363"/>
    <cellStyle name="40% - 강조색4 4 6" xfId="10364"/>
    <cellStyle name="40% - 강조색4 4 7" xfId="10365"/>
    <cellStyle name="40% - 강조색4 4 8" xfId="10366"/>
    <cellStyle name="40% - 강조색4 4 9" xfId="10367"/>
    <cellStyle name="40% - 강조색4 5" xfId="1002"/>
    <cellStyle name="40% - 강조색4 5 2" xfId="10368"/>
    <cellStyle name="40% - 강조색4 5 2 2" xfId="10369"/>
    <cellStyle name="40% - 강조색4 5 3" xfId="10370"/>
    <cellStyle name="40% - 강조색4 5 3 2" xfId="10371"/>
    <cellStyle name="40% - 강조색4 5 4" xfId="20970"/>
    <cellStyle name="40% - 강조색4 6" xfId="10372"/>
    <cellStyle name="40% - 강조색4 6 2" xfId="10373"/>
    <cellStyle name="40% - 강조색4 7" xfId="10374"/>
    <cellStyle name="40% - 강조색4 7 2" xfId="10375"/>
    <cellStyle name="40% - 강조색4 8" xfId="10376"/>
    <cellStyle name="40% - 강조색4 8 2" xfId="10377"/>
    <cellStyle name="40% - 강조색4 9" xfId="10378"/>
    <cellStyle name="40% - 강조색5 10" xfId="10379"/>
    <cellStyle name="40% - 강조색5 11" xfId="10380"/>
    <cellStyle name="40% - 강조색5 12" xfId="10381"/>
    <cellStyle name="40% - 강조색5 13" xfId="10382"/>
    <cellStyle name="40% - 강조색5 13 2" xfId="10383"/>
    <cellStyle name="40% - 강조색5 14" xfId="10384"/>
    <cellStyle name="40% - 강조색5 14 2" xfId="10385"/>
    <cellStyle name="40% - 강조색5 15" xfId="20971"/>
    <cellStyle name="40% - 강조색5 16" xfId="20972"/>
    <cellStyle name="40% - 강조색5 17" xfId="20973"/>
    <cellStyle name="40% - 강조색5 18" xfId="20974"/>
    <cellStyle name="40% - 강조색5 18 2" xfId="20975"/>
    <cellStyle name="40% - 강조색5 19" xfId="20976"/>
    <cellStyle name="40% - 강조색5 19 2" xfId="20977"/>
    <cellStyle name="40% - 강조색5 2" xfId="1003"/>
    <cellStyle name="40% - 강조색5 2 10" xfId="10386"/>
    <cellStyle name="40% - 강조색5 2 11" xfId="10387"/>
    <cellStyle name="40% - 강조색5 2 12" xfId="10388"/>
    <cellStyle name="40% - 강조색5 2 13" xfId="10389"/>
    <cellStyle name="40% - 강조색5 2 14" xfId="10390"/>
    <cellStyle name="40% - 강조색5 2 15" xfId="10391"/>
    <cellStyle name="40% - 강조색5 2 16" xfId="10392"/>
    <cellStyle name="40% - 강조색5 2 17" xfId="10393"/>
    <cellStyle name="40% - 강조색5 2 18" xfId="10394"/>
    <cellStyle name="40% - 강조색5 2 19" xfId="10395"/>
    <cellStyle name="40% - 강조색5 2 2" xfId="1004"/>
    <cellStyle name="40% - 강조색5 2 2 10" xfId="10396"/>
    <cellStyle name="40% - 강조색5 2 2 11" xfId="10397"/>
    <cellStyle name="40% - 강조색5 2 2 12" xfId="10398"/>
    <cellStyle name="40% - 강조색5 2 2 13" xfId="10399"/>
    <cellStyle name="40% - 강조색5 2 2 14" xfId="10400"/>
    <cellStyle name="40% - 강조색5 2 2 15" xfId="10401"/>
    <cellStyle name="40% - 강조색5 2 2 16" xfId="10402"/>
    <cellStyle name="40% - 강조색5 2 2 17" xfId="10403"/>
    <cellStyle name="40% - 강조색5 2 2 18" xfId="10404"/>
    <cellStyle name="40% - 강조색5 2 2 19" xfId="10405"/>
    <cellStyle name="40% - 강조색5 2 2 2" xfId="10406"/>
    <cellStyle name="40% - 강조색5 2 2 20" xfId="10407"/>
    <cellStyle name="40% - 강조색5 2 2 21" xfId="10408"/>
    <cellStyle name="40% - 강조색5 2 2 22" xfId="10409"/>
    <cellStyle name="40% - 강조색5 2 2 3" xfId="10410"/>
    <cellStyle name="40% - 강조색5 2 2 4" xfId="10411"/>
    <cellStyle name="40% - 강조색5 2 2 5" xfId="10412"/>
    <cellStyle name="40% - 강조색5 2 2 6" xfId="10413"/>
    <cellStyle name="40% - 강조색5 2 2 7" xfId="10414"/>
    <cellStyle name="40% - 강조색5 2 2 8" xfId="10415"/>
    <cellStyle name="40% - 강조색5 2 2 9" xfId="10416"/>
    <cellStyle name="40% - 강조색5 2 20" xfId="10417"/>
    <cellStyle name="40% - 강조색5 2 21" xfId="10418"/>
    <cellStyle name="40% - 강조색5 2 22" xfId="10419"/>
    <cellStyle name="40% - 강조색5 2 23" xfId="10420"/>
    <cellStyle name="40% - 강조색5 2 24" xfId="10421"/>
    <cellStyle name="40% - 강조색5 2 25" xfId="10422"/>
    <cellStyle name="40% - 강조색5 2 26" xfId="10423"/>
    <cellStyle name="40% - 강조색5 2 27" xfId="10424"/>
    <cellStyle name="40% - 강조색5 2 28" xfId="10425"/>
    <cellStyle name="40% - 강조색5 2 29" xfId="10426"/>
    <cellStyle name="40% - 강조색5 2 3" xfId="1005"/>
    <cellStyle name="40% - 강조색5 2 3 10" xfId="10427"/>
    <cellStyle name="40% - 강조색5 2 3 11" xfId="10428"/>
    <cellStyle name="40% - 강조색5 2 3 12" xfId="10429"/>
    <cellStyle name="40% - 강조색5 2 3 13" xfId="10430"/>
    <cellStyle name="40% - 강조색5 2 3 14" xfId="10431"/>
    <cellStyle name="40% - 강조색5 2 3 15" xfId="10432"/>
    <cellStyle name="40% - 강조색5 2 3 16" xfId="10433"/>
    <cellStyle name="40% - 강조색5 2 3 17" xfId="10434"/>
    <cellStyle name="40% - 강조색5 2 3 18" xfId="10435"/>
    <cellStyle name="40% - 강조색5 2 3 19" xfId="10436"/>
    <cellStyle name="40% - 강조색5 2 3 2" xfId="10437"/>
    <cellStyle name="40% - 강조색5 2 3 20" xfId="10438"/>
    <cellStyle name="40% - 강조색5 2 3 21" xfId="10439"/>
    <cellStyle name="40% - 강조색5 2 3 3" xfId="10440"/>
    <cellStyle name="40% - 강조색5 2 3 4" xfId="10441"/>
    <cellStyle name="40% - 강조색5 2 3 5" xfId="10442"/>
    <cellStyle name="40% - 강조색5 2 3 6" xfId="10443"/>
    <cellStyle name="40% - 강조색5 2 3 7" xfId="10444"/>
    <cellStyle name="40% - 강조색5 2 3 8" xfId="10445"/>
    <cellStyle name="40% - 강조색5 2 3 9" xfId="10446"/>
    <cellStyle name="40% - 강조색5 2 30" xfId="10447"/>
    <cellStyle name="40% - 강조색5 2 4" xfId="1006"/>
    <cellStyle name="40% - 강조색5 2 4 10" xfId="10448"/>
    <cellStyle name="40% - 강조색5 2 4 11" xfId="10449"/>
    <cellStyle name="40% - 강조색5 2 4 12" xfId="10450"/>
    <cellStyle name="40% - 강조색5 2 4 13" xfId="10451"/>
    <cellStyle name="40% - 강조색5 2 4 14" xfId="10452"/>
    <cellStyle name="40% - 강조색5 2 4 15" xfId="10453"/>
    <cellStyle name="40% - 강조색5 2 4 16" xfId="10454"/>
    <cellStyle name="40% - 강조색5 2 4 17" xfId="10455"/>
    <cellStyle name="40% - 강조색5 2 4 18" xfId="10456"/>
    <cellStyle name="40% - 강조색5 2 4 19" xfId="10457"/>
    <cellStyle name="40% - 강조색5 2 4 2" xfId="10458"/>
    <cellStyle name="40% - 강조색5 2 4 20" xfId="10459"/>
    <cellStyle name="40% - 강조색5 2 4 3" xfId="10460"/>
    <cellStyle name="40% - 강조색5 2 4 4" xfId="10461"/>
    <cellStyle name="40% - 강조색5 2 4 5" xfId="10462"/>
    <cellStyle name="40% - 강조색5 2 4 6" xfId="10463"/>
    <cellStyle name="40% - 강조색5 2 4 7" xfId="10464"/>
    <cellStyle name="40% - 강조색5 2 4 8" xfId="10465"/>
    <cellStyle name="40% - 강조색5 2 4 9" xfId="10466"/>
    <cellStyle name="40% - 강조색5 2 5" xfId="10467"/>
    <cellStyle name="40% - 강조색5 2 6" xfId="10468"/>
    <cellStyle name="40% - 강조색5 2 7" xfId="10469"/>
    <cellStyle name="40% - 강조색5 2 7 2" xfId="10470"/>
    <cellStyle name="40% - 강조색5 2 8" xfId="10471"/>
    <cellStyle name="40% - 강조색5 2 9" xfId="10472"/>
    <cellStyle name="40% - 강조색5 20" xfId="20978"/>
    <cellStyle name="40% - 강조색5 20 2" xfId="20979"/>
    <cellStyle name="40% - 강조색5 21" xfId="20980"/>
    <cellStyle name="40% - 강조색5 21 2" xfId="20981"/>
    <cellStyle name="40% - 강조색5 22" xfId="20982"/>
    <cellStyle name="40% - 강조색5 22 2" xfId="20983"/>
    <cellStyle name="40% - 강조색5 23" xfId="20984"/>
    <cellStyle name="40% - 강조색5 24" xfId="20985"/>
    <cellStyle name="40% - 강조색5 25" xfId="20986"/>
    <cellStyle name="40% - 강조색5 26" xfId="20987"/>
    <cellStyle name="40% - 강조색5 27" xfId="20988"/>
    <cellStyle name="40% - 강조색5 28" xfId="20989"/>
    <cellStyle name="40% - 강조색5 29" xfId="20990"/>
    <cellStyle name="40% - 강조색5 3" xfId="1007"/>
    <cellStyle name="40% - 강조색5 3 10" xfId="10473"/>
    <cellStyle name="40% - 강조색5 3 11" xfId="10474"/>
    <cellStyle name="40% - 강조색5 3 12" xfId="10475"/>
    <cellStyle name="40% - 강조색5 3 13" xfId="10476"/>
    <cellStyle name="40% - 강조색5 3 14" xfId="10477"/>
    <cellStyle name="40% - 강조색5 3 15" xfId="10478"/>
    <cellStyle name="40% - 강조색5 3 16" xfId="10479"/>
    <cellStyle name="40% - 강조색5 3 17" xfId="10480"/>
    <cellStyle name="40% - 강조색5 3 18" xfId="10481"/>
    <cellStyle name="40% - 강조색5 3 19" xfId="10482"/>
    <cellStyle name="40% - 강조색5 3 2" xfId="10483"/>
    <cellStyle name="40% - 강조색5 3 2 10" xfId="10484"/>
    <cellStyle name="40% - 강조색5 3 2 11" xfId="10485"/>
    <cellStyle name="40% - 강조색5 3 2 12" xfId="10486"/>
    <cellStyle name="40% - 강조색5 3 2 13" xfId="10487"/>
    <cellStyle name="40% - 강조색5 3 2 14" xfId="10488"/>
    <cellStyle name="40% - 강조색5 3 2 15" xfId="10489"/>
    <cellStyle name="40% - 강조색5 3 2 16" xfId="10490"/>
    <cellStyle name="40% - 강조색5 3 2 17" xfId="10491"/>
    <cellStyle name="40% - 강조색5 3 2 18" xfId="10492"/>
    <cellStyle name="40% - 강조색5 3 2 19" xfId="10493"/>
    <cellStyle name="40% - 강조색5 3 2 2" xfId="10494"/>
    <cellStyle name="40% - 강조색5 3 2 20" xfId="10495"/>
    <cellStyle name="40% - 강조색5 3 2 21" xfId="10496"/>
    <cellStyle name="40% - 강조색5 3 2 3" xfId="10497"/>
    <cellStyle name="40% - 강조색5 3 2 4" xfId="10498"/>
    <cellStyle name="40% - 강조색5 3 2 5" xfId="10499"/>
    <cellStyle name="40% - 강조색5 3 2 6" xfId="10500"/>
    <cellStyle name="40% - 강조색5 3 2 7" xfId="10501"/>
    <cellStyle name="40% - 강조색5 3 2 8" xfId="10502"/>
    <cellStyle name="40% - 강조색5 3 2 9" xfId="10503"/>
    <cellStyle name="40% - 강조색5 3 20" xfId="10504"/>
    <cellStyle name="40% - 강조색5 3 21" xfId="10505"/>
    <cellStyle name="40% - 강조색5 3 22" xfId="10506"/>
    <cellStyle name="40% - 강조색5 3 23" xfId="10507"/>
    <cellStyle name="40% - 강조색5 3 24" xfId="10508"/>
    <cellStyle name="40% - 강조색5 3 25" xfId="10509"/>
    <cellStyle name="40% - 강조색5 3 26" xfId="10510"/>
    <cellStyle name="40% - 강조색5 3 27" xfId="10511"/>
    <cellStyle name="40% - 강조색5 3 28" xfId="10512"/>
    <cellStyle name="40% - 강조색5 3 29" xfId="10513"/>
    <cellStyle name="40% - 강조색5 3 3" xfId="10514"/>
    <cellStyle name="40% - 강조색5 3 3 10" xfId="10515"/>
    <cellStyle name="40% - 강조색5 3 3 11" xfId="10516"/>
    <cellStyle name="40% - 강조색5 3 3 12" xfId="10517"/>
    <cellStyle name="40% - 강조색5 3 3 13" xfId="10518"/>
    <cellStyle name="40% - 강조색5 3 3 14" xfId="10519"/>
    <cellStyle name="40% - 강조색5 3 3 15" xfId="10520"/>
    <cellStyle name="40% - 강조색5 3 3 16" xfId="10521"/>
    <cellStyle name="40% - 강조색5 3 3 17" xfId="10522"/>
    <cellStyle name="40% - 강조색5 3 3 18" xfId="10523"/>
    <cellStyle name="40% - 강조색5 3 3 19" xfId="10524"/>
    <cellStyle name="40% - 강조색5 3 3 2" xfId="10525"/>
    <cellStyle name="40% - 강조색5 3 3 20" xfId="10526"/>
    <cellStyle name="40% - 강조색5 3 3 21" xfId="10527"/>
    <cellStyle name="40% - 강조색5 3 3 3" xfId="10528"/>
    <cellStyle name="40% - 강조색5 3 3 4" xfId="10529"/>
    <cellStyle name="40% - 강조색5 3 3 5" xfId="10530"/>
    <cellStyle name="40% - 강조색5 3 3 6" xfId="10531"/>
    <cellStyle name="40% - 강조색5 3 3 7" xfId="10532"/>
    <cellStyle name="40% - 강조색5 3 3 8" xfId="10533"/>
    <cellStyle name="40% - 강조색5 3 3 9" xfId="10534"/>
    <cellStyle name="40% - 강조색5 3 30" xfId="10535"/>
    <cellStyle name="40% - 강조색5 3 31" xfId="10536"/>
    <cellStyle name="40% - 강조색5 3 4" xfId="10537"/>
    <cellStyle name="40% - 강조색5 3 4 10" xfId="10538"/>
    <cellStyle name="40% - 강조색5 3 4 11" xfId="10539"/>
    <cellStyle name="40% - 강조색5 3 4 12" xfId="10540"/>
    <cellStyle name="40% - 강조색5 3 4 13" xfId="10541"/>
    <cellStyle name="40% - 강조색5 3 4 14" xfId="10542"/>
    <cellStyle name="40% - 강조색5 3 4 15" xfId="10543"/>
    <cellStyle name="40% - 강조색5 3 4 16" xfId="10544"/>
    <cellStyle name="40% - 강조색5 3 4 17" xfId="10545"/>
    <cellStyle name="40% - 강조색5 3 4 18" xfId="10546"/>
    <cellStyle name="40% - 강조색5 3 4 19" xfId="10547"/>
    <cellStyle name="40% - 강조색5 3 4 2" xfId="10548"/>
    <cellStyle name="40% - 강조색5 3 4 20" xfId="10549"/>
    <cellStyle name="40% - 강조색5 3 4 3" xfId="10550"/>
    <cellStyle name="40% - 강조색5 3 4 4" xfId="10551"/>
    <cellStyle name="40% - 강조색5 3 4 5" xfId="10552"/>
    <cellStyle name="40% - 강조색5 3 4 6" xfId="10553"/>
    <cellStyle name="40% - 강조색5 3 4 7" xfId="10554"/>
    <cellStyle name="40% - 강조색5 3 4 8" xfId="10555"/>
    <cellStyle name="40% - 강조색5 3 4 9" xfId="10556"/>
    <cellStyle name="40% - 강조색5 3 5" xfId="10557"/>
    <cellStyle name="40% - 강조색5 3 6" xfId="10558"/>
    <cellStyle name="40% - 강조색5 3 7" xfId="10559"/>
    <cellStyle name="40% - 강조색5 3 8" xfId="10560"/>
    <cellStyle name="40% - 강조색5 3 9" xfId="10561"/>
    <cellStyle name="40% - 강조색5 30" xfId="20991"/>
    <cellStyle name="40% - 강조색5 31" xfId="20992"/>
    <cellStyle name="40% - 강조색5 32" xfId="20993"/>
    <cellStyle name="40% - 강조색5 33" xfId="20994"/>
    <cellStyle name="40% - 강조색5 34" xfId="20995"/>
    <cellStyle name="40% - 강조색5 34 2" xfId="20996"/>
    <cellStyle name="40% - 강조색5 34 2 2" xfId="20997"/>
    <cellStyle name="40% - 강조색5 34 3" xfId="20998"/>
    <cellStyle name="40% - 강조색5 34 4" xfId="20999"/>
    <cellStyle name="40% - 강조색5 34 5" xfId="21000"/>
    <cellStyle name="40% - 강조색5 35" xfId="21001"/>
    <cellStyle name="40% - 강조색5 35 2" xfId="21002"/>
    <cellStyle name="40% - 강조색5 35 2 2" xfId="21003"/>
    <cellStyle name="40% - 강조색5 35 3" xfId="21004"/>
    <cellStyle name="40% - 강조색5 35 4" xfId="21005"/>
    <cellStyle name="40% - 강조색5 35 5" xfId="21006"/>
    <cellStyle name="40% - 강조색5 36" xfId="21007"/>
    <cellStyle name="40% - 강조색5 36 2" xfId="21008"/>
    <cellStyle name="40% - 강조색5 36 2 2" xfId="21009"/>
    <cellStyle name="40% - 강조색5 36 3" xfId="21010"/>
    <cellStyle name="40% - 강조색5 36 4" xfId="21011"/>
    <cellStyle name="40% - 강조색5 36 5" xfId="21012"/>
    <cellStyle name="40% - 강조색5 4" xfId="1008"/>
    <cellStyle name="40% - 강조색5 4 2" xfId="10562"/>
    <cellStyle name="40% - 강조색5 4 2 2" xfId="10563"/>
    <cellStyle name="40% - 강조색5 4 3" xfId="10564"/>
    <cellStyle name="40% - 강조색5 4 3 2" xfId="10565"/>
    <cellStyle name="40% - 강조색5 4 4" xfId="10566"/>
    <cellStyle name="40% - 강조색5 4 5" xfId="10567"/>
    <cellStyle name="40% - 강조색5 4 6" xfId="10568"/>
    <cellStyle name="40% - 강조색5 4 7" xfId="10569"/>
    <cellStyle name="40% - 강조색5 4 8" xfId="10570"/>
    <cellStyle name="40% - 강조색5 4 9" xfId="10571"/>
    <cellStyle name="40% - 강조색5 5" xfId="1009"/>
    <cellStyle name="40% - 강조색5 5 2" xfId="10572"/>
    <cellStyle name="40% - 강조색5 5 2 2" xfId="10573"/>
    <cellStyle name="40% - 강조색5 5 3" xfId="10574"/>
    <cellStyle name="40% - 강조색5 5 3 2" xfId="10575"/>
    <cellStyle name="40% - 강조색5 5 4" xfId="21013"/>
    <cellStyle name="40% - 강조색5 6" xfId="10576"/>
    <cellStyle name="40% - 강조색5 6 2" xfId="10577"/>
    <cellStyle name="40% - 강조색5 7" xfId="10578"/>
    <cellStyle name="40% - 강조색5 7 2" xfId="10579"/>
    <cellStyle name="40% - 강조색5 8" xfId="10580"/>
    <cellStyle name="40% - 강조색5 8 2" xfId="10581"/>
    <cellStyle name="40% - 강조색5 9" xfId="10582"/>
    <cellStyle name="40% - 강조색6 10" xfId="10583"/>
    <cellStyle name="40% - 강조색6 11" xfId="10584"/>
    <cellStyle name="40% - 강조색6 12" xfId="10585"/>
    <cellStyle name="40% - 강조색6 13" xfId="10586"/>
    <cellStyle name="40% - 강조색6 13 2" xfId="10587"/>
    <cellStyle name="40% - 강조색6 14" xfId="10588"/>
    <cellStyle name="40% - 강조색6 14 2" xfId="10589"/>
    <cellStyle name="40% - 강조색6 15" xfId="21014"/>
    <cellStyle name="40% - 강조색6 16" xfId="21015"/>
    <cellStyle name="40% - 강조색6 17" xfId="21016"/>
    <cellStyle name="40% - 강조색6 18" xfId="21017"/>
    <cellStyle name="40% - 강조색6 18 2" xfId="21018"/>
    <cellStyle name="40% - 강조색6 19" xfId="21019"/>
    <cellStyle name="40% - 강조색6 19 2" xfId="21020"/>
    <cellStyle name="40% - 강조색6 2" xfId="1010"/>
    <cellStyle name="40% - 강조색6 2 10" xfId="10590"/>
    <cellStyle name="40% - 강조색6 2 11" xfId="10591"/>
    <cellStyle name="40% - 강조색6 2 12" xfId="10592"/>
    <cellStyle name="40% - 강조색6 2 13" xfId="10593"/>
    <cellStyle name="40% - 강조색6 2 14" xfId="10594"/>
    <cellStyle name="40% - 강조색6 2 15" xfId="10595"/>
    <cellStyle name="40% - 강조색6 2 16" xfId="10596"/>
    <cellStyle name="40% - 강조색6 2 17" xfId="10597"/>
    <cellStyle name="40% - 강조색6 2 18" xfId="10598"/>
    <cellStyle name="40% - 강조색6 2 19" xfId="10599"/>
    <cellStyle name="40% - 강조색6 2 2" xfId="1011"/>
    <cellStyle name="40% - 강조색6 2 2 10" xfId="10600"/>
    <cellStyle name="40% - 강조색6 2 2 11" xfId="10601"/>
    <cellStyle name="40% - 강조색6 2 2 12" xfId="10602"/>
    <cellStyle name="40% - 강조색6 2 2 13" xfId="10603"/>
    <cellStyle name="40% - 강조색6 2 2 14" xfId="10604"/>
    <cellStyle name="40% - 강조색6 2 2 15" xfId="10605"/>
    <cellStyle name="40% - 강조색6 2 2 16" xfId="10606"/>
    <cellStyle name="40% - 강조색6 2 2 17" xfId="10607"/>
    <cellStyle name="40% - 강조색6 2 2 18" xfId="10608"/>
    <cellStyle name="40% - 강조색6 2 2 19" xfId="10609"/>
    <cellStyle name="40% - 강조색6 2 2 2" xfId="10610"/>
    <cellStyle name="40% - 강조색6 2 2 20" xfId="10611"/>
    <cellStyle name="40% - 강조색6 2 2 21" xfId="10612"/>
    <cellStyle name="40% - 강조색6 2 2 22" xfId="10613"/>
    <cellStyle name="40% - 강조색6 2 2 3" xfId="10614"/>
    <cellStyle name="40% - 강조색6 2 2 4" xfId="10615"/>
    <cellStyle name="40% - 강조색6 2 2 5" xfId="10616"/>
    <cellStyle name="40% - 강조색6 2 2 6" xfId="10617"/>
    <cellStyle name="40% - 강조색6 2 2 7" xfId="10618"/>
    <cellStyle name="40% - 강조색6 2 2 8" xfId="10619"/>
    <cellStyle name="40% - 강조색6 2 2 9" xfId="10620"/>
    <cellStyle name="40% - 강조색6 2 20" xfId="10621"/>
    <cellStyle name="40% - 강조색6 2 21" xfId="10622"/>
    <cellStyle name="40% - 강조색6 2 22" xfId="10623"/>
    <cellStyle name="40% - 강조색6 2 23" xfId="10624"/>
    <cellStyle name="40% - 강조색6 2 24" xfId="10625"/>
    <cellStyle name="40% - 강조색6 2 25" xfId="10626"/>
    <cellStyle name="40% - 강조색6 2 26" xfId="10627"/>
    <cellStyle name="40% - 강조색6 2 27" xfId="10628"/>
    <cellStyle name="40% - 강조색6 2 28" xfId="10629"/>
    <cellStyle name="40% - 강조색6 2 29" xfId="10630"/>
    <cellStyle name="40% - 강조색6 2 3" xfId="1012"/>
    <cellStyle name="40% - 강조색6 2 3 10" xfId="10631"/>
    <cellStyle name="40% - 강조색6 2 3 11" xfId="10632"/>
    <cellStyle name="40% - 강조색6 2 3 12" xfId="10633"/>
    <cellStyle name="40% - 강조색6 2 3 13" xfId="10634"/>
    <cellStyle name="40% - 강조색6 2 3 14" xfId="10635"/>
    <cellStyle name="40% - 강조색6 2 3 15" xfId="10636"/>
    <cellStyle name="40% - 강조색6 2 3 16" xfId="10637"/>
    <cellStyle name="40% - 강조색6 2 3 17" xfId="10638"/>
    <cellStyle name="40% - 강조색6 2 3 18" xfId="10639"/>
    <cellStyle name="40% - 강조색6 2 3 19" xfId="10640"/>
    <cellStyle name="40% - 강조색6 2 3 2" xfId="10641"/>
    <cellStyle name="40% - 강조색6 2 3 20" xfId="10642"/>
    <cellStyle name="40% - 강조색6 2 3 21" xfId="10643"/>
    <cellStyle name="40% - 강조색6 2 3 3" xfId="10644"/>
    <cellStyle name="40% - 강조색6 2 3 4" xfId="10645"/>
    <cellStyle name="40% - 강조색6 2 3 5" xfId="10646"/>
    <cellStyle name="40% - 강조색6 2 3 6" xfId="10647"/>
    <cellStyle name="40% - 강조색6 2 3 7" xfId="10648"/>
    <cellStyle name="40% - 강조색6 2 3 8" xfId="10649"/>
    <cellStyle name="40% - 강조색6 2 3 9" xfId="10650"/>
    <cellStyle name="40% - 강조색6 2 30" xfId="10651"/>
    <cellStyle name="40% - 강조색6 2 4" xfId="1013"/>
    <cellStyle name="40% - 강조색6 2 4 10" xfId="10652"/>
    <cellStyle name="40% - 강조색6 2 4 11" xfId="10653"/>
    <cellStyle name="40% - 강조색6 2 4 12" xfId="10654"/>
    <cellStyle name="40% - 강조색6 2 4 13" xfId="10655"/>
    <cellStyle name="40% - 강조색6 2 4 14" xfId="10656"/>
    <cellStyle name="40% - 강조색6 2 4 15" xfId="10657"/>
    <cellStyle name="40% - 강조색6 2 4 16" xfId="10658"/>
    <cellStyle name="40% - 강조색6 2 4 17" xfId="10659"/>
    <cellStyle name="40% - 강조색6 2 4 18" xfId="10660"/>
    <cellStyle name="40% - 강조색6 2 4 19" xfId="10661"/>
    <cellStyle name="40% - 강조색6 2 4 2" xfId="10662"/>
    <cellStyle name="40% - 강조색6 2 4 20" xfId="10663"/>
    <cellStyle name="40% - 강조색6 2 4 3" xfId="10664"/>
    <cellStyle name="40% - 강조색6 2 4 4" xfId="10665"/>
    <cellStyle name="40% - 강조색6 2 4 5" xfId="10666"/>
    <cellStyle name="40% - 강조색6 2 4 6" xfId="10667"/>
    <cellStyle name="40% - 강조색6 2 4 7" xfId="10668"/>
    <cellStyle name="40% - 강조색6 2 4 8" xfId="10669"/>
    <cellStyle name="40% - 강조색6 2 4 9" xfId="10670"/>
    <cellStyle name="40% - 강조색6 2 5" xfId="10671"/>
    <cellStyle name="40% - 강조색6 2 6" xfId="10672"/>
    <cellStyle name="40% - 강조색6 2 7" xfId="10673"/>
    <cellStyle name="40% - 강조색6 2 7 2" xfId="10674"/>
    <cellStyle name="40% - 강조색6 2 8" xfId="10675"/>
    <cellStyle name="40% - 강조색6 2 9" xfId="10676"/>
    <cellStyle name="40% - 강조색6 20" xfId="21021"/>
    <cellStyle name="40% - 강조색6 20 2" xfId="21022"/>
    <cellStyle name="40% - 강조색6 21" xfId="21023"/>
    <cellStyle name="40% - 강조색6 21 2" xfId="21024"/>
    <cellStyle name="40% - 강조색6 22" xfId="21025"/>
    <cellStyle name="40% - 강조색6 22 2" xfId="21026"/>
    <cellStyle name="40% - 강조색6 23" xfId="21027"/>
    <cellStyle name="40% - 강조색6 24" xfId="21028"/>
    <cellStyle name="40% - 강조색6 25" xfId="21029"/>
    <cellStyle name="40% - 강조색6 26" xfId="21030"/>
    <cellStyle name="40% - 강조색6 27" xfId="21031"/>
    <cellStyle name="40% - 강조색6 28" xfId="21032"/>
    <cellStyle name="40% - 강조색6 29" xfId="21033"/>
    <cellStyle name="40% - 강조색6 3" xfId="1014"/>
    <cellStyle name="40% - 강조색6 3 10" xfId="10677"/>
    <cellStyle name="40% - 강조색6 3 11" xfId="10678"/>
    <cellStyle name="40% - 강조색6 3 12" xfId="10679"/>
    <cellStyle name="40% - 강조색6 3 13" xfId="10680"/>
    <cellStyle name="40% - 강조색6 3 14" xfId="10681"/>
    <cellStyle name="40% - 강조색6 3 15" xfId="10682"/>
    <cellStyle name="40% - 강조색6 3 16" xfId="10683"/>
    <cellStyle name="40% - 강조색6 3 17" xfId="10684"/>
    <cellStyle name="40% - 강조색6 3 18" xfId="10685"/>
    <cellStyle name="40% - 강조색6 3 19" xfId="10686"/>
    <cellStyle name="40% - 강조색6 3 2" xfId="10687"/>
    <cellStyle name="40% - 강조색6 3 2 10" xfId="10688"/>
    <cellStyle name="40% - 강조색6 3 2 11" xfId="10689"/>
    <cellStyle name="40% - 강조색6 3 2 12" xfId="10690"/>
    <cellStyle name="40% - 강조색6 3 2 13" xfId="10691"/>
    <cellStyle name="40% - 강조색6 3 2 14" xfId="10692"/>
    <cellStyle name="40% - 강조색6 3 2 15" xfId="10693"/>
    <cellStyle name="40% - 강조색6 3 2 16" xfId="10694"/>
    <cellStyle name="40% - 강조색6 3 2 17" xfId="10695"/>
    <cellStyle name="40% - 강조색6 3 2 18" xfId="10696"/>
    <cellStyle name="40% - 강조색6 3 2 19" xfId="10697"/>
    <cellStyle name="40% - 강조색6 3 2 2" xfId="10698"/>
    <cellStyle name="40% - 강조색6 3 2 20" xfId="10699"/>
    <cellStyle name="40% - 강조색6 3 2 21" xfId="10700"/>
    <cellStyle name="40% - 강조색6 3 2 3" xfId="10701"/>
    <cellStyle name="40% - 강조색6 3 2 4" xfId="10702"/>
    <cellStyle name="40% - 강조색6 3 2 5" xfId="10703"/>
    <cellStyle name="40% - 강조색6 3 2 6" xfId="10704"/>
    <cellStyle name="40% - 강조색6 3 2 7" xfId="10705"/>
    <cellStyle name="40% - 강조색6 3 2 8" xfId="10706"/>
    <cellStyle name="40% - 강조색6 3 2 9" xfId="10707"/>
    <cellStyle name="40% - 강조색6 3 20" xfId="10708"/>
    <cellStyle name="40% - 강조색6 3 21" xfId="10709"/>
    <cellStyle name="40% - 강조색6 3 22" xfId="10710"/>
    <cellStyle name="40% - 강조색6 3 23" xfId="10711"/>
    <cellStyle name="40% - 강조색6 3 24" xfId="10712"/>
    <cellStyle name="40% - 강조색6 3 25" xfId="10713"/>
    <cellStyle name="40% - 강조색6 3 26" xfId="10714"/>
    <cellStyle name="40% - 강조색6 3 27" xfId="10715"/>
    <cellStyle name="40% - 강조색6 3 28" xfId="10716"/>
    <cellStyle name="40% - 강조색6 3 29" xfId="10717"/>
    <cellStyle name="40% - 강조색6 3 3" xfId="10718"/>
    <cellStyle name="40% - 강조색6 3 3 10" xfId="10719"/>
    <cellStyle name="40% - 강조색6 3 3 11" xfId="10720"/>
    <cellStyle name="40% - 강조색6 3 3 12" xfId="10721"/>
    <cellStyle name="40% - 강조색6 3 3 13" xfId="10722"/>
    <cellStyle name="40% - 강조색6 3 3 14" xfId="10723"/>
    <cellStyle name="40% - 강조색6 3 3 15" xfId="10724"/>
    <cellStyle name="40% - 강조색6 3 3 16" xfId="10725"/>
    <cellStyle name="40% - 강조색6 3 3 17" xfId="10726"/>
    <cellStyle name="40% - 강조색6 3 3 18" xfId="10727"/>
    <cellStyle name="40% - 강조색6 3 3 19" xfId="10728"/>
    <cellStyle name="40% - 강조색6 3 3 2" xfId="10729"/>
    <cellStyle name="40% - 강조색6 3 3 20" xfId="10730"/>
    <cellStyle name="40% - 강조색6 3 3 21" xfId="10731"/>
    <cellStyle name="40% - 강조색6 3 3 3" xfId="10732"/>
    <cellStyle name="40% - 강조색6 3 3 4" xfId="10733"/>
    <cellStyle name="40% - 강조색6 3 3 5" xfId="10734"/>
    <cellStyle name="40% - 강조색6 3 3 6" xfId="10735"/>
    <cellStyle name="40% - 강조색6 3 3 7" xfId="10736"/>
    <cellStyle name="40% - 강조색6 3 3 8" xfId="10737"/>
    <cellStyle name="40% - 강조색6 3 3 9" xfId="10738"/>
    <cellStyle name="40% - 강조색6 3 30" xfId="10739"/>
    <cellStyle name="40% - 강조색6 3 31" xfId="10740"/>
    <cellStyle name="40% - 강조색6 3 4" xfId="10741"/>
    <cellStyle name="40% - 강조색6 3 4 10" xfId="10742"/>
    <cellStyle name="40% - 강조색6 3 4 11" xfId="10743"/>
    <cellStyle name="40% - 강조색6 3 4 12" xfId="10744"/>
    <cellStyle name="40% - 강조색6 3 4 13" xfId="10745"/>
    <cellStyle name="40% - 강조색6 3 4 14" xfId="10746"/>
    <cellStyle name="40% - 강조색6 3 4 15" xfId="10747"/>
    <cellStyle name="40% - 강조색6 3 4 16" xfId="10748"/>
    <cellStyle name="40% - 강조색6 3 4 17" xfId="10749"/>
    <cellStyle name="40% - 강조색6 3 4 18" xfId="10750"/>
    <cellStyle name="40% - 강조색6 3 4 19" xfId="10751"/>
    <cellStyle name="40% - 강조색6 3 4 2" xfId="10752"/>
    <cellStyle name="40% - 강조색6 3 4 20" xfId="10753"/>
    <cellStyle name="40% - 강조색6 3 4 3" xfId="10754"/>
    <cellStyle name="40% - 강조색6 3 4 4" xfId="10755"/>
    <cellStyle name="40% - 강조색6 3 4 5" xfId="10756"/>
    <cellStyle name="40% - 강조색6 3 4 6" xfId="10757"/>
    <cellStyle name="40% - 강조색6 3 4 7" xfId="10758"/>
    <cellStyle name="40% - 강조색6 3 4 8" xfId="10759"/>
    <cellStyle name="40% - 강조색6 3 4 9" xfId="10760"/>
    <cellStyle name="40% - 강조색6 3 5" xfId="10761"/>
    <cellStyle name="40% - 강조색6 3 6" xfId="10762"/>
    <cellStyle name="40% - 강조색6 3 7" xfId="10763"/>
    <cellStyle name="40% - 강조색6 3 8" xfId="10764"/>
    <cellStyle name="40% - 강조색6 3 9" xfId="10765"/>
    <cellStyle name="40% - 강조색6 30" xfId="21034"/>
    <cellStyle name="40% - 강조색6 31" xfId="21035"/>
    <cellStyle name="40% - 강조색6 32" xfId="21036"/>
    <cellStyle name="40% - 강조색6 33" xfId="21037"/>
    <cellStyle name="40% - 강조색6 34" xfId="21038"/>
    <cellStyle name="40% - 강조색6 34 2" xfId="21039"/>
    <cellStyle name="40% - 강조색6 34 2 2" xfId="21040"/>
    <cellStyle name="40% - 강조색6 34 3" xfId="21041"/>
    <cellStyle name="40% - 강조색6 34 4" xfId="21042"/>
    <cellStyle name="40% - 강조색6 34 5" xfId="21043"/>
    <cellStyle name="40% - 강조색6 35" xfId="21044"/>
    <cellStyle name="40% - 강조색6 35 2" xfId="21045"/>
    <cellStyle name="40% - 강조색6 35 2 2" xfId="21046"/>
    <cellStyle name="40% - 강조색6 35 3" xfId="21047"/>
    <cellStyle name="40% - 강조색6 35 4" xfId="21048"/>
    <cellStyle name="40% - 강조색6 35 5" xfId="21049"/>
    <cellStyle name="40% - 강조색6 36" xfId="21050"/>
    <cellStyle name="40% - 강조색6 36 2" xfId="21051"/>
    <cellStyle name="40% - 강조색6 36 2 2" xfId="21052"/>
    <cellStyle name="40% - 강조색6 36 3" xfId="21053"/>
    <cellStyle name="40% - 강조색6 36 4" xfId="21054"/>
    <cellStyle name="40% - 강조색6 36 5" xfId="21055"/>
    <cellStyle name="40% - 강조색6 4" xfId="1015"/>
    <cellStyle name="40% - 강조색6 4 2" xfId="10766"/>
    <cellStyle name="40% - 강조색6 4 2 2" xfId="10767"/>
    <cellStyle name="40% - 강조색6 4 3" xfId="10768"/>
    <cellStyle name="40% - 강조색6 4 3 2" xfId="10769"/>
    <cellStyle name="40% - 강조색6 4 4" xfId="10770"/>
    <cellStyle name="40% - 강조색6 4 5" xfId="10771"/>
    <cellStyle name="40% - 강조색6 4 6" xfId="10772"/>
    <cellStyle name="40% - 강조색6 4 7" xfId="10773"/>
    <cellStyle name="40% - 강조색6 4 8" xfId="10774"/>
    <cellStyle name="40% - 강조색6 4 9" xfId="10775"/>
    <cellStyle name="40% - 강조색6 5" xfId="1016"/>
    <cellStyle name="40% - 강조색6 5 2" xfId="10776"/>
    <cellStyle name="40% - 강조색6 5 2 2" xfId="10777"/>
    <cellStyle name="40% - 강조색6 5 3" xfId="10778"/>
    <cellStyle name="40% - 강조색6 5 3 2" xfId="10779"/>
    <cellStyle name="40% - 강조색6 5 4" xfId="21056"/>
    <cellStyle name="40% - 강조색6 6" xfId="10780"/>
    <cellStyle name="40% - 강조색6 6 2" xfId="10781"/>
    <cellStyle name="40% - 강조색6 7" xfId="10782"/>
    <cellStyle name="40% - 강조색6 7 2" xfId="10783"/>
    <cellStyle name="40% - 강조색6 8" xfId="10784"/>
    <cellStyle name="40% - 강조색6 8 2" xfId="10785"/>
    <cellStyle name="40% - 강조색6 9" xfId="10786"/>
    <cellStyle name="60" xfId="10787"/>
    <cellStyle name="60 2" xfId="21057"/>
    <cellStyle name="60 3" xfId="21058"/>
    <cellStyle name="60% - Accent1" xfId="1017"/>
    <cellStyle name="60% - Accent1 2" xfId="1018"/>
    <cellStyle name="60% - Accent1 2 2" xfId="1019"/>
    <cellStyle name="60% - Accent1 2 2 2" xfId="1020"/>
    <cellStyle name="60% - Accent1 2 2 3" xfId="1021"/>
    <cellStyle name="60% - Accent1 2 3" xfId="1022"/>
    <cellStyle name="60% - Accent1 2 4" xfId="1023"/>
    <cellStyle name="60% - Accent1 3" xfId="1024"/>
    <cellStyle name="60% - Accent1 4" xfId="1025"/>
    <cellStyle name="60% - Accent1 5" xfId="1026"/>
    <cellStyle name="60% - Accent1 6" xfId="1027"/>
    <cellStyle name="60% - Accent1_2011-3차 매각 작업(실사팀 송부용)_0712" xfId="10788"/>
    <cellStyle name="60% - Accent2" xfId="1028"/>
    <cellStyle name="60% - Accent2 2" xfId="1029"/>
    <cellStyle name="60% - Accent2 2 2" xfId="1030"/>
    <cellStyle name="60% - Accent2 2 2 2" xfId="1031"/>
    <cellStyle name="60% - Accent2 2 2 3" xfId="1032"/>
    <cellStyle name="60% - Accent2 2 3" xfId="1033"/>
    <cellStyle name="60% - Accent2 2 4" xfId="1034"/>
    <cellStyle name="60% - Accent2 3" xfId="1035"/>
    <cellStyle name="60% - Accent2 4" xfId="1036"/>
    <cellStyle name="60% - Accent2 5" xfId="1037"/>
    <cellStyle name="60% - Accent2 6" xfId="1038"/>
    <cellStyle name="60% - Accent2_2011-3차 매각 작업(실사팀 송부용)_0712" xfId="10789"/>
    <cellStyle name="60% - Accent3" xfId="1039"/>
    <cellStyle name="60% - Accent3 2" xfId="1040"/>
    <cellStyle name="60% - Accent3 2 2" xfId="1041"/>
    <cellStyle name="60% - Accent3 2 2 2" xfId="1042"/>
    <cellStyle name="60% - Accent3 2 2 3" xfId="1043"/>
    <cellStyle name="60% - Accent3 2 3" xfId="1044"/>
    <cellStyle name="60% - Accent3 2 4" xfId="1045"/>
    <cellStyle name="60% - Accent3 3" xfId="1046"/>
    <cellStyle name="60% - Accent3 4" xfId="1047"/>
    <cellStyle name="60% - Accent3 5" xfId="1048"/>
    <cellStyle name="60% - Accent3 6" xfId="1049"/>
    <cellStyle name="60% - Accent3_2011-3차 매각 작업(실사팀 송부용)_0712" xfId="10790"/>
    <cellStyle name="60% - Accent4" xfId="1050"/>
    <cellStyle name="60% - Accent4 2" xfId="1051"/>
    <cellStyle name="60% - Accent4 2 2" xfId="1052"/>
    <cellStyle name="60% - Accent4 2 2 2" xfId="1053"/>
    <cellStyle name="60% - Accent4 2 2 3" xfId="1054"/>
    <cellStyle name="60% - Accent4 2 3" xfId="1055"/>
    <cellStyle name="60% - Accent4 2 4" xfId="1056"/>
    <cellStyle name="60% - Accent4 3" xfId="1057"/>
    <cellStyle name="60% - Accent4 4" xfId="1058"/>
    <cellStyle name="60% - Accent4 5" xfId="1059"/>
    <cellStyle name="60% - Accent4 6" xfId="1060"/>
    <cellStyle name="60% - Accent4_2011-3차 매각 작업(실사팀 송부용)_0712" xfId="10791"/>
    <cellStyle name="60% - Accent5" xfId="1061"/>
    <cellStyle name="60% - Accent5 2" xfId="1062"/>
    <cellStyle name="60% - Accent5 2 2" xfId="1063"/>
    <cellStyle name="60% - Accent5 2 2 2" xfId="1064"/>
    <cellStyle name="60% - Accent5 2 2 3" xfId="1065"/>
    <cellStyle name="60% - Accent5 2 3" xfId="1066"/>
    <cellStyle name="60% - Accent5 2 4" xfId="1067"/>
    <cellStyle name="60% - Accent5 3" xfId="1068"/>
    <cellStyle name="60% - Accent5 4" xfId="1069"/>
    <cellStyle name="60% - Accent5 5" xfId="1070"/>
    <cellStyle name="60% - Accent5 6" xfId="1071"/>
    <cellStyle name="60% - Accent5_2011-3차 매각 작업(실사팀 송부용)_0712" xfId="10792"/>
    <cellStyle name="60% - Accent6" xfId="1072"/>
    <cellStyle name="60% - Accent6 2" xfId="1073"/>
    <cellStyle name="60% - Accent6 2 2" xfId="1074"/>
    <cellStyle name="60% - Accent6 2 2 2" xfId="1075"/>
    <cellStyle name="60% - Accent6 2 2 3" xfId="1076"/>
    <cellStyle name="60% - Accent6 2 3" xfId="1077"/>
    <cellStyle name="60% - Accent6 2 4" xfId="1078"/>
    <cellStyle name="60% - Accent6 3" xfId="1079"/>
    <cellStyle name="60% - Accent6 4" xfId="1080"/>
    <cellStyle name="60% - Accent6 5" xfId="1081"/>
    <cellStyle name="60% - Accent6 6" xfId="1082"/>
    <cellStyle name="60% - Accent6_2011-3차 매각 작업(실사팀 송부용)_0712" xfId="10793"/>
    <cellStyle name="60% - 强调文字颜色 1" xfId="21059"/>
    <cellStyle name="60% - 强调文字颜色 2" xfId="21060"/>
    <cellStyle name="60% - 强调文字颜色 3" xfId="21061"/>
    <cellStyle name="60% - 强调文字颜色 4" xfId="21062"/>
    <cellStyle name="60% - 强调文字颜色 5" xfId="21063"/>
    <cellStyle name="60% - 强调文字颜色 6" xfId="21064"/>
    <cellStyle name="60% - 강조색1 10" xfId="10794"/>
    <cellStyle name="60% - 강조색1 11" xfId="10795"/>
    <cellStyle name="60% - 강조색1 12" xfId="10796"/>
    <cellStyle name="60% - 강조색1 13" xfId="10797"/>
    <cellStyle name="60% - 강조색1 13 2" xfId="10798"/>
    <cellStyle name="60% - 강조색1 14" xfId="10799"/>
    <cellStyle name="60% - 강조색1 15" xfId="21065"/>
    <cellStyle name="60% - 강조색1 16" xfId="21066"/>
    <cellStyle name="60% - 강조색1 17" xfId="21067"/>
    <cellStyle name="60% - 강조색1 18" xfId="21068"/>
    <cellStyle name="60% - 강조색1 18 2" xfId="21069"/>
    <cellStyle name="60% - 강조색1 19" xfId="21070"/>
    <cellStyle name="60% - 강조색1 19 2" xfId="21071"/>
    <cellStyle name="60% - 강조색1 2" xfId="1083"/>
    <cellStyle name="60% - 강조색1 2 10" xfId="10800"/>
    <cellStyle name="60% - 강조색1 2 11" xfId="10801"/>
    <cellStyle name="60% - 강조색1 2 12" xfId="10802"/>
    <cellStyle name="60% - 강조색1 2 13" xfId="10803"/>
    <cellStyle name="60% - 강조색1 2 14" xfId="10804"/>
    <cellStyle name="60% - 강조색1 2 15" xfId="10805"/>
    <cellStyle name="60% - 강조색1 2 16" xfId="10806"/>
    <cellStyle name="60% - 강조색1 2 17" xfId="10807"/>
    <cellStyle name="60% - 강조색1 2 18" xfId="10808"/>
    <cellStyle name="60% - 강조색1 2 19" xfId="10809"/>
    <cellStyle name="60% - 강조색1 2 2" xfId="1084"/>
    <cellStyle name="60% - 강조색1 2 2 10" xfId="10810"/>
    <cellStyle name="60% - 강조색1 2 2 11" xfId="10811"/>
    <cellStyle name="60% - 강조색1 2 2 12" xfId="10812"/>
    <cellStyle name="60% - 강조색1 2 2 13" xfId="10813"/>
    <cellStyle name="60% - 강조색1 2 2 14" xfId="10814"/>
    <cellStyle name="60% - 강조색1 2 2 15" xfId="10815"/>
    <cellStyle name="60% - 강조색1 2 2 16" xfId="10816"/>
    <cellStyle name="60% - 강조색1 2 2 17" xfId="10817"/>
    <cellStyle name="60% - 강조색1 2 2 18" xfId="10818"/>
    <cellStyle name="60% - 강조색1 2 2 19" xfId="10819"/>
    <cellStyle name="60% - 강조색1 2 2 2" xfId="1085"/>
    <cellStyle name="60% - 강조색1 2 2 20" xfId="10820"/>
    <cellStyle name="60% - 강조색1 2 2 21" xfId="10821"/>
    <cellStyle name="60% - 강조색1 2 2 22" xfId="10822"/>
    <cellStyle name="60% - 강조색1 2 2 3" xfId="10823"/>
    <cellStyle name="60% - 강조색1 2 2 4" xfId="10824"/>
    <cellStyle name="60% - 강조색1 2 2 5" xfId="10825"/>
    <cellStyle name="60% - 강조색1 2 2 6" xfId="10826"/>
    <cellStyle name="60% - 강조색1 2 2 7" xfId="10827"/>
    <cellStyle name="60% - 강조색1 2 2 8" xfId="10828"/>
    <cellStyle name="60% - 강조색1 2 2 9" xfId="10829"/>
    <cellStyle name="60% - 강조색1 2 20" xfId="10830"/>
    <cellStyle name="60% - 강조색1 2 21" xfId="10831"/>
    <cellStyle name="60% - 강조색1 2 22" xfId="10832"/>
    <cellStyle name="60% - 강조색1 2 23" xfId="10833"/>
    <cellStyle name="60% - 강조색1 2 24" xfId="10834"/>
    <cellStyle name="60% - 강조색1 2 25" xfId="10835"/>
    <cellStyle name="60% - 강조색1 2 26" xfId="10836"/>
    <cellStyle name="60% - 강조색1 2 27" xfId="10837"/>
    <cellStyle name="60% - 강조색1 2 28" xfId="10838"/>
    <cellStyle name="60% - 강조색1 2 29" xfId="10839"/>
    <cellStyle name="60% - 강조색1 2 3" xfId="1086"/>
    <cellStyle name="60% - 강조색1 2 3 10" xfId="10840"/>
    <cellStyle name="60% - 강조색1 2 3 11" xfId="10841"/>
    <cellStyle name="60% - 강조색1 2 3 12" xfId="10842"/>
    <cellStyle name="60% - 강조색1 2 3 13" xfId="10843"/>
    <cellStyle name="60% - 강조색1 2 3 14" xfId="10844"/>
    <cellStyle name="60% - 강조색1 2 3 15" xfId="10845"/>
    <cellStyle name="60% - 강조색1 2 3 16" xfId="10846"/>
    <cellStyle name="60% - 강조색1 2 3 17" xfId="10847"/>
    <cellStyle name="60% - 강조색1 2 3 18" xfId="10848"/>
    <cellStyle name="60% - 강조색1 2 3 19" xfId="10849"/>
    <cellStyle name="60% - 강조색1 2 3 2" xfId="10850"/>
    <cellStyle name="60% - 강조색1 2 3 20" xfId="10851"/>
    <cellStyle name="60% - 강조색1 2 3 21" xfId="10852"/>
    <cellStyle name="60% - 강조색1 2 3 3" xfId="10853"/>
    <cellStyle name="60% - 강조색1 2 3 4" xfId="10854"/>
    <cellStyle name="60% - 강조색1 2 3 5" xfId="10855"/>
    <cellStyle name="60% - 강조색1 2 3 6" xfId="10856"/>
    <cellStyle name="60% - 강조색1 2 3 7" xfId="10857"/>
    <cellStyle name="60% - 강조색1 2 3 8" xfId="10858"/>
    <cellStyle name="60% - 강조색1 2 3 9" xfId="10859"/>
    <cellStyle name="60% - 강조색1 2 30" xfId="10860"/>
    <cellStyle name="60% - 강조색1 2 4" xfId="1087"/>
    <cellStyle name="60% - 강조색1 2 4 10" xfId="10861"/>
    <cellStyle name="60% - 강조색1 2 4 11" xfId="10862"/>
    <cellStyle name="60% - 강조색1 2 4 12" xfId="10863"/>
    <cellStyle name="60% - 강조색1 2 4 13" xfId="10864"/>
    <cellStyle name="60% - 강조색1 2 4 14" xfId="10865"/>
    <cellStyle name="60% - 강조색1 2 4 15" xfId="10866"/>
    <cellStyle name="60% - 강조색1 2 4 16" xfId="10867"/>
    <cellStyle name="60% - 강조색1 2 4 17" xfId="10868"/>
    <cellStyle name="60% - 강조색1 2 4 18" xfId="10869"/>
    <cellStyle name="60% - 강조색1 2 4 19" xfId="10870"/>
    <cellStyle name="60% - 강조색1 2 4 2" xfId="10871"/>
    <cellStyle name="60% - 강조색1 2 4 20" xfId="10872"/>
    <cellStyle name="60% - 강조색1 2 4 3" xfId="10873"/>
    <cellStyle name="60% - 강조색1 2 4 4" xfId="10874"/>
    <cellStyle name="60% - 강조색1 2 4 5" xfId="10875"/>
    <cellStyle name="60% - 강조색1 2 4 6" xfId="10876"/>
    <cellStyle name="60% - 강조색1 2 4 7" xfId="10877"/>
    <cellStyle name="60% - 강조색1 2 4 8" xfId="10878"/>
    <cellStyle name="60% - 강조색1 2 4 9" xfId="10879"/>
    <cellStyle name="60% - 강조색1 2 5" xfId="10880"/>
    <cellStyle name="60% - 강조색1 2 6" xfId="10881"/>
    <cellStyle name="60% - 강조색1 2 7" xfId="10882"/>
    <cellStyle name="60% - 강조색1 2 7 2" xfId="10883"/>
    <cellStyle name="60% - 강조색1 2 8" xfId="10884"/>
    <cellStyle name="60% - 강조색1 2 9" xfId="10885"/>
    <cellStyle name="60% - 강조색1 20" xfId="21072"/>
    <cellStyle name="60% - 강조색1 20 2" xfId="21073"/>
    <cellStyle name="60% - 강조색1 21" xfId="21074"/>
    <cellStyle name="60% - 강조색1 21 2" xfId="21075"/>
    <cellStyle name="60% - 강조색1 22" xfId="21076"/>
    <cellStyle name="60% - 강조색1 22 2" xfId="21077"/>
    <cellStyle name="60% - 강조색1 23" xfId="21078"/>
    <cellStyle name="60% - 강조색1 24" xfId="21079"/>
    <cellStyle name="60% - 강조색1 25" xfId="21080"/>
    <cellStyle name="60% - 강조색1 26" xfId="21081"/>
    <cellStyle name="60% - 강조색1 27" xfId="21082"/>
    <cellStyle name="60% - 강조색1 28" xfId="21083"/>
    <cellStyle name="60% - 강조색1 29" xfId="21084"/>
    <cellStyle name="60% - 강조색1 3" xfId="1088"/>
    <cellStyle name="60% - 강조색1 3 10" xfId="10886"/>
    <cellStyle name="60% - 강조색1 3 11" xfId="10887"/>
    <cellStyle name="60% - 강조색1 3 12" xfId="10888"/>
    <cellStyle name="60% - 강조색1 3 13" xfId="10889"/>
    <cellStyle name="60% - 강조색1 3 14" xfId="10890"/>
    <cellStyle name="60% - 강조색1 3 15" xfId="10891"/>
    <cellStyle name="60% - 강조색1 3 16" xfId="10892"/>
    <cellStyle name="60% - 강조색1 3 17" xfId="10893"/>
    <cellStyle name="60% - 강조색1 3 18" xfId="10894"/>
    <cellStyle name="60% - 강조색1 3 19" xfId="10895"/>
    <cellStyle name="60% - 강조색1 3 2" xfId="10896"/>
    <cellStyle name="60% - 강조색1 3 2 10" xfId="10897"/>
    <cellStyle name="60% - 강조색1 3 2 11" xfId="10898"/>
    <cellStyle name="60% - 강조색1 3 2 12" xfId="10899"/>
    <cellStyle name="60% - 강조색1 3 2 13" xfId="10900"/>
    <cellStyle name="60% - 강조색1 3 2 14" xfId="10901"/>
    <cellStyle name="60% - 강조색1 3 2 15" xfId="10902"/>
    <cellStyle name="60% - 강조색1 3 2 16" xfId="10903"/>
    <cellStyle name="60% - 강조색1 3 2 17" xfId="10904"/>
    <cellStyle name="60% - 강조색1 3 2 18" xfId="10905"/>
    <cellStyle name="60% - 강조색1 3 2 19" xfId="10906"/>
    <cellStyle name="60% - 강조색1 3 2 2" xfId="10907"/>
    <cellStyle name="60% - 강조색1 3 2 20" xfId="10908"/>
    <cellStyle name="60% - 강조색1 3 2 21" xfId="10909"/>
    <cellStyle name="60% - 강조색1 3 2 3" xfId="10910"/>
    <cellStyle name="60% - 강조색1 3 2 4" xfId="10911"/>
    <cellStyle name="60% - 강조색1 3 2 5" xfId="10912"/>
    <cellStyle name="60% - 강조색1 3 2 6" xfId="10913"/>
    <cellStyle name="60% - 강조색1 3 2 7" xfId="10914"/>
    <cellStyle name="60% - 강조색1 3 2 8" xfId="10915"/>
    <cellStyle name="60% - 강조색1 3 2 9" xfId="10916"/>
    <cellStyle name="60% - 강조색1 3 20" xfId="10917"/>
    <cellStyle name="60% - 강조색1 3 21" xfId="10918"/>
    <cellStyle name="60% - 강조색1 3 22" xfId="10919"/>
    <cellStyle name="60% - 강조색1 3 23" xfId="10920"/>
    <cellStyle name="60% - 강조색1 3 24" xfId="10921"/>
    <cellStyle name="60% - 강조색1 3 25" xfId="10922"/>
    <cellStyle name="60% - 강조색1 3 26" xfId="10923"/>
    <cellStyle name="60% - 강조색1 3 27" xfId="10924"/>
    <cellStyle name="60% - 강조색1 3 28" xfId="10925"/>
    <cellStyle name="60% - 강조색1 3 29" xfId="10926"/>
    <cellStyle name="60% - 강조색1 3 3" xfId="10927"/>
    <cellStyle name="60% - 강조색1 3 3 10" xfId="10928"/>
    <cellStyle name="60% - 강조색1 3 3 11" xfId="10929"/>
    <cellStyle name="60% - 강조색1 3 3 12" xfId="10930"/>
    <cellStyle name="60% - 강조색1 3 3 13" xfId="10931"/>
    <cellStyle name="60% - 강조색1 3 3 14" xfId="10932"/>
    <cellStyle name="60% - 강조색1 3 3 15" xfId="10933"/>
    <cellStyle name="60% - 강조색1 3 3 16" xfId="10934"/>
    <cellStyle name="60% - 강조색1 3 3 17" xfId="10935"/>
    <cellStyle name="60% - 강조색1 3 3 18" xfId="10936"/>
    <cellStyle name="60% - 강조색1 3 3 19" xfId="10937"/>
    <cellStyle name="60% - 강조색1 3 3 2" xfId="10938"/>
    <cellStyle name="60% - 강조색1 3 3 20" xfId="10939"/>
    <cellStyle name="60% - 강조색1 3 3 21" xfId="10940"/>
    <cellStyle name="60% - 강조색1 3 3 3" xfId="10941"/>
    <cellStyle name="60% - 강조색1 3 3 4" xfId="10942"/>
    <cellStyle name="60% - 강조색1 3 3 5" xfId="10943"/>
    <cellStyle name="60% - 강조색1 3 3 6" xfId="10944"/>
    <cellStyle name="60% - 강조색1 3 3 7" xfId="10945"/>
    <cellStyle name="60% - 강조색1 3 3 8" xfId="10946"/>
    <cellStyle name="60% - 강조색1 3 3 9" xfId="10947"/>
    <cellStyle name="60% - 강조색1 3 30" xfId="10948"/>
    <cellStyle name="60% - 강조색1 3 31" xfId="10949"/>
    <cellStyle name="60% - 강조색1 3 4" xfId="10950"/>
    <cellStyle name="60% - 강조색1 3 4 10" xfId="10951"/>
    <cellStyle name="60% - 강조색1 3 4 11" xfId="10952"/>
    <cellStyle name="60% - 강조색1 3 4 12" xfId="10953"/>
    <cellStyle name="60% - 강조색1 3 4 13" xfId="10954"/>
    <cellStyle name="60% - 강조색1 3 4 14" xfId="10955"/>
    <cellStyle name="60% - 강조색1 3 4 15" xfId="10956"/>
    <cellStyle name="60% - 강조색1 3 4 16" xfId="10957"/>
    <cellStyle name="60% - 강조색1 3 4 17" xfId="10958"/>
    <cellStyle name="60% - 강조색1 3 4 18" xfId="10959"/>
    <cellStyle name="60% - 강조색1 3 4 19" xfId="10960"/>
    <cellStyle name="60% - 강조색1 3 4 2" xfId="10961"/>
    <cellStyle name="60% - 강조색1 3 4 20" xfId="10962"/>
    <cellStyle name="60% - 강조색1 3 4 3" xfId="10963"/>
    <cellStyle name="60% - 강조색1 3 4 4" xfId="10964"/>
    <cellStyle name="60% - 강조색1 3 4 5" xfId="10965"/>
    <cellStyle name="60% - 강조색1 3 4 6" xfId="10966"/>
    <cellStyle name="60% - 강조색1 3 4 7" xfId="10967"/>
    <cellStyle name="60% - 강조색1 3 4 8" xfId="10968"/>
    <cellStyle name="60% - 강조색1 3 4 9" xfId="10969"/>
    <cellStyle name="60% - 강조색1 3 5" xfId="10970"/>
    <cellStyle name="60% - 강조색1 3 6" xfId="10971"/>
    <cellStyle name="60% - 강조색1 3 7" xfId="10972"/>
    <cellStyle name="60% - 강조색1 3 8" xfId="10973"/>
    <cellStyle name="60% - 강조색1 3 9" xfId="10974"/>
    <cellStyle name="60% - 강조색1 30" xfId="21085"/>
    <cellStyle name="60% - 강조색1 31" xfId="21086"/>
    <cellStyle name="60% - 강조색1 32" xfId="21087"/>
    <cellStyle name="60% - 강조색1 33" xfId="21088"/>
    <cellStyle name="60% - 강조색1 34" xfId="21089"/>
    <cellStyle name="60% - 강조색1 35" xfId="21090"/>
    <cellStyle name="60% - 강조색1 36" xfId="21091"/>
    <cellStyle name="60% - 강조색1 4" xfId="1089"/>
    <cellStyle name="60% - 강조색1 4 2" xfId="10975"/>
    <cellStyle name="60% - 강조색1 4 2 2" xfId="10976"/>
    <cellStyle name="60% - 강조색1 4 3" xfId="10977"/>
    <cellStyle name="60% - 강조색1 4 4" xfId="10978"/>
    <cellStyle name="60% - 강조색1 4 5" xfId="10979"/>
    <cellStyle name="60% - 강조색1 4 6" xfId="10980"/>
    <cellStyle name="60% - 강조색1 4 7" xfId="10981"/>
    <cellStyle name="60% - 강조색1 4 8" xfId="10982"/>
    <cellStyle name="60% - 강조색1 4 9" xfId="10983"/>
    <cellStyle name="60% - 강조색1 5" xfId="1090"/>
    <cellStyle name="60% - 강조색1 5 2" xfId="10984"/>
    <cellStyle name="60% - 강조색1 5 3" xfId="10985"/>
    <cellStyle name="60% - 강조색1 6" xfId="1091"/>
    <cellStyle name="60% - 강조색1 6 2" xfId="10986"/>
    <cellStyle name="60% - 강조색1 7" xfId="10987"/>
    <cellStyle name="60% - 강조색1 7 2" xfId="10988"/>
    <cellStyle name="60% - 강조색1 8" xfId="10989"/>
    <cellStyle name="60% - 강조색1 8 2" xfId="10990"/>
    <cellStyle name="60% - 강조색1 9" xfId="10991"/>
    <cellStyle name="60% - 강조색2 10" xfId="10992"/>
    <cellStyle name="60% - 강조색2 11" xfId="10993"/>
    <cellStyle name="60% - 강조색2 12" xfId="10994"/>
    <cellStyle name="60% - 강조색2 13" xfId="10995"/>
    <cellStyle name="60% - 강조색2 13 2" xfId="10996"/>
    <cellStyle name="60% - 강조색2 14" xfId="10997"/>
    <cellStyle name="60% - 강조색2 15" xfId="21092"/>
    <cellStyle name="60% - 강조색2 16" xfId="21093"/>
    <cellStyle name="60% - 강조색2 17" xfId="21094"/>
    <cellStyle name="60% - 강조색2 18" xfId="21095"/>
    <cellStyle name="60% - 강조색2 18 2" xfId="21096"/>
    <cellStyle name="60% - 강조색2 19" xfId="21097"/>
    <cellStyle name="60% - 강조색2 19 2" xfId="21098"/>
    <cellStyle name="60% - 강조색2 2" xfId="1092"/>
    <cellStyle name="60% - 강조색2 2 10" xfId="10998"/>
    <cellStyle name="60% - 강조색2 2 11" xfId="10999"/>
    <cellStyle name="60% - 강조색2 2 12" xfId="11000"/>
    <cellStyle name="60% - 강조색2 2 13" xfId="11001"/>
    <cellStyle name="60% - 강조색2 2 14" xfId="11002"/>
    <cellStyle name="60% - 강조색2 2 15" xfId="11003"/>
    <cellStyle name="60% - 강조색2 2 16" xfId="11004"/>
    <cellStyle name="60% - 강조색2 2 17" xfId="11005"/>
    <cellStyle name="60% - 강조색2 2 18" xfId="11006"/>
    <cellStyle name="60% - 강조색2 2 19" xfId="11007"/>
    <cellStyle name="60% - 강조색2 2 2" xfId="1093"/>
    <cellStyle name="60% - 강조색2 2 2 10" xfId="11008"/>
    <cellStyle name="60% - 강조색2 2 2 11" xfId="11009"/>
    <cellStyle name="60% - 강조색2 2 2 12" xfId="11010"/>
    <cellStyle name="60% - 강조색2 2 2 13" xfId="11011"/>
    <cellStyle name="60% - 강조색2 2 2 14" xfId="11012"/>
    <cellStyle name="60% - 강조색2 2 2 15" xfId="11013"/>
    <cellStyle name="60% - 강조색2 2 2 16" xfId="11014"/>
    <cellStyle name="60% - 강조색2 2 2 17" xfId="11015"/>
    <cellStyle name="60% - 강조색2 2 2 18" xfId="11016"/>
    <cellStyle name="60% - 강조색2 2 2 19" xfId="11017"/>
    <cellStyle name="60% - 강조색2 2 2 2" xfId="1094"/>
    <cellStyle name="60% - 강조색2 2 2 20" xfId="11018"/>
    <cellStyle name="60% - 강조색2 2 2 21" xfId="11019"/>
    <cellStyle name="60% - 강조색2 2 2 22" xfId="11020"/>
    <cellStyle name="60% - 강조색2 2 2 3" xfId="11021"/>
    <cellStyle name="60% - 강조색2 2 2 4" xfId="11022"/>
    <cellStyle name="60% - 강조색2 2 2 5" xfId="11023"/>
    <cellStyle name="60% - 강조색2 2 2 6" xfId="11024"/>
    <cellStyle name="60% - 강조색2 2 2 7" xfId="11025"/>
    <cellStyle name="60% - 강조색2 2 2 8" xfId="11026"/>
    <cellStyle name="60% - 강조색2 2 2 9" xfId="11027"/>
    <cellStyle name="60% - 강조색2 2 20" xfId="11028"/>
    <cellStyle name="60% - 강조색2 2 21" xfId="11029"/>
    <cellStyle name="60% - 강조색2 2 22" xfId="11030"/>
    <cellStyle name="60% - 강조색2 2 23" xfId="11031"/>
    <cellStyle name="60% - 강조색2 2 24" xfId="11032"/>
    <cellStyle name="60% - 강조색2 2 25" xfId="11033"/>
    <cellStyle name="60% - 강조색2 2 26" xfId="11034"/>
    <cellStyle name="60% - 강조색2 2 27" xfId="11035"/>
    <cellStyle name="60% - 강조색2 2 28" xfId="11036"/>
    <cellStyle name="60% - 강조색2 2 29" xfId="11037"/>
    <cellStyle name="60% - 강조색2 2 3" xfId="1095"/>
    <cellStyle name="60% - 강조색2 2 3 10" xfId="11038"/>
    <cellStyle name="60% - 강조색2 2 3 11" xfId="11039"/>
    <cellStyle name="60% - 강조색2 2 3 12" xfId="11040"/>
    <cellStyle name="60% - 강조색2 2 3 13" xfId="11041"/>
    <cellStyle name="60% - 강조색2 2 3 14" xfId="11042"/>
    <cellStyle name="60% - 강조색2 2 3 15" xfId="11043"/>
    <cellStyle name="60% - 강조색2 2 3 16" xfId="11044"/>
    <cellStyle name="60% - 강조색2 2 3 17" xfId="11045"/>
    <cellStyle name="60% - 강조색2 2 3 18" xfId="11046"/>
    <cellStyle name="60% - 강조색2 2 3 19" xfId="11047"/>
    <cellStyle name="60% - 강조색2 2 3 2" xfId="11048"/>
    <cellStyle name="60% - 강조색2 2 3 20" xfId="11049"/>
    <cellStyle name="60% - 강조색2 2 3 21" xfId="11050"/>
    <cellStyle name="60% - 강조색2 2 3 3" xfId="11051"/>
    <cellStyle name="60% - 강조색2 2 3 4" xfId="11052"/>
    <cellStyle name="60% - 강조색2 2 3 5" xfId="11053"/>
    <cellStyle name="60% - 강조색2 2 3 6" xfId="11054"/>
    <cellStyle name="60% - 강조색2 2 3 7" xfId="11055"/>
    <cellStyle name="60% - 강조색2 2 3 8" xfId="11056"/>
    <cellStyle name="60% - 강조색2 2 3 9" xfId="11057"/>
    <cellStyle name="60% - 강조색2 2 30" xfId="11058"/>
    <cellStyle name="60% - 강조색2 2 4" xfId="1096"/>
    <cellStyle name="60% - 강조색2 2 4 10" xfId="11059"/>
    <cellStyle name="60% - 강조색2 2 4 11" xfId="11060"/>
    <cellStyle name="60% - 강조색2 2 4 12" xfId="11061"/>
    <cellStyle name="60% - 강조색2 2 4 13" xfId="11062"/>
    <cellStyle name="60% - 강조색2 2 4 14" xfId="11063"/>
    <cellStyle name="60% - 강조색2 2 4 15" xfId="11064"/>
    <cellStyle name="60% - 강조색2 2 4 16" xfId="11065"/>
    <cellStyle name="60% - 강조색2 2 4 17" xfId="11066"/>
    <cellStyle name="60% - 강조색2 2 4 18" xfId="11067"/>
    <cellStyle name="60% - 강조색2 2 4 19" xfId="11068"/>
    <cellStyle name="60% - 강조색2 2 4 2" xfId="11069"/>
    <cellStyle name="60% - 강조색2 2 4 20" xfId="11070"/>
    <cellStyle name="60% - 강조색2 2 4 3" xfId="11071"/>
    <cellStyle name="60% - 강조색2 2 4 4" xfId="11072"/>
    <cellStyle name="60% - 강조색2 2 4 5" xfId="11073"/>
    <cellStyle name="60% - 강조색2 2 4 6" xfId="11074"/>
    <cellStyle name="60% - 강조색2 2 4 7" xfId="11075"/>
    <cellStyle name="60% - 강조색2 2 4 8" xfId="11076"/>
    <cellStyle name="60% - 강조색2 2 4 9" xfId="11077"/>
    <cellStyle name="60% - 강조색2 2 5" xfId="11078"/>
    <cellStyle name="60% - 강조색2 2 6" xfId="11079"/>
    <cellStyle name="60% - 강조색2 2 7" xfId="11080"/>
    <cellStyle name="60% - 강조색2 2 7 2" xfId="11081"/>
    <cellStyle name="60% - 강조색2 2 8" xfId="11082"/>
    <cellStyle name="60% - 강조색2 2 9" xfId="11083"/>
    <cellStyle name="60% - 강조색2 20" xfId="21099"/>
    <cellStyle name="60% - 강조색2 20 2" xfId="21100"/>
    <cellStyle name="60% - 강조색2 21" xfId="21101"/>
    <cellStyle name="60% - 강조색2 21 2" xfId="21102"/>
    <cellStyle name="60% - 강조색2 22" xfId="21103"/>
    <cellStyle name="60% - 강조색2 22 2" xfId="21104"/>
    <cellStyle name="60% - 강조색2 23" xfId="21105"/>
    <cellStyle name="60% - 강조색2 24" xfId="21106"/>
    <cellStyle name="60% - 강조색2 25" xfId="21107"/>
    <cellStyle name="60% - 강조색2 26" xfId="21108"/>
    <cellStyle name="60% - 강조색2 27" xfId="21109"/>
    <cellStyle name="60% - 강조색2 28" xfId="21110"/>
    <cellStyle name="60% - 강조색2 29" xfId="21111"/>
    <cellStyle name="60% - 강조색2 3" xfId="1097"/>
    <cellStyle name="60% - 강조색2 3 10" xfId="11084"/>
    <cellStyle name="60% - 강조색2 3 11" xfId="11085"/>
    <cellStyle name="60% - 강조색2 3 12" xfId="11086"/>
    <cellStyle name="60% - 강조색2 3 13" xfId="11087"/>
    <cellStyle name="60% - 강조색2 3 14" xfId="11088"/>
    <cellStyle name="60% - 강조색2 3 15" xfId="11089"/>
    <cellStyle name="60% - 강조색2 3 16" xfId="11090"/>
    <cellStyle name="60% - 강조색2 3 17" xfId="11091"/>
    <cellStyle name="60% - 강조색2 3 18" xfId="11092"/>
    <cellStyle name="60% - 강조색2 3 19" xfId="11093"/>
    <cellStyle name="60% - 강조색2 3 2" xfId="11094"/>
    <cellStyle name="60% - 강조색2 3 2 10" xfId="11095"/>
    <cellStyle name="60% - 강조색2 3 2 11" xfId="11096"/>
    <cellStyle name="60% - 강조색2 3 2 12" xfId="11097"/>
    <cellStyle name="60% - 강조색2 3 2 13" xfId="11098"/>
    <cellStyle name="60% - 강조색2 3 2 14" xfId="11099"/>
    <cellStyle name="60% - 강조색2 3 2 15" xfId="11100"/>
    <cellStyle name="60% - 강조색2 3 2 16" xfId="11101"/>
    <cellStyle name="60% - 강조색2 3 2 17" xfId="11102"/>
    <cellStyle name="60% - 강조색2 3 2 18" xfId="11103"/>
    <cellStyle name="60% - 강조색2 3 2 19" xfId="11104"/>
    <cellStyle name="60% - 강조색2 3 2 2" xfId="11105"/>
    <cellStyle name="60% - 강조색2 3 2 20" xfId="11106"/>
    <cellStyle name="60% - 강조색2 3 2 21" xfId="11107"/>
    <cellStyle name="60% - 강조색2 3 2 3" xfId="11108"/>
    <cellStyle name="60% - 강조색2 3 2 4" xfId="11109"/>
    <cellStyle name="60% - 강조색2 3 2 5" xfId="11110"/>
    <cellStyle name="60% - 강조색2 3 2 6" xfId="11111"/>
    <cellStyle name="60% - 강조색2 3 2 7" xfId="11112"/>
    <cellStyle name="60% - 강조색2 3 2 8" xfId="11113"/>
    <cellStyle name="60% - 강조색2 3 2 9" xfId="11114"/>
    <cellStyle name="60% - 강조색2 3 20" xfId="11115"/>
    <cellStyle name="60% - 강조색2 3 21" xfId="11116"/>
    <cellStyle name="60% - 강조색2 3 22" xfId="11117"/>
    <cellStyle name="60% - 강조색2 3 23" xfId="11118"/>
    <cellStyle name="60% - 강조색2 3 24" xfId="11119"/>
    <cellStyle name="60% - 강조색2 3 25" xfId="11120"/>
    <cellStyle name="60% - 강조색2 3 26" xfId="11121"/>
    <cellStyle name="60% - 강조색2 3 27" xfId="11122"/>
    <cellStyle name="60% - 강조색2 3 28" xfId="11123"/>
    <cellStyle name="60% - 강조색2 3 29" xfId="11124"/>
    <cellStyle name="60% - 강조색2 3 3" xfId="11125"/>
    <cellStyle name="60% - 강조색2 3 3 10" xfId="11126"/>
    <cellStyle name="60% - 강조색2 3 3 11" xfId="11127"/>
    <cellStyle name="60% - 강조색2 3 3 12" xfId="11128"/>
    <cellStyle name="60% - 강조색2 3 3 13" xfId="11129"/>
    <cellStyle name="60% - 강조색2 3 3 14" xfId="11130"/>
    <cellStyle name="60% - 강조색2 3 3 15" xfId="11131"/>
    <cellStyle name="60% - 강조색2 3 3 16" xfId="11132"/>
    <cellStyle name="60% - 강조색2 3 3 17" xfId="11133"/>
    <cellStyle name="60% - 강조색2 3 3 18" xfId="11134"/>
    <cellStyle name="60% - 강조색2 3 3 19" xfId="11135"/>
    <cellStyle name="60% - 강조색2 3 3 2" xfId="11136"/>
    <cellStyle name="60% - 강조색2 3 3 20" xfId="11137"/>
    <cellStyle name="60% - 강조색2 3 3 21" xfId="11138"/>
    <cellStyle name="60% - 강조색2 3 3 3" xfId="11139"/>
    <cellStyle name="60% - 강조색2 3 3 4" xfId="11140"/>
    <cellStyle name="60% - 강조색2 3 3 5" xfId="11141"/>
    <cellStyle name="60% - 강조색2 3 3 6" xfId="11142"/>
    <cellStyle name="60% - 강조색2 3 3 7" xfId="11143"/>
    <cellStyle name="60% - 강조색2 3 3 8" xfId="11144"/>
    <cellStyle name="60% - 강조색2 3 3 9" xfId="11145"/>
    <cellStyle name="60% - 강조색2 3 30" xfId="11146"/>
    <cellStyle name="60% - 강조색2 3 31" xfId="11147"/>
    <cellStyle name="60% - 강조색2 3 4" xfId="11148"/>
    <cellStyle name="60% - 강조색2 3 4 10" xfId="11149"/>
    <cellStyle name="60% - 강조색2 3 4 11" xfId="11150"/>
    <cellStyle name="60% - 강조색2 3 4 12" xfId="11151"/>
    <cellStyle name="60% - 강조색2 3 4 13" xfId="11152"/>
    <cellStyle name="60% - 강조색2 3 4 14" xfId="11153"/>
    <cellStyle name="60% - 강조색2 3 4 15" xfId="11154"/>
    <cellStyle name="60% - 강조색2 3 4 16" xfId="11155"/>
    <cellStyle name="60% - 강조색2 3 4 17" xfId="11156"/>
    <cellStyle name="60% - 강조색2 3 4 18" xfId="11157"/>
    <cellStyle name="60% - 강조색2 3 4 19" xfId="11158"/>
    <cellStyle name="60% - 강조색2 3 4 2" xfId="11159"/>
    <cellStyle name="60% - 강조색2 3 4 20" xfId="11160"/>
    <cellStyle name="60% - 강조색2 3 4 3" xfId="11161"/>
    <cellStyle name="60% - 강조색2 3 4 4" xfId="11162"/>
    <cellStyle name="60% - 강조색2 3 4 5" xfId="11163"/>
    <cellStyle name="60% - 강조색2 3 4 6" xfId="11164"/>
    <cellStyle name="60% - 강조색2 3 4 7" xfId="11165"/>
    <cellStyle name="60% - 강조색2 3 4 8" xfId="11166"/>
    <cellStyle name="60% - 강조색2 3 4 9" xfId="11167"/>
    <cellStyle name="60% - 강조색2 3 5" xfId="11168"/>
    <cellStyle name="60% - 강조색2 3 6" xfId="11169"/>
    <cellStyle name="60% - 강조색2 3 7" xfId="11170"/>
    <cellStyle name="60% - 강조색2 3 8" xfId="11171"/>
    <cellStyle name="60% - 강조색2 3 9" xfId="11172"/>
    <cellStyle name="60% - 강조색2 30" xfId="21112"/>
    <cellStyle name="60% - 강조색2 31" xfId="21113"/>
    <cellStyle name="60% - 강조색2 32" xfId="21114"/>
    <cellStyle name="60% - 강조색2 33" xfId="21115"/>
    <cellStyle name="60% - 강조색2 34" xfId="21116"/>
    <cellStyle name="60% - 강조색2 35" xfId="21117"/>
    <cellStyle name="60% - 강조색2 36" xfId="21118"/>
    <cellStyle name="60% - 강조색2 4" xfId="1098"/>
    <cellStyle name="60% - 강조색2 4 2" xfId="11173"/>
    <cellStyle name="60% - 강조색2 4 2 2" xfId="11174"/>
    <cellStyle name="60% - 강조색2 4 3" xfId="11175"/>
    <cellStyle name="60% - 강조색2 4 4" xfId="11176"/>
    <cellStyle name="60% - 강조색2 4 5" xfId="11177"/>
    <cellStyle name="60% - 강조색2 4 6" xfId="11178"/>
    <cellStyle name="60% - 강조색2 4 7" xfId="11179"/>
    <cellStyle name="60% - 강조색2 4 8" xfId="11180"/>
    <cellStyle name="60% - 강조색2 4 9" xfId="11181"/>
    <cellStyle name="60% - 강조색2 5" xfId="1099"/>
    <cellStyle name="60% - 강조색2 5 2" xfId="11182"/>
    <cellStyle name="60% - 강조색2 5 3" xfId="11183"/>
    <cellStyle name="60% - 강조색2 6" xfId="1100"/>
    <cellStyle name="60% - 강조색2 6 2" xfId="11184"/>
    <cellStyle name="60% - 강조색2 7" xfId="11185"/>
    <cellStyle name="60% - 강조색2 7 2" xfId="11186"/>
    <cellStyle name="60% - 강조색2 8" xfId="11187"/>
    <cellStyle name="60% - 강조색2 8 2" xfId="11188"/>
    <cellStyle name="60% - 강조색2 9" xfId="11189"/>
    <cellStyle name="60% - 강조색3 10" xfId="11190"/>
    <cellStyle name="60% - 강조색3 11" xfId="11191"/>
    <cellStyle name="60% - 강조색3 12" xfId="11192"/>
    <cellStyle name="60% - 강조색3 13" xfId="11193"/>
    <cellStyle name="60% - 강조색3 13 2" xfId="11194"/>
    <cellStyle name="60% - 강조색3 14" xfId="11195"/>
    <cellStyle name="60% - 강조색3 15" xfId="21119"/>
    <cellStyle name="60% - 강조색3 16" xfId="21120"/>
    <cellStyle name="60% - 강조색3 17" xfId="21121"/>
    <cellStyle name="60% - 강조색3 18" xfId="21122"/>
    <cellStyle name="60% - 강조색3 18 2" xfId="21123"/>
    <cellStyle name="60% - 강조색3 19" xfId="21124"/>
    <cellStyle name="60% - 강조색3 19 2" xfId="21125"/>
    <cellStyle name="60% - 강조색3 2" xfId="1101"/>
    <cellStyle name="60% - 강조색3 2 10" xfId="11196"/>
    <cellStyle name="60% - 강조색3 2 11" xfId="11197"/>
    <cellStyle name="60% - 강조색3 2 12" xfId="11198"/>
    <cellStyle name="60% - 강조색3 2 13" xfId="11199"/>
    <cellStyle name="60% - 강조색3 2 14" xfId="11200"/>
    <cellStyle name="60% - 강조색3 2 15" xfId="11201"/>
    <cellStyle name="60% - 강조색3 2 16" xfId="11202"/>
    <cellStyle name="60% - 강조색3 2 17" xfId="11203"/>
    <cellStyle name="60% - 강조색3 2 18" xfId="11204"/>
    <cellStyle name="60% - 강조색3 2 19" xfId="11205"/>
    <cellStyle name="60% - 강조색3 2 2" xfId="1102"/>
    <cellStyle name="60% - 강조색3 2 2 10" xfId="11206"/>
    <cellStyle name="60% - 강조색3 2 2 11" xfId="11207"/>
    <cellStyle name="60% - 강조색3 2 2 12" xfId="11208"/>
    <cellStyle name="60% - 강조색3 2 2 13" xfId="11209"/>
    <cellStyle name="60% - 강조색3 2 2 14" xfId="11210"/>
    <cellStyle name="60% - 강조색3 2 2 15" xfId="11211"/>
    <cellStyle name="60% - 강조색3 2 2 16" xfId="11212"/>
    <cellStyle name="60% - 강조색3 2 2 17" xfId="11213"/>
    <cellStyle name="60% - 강조색3 2 2 18" xfId="11214"/>
    <cellStyle name="60% - 강조색3 2 2 19" xfId="11215"/>
    <cellStyle name="60% - 강조색3 2 2 2" xfId="1103"/>
    <cellStyle name="60% - 강조색3 2 2 20" xfId="11216"/>
    <cellStyle name="60% - 강조색3 2 2 21" xfId="11217"/>
    <cellStyle name="60% - 강조색3 2 2 22" xfId="11218"/>
    <cellStyle name="60% - 강조색3 2 2 23" xfId="11219"/>
    <cellStyle name="60% - 강조색3 2 2 3" xfId="11220"/>
    <cellStyle name="60% - 강조색3 2 2 4" xfId="11221"/>
    <cellStyle name="60% - 강조색3 2 2 5" xfId="11222"/>
    <cellStyle name="60% - 강조색3 2 2 6" xfId="11223"/>
    <cellStyle name="60% - 강조색3 2 2 7" xfId="11224"/>
    <cellStyle name="60% - 강조색3 2 2 8" xfId="11225"/>
    <cellStyle name="60% - 강조색3 2 2 9" xfId="11226"/>
    <cellStyle name="60% - 강조색3 2 20" xfId="11227"/>
    <cellStyle name="60% - 강조색3 2 21" xfId="11228"/>
    <cellStyle name="60% - 강조색3 2 22" xfId="11229"/>
    <cellStyle name="60% - 강조색3 2 23" xfId="11230"/>
    <cellStyle name="60% - 강조색3 2 24" xfId="11231"/>
    <cellStyle name="60% - 강조색3 2 25" xfId="11232"/>
    <cellStyle name="60% - 강조색3 2 26" xfId="11233"/>
    <cellStyle name="60% - 강조색3 2 27" xfId="11234"/>
    <cellStyle name="60% - 강조색3 2 28" xfId="11235"/>
    <cellStyle name="60% - 강조색3 2 29" xfId="11236"/>
    <cellStyle name="60% - 강조색3 2 3" xfId="1104"/>
    <cellStyle name="60% - 강조색3 2 3 10" xfId="11237"/>
    <cellStyle name="60% - 강조색3 2 3 11" xfId="11238"/>
    <cellStyle name="60% - 강조색3 2 3 12" xfId="11239"/>
    <cellStyle name="60% - 강조색3 2 3 13" xfId="11240"/>
    <cellStyle name="60% - 강조색3 2 3 14" xfId="11241"/>
    <cellStyle name="60% - 강조색3 2 3 15" xfId="11242"/>
    <cellStyle name="60% - 강조색3 2 3 16" xfId="11243"/>
    <cellStyle name="60% - 강조색3 2 3 17" xfId="11244"/>
    <cellStyle name="60% - 강조색3 2 3 18" xfId="11245"/>
    <cellStyle name="60% - 강조색3 2 3 19" xfId="11246"/>
    <cellStyle name="60% - 강조색3 2 3 2" xfId="11247"/>
    <cellStyle name="60% - 강조색3 2 3 20" xfId="11248"/>
    <cellStyle name="60% - 강조색3 2 3 21" xfId="11249"/>
    <cellStyle name="60% - 강조색3 2 3 3" xfId="11250"/>
    <cellStyle name="60% - 강조색3 2 3 4" xfId="11251"/>
    <cellStyle name="60% - 강조색3 2 3 5" xfId="11252"/>
    <cellStyle name="60% - 강조색3 2 3 6" xfId="11253"/>
    <cellStyle name="60% - 강조색3 2 3 7" xfId="11254"/>
    <cellStyle name="60% - 강조색3 2 3 8" xfId="11255"/>
    <cellStyle name="60% - 강조색3 2 3 9" xfId="11256"/>
    <cellStyle name="60% - 강조색3 2 30" xfId="11257"/>
    <cellStyle name="60% - 강조색3 2 31" xfId="11258"/>
    <cellStyle name="60% - 강조색3 2 4" xfId="1105"/>
    <cellStyle name="60% - 강조색3 2 4 10" xfId="11259"/>
    <cellStyle name="60% - 강조색3 2 4 11" xfId="11260"/>
    <cellStyle name="60% - 강조색3 2 4 12" xfId="11261"/>
    <cellStyle name="60% - 강조색3 2 4 13" xfId="11262"/>
    <cellStyle name="60% - 강조색3 2 4 14" xfId="11263"/>
    <cellStyle name="60% - 강조색3 2 4 15" xfId="11264"/>
    <cellStyle name="60% - 강조색3 2 4 16" xfId="11265"/>
    <cellStyle name="60% - 강조색3 2 4 17" xfId="11266"/>
    <cellStyle name="60% - 강조색3 2 4 18" xfId="11267"/>
    <cellStyle name="60% - 강조색3 2 4 19" xfId="11268"/>
    <cellStyle name="60% - 강조색3 2 4 2" xfId="11269"/>
    <cellStyle name="60% - 강조색3 2 4 20" xfId="11270"/>
    <cellStyle name="60% - 강조색3 2 4 3" xfId="11271"/>
    <cellStyle name="60% - 강조색3 2 4 4" xfId="11272"/>
    <cellStyle name="60% - 강조색3 2 4 5" xfId="11273"/>
    <cellStyle name="60% - 강조색3 2 4 6" xfId="11274"/>
    <cellStyle name="60% - 강조색3 2 4 7" xfId="11275"/>
    <cellStyle name="60% - 강조색3 2 4 8" xfId="11276"/>
    <cellStyle name="60% - 강조색3 2 4 9" xfId="11277"/>
    <cellStyle name="60% - 강조색3 2 5" xfId="11278"/>
    <cellStyle name="60% - 강조색3 2 6" xfId="11279"/>
    <cellStyle name="60% - 강조색3 2 7" xfId="11280"/>
    <cellStyle name="60% - 강조색3 2 7 2" xfId="11281"/>
    <cellStyle name="60% - 강조색3 2 8" xfId="11282"/>
    <cellStyle name="60% - 강조색3 2 9" xfId="11283"/>
    <cellStyle name="60% - 강조색3 20" xfId="21126"/>
    <cellStyle name="60% - 강조색3 20 2" xfId="21127"/>
    <cellStyle name="60% - 강조색3 21" xfId="21128"/>
    <cellStyle name="60% - 강조색3 21 2" xfId="21129"/>
    <cellStyle name="60% - 강조색3 22" xfId="21130"/>
    <cellStyle name="60% - 강조색3 22 2" xfId="21131"/>
    <cellStyle name="60% - 강조색3 23" xfId="21132"/>
    <cellStyle name="60% - 강조색3 24" xfId="21133"/>
    <cellStyle name="60% - 강조색3 25" xfId="21134"/>
    <cellStyle name="60% - 강조색3 26" xfId="21135"/>
    <cellStyle name="60% - 강조색3 27" xfId="21136"/>
    <cellStyle name="60% - 강조색3 28" xfId="21137"/>
    <cellStyle name="60% - 강조색3 29" xfId="21138"/>
    <cellStyle name="60% - 강조색3 3" xfId="1106"/>
    <cellStyle name="60% - 강조색3 3 10" xfId="11284"/>
    <cellStyle name="60% - 강조색3 3 11" xfId="11285"/>
    <cellStyle name="60% - 강조색3 3 12" xfId="11286"/>
    <cellStyle name="60% - 강조색3 3 13" xfId="11287"/>
    <cellStyle name="60% - 강조색3 3 14" xfId="11288"/>
    <cellStyle name="60% - 강조색3 3 15" xfId="11289"/>
    <cellStyle name="60% - 강조색3 3 16" xfId="11290"/>
    <cellStyle name="60% - 강조색3 3 17" xfId="11291"/>
    <cellStyle name="60% - 강조색3 3 18" xfId="11292"/>
    <cellStyle name="60% - 강조색3 3 19" xfId="11293"/>
    <cellStyle name="60% - 강조색3 3 2" xfId="11294"/>
    <cellStyle name="60% - 강조색3 3 2 10" xfId="11295"/>
    <cellStyle name="60% - 강조색3 3 2 11" xfId="11296"/>
    <cellStyle name="60% - 강조색3 3 2 12" xfId="11297"/>
    <cellStyle name="60% - 강조색3 3 2 13" xfId="11298"/>
    <cellStyle name="60% - 강조색3 3 2 14" xfId="11299"/>
    <cellStyle name="60% - 강조색3 3 2 15" xfId="11300"/>
    <cellStyle name="60% - 강조색3 3 2 16" xfId="11301"/>
    <cellStyle name="60% - 강조색3 3 2 17" xfId="11302"/>
    <cellStyle name="60% - 강조색3 3 2 18" xfId="11303"/>
    <cellStyle name="60% - 강조색3 3 2 19" xfId="11304"/>
    <cellStyle name="60% - 강조색3 3 2 2" xfId="11305"/>
    <cellStyle name="60% - 강조색3 3 2 20" xfId="11306"/>
    <cellStyle name="60% - 강조색3 3 2 21" xfId="11307"/>
    <cellStyle name="60% - 강조색3 3 2 3" xfId="11308"/>
    <cellStyle name="60% - 강조색3 3 2 4" xfId="11309"/>
    <cellStyle name="60% - 강조색3 3 2 5" xfId="11310"/>
    <cellStyle name="60% - 강조색3 3 2 6" xfId="11311"/>
    <cellStyle name="60% - 강조색3 3 2 7" xfId="11312"/>
    <cellStyle name="60% - 강조색3 3 2 8" xfId="11313"/>
    <cellStyle name="60% - 강조색3 3 2 9" xfId="11314"/>
    <cellStyle name="60% - 강조색3 3 20" xfId="11315"/>
    <cellStyle name="60% - 강조색3 3 21" xfId="11316"/>
    <cellStyle name="60% - 강조색3 3 22" xfId="11317"/>
    <cellStyle name="60% - 강조색3 3 23" xfId="11318"/>
    <cellStyle name="60% - 강조색3 3 24" xfId="11319"/>
    <cellStyle name="60% - 강조색3 3 25" xfId="11320"/>
    <cellStyle name="60% - 강조색3 3 26" xfId="11321"/>
    <cellStyle name="60% - 강조색3 3 27" xfId="11322"/>
    <cellStyle name="60% - 강조색3 3 28" xfId="11323"/>
    <cellStyle name="60% - 강조색3 3 29" xfId="11324"/>
    <cellStyle name="60% - 강조색3 3 3" xfId="11325"/>
    <cellStyle name="60% - 강조색3 3 3 10" xfId="11326"/>
    <cellStyle name="60% - 강조색3 3 3 11" xfId="11327"/>
    <cellStyle name="60% - 강조색3 3 3 12" xfId="11328"/>
    <cellStyle name="60% - 강조색3 3 3 13" xfId="11329"/>
    <cellStyle name="60% - 강조색3 3 3 14" xfId="11330"/>
    <cellStyle name="60% - 강조색3 3 3 15" xfId="11331"/>
    <cellStyle name="60% - 강조색3 3 3 16" xfId="11332"/>
    <cellStyle name="60% - 강조색3 3 3 17" xfId="11333"/>
    <cellStyle name="60% - 강조색3 3 3 18" xfId="11334"/>
    <cellStyle name="60% - 강조색3 3 3 19" xfId="11335"/>
    <cellStyle name="60% - 강조색3 3 3 2" xfId="11336"/>
    <cellStyle name="60% - 강조색3 3 3 20" xfId="11337"/>
    <cellStyle name="60% - 강조색3 3 3 21" xfId="11338"/>
    <cellStyle name="60% - 강조색3 3 3 3" xfId="11339"/>
    <cellStyle name="60% - 강조색3 3 3 4" xfId="11340"/>
    <cellStyle name="60% - 강조색3 3 3 5" xfId="11341"/>
    <cellStyle name="60% - 강조색3 3 3 6" xfId="11342"/>
    <cellStyle name="60% - 강조색3 3 3 7" xfId="11343"/>
    <cellStyle name="60% - 강조색3 3 3 8" xfId="11344"/>
    <cellStyle name="60% - 강조색3 3 3 9" xfId="11345"/>
    <cellStyle name="60% - 강조색3 3 30" xfId="11346"/>
    <cellStyle name="60% - 강조색3 3 31" xfId="11347"/>
    <cellStyle name="60% - 강조색3 3 32" xfId="11348"/>
    <cellStyle name="60% - 강조색3 3 4" xfId="11349"/>
    <cellStyle name="60% - 강조색3 3 4 10" xfId="11350"/>
    <cellStyle name="60% - 강조색3 3 4 11" xfId="11351"/>
    <cellStyle name="60% - 강조색3 3 4 12" xfId="11352"/>
    <cellStyle name="60% - 강조색3 3 4 13" xfId="11353"/>
    <cellStyle name="60% - 강조색3 3 4 14" xfId="11354"/>
    <cellStyle name="60% - 강조색3 3 4 15" xfId="11355"/>
    <cellStyle name="60% - 강조색3 3 4 16" xfId="11356"/>
    <cellStyle name="60% - 강조색3 3 4 17" xfId="11357"/>
    <cellStyle name="60% - 강조색3 3 4 18" xfId="11358"/>
    <cellStyle name="60% - 강조색3 3 4 19" xfId="11359"/>
    <cellStyle name="60% - 강조색3 3 4 2" xfId="11360"/>
    <cellStyle name="60% - 강조색3 3 4 20" xfId="11361"/>
    <cellStyle name="60% - 강조색3 3 4 3" xfId="11362"/>
    <cellStyle name="60% - 강조색3 3 4 4" xfId="11363"/>
    <cellStyle name="60% - 강조색3 3 4 5" xfId="11364"/>
    <cellStyle name="60% - 강조색3 3 4 6" xfId="11365"/>
    <cellStyle name="60% - 강조색3 3 4 7" xfId="11366"/>
    <cellStyle name="60% - 강조색3 3 4 8" xfId="11367"/>
    <cellStyle name="60% - 강조색3 3 4 9" xfId="11368"/>
    <cellStyle name="60% - 강조색3 3 5" xfId="11369"/>
    <cellStyle name="60% - 강조색3 3 6" xfId="11370"/>
    <cellStyle name="60% - 강조색3 3 7" xfId="11371"/>
    <cellStyle name="60% - 강조색3 3 8" xfId="11372"/>
    <cellStyle name="60% - 강조색3 3 9" xfId="11373"/>
    <cellStyle name="60% - 강조색3 30" xfId="21139"/>
    <cellStyle name="60% - 강조색3 31" xfId="21140"/>
    <cellStyle name="60% - 강조색3 32" xfId="21141"/>
    <cellStyle name="60% - 강조색3 33" xfId="21142"/>
    <cellStyle name="60% - 강조색3 34" xfId="21143"/>
    <cellStyle name="60% - 강조색3 35" xfId="21144"/>
    <cellStyle name="60% - 강조색3 36" xfId="21145"/>
    <cellStyle name="60% - 강조색3 4" xfId="1107"/>
    <cellStyle name="60% - 강조색3 4 10" xfId="11374"/>
    <cellStyle name="60% - 강조색3 4 2" xfId="11375"/>
    <cellStyle name="60% - 강조색3 4 2 2" xfId="11376"/>
    <cellStyle name="60% - 강조색3 4 3" xfId="11377"/>
    <cellStyle name="60% - 강조색3 4 4" xfId="11378"/>
    <cellStyle name="60% - 강조색3 4 5" xfId="11379"/>
    <cellStyle name="60% - 강조색3 4 6" xfId="11380"/>
    <cellStyle name="60% - 강조색3 4 7" xfId="11381"/>
    <cellStyle name="60% - 강조색3 4 8" xfId="11382"/>
    <cellStyle name="60% - 강조색3 4 9" xfId="11383"/>
    <cellStyle name="60% - 강조색3 5" xfId="1108"/>
    <cellStyle name="60% - 강조색3 5 2" xfId="11384"/>
    <cellStyle name="60% - 강조색3 5 3" xfId="11385"/>
    <cellStyle name="60% - 강조색3 5 4" xfId="11386"/>
    <cellStyle name="60% - 강조색3 6" xfId="1109"/>
    <cellStyle name="60% - 강조색3 6 2" xfId="11387"/>
    <cellStyle name="60% - 강조색3 6 3" xfId="11388"/>
    <cellStyle name="60% - 강조색3 7" xfId="11389"/>
    <cellStyle name="60% - 강조색3 7 2" xfId="11390"/>
    <cellStyle name="60% - 강조색3 7 3" xfId="11391"/>
    <cellStyle name="60% - 강조색3 8" xfId="11392"/>
    <cellStyle name="60% - 강조색3 8 2" xfId="11393"/>
    <cellStyle name="60% - 강조색3 8 3" xfId="11394"/>
    <cellStyle name="60% - 강조색3 9" xfId="11395"/>
    <cellStyle name="60% - 강조색4 10" xfId="11396"/>
    <cellStyle name="60% - 강조색4 11" xfId="11397"/>
    <cellStyle name="60% - 강조색4 12" xfId="11398"/>
    <cellStyle name="60% - 강조색4 13" xfId="11399"/>
    <cellStyle name="60% - 강조색4 13 2" xfId="11400"/>
    <cellStyle name="60% - 강조색4 14" xfId="11401"/>
    <cellStyle name="60% - 강조색4 15" xfId="21146"/>
    <cellStyle name="60% - 강조색4 16" xfId="21147"/>
    <cellStyle name="60% - 강조색4 17" xfId="21148"/>
    <cellStyle name="60% - 강조색4 18" xfId="21149"/>
    <cellStyle name="60% - 강조색4 18 2" xfId="21150"/>
    <cellStyle name="60% - 강조색4 19" xfId="21151"/>
    <cellStyle name="60% - 강조색4 19 2" xfId="21152"/>
    <cellStyle name="60% - 강조색4 2" xfId="1110"/>
    <cellStyle name="60% - 강조색4 2 10" xfId="11402"/>
    <cellStyle name="60% - 강조색4 2 11" xfId="11403"/>
    <cellStyle name="60% - 강조색4 2 12" xfId="11404"/>
    <cellStyle name="60% - 강조색4 2 13" xfId="11405"/>
    <cellStyle name="60% - 강조색4 2 14" xfId="11406"/>
    <cellStyle name="60% - 강조색4 2 15" xfId="11407"/>
    <cellStyle name="60% - 강조색4 2 16" xfId="11408"/>
    <cellStyle name="60% - 강조색4 2 17" xfId="11409"/>
    <cellStyle name="60% - 강조색4 2 18" xfId="11410"/>
    <cellStyle name="60% - 강조색4 2 19" xfId="11411"/>
    <cellStyle name="60% - 강조색4 2 2" xfId="1111"/>
    <cellStyle name="60% - 강조색4 2 2 10" xfId="11412"/>
    <cellStyle name="60% - 강조색4 2 2 11" xfId="11413"/>
    <cellStyle name="60% - 강조색4 2 2 12" xfId="11414"/>
    <cellStyle name="60% - 강조색4 2 2 13" xfId="11415"/>
    <cellStyle name="60% - 강조색4 2 2 14" xfId="11416"/>
    <cellStyle name="60% - 강조색4 2 2 15" xfId="11417"/>
    <cellStyle name="60% - 강조색4 2 2 16" xfId="11418"/>
    <cellStyle name="60% - 강조색4 2 2 17" xfId="11419"/>
    <cellStyle name="60% - 강조색4 2 2 18" xfId="11420"/>
    <cellStyle name="60% - 강조색4 2 2 19" xfId="11421"/>
    <cellStyle name="60% - 강조색4 2 2 2" xfId="1112"/>
    <cellStyle name="60% - 강조색4 2 2 20" xfId="11422"/>
    <cellStyle name="60% - 강조색4 2 2 21" xfId="11423"/>
    <cellStyle name="60% - 강조색4 2 2 22" xfId="11424"/>
    <cellStyle name="60% - 강조색4 2 2 23" xfId="11425"/>
    <cellStyle name="60% - 강조색4 2 2 3" xfId="11426"/>
    <cellStyle name="60% - 강조색4 2 2 4" xfId="11427"/>
    <cellStyle name="60% - 강조색4 2 2 5" xfId="11428"/>
    <cellStyle name="60% - 강조색4 2 2 6" xfId="11429"/>
    <cellStyle name="60% - 강조색4 2 2 7" xfId="11430"/>
    <cellStyle name="60% - 강조색4 2 2 8" xfId="11431"/>
    <cellStyle name="60% - 강조색4 2 2 9" xfId="11432"/>
    <cellStyle name="60% - 강조색4 2 20" xfId="11433"/>
    <cellStyle name="60% - 강조색4 2 21" xfId="11434"/>
    <cellStyle name="60% - 강조색4 2 22" xfId="11435"/>
    <cellStyle name="60% - 강조색4 2 23" xfId="11436"/>
    <cellStyle name="60% - 강조색4 2 24" xfId="11437"/>
    <cellStyle name="60% - 강조색4 2 25" xfId="11438"/>
    <cellStyle name="60% - 강조색4 2 26" xfId="11439"/>
    <cellStyle name="60% - 강조색4 2 27" xfId="11440"/>
    <cellStyle name="60% - 강조색4 2 28" xfId="11441"/>
    <cellStyle name="60% - 강조색4 2 29" xfId="11442"/>
    <cellStyle name="60% - 강조색4 2 3" xfId="1113"/>
    <cellStyle name="60% - 강조색4 2 3 10" xfId="11443"/>
    <cellStyle name="60% - 강조색4 2 3 11" xfId="11444"/>
    <cellStyle name="60% - 강조색4 2 3 12" xfId="11445"/>
    <cellStyle name="60% - 강조색4 2 3 13" xfId="11446"/>
    <cellStyle name="60% - 강조색4 2 3 14" xfId="11447"/>
    <cellStyle name="60% - 강조색4 2 3 15" xfId="11448"/>
    <cellStyle name="60% - 강조색4 2 3 16" xfId="11449"/>
    <cellStyle name="60% - 강조색4 2 3 17" xfId="11450"/>
    <cellStyle name="60% - 강조색4 2 3 18" xfId="11451"/>
    <cellStyle name="60% - 강조색4 2 3 19" xfId="11452"/>
    <cellStyle name="60% - 강조색4 2 3 2" xfId="11453"/>
    <cellStyle name="60% - 강조색4 2 3 20" xfId="11454"/>
    <cellStyle name="60% - 강조색4 2 3 21" xfId="11455"/>
    <cellStyle name="60% - 강조색4 2 3 3" xfId="11456"/>
    <cellStyle name="60% - 강조색4 2 3 4" xfId="11457"/>
    <cellStyle name="60% - 강조색4 2 3 5" xfId="11458"/>
    <cellStyle name="60% - 강조색4 2 3 6" xfId="11459"/>
    <cellStyle name="60% - 강조색4 2 3 7" xfId="11460"/>
    <cellStyle name="60% - 강조색4 2 3 8" xfId="11461"/>
    <cellStyle name="60% - 강조색4 2 3 9" xfId="11462"/>
    <cellStyle name="60% - 강조색4 2 30" xfId="11463"/>
    <cellStyle name="60% - 강조색4 2 31" xfId="11464"/>
    <cellStyle name="60% - 강조색4 2 4" xfId="1114"/>
    <cellStyle name="60% - 강조색4 2 4 10" xfId="11465"/>
    <cellStyle name="60% - 강조색4 2 4 11" xfId="11466"/>
    <cellStyle name="60% - 강조색4 2 4 12" xfId="11467"/>
    <cellStyle name="60% - 강조색4 2 4 13" xfId="11468"/>
    <cellStyle name="60% - 강조색4 2 4 14" xfId="11469"/>
    <cellStyle name="60% - 강조색4 2 4 15" xfId="11470"/>
    <cellStyle name="60% - 강조색4 2 4 16" xfId="11471"/>
    <cellStyle name="60% - 강조색4 2 4 17" xfId="11472"/>
    <cellStyle name="60% - 강조색4 2 4 18" xfId="11473"/>
    <cellStyle name="60% - 강조색4 2 4 19" xfId="11474"/>
    <cellStyle name="60% - 강조색4 2 4 2" xfId="11475"/>
    <cellStyle name="60% - 강조색4 2 4 20" xfId="11476"/>
    <cellStyle name="60% - 강조색4 2 4 3" xfId="11477"/>
    <cellStyle name="60% - 강조색4 2 4 4" xfId="11478"/>
    <cellStyle name="60% - 강조색4 2 4 5" xfId="11479"/>
    <cellStyle name="60% - 강조색4 2 4 6" xfId="11480"/>
    <cellStyle name="60% - 강조색4 2 4 7" xfId="11481"/>
    <cellStyle name="60% - 강조색4 2 4 8" xfId="11482"/>
    <cellStyle name="60% - 강조색4 2 4 9" xfId="11483"/>
    <cellStyle name="60% - 강조색4 2 5" xfId="11484"/>
    <cellStyle name="60% - 강조색4 2 6" xfId="11485"/>
    <cellStyle name="60% - 강조색4 2 7" xfId="11486"/>
    <cellStyle name="60% - 강조색4 2 7 2" xfId="11487"/>
    <cellStyle name="60% - 강조색4 2 8" xfId="11488"/>
    <cellStyle name="60% - 강조색4 2 9" xfId="11489"/>
    <cellStyle name="60% - 강조색4 20" xfId="21153"/>
    <cellStyle name="60% - 강조색4 20 2" xfId="21154"/>
    <cellStyle name="60% - 강조색4 21" xfId="21155"/>
    <cellStyle name="60% - 강조색4 21 2" xfId="21156"/>
    <cellStyle name="60% - 강조색4 22" xfId="21157"/>
    <cellStyle name="60% - 강조색4 22 2" xfId="21158"/>
    <cellStyle name="60% - 강조색4 23" xfId="21159"/>
    <cellStyle name="60% - 강조색4 24" xfId="21160"/>
    <cellStyle name="60% - 강조색4 25" xfId="21161"/>
    <cellStyle name="60% - 강조색4 26" xfId="21162"/>
    <cellStyle name="60% - 강조색4 27" xfId="21163"/>
    <cellStyle name="60% - 강조색4 28" xfId="21164"/>
    <cellStyle name="60% - 강조색4 29" xfId="21165"/>
    <cellStyle name="60% - 강조색4 3" xfId="1115"/>
    <cellStyle name="60% - 강조색4 3 10" xfId="11490"/>
    <cellStyle name="60% - 강조색4 3 11" xfId="11491"/>
    <cellStyle name="60% - 강조색4 3 12" xfId="11492"/>
    <cellStyle name="60% - 강조색4 3 13" xfId="11493"/>
    <cellStyle name="60% - 강조색4 3 14" xfId="11494"/>
    <cellStyle name="60% - 강조색4 3 15" xfId="11495"/>
    <cellStyle name="60% - 강조색4 3 16" xfId="11496"/>
    <cellStyle name="60% - 강조색4 3 17" xfId="11497"/>
    <cellStyle name="60% - 강조색4 3 18" xfId="11498"/>
    <cellStyle name="60% - 강조색4 3 19" xfId="11499"/>
    <cellStyle name="60% - 강조색4 3 2" xfId="11500"/>
    <cellStyle name="60% - 강조색4 3 2 10" xfId="11501"/>
    <cellStyle name="60% - 강조색4 3 2 11" xfId="11502"/>
    <cellStyle name="60% - 강조색4 3 2 12" xfId="11503"/>
    <cellStyle name="60% - 강조색4 3 2 13" xfId="11504"/>
    <cellStyle name="60% - 강조색4 3 2 14" xfId="11505"/>
    <cellStyle name="60% - 강조색4 3 2 15" xfId="11506"/>
    <cellStyle name="60% - 강조색4 3 2 16" xfId="11507"/>
    <cellStyle name="60% - 강조색4 3 2 17" xfId="11508"/>
    <cellStyle name="60% - 강조색4 3 2 18" xfId="11509"/>
    <cellStyle name="60% - 강조색4 3 2 19" xfId="11510"/>
    <cellStyle name="60% - 강조색4 3 2 2" xfId="11511"/>
    <cellStyle name="60% - 강조색4 3 2 20" xfId="11512"/>
    <cellStyle name="60% - 강조색4 3 2 21" xfId="11513"/>
    <cellStyle name="60% - 강조색4 3 2 3" xfId="11514"/>
    <cellStyle name="60% - 강조색4 3 2 4" xfId="11515"/>
    <cellStyle name="60% - 강조색4 3 2 5" xfId="11516"/>
    <cellStyle name="60% - 강조색4 3 2 6" xfId="11517"/>
    <cellStyle name="60% - 강조색4 3 2 7" xfId="11518"/>
    <cellStyle name="60% - 강조색4 3 2 8" xfId="11519"/>
    <cellStyle name="60% - 강조색4 3 2 9" xfId="11520"/>
    <cellStyle name="60% - 강조색4 3 20" xfId="11521"/>
    <cellStyle name="60% - 강조색4 3 21" xfId="11522"/>
    <cellStyle name="60% - 강조색4 3 22" xfId="11523"/>
    <cellStyle name="60% - 강조색4 3 23" xfId="11524"/>
    <cellStyle name="60% - 강조색4 3 24" xfId="11525"/>
    <cellStyle name="60% - 강조색4 3 25" xfId="11526"/>
    <cellStyle name="60% - 강조색4 3 26" xfId="11527"/>
    <cellStyle name="60% - 강조색4 3 27" xfId="11528"/>
    <cellStyle name="60% - 강조색4 3 28" xfId="11529"/>
    <cellStyle name="60% - 강조색4 3 29" xfId="11530"/>
    <cellStyle name="60% - 강조색4 3 3" xfId="11531"/>
    <cellStyle name="60% - 강조색4 3 3 10" xfId="11532"/>
    <cellStyle name="60% - 강조색4 3 3 11" xfId="11533"/>
    <cellStyle name="60% - 강조색4 3 3 12" xfId="11534"/>
    <cellStyle name="60% - 강조색4 3 3 13" xfId="11535"/>
    <cellStyle name="60% - 강조색4 3 3 14" xfId="11536"/>
    <cellStyle name="60% - 강조색4 3 3 15" xfId="11537"/>
    <cellStyle name="60% - 강조색4 3 3 16" xfId="11538"/>
    <cellStyle name="60% - 강조색4 3 3 17" xfId="11539"/>
    <cellStyle name="60% - 강조색4 3 3 18" xfId="11540"/>
    <cellStyle name="60% - 강조색4 3 3 19" xfId="11541"/>
    <cellStyle name="60% - 강조색4 3 3 2" xfId="11542"/>
    <cellStyle name="60% - 강조색4 3 3 20" xfId="11543"/>
    <cellStyle name="60% - 강조색4 3 3 21" xfId="11544"/>
    <cellStyle name="60% - 강조색4 3 3 3" xfId="11545"/>
    <cellStyle name="60% - 강조색4 3 3 4" xfId="11546"/>
    <cellStyle name="60% - 강조색4 3 3 5" xfId="11547"/>
    <cellStyle name="60% - 강조색4 3 3 6" xfId="11548"/>
    <cellStyle name="60% - 강조색4 3 3 7" xfId="11549"/>
    <cellStyle name="60% - 강조색4 3 3 8" xfId="11550"/>
    <cellStyle name="60% - 강조색4 3 3 9" xfId="11551"/>
    <cellStyle name="60% - 강조색4 3 30" xfId="11552"/>
    <cellStyle name="60% - 강조색4 3 31" xfId="11553"/>
    <cellStyle name="60% - 강조색4 3 32" xfId="11554"/>
    <cellStyle name="60% - 강조색4 3 4" xfId="11555"/>
    <cellStyle name="60% - 강조색4 3 4 10" xfId="11556"/>
    <cellStyle name="60% - 강조색4 3 4 11" xfId="11557"/>
    <cellStyle name="60% - 강조색4 3 4 12" xfId="11558"/>
    <cellStyle name="60% - 강조색4 3 4 13" xfId="11559"/>
    <cellStyle name="60% - 강조색4 3 4 14" xfId="11560"/>
    <cellStyle name="60% - 강조색4 3 4 15" xfId="11561"/>
    <cellStyle name="60% - 강조색4 3 4 16" xfId="11562"/>
    <cellStyle name="60% - 강조색4 3 4 17" xfId="11563"/>
    <cellStyle name="60% - 강조색4 3 4 18" xfId="11564"/>
    <cellStyle name="60% - 강조색4 3 4 19" xfId="11565"/>
    <cellStyle name="60% - 강조색4 3 4 2" xfId="11566"/>
    <cellStyle name="60% - 강조색4 3 4 20" xfId="11567"/>
    <cellStyle name="60% - 강조색4 3 4 3" xfId="11568"/>
    <cellStyle name="60% - 강조색4 3 4 4" xfId="11569"/>
    <cellStyle name="60% - 강조색4 3 4 5" xfId="11570"/>
    <cellStyle name="60% - 강조색4 3 4 6" xfId="11571"/>
    <cellStyle name="60% - 강조색4 3 4 7" xfId="11572"/>
    <cellStyle name="60% - 강조색4 3 4 8" xfId="11573"/>
    <cellStyle name="60% - 강조색4 3 4 9" xfId="11574"/>
    <cellStyle name="60% - 강조색4 3 5" xfId="11575"/>
    <cellStyle name="60% - 강조색4 3 6" xfId="11576"/>
    <cellStyle name="60% - 강조색4 3 7" xfId="11577"/>
    <cellStyle name="60% - 강조색4 3 8" xfId="11578"/>
    <cellStyle name="60% - 강조색4 3 9" xfId="11579"/>
    <cellStyle name="60% - 강조색4 30" xfId="21166"/>
    <cellStyle name="60% - 강조색4 31" xfId="21167"/>
    <cellStyle name="60% - 강조색4 32" xfId="21168"/>
    <cellStyle name="60% - 강조색4 33" xfId="21169"/>
    <cellStyle name="60% - 강조색4 34" xfId="21170"/>
    <cellStyle name="60% - 강조색4 35" xfId="21171"/>
    <cellStyle name="60% - 강조색4 36" xfId="21172"/>
    <cellStyle name="60% - 강조색4 4" xfId="1116"/>
    <cellStyle name="60% - 강조색4 4 10" xfId="11580"/>
    <cellStyle name="60% - 강조색4 4 2" xfId="11581"/>
    <cellStyle name="60% - 강조색4 4 2 2" xfId="11582"/>
    <cellStyle name="60% - 강조색4 4 3" xfId="11583"/>
    <cellStyle name="60% - 강조색4 4 4" xfId="11584"/>
    <cellStyle name="60% - 강조색4 4 5" xfId="11585"/>
    <cellStyle name="60% - 강조색4 4 6" xfId="11586"/>
    <cellStyle name="60% - 강조색4 4 7" xfId="11587"/>
    <cellStyle name="60% - 강조색4 4 8" xfId="11588"/>
    <cellStyle name="60% - 강조색4 4 9" xfId="11589"/>
    <cellStyle name="60% - 강조색4 5" xfId="1117"/>
    <cellStyle name="60% - 강조색4 5 2" xfId="11590"/>
    <cellStyle name="60% - 강조색4 5 3" xfId="11591"/>
    <cellStyle name="60% - 강조색4 5 4" xfId="11592"/>
    <cellStyle name="60% - 강조색4 6" xfId="1118"/>
    <cellStyle name="60% - 강조색4 6 2" xfId="11593"/>
    <cellStyle name="60% - 강조색4 6 3" xfId="11594"/>
    <cellStyle name="60% - 강조색4 7" xfId="11595"/>
    <cellStyle name="60% - 강조색4 7 2" xfId="11596"/>
    <cellStyle name="60% - 강조색4 7 3" xfId="11597"/>
    <cellStyle name="60% - 강조색4 8" xfId="11598"/>
    <cellStyle name="60% - 강조색4 8 2" xfId="11599"/>
    <cellStyle name="60% - 강조색4 8 3" xfId="11600"/>
    <cellStyle name="60% - 강조색4 9" xfId="11601"/>
    <cellStyle name="60% - 강조색5 10" xfId="11602"/>
    <cellStyle name="60% - 강조색5 11" xfId="11603"/>
    <cellStyle name="60% - 강조색5 12" xfId="11604"/>
    <cellStyle name="60% - 강조색5 13" xfId="11605"/>
    <cellStyle name="60% - 강조색5 13 2" xfId="11606"/>
    <cellStyle name="60% - 강조색5 14" xfId="11607"/>
    <cellStyle name="60% - 강조색5 15" xfId="21173"/>
    <cellStyle name="60% - 강조색5 16" xfId="21174"/>
    <cellStyle name="60% - 강조색5 17" xfId="21175"/>
    <cellStyle name="60% - 강조색5 18" xfId="21176"/>
    <cellStyle name="60% - 강조색5 18 2" xfId="21177"/>
    <cellStyle name="60% - 강조색5 19" xfId="21178"/>
    <cellStyle name="60% - 강조색5 19 2" xfId="21179"/>
    <cellStyle name="60% - 강조색5 2" xfId="1119"/>
    <cellStyle name="60% - 강조색5 2 10" xfId="11608"/>
    <cellStyle name="60% - 강조색5 2 11" xfId="11609"/>
    <cellStyle name="60% - 강조색5 2 12" xfId="11610"/>
    <cellStyle name="60% - 강조색5 2 13" xfId="11611"/>
    <cellStyle name="60% - 강조색5 2 14" xfId="11612"/>
    <cellStyle name="60% - 강조색5 2 15" xfId="11613"/>
    <cellStyle name="60% - 강조색5 2 16" xfId="11614"/>
    <cellStyle name="60% - 강조색5 2 17" xfId="11615"/>
    <cellStyle name="60% - 강조색5 2 18" xfId="11616"/>
    <cellStyle name="60% - 강조색5 2 19" xfId="11617"/>
    <cellStyle name="60% - 강조색5 2 2" xfId="1120"/>
    <cellStyle name="60% - 강조색5 2 2 10" xfId="11618"/>
    <cellStyle name="60% - 강조색5 2 2 11" xfId="11619"/>
    <cellStyle name="60% - 강조색5 2 2 12" xfId="11620"/>
    <cellStyle name="60% - 강조색5 2 2 13" xfId="11621"/>
    <cellStyle name="60% - 강조색5 2 2 14" xfId="11622"/>
    <cellStyle name="60% - 강조색5 2 2 15" xfId="11623"/>
    <cellStyle name="60% - 강조색5 2 2 16" xfId="11624"/>
    <cellStyle name="60% - 강조색5 2 2 17" xfId="11625"/>
    <cellStyle name="60% - 강조색5 2 2 18" xfId="11626"/>
    <cellStyle name="60% - 강조색5 2 2 19" xfId="11627"/>
    <cellStyle name="60% - 강조색5 2 2 2" xfId="1121"/>
    <cellStyle name="60% - 강조색5 2 2 20" xfId="11628"/>
    <cellStyle name="60% - 강조색5 2 2 21" xfId="11629"/>
    <cellStyle name="60% - 강조색5 2 2 22" xfId="11630"/>
    <cellStyle name="60% - 강조색5 2 2 3" xfId="11631"/>
    <cellStyle name="60% - 강조색5 2 2 4" xfId="11632"/>
    <cellStyle name="60% - 강조색5 2 2 5" xfId="11633"/>
    <cellStyle name="60% - 강조색5 2 2 6" xfId="11634"/>
    <cellStyle name="60% - 강조색5 2 2 7" xfId="11635"/>
    <cellStyle name="60% - 강조색5 2 2 8" xfId="11636"/>
    <cellStyle name="60% - 강조색5 2 2 9" xfId="11637"/>
    <cellStyle name="60% - 강조색5 2 20" xfId="11638"/>
    <cellStyle name="60% - 강조색5 2 21" xfId="11639"/>
    <cellStyle name="60% - 강조색5 2 22" xfId="11640"/>
    <cellStyle name="60% - 강조색5 2 23" xfId="11641"/>
    <cellStyle name="60% - 강조색5 2 24" xfId="11642"/>
    <cellStyle name="60% - 강조색5 2 25" xfId="11643"/>
    <cellStyle name="60% - 강조색5 2 26" xfId="11644"/>
    <cellStyle name="60% - 강조색5 2 27" xfId="11645"/>
    <cellStyle name="60% - 강조색5 2 28" xfId="11646"/>
    <cellStyle name="60% - 강조색5 2 29" xfId="11647"/>
    <cellStyle name="60% - 강조색5 2 3" xfId="1122"/>
    <cellStyle name="60% - 강조색5 2 3 10" xfId="11648"/>
    <cellStyle name="60% - 강조색5 2 3 11" xfId="11649"/>
    <cellStyle name="60% - 강조색5 2 3 12" xfId="11650"/>
    <cellStyle name="60% - 강조색5 2 3 13" xfId="11651"/>
    <cellStyle name="60% - 강조색5 2 3 14" xfId="11652"/>
    <cellStyle name="60% - 강조색5 2 3 15" xfId="11653"/>
    <cellStyle name="60% - 강조색5 2 3 16" xfId="11654"/>
    <cellStyle name="60% - 강조색5 2 3 17" xfId="11655"/>
    <cellStyle name="60% - 강조색5 2 3 18" xfId="11656"/>
    <cellStyle name="60% - 강조색5 2 3 19" xfId="11657"/>
    <cellStyle name="60% - 강조색5 2 3 2" xfId="11658"/>
    <cellStyle name="60% - 강조색5 2 3 20" xfId="11659"/>
    <cellStyle name="60% - 강조색5 2 3 21" xfId="11660"/>
    <cellStyle name="60% - 강조색5 2 3 3" xfId="11661"/>
    <cellStyle name="60% - 강조색5 2 3 4" xfId="11662"/>
    <cellStyle name="60% - 강조색5 2 3 5" xfId="11663"/>
    <cellStyle name="60% - 강조색5 2 3 6" xfId="11664"/>
    <cellStyle name="60% - 강조색5 2 3 7" xfId="11665"/>
    <cellStyle name="60% - 강조색5 2 3 8" xfId="11666"/>
    <cellStyle name="60% - 강조색5 2 3 9" xfId="11667"/>
    <cellStyle name="60% - 강조색5 2 30" xfId="11668"/>
    <cellStyle name="60% - 강조색5 2 4" xfId="1123"/>
    <cellStyle name="60% - 강조색5 2 4 10" xfId="11669"/>
    <cellStyle name="60% - 강조색5 2 4 11" xfId="11670"/>
    <cellStyle name="60% - 강조색5 2 4 12" xfId="11671"/>
    <cellStyle name="60% - 강조색5 2 4 13" xfId="11672"/>
    <cellStyle name="60% - 강조색5 2 4 14" xfId="11673"/>
    <cellStyle name="60% - 강조색5 2 4 15" xfId="11674"/>
    <cellStyle name="60% - 강조색5 2 4 16" xfId="11675"/>
    <cellStyle name="60% - 강조색5 2 4 17" xfId="11676"/>
    <cellStyle name="60% - 강조색5 2 4 18" xfId="11677"/>
    <cellStyle name="60% - 강조색5 2 4 19" xfId="11678"/>
    <cellStyle name="60% - 강조색5 2 4 2" xfId="11679"/>
    <cellStyle name="60% - 강조색5 2 4 20" xfId="11680"/>
    <cellStyle name="60% - 강조색5 2 4 3" xfId="11681"/>
    <cellStyle name="60% - 강조색5 2 4 4" xfId="11682"/>
    <cellStyle name="60% - 강조색5 2 4 5" xfId="11683"/>
    <cellStyle name="60% - 강조색5 2 4 6" xfId="11684"/>
    <cellStyle name="60% - 강조색5 2 4 7" xfId="11685"/>
    <cellStyle name="60% - 강조색5 2 4 8" xfId="11686"/>
    <cellStyle name="60% - 강조색5 2 4 9" xfId="11687"/>
    <cellStyle name="60% - 강조색5 2 5" xfId="11688"/>
    <cellStyle name="60% - 강조색5 2 6" xfId="11689"/>
    <cellStyle name="60% - 강조색5 2 7" xfId="11690"/>
    <cellStyle name="60% - 강조색5 2 7 2" xfId="11691"/>
    <cellStyle name="60% - 강조색5 2 8" xfId="11692"/>
    <cellStyle name="60% - 강조색5 2 9" xfId="11693"/>
    <cellStyle name="60% - 강조색5 20" xfId="21180"/>
    <cellStyle name="60% - 강조색5 20 2" xfId="21181"/>
    <cellStyle name="60% - 강조색5 21" xfId="21182"/>
    <cellStyle name="60% - 강조색5 21 2" xfId="21183"/>
    <cellStyle name="60% - 강조색5 22" xfId="21184"/>
    <cellStyle name="60% - 강조색5 22 2" xfId="21185"/>
    <cellStyle name="60% - 강조색5 23" xfId="21186"/>
    <cellStyle name="60% - 강조색5 24" xfId="21187"/>
    <cellStyle name="60% - 강조색5 25" xfId="21188"/>
    <cellStyle name="60% - 강조색5 26" xfId="21189"/>
    <cellStyle name="60% - 강조색5 27" xfId="21190"/>
    <cellStyle name="60% - 강조색5 28" xfId="21191"/>
    <cellStyle name="60% - 강조색5 29" xfId="21192"/>
    <cellStyle name="60% - 강조색5 3" xfId="1124"/>
    <cellStyle name="60% - 강조색5 3 10" xfId="11694"/>
    <cellStyle name="60% - 강조색5 3 11" xfId="11695"/>
    <cellStyle name="60% - 강조색5 3 12" xfId="11696"/>
    <cellStyle name="60% - 강조색5 3 13" xfId="11697"/>
    <cellStyle name="60% - 강조색5 3 14" xfId="11698"/>
    <cellStyle name="60% - 강조색5 3 15" xfId="11699"/>
    <cellStyle name="60% - 강조색5 3 16" xfId="11700"/>
    <cellStyle name="60% - 강조색5 3 17" xfId="11701"/>
    <cellStyle name="60% - 강조색5 3 18" xfId="11702"/>
    <cellStyle name="60% - 강조색5 3 19" xfId="11703"/>
    <cellStyle name="60% - 강조색5 3 2" xfId="11704"/>
    <cellStyle name="60% - 강조색5 3 2 10" xfId="11705"/>
    <cellStyle name="60% - 강조색5 3 2 11" xfId="11706"/>
    <cellStyle name="60% - 강조색5 3 2 12" xfId="11707"/>
    <cellStyle name="60% - 강조색5 3 2 13" xfId="11708"/>
    <cellStyle name="60% - 강조색5 3 2 14" xfId="11709"/>
    <cellStyle name="60% - 강조색5 3 2 15" xfId="11710"/>
    <cellStyle name="60% - 강조색5 3 2 16" xfId="11711"/>
    <cellStyle name="60% - 강조색5 3 2 17" xfId="11712"/>
    <cellStyle name="60% - 강조색5 3 2 18" xfId="11713"/>
    <cellStyle name="60% - 강조색5 3 2 19" xfId="11714"/>
    <cellStyle name="60% - 강조색5 3 2 2" xfId="11715"/>
    <cellStyle name="60% - 강조색5 3 2 20" xfId="11716"/>
    <cellStyle name="60% - 강조색5 3 2 21" xfId="11717"/>
    <cellStyle name="60% - 강조색5 3 2 3" xfId="11718"/>
    <cellStyle name="60% - 강조색5 3 2 4" xfId="11719"/>
    <cellStyle name="60% - 강조색5 3 2 5" xfId="11720"/>
    <cellStyle name="60% - 강조색5 3 2 6" xfId="11721"/>
    <cellStyle name="60% - 강조색5 3 2 7" xfId="11722"/>
    <cellStyle name="60% - 강조색5 3 2 8" xfId="11723"/>
    <cellStyle name="60% - 강조색5 3 2 9" xfId="11724"/>
    <cellStyle name="60% - 강조색5 3 20" xfId="11725"/>
    <cellStyle name="60% - 강조색5 3 21" xfId="11726"/>
    <cellStyle name="60% - 강조색5 3 22" xfId="11727"/>
    <cellStyle name="60% - 강조색5 3 23" xfId="11728"/>
    <cellStyle name="60% - 강조색5 3 24" xfId="11729"/>
    <cellStyle name="60% - 강조색5 3 25" xfId="11730"/>
    <cellStyle name="60% - 강조색5 3 26" xfId="11731"/>
    <cellStyle name="60% - 강조색5 3 27" xfId="11732"/>
    <cellStyle name="60% - 강조색5 3 28" xfId="11733"/>
    <cellStyle name="60% - 강조색5 3 29" xfId="11734"/>
    <cellStyle name="60% - 강조색5 3 3" xfId="11735"/>
    <cellStyle name="60% - 강조색5 3 3 10" xfId="11736"/>
    <cellStyle name="60% - 강조색5 3 3 11" xfId="11737"/>
    <cellStyle name="60% - 강조색5 3 3 12" xfId="11738"/>
    <cellStyle name="60% - 강조색5 3 3 13" xfId="11739"/>
    <cellStyle name="60% - 강조색5 3 3 14" xfId="11740"/>
    <cellStyle name="60% - 강조색5 3 3 15" xfId="11741"/>
    <cellStyle name="60% - 강조색5 3 3 16" xfId="11742"/>
    <cellStyle name="60% - 강조색5 3 3 17" xfId="11743"/>
    <cellStyle name="60% - 강조색5 3 3 18" xfId="11744"/>
    <cellStyle name="60% - 강조색5 3 3 19" xfId="11745"/>
    <cellStyle name="60% - 강조색5 3 3 2" xfId="11746"/>
    <cellStyle name="60% - 강조색5 3 3 20" xfId="11747"/>
    <cellStyle name="60% - 강조색5 3 3 21" xfId="11748"/>
    <cellStyle name="60% - 강조색5 3 3 3" xfId="11749"/>
    <cellStyle name="60% - 강조색5 3 3 4" xfId="11750"/>
    <cellStyle name="60% - 강조색5 3 3 5" xfId="11751"/>
    <cellStyle name="60% - 강조색5 3 3 6" xfId="11752"/>
    <cellStyle name="60% - 강조색5 3 3 7" xfId="11753"/>
    <cellStyle name="60% - 강조색5 3 3 8" xfId="11754"/>
    <cellStyle name="60% - 강조색5 3 3 9" xfId="11755"/>
    <cellStyle name="60% - 강조색5 3 30" xfId="11756"/>
    <cellStyle name="60% - 강조색5 3 31" xfId="11757"/>
    <cellStyle name="60% - 강조색5 3 4" xfId="11758"/>
    <cellStyle name="60% - 강조색5 3 4 10" xfId="11759"/>
    <cellStyle name="60% - 강조색5 3 4 11" xfId="11760"/>
    <cellStyle name="60% - 강조색5 3 4 12" xfId="11761"/>
    <cellStyle name="60% - 강조색5 3 4 13" xfId="11762"/>
    <cellStyle name="60% - 강조색5 3 4 14" xfId="11763"/>
    <cellStyle name="60% - 강조색5 3 4 15" xfId="11764"/>
    <cellStyle name="60% - 강조색5 3 4 16" xfId="11765"/>
    <cellStyle name="60% - 강조색5 3 4 17" xfId="11766"/>
    <cellStyle name="60% - 강조색5 3 4 18" xfId="11767"/>
    <cellStyle name="60% - 강조색5 3 4 19" xfId="11768"/>
    <cellStyle name="60% - 강조색5 3 4 2" xfId="11769"/>
    <cellStyle name="60% - 강조색5 3 4 20" xfId="11770"/>
    <cellStyle name="60% - 강조색5 3 4 3" xfId="11771"/>
    <cellStyle name="60% - 강조색5 3 4 4" xfId="11772"/>
    <cellStyle name="60% - 강조색5 3 4 5" xfId="11773"/>
    <cellStyle name="60% - 강조색5 3 4 6" xfId="11774"/>
    <cellStyle name="60% - 강조색5 3 4 7" xfId="11775"/>
    <cellStyle name="60% - 강조색5 3 4 8" xfId="11776"/>
    <cellStyle name="60% - 강조색5 3 4 9" xfId="11777"/>
    <cellStyle name="60% - 강조색5 3 5" xfId="11778"/>
    <cellStyle name="60% - 강조색5 3 6" xfId="11779"/>
    <cellStyle name="60% - 강조색5 3 7" xfId="11780"/>
    <cellStyle name="60% - 강조색5 3 8" xfId="11781"/>
    <cellStyle name="60% - 강조색5 3 9" xfId="11782"/>
    <cellStyle name="60% - 강조색5 30" xfId="21193"/>
    <cellStyle name="60% - 강조색5 31" xfId="21194"/>
    <cellStyle name="60% - 강조색5 32" xfId="21195"/>
    <cellStyle name="60% - 강조색5 33" xfId="21196"/>
    <cellStyle name="60% - 강조색5 34" xfId="21197"/>
    <cellStyle name="60% - 강조색5 35" xfId="21198"/>
    <cellStyle name="60% - 강조색5 36" xfId="21199"/>
    <cellStyle name="60% - 강조색5 4" xfId="1125"/>
    <cellStyle name="60% - 강조색5 4 2" xfId="11783"/>
    <cellStyle name="60% - 강조색5 4 2 2" xfId="11784"/>
    <cellStyle name="60% - 강조색5 4 3" xfId="11785"/>
    <cellStyle name="60% - 강조색5 4 4" xfId="11786"/>
    <cellStyle name="60% - 강조색5 4 5" xfId="11787"/>
    <cellStyle name="60% - 강조색5 4 6" xfId="11788"/>
    <cellStyle name="60% - 강조색5 4 7" xfId="11789"/>
    <cellStyle name="60% - 강조색5 4 8" xfId="11790"/>
    <cellStyle name="60% - 강조색5 4 9" xfId="11791"/>
    <cellStyle name="60% - 강조색5 5" xfId="1126"/>
    <cellStyle name="60% - 강조색5 5 2" xfId="11792"/>
    <cellStyle name="60% - 강조색5 5 3" xfId="11793"/>
    <cellStyle name="60% - 강조색5 6" xfId="1127"/>
    <cellStyle name="60% - 강조색5 6 2" xfId="11794"/>
    <cellStyle name="60% - 강조색5 7" xfId="11795"/>
    <cellStyle name="60% - 강조색5 7 2" xfId="11796"/>
    <cellStyle name="60% - 강조색5 8" xfId="11797"/>
    <cellStyle name="60% - 강조색5 8 2" xfId="11798"/>
    <cellStyle name="60% - 강조색5 9" xfId="11799"/>
    <cellStyle name="60% - 강조색6 10" xfId="11800"/>
    <cellStyle name="60% - 강조색6 11" xfId="11801"/>
    <cellStyle name="60% - 강조색6 12" xfId="11802"/>
    <cellStyle name="60% - 강조색6 13" xfId="11803"/>
    <cellStyle name="60% - 강조색6 13 2" xfId="11804"/>
    <cellStyle name="60% - 강조색6 14" xfId="11805"/>
    <cellStyle name="60% - 강조색6 15" xfId="21200"/>
    <cellStyle name="60% - 강조색6 16" xfId="21201"/>
    <cellStyle name="60% - 강조색6 17" xfId="21202"/>
    <cellStyle name="60% - 강조색6 18" xfId="21203"/>
    <cellStyle name="60% - 강조색6 18 2" xfId="21204"/>
    <cellStyle name="60% - 강조색6 19" xfId="21205"/>
    <cellStyle name="60% - 강조색6 19 2" xfId="21206"/>
    <cellStyle name="60% - 강조색6 2" xfId="1128"/>
    <cellStyle name="60% - 강조색6 2 10" xfId="11806"/>
    <cellStyle name="60% - 강조색6 2 11" xfId="11807"/>
    <cellStyle name="60% - 강조색6 2 12" xfId="11808"/>
    <cellStyle name="60% - 강조색6 2 13" xfId="11809"/>
    <cellStyle name="60% - 강조색6 2 14" xfId="11810"/>
    <cellStyle name="60% - 강조색6 2 15" xfId="11811"/>
    <cellStyle name="60% - 강조색6 2 16" xfId="11812"/>
    <cellStyle name="60% - 강조색6 2 17" xfId="11813"/>
    <cellStyle name="60% - 강조색6 2 18" xfId="11814"/>
    <cellStyle name="60% - 강조색6 2 19" xfId="11815"/>
    <cellStyle name="60% - 강조색6 2 2" xfId="1129"/>
    <cellStyle name="60% - 강조색6 2 2 10" xfId="11816"/>
    <cellStyle name="60% - 강조색6 2 2 11" xfId="11817"/>
    <cellStyle name="60% - 강조색6 2 2 12" xfId="11818"/>
    <cellStyle name="60% - 강조색6 2 2 13" xfId="11819"/>
    <cellStyle name="60% - 강조색6 2 2 14" xfId="11820"/>
    <cellStyle name="60% - 강조색6 2 2 15" xfId="11821"/>
    <cellStyle name="60% - 강조색6 2 2 16" xfId="11822"/>
    <cellStyle name="60% - 강조색6 2 2 17" xfId="11823"/>
    <cellStyle name="60% - 강조색6 2 2 18" xfId="11824"/>
    <cellStyle name="60% - 강조색6 2 2 19" xfId="11825"/>
    <cellStyle name="60% - 강조색6 2 2 2" xfId="1130"/>
    <cellStyle name="60% - 강조색6 2 2 20" xfId="11826"/>
    <cellStyle name="60% - 강조색6 2 2 21" xfId="11827"/>
    <cellStyle name="60% - 강조색6 2 2 22" xfId="11828"/>
    <cellStyle name="60% - 강조색6 2 2 23" xfId="11829"/>
    <cellStyle name="60% - 강조색6 2 2 3" xfId="11830"/>
    <cellStyle name="60% - 강조색6 2 2 4" xfId="11831"/>
    <cellStyle name="60% - 강조색6 2 2 5" xfId="11832"/>
    <cellStyle name="60% - 강조색6 2 2 6" xfId="11833"/>
    <cellStyle name="60% - 강조색6 2 2 7" xfId="11834"/>
    <cellStyle name="60% - 강조색6 2 2 8" xfId="11835"/>
    <cellStyle name="60% - 강조색6 2 2 9" xfId="11836"/>
    <cellStyle name="60% - 강조색6 2 20" xfId="11837"/>
    <cellStyle name="60% - 강조색6 2 21" xfId="11838"/>
    <cellStyle name="60% - 강조색6 2 22" xfId="11839"/>
    <cellStyle name="60% - 강조색6 2 23" xfId="11840"/>
    <cellStyle name="60% - 강조색6 2 24" xfId="11841"/>
    <cellStyle name="60% - 강조색6 2 25" xfId="11842"/>
    <cellStyle name="60% - 강조색6 2 26" xfId="11843"/>
    <cellStyle name="60% - 강조색6 2 27" xfId="11844"/>
    <cellStyle name="60% - 강조색6 2 28" xfId="11845"/>
    <cellStyle name="60% - 강조색6 2 29" xfId="11846"/>
    <cellStyle name="60% - 강조색6 2 3" xfId="1131"/>
    <cellStyle name="60% - 강조색6 2 3 10" xfId="11847"/>
    <cellStyle name="60% - 강조색6 2 3 11" xfId="11848"/>
    <cellStyle name="60% - 강조색6 2 3 12" xfId="11849"/>
    <cellStyle name="60% - 강조색6 2 3 13" xfId="11850"/>
    <cellStyle name="60% - 강조색6 2 3 14" xfId="11851"/>
    <cellStyle name="60% - 강조색6 2 3 15" xfId="11852"/>
    <cellStyle name="60% - 강조색6 2 3 16" xfId="11853"/>
    <cellStyle name="60% - 강조색6 2 3 17" xfId="11854"/>
    <cellStyle name="60% - 강조색6 2 3 18" xfId="11855"/>
    <cellStyle name="60% - 강조색6 2 3 19" xfId="11856"/>
    <cellStyle name="60% - 강조색6 2 3 2" xfId="11857"/>
    <cellStyle name="60% - 강조색6 2 3 20" xfId="11858"/>
    <cellStyle name="60% - 강조색6 2 3 21" xfId="11859"/>
    <cellStyle name="60% - 강조색6 2 3 3" xfId="11860"/>
    <cellStyle name="60% - 강조색6 2 3 4" xfId="11861"/>
    <cellStyle name="60% - 강조색6 2 3 5" xfId="11862"/>
    <cellStyle name="60% - 강조색6 2 3 6" xfId="11863"/>
    <cellStyle name="60% - 강조색6 2 3 7" xfId="11864"/>
    <cellStyle name="60% - 강조색6 2 3 8" xfId="11865"/>
    <cellStyle name="60% - 강조색6 2 3 9" xfId="11866"/>
    <cellStyle name="60% - 강조색6 2 30" xfId="11867"/>
    <cellStyle name="60% - 강조색6 2 31" xfId="11868"/>
    <cellStyle name="60% - 강조색6 2 4" xfId="1132"/>
    <cellStyle name="60% - 강조색6 2 4 10" xfId="11869"/>
    <cellStyle name="60% - 강조색6 2 4 11" xfId="11870"/>
    <cellStyle name="60% - 강조색6 2 4 12" xfId="11871"/>
    <cellStyle name="60% - 강조색6 2 4 13" xfId="11872"/>
    <cellStyle name="60% - 강조색6 2 4 14" xfId="11873"/>
    <cellStyle name="60% - 강조색6 2 4 15" xfId="11874"/>
    <cellStyle name="60% - 강조색6 2 4 16" xfId="11875"/>
    <cellStyle name="60% - 강조색6 2 4 17" xfId="11876"/>
    <cellStyle name="60% - 강조색6 2 4 18" xfId="11877"/>
    <cellStyle name="60% - 강조색6 2 4 19" xfId="11878"/>
    <cellStyle name="60% - 강조색6 2 4 2" xfId="11879"/>
    <cellStyle name="60% - 강조색6 2 4 20" xfId="11880"/>
    <cellStyle name="60% - 강조색6 2 4 3" xfId="11881"/>
    <cellStyle name="60% - 강조색6 2 4 4" xfId="11882"/>
    <cellStyle name="60% - 강조색6 2 4 5" xfId="11883"/>
    <cellStyle name="60% - 강조색6 2 4 6" xfId="11884"/>
    <cellStyle name="60% - 강조색6 2 4 7" xfId="11885"/>
    <cellStyle name="60% - 강조색6 2 4 8" xfId="11886"/>
    <cellStyle name="60% - 강조색6 2 4 9" xfId="11887"/>
    <cellStyle name="60% - 강조색6 2 5" xfId="11888"/>
    <cellStyle name="60% - 강조색6 2 6" xfId="11889"/>
    <cellStyle name="60% - 강조색6 2 7" xfId="11890"/>
    <cellStyle name="60% - 강조색6 2 7 2" xfId="11891"/>
    <cellStyle name="60% - 강조색6 2 8" xfId="11892"/>
    <cellStyle name="60% - 강조색6 2 9" xfId="11893"/>
    <cellStyle name="60% - 강조색6 20" xfId="21207"/>
    <cellStyle name="60% - 강조색6 20 2" xfId="21208"/>
    <cellStyle name="60% - 강조색6 21" xfId="21209"/>
    <cellStyle name="60% - 강조색6 21 2" xfId="21210"/>
    <cellStyle name="60% - 강조색6 22" xfId="21211"/>
    <cellStyle name="60% - 강조색6 22 2" xfId="21212"/>
    <cellStyle name="60% - 강조색6 23" xfId="21213"/>
    <cellStyle name="60% - 강조색6 24" xfId="21214"/>
    <cellStyle name="60% - 강조색6 25" xfId="21215"/>
    <cellStyle name="60% - 강조색6 26" xfId="21216"/>
    <cellStyle name="60% - 강조색6 27" xfId="21217"/>
    <cellStyle name="60% - 강조색6 28" xfId="21218"/>
    <cellStyle name="60% - 강조색6 29" xfId="21219"/>
    <cellStyle name="60% - 강조색6 3" xfId="1133"/>
    <cellStyle name="60% - 강조색6 3 10" xfId="11894"/>
    <cellStyle name="60% - 강조색6 3 11" xfId="11895"/>
    <cellStyle name="60% - 강조색6 3 12" xfId="11896"/>
    <cellStyle name="60% - 강조색6 3 13" xfId="11897"/>
    <cellStyle name="60% - 강조색6 3 14" xfId="11898"/>
    <cellStyle name="60% - 강조색6 3 15" xfId="11899"/>
    <cellStyle name="60% - 강조색6 3 16" xfId="11900"/>
    <cellStyle name="60% - 강조색6 3 17" xfId="11901"/>
    <cellStyle name="60% - 강조색6 3 18" xfId="11902"/>
    <cellStyle name="60% - 강조색6 3 19" xfId="11903"/>
    <cellStyle name="60% - 강조색6 3 2" xfId="11904"/>
    <cellStyle name="60% - 강조색6 3 2 10" xfId="11905"/>
    <cellStyle name="60% - 강조색6 3 2 11" xfId="11906"/>
    <cellStyle name="60% - 강조색6 3 2 12" xfId="11907"/>
    <cellStyle name="60% - 강조색6 3 2 13" xfId="11908"/>
    <cellStyle name="60% - 강조색6 3 2 14" xfId="11909"/>
    <cellStyle name="60% - 강조색6 3 2 15" xfId="11910"/>
    <cellStyle name="60% - 강조색6 3 2 16" xfId="11911"/>
    <cellStyle name="60% - 강조색6 3 2 17" xfId="11912"/>
    <cellStyle name="60% - 강조색6 3 2 18" xfId="11913"/>
    <cellStyle name="60% - 강조색6 3 2 19" xfId="11914"/>
    <cellStyle name="60% - 강조색6 3 2 2" xfId="11915"/>
    <cellStyle name="60% - 강조색6 3 2 20" xfId="11916"/>
    <cellStyle name="60% - 강조색6 3 2 21" xfId="11917"/>
    <cellStyle name="60% - 강조색6 3 2 3" xfId="11918"/>
    <cellStyle name="60% - 강조색6 3 2 4" xfId="11919"/>
    <cellStyle name="60% - 강조색6 3 2 5" xfId="11920"/>
    <cellStyle name="60% - 강조색6 3 2 6" xfId="11921"/>
    <cellStyle name="60% - 강조색6 3 2 7" xfId="11922"/>
    <cellStyle name="60% - 강조색6 3 2 8" xfId="11923"/>
    <cellStyle name="60% - 강조색6 3 2 9" xfId="11924"/>
    <cellStyle name="60% - 강조색6 3 20" xfId="11925"/>
    <cellStyle name="60% - 강조색6 3 21" xfId="11926"/>
    <cellStyle name="60% - 강조색6 3 22" xfId="11927"/>
    <cellStyle name="60% - 강조색6 3 23" xfId="11928"/>
    <cellStyle name="60% - 강조색6 3 24" xfId="11929"/>
    <cellStyle name="60% - 강조색6 3 25" xfId="11930"/>
    <cellStyle name="60% - 강조색6 3 26" xfId="11931"/>
    <cellStyle name="60% - 강조색6 3 27" xfId="11932"/>
    <cellStyle name="60% - 강조색6 3 28" xfId="11933"/>
    <cellStyle name="60% - 강조색6 3 29" xfId="11934"/>
    <cellStyle name="60% - 강조색6 3 3" xfId="11935"/>
    <cellStyle name="60% - 강조색6 3 3 10" xfId="11936"/>
    <cellStyle name="60% - 강조색6 3 3 11" xfId="11937"/>
    <cellStyle name="60% - 강조색6 3 3 12" xfId="11938"/>
    <cellStyle name="60% - 강조색6 3 3 13" xfId="11939"/>
    <cellStyle name="60% - 강조색6 3 3 14" xfId="11940"/>
    <cellStyle name="60% - 강조색6 3 3 15" xfId="11941"/>
    <cellStyle name="60% - 강조색6 3 3 16" xfId="11942"/>
    <cellStyle name="60% - 강조색6 3 3 17" xfId="11943"/>
    <cellStyle name="60% - 강조색6 3 3 18" xfId="11944"/>
    <cellStyle name="60% - 강조색6 3 3 19" xfId="11945"/>
    <cellStyle name="60% - 강조색6 3 3 2" xfId="11946"/>
    <cellStyle name="60% - 강조색6 3 3 20" xfId="11947"/>
    <cellStyle name="60% - 강조색6 3 3 21" xfId="11948"/>
    <cellStyle name="60% - 강조색6 3 3 3" xfId="11949"/>
    <cellStyle name="60% - 강조색6 3 3 4" xfId="11950"/>
    <cellStyle name="60% - 강조색6 3 3 5" xfId="11951"/>
    <cellStyle name="60% - 강조색6 3 3 6" xfId="11952"/>
    <cellStyle name="60% - 강조색6 3 3 7" xfId="11953"/>
    <cellStyle name="60% - 강조색6 3 3 8" xfId="11954"/>
    <cellStyle name="60% - 강조색6 3 3 9" xfId="11955"/>
    <cellStyle name="60% - 강조색6 3 30" xfId="11956"/>
    <cellStyle name="60% - 강조색6 3 31" xfId="11957"/>
    <cellStyle name="60% - 강조색6 3 32" xfId="11958"/>
    <cellStyle name="60% - 강조색6 3 4" xfId="11959"/>
    <cellStyle name="60% - 강조색6 3 4 10" xfId="11960"/>
    <cellStyle name="60% - 강조색6 3 4 11" xfId="11961"/>
    <cellStyle name="60% - 강조색6 3 4 12" xfId="11962"/>
    <cellStyle name="60% - 강조색6 3 4 13" xfId="11963"/>
    <cellStyle name="60% - 강조색6 3 4 14" xfId="11964"/>
    <cellStyle name="60% - 강조색6 3 4 15" xfId="11965"/>
    <cellStyle name="60% - 강조색6 3 4 16" xfId="11966"/>
    <cellStyle name="60% - 강조색6 3 4 17" xfId="11967"/>
    <cellStyle name="60% - 강조색6 3 4 18" xfId="11968"/>
    <cellStyle name="60% - 강조색6 3 4 19" xfId="11969"/>
    <cellStyle name="60% - 강조색6 3 4 2" xfId="11970"/>
    <cellStyle name="60% - 강조색6 3 4 20" xfId="11971"/>
    <cellStyle name="60% - 강조색6 3 4 3" xfId="11972"/>
    <cellStyle name="60% - 강조색6 3 4 4" xfId="11973"/>
    <cellStyle name="60% - 강조색6 3 4 5" xfId="11974"/>
    <cellStyle name="60% - 강조색6 3 4 6" xfId="11975"/>
    <cellStyle name="60% - 강조색6 3 4 7" xfId="11976"/>
    <cellStyle name="60% - 강조색6 3 4 8" xfId="11977"/>
    <cellStyle name="60% - 강조색6 3 4 9" xfId="11978"/>
    <cellStyle name="60% - 강조색6 3 5" xfId="11979"/>
    <cellStyle name="60% - 강조색6 3 6" xfId="11980"/>
    <cellStyle name="60% - 강조색6 3 7" xfId="11981"/>
    <cellStyle name="60% - 강조색6 3 8" xfId="11982"/>
    <cellStyle name="60% - 강조색6 3 9" xfId="11983"/>
    <cellStyle name="60% - 강조색6 30" xfId="21220"/>
    <cellStyle name="60% - 강조색6 31" xfId="21221"/>
    <cellStyle name="60% - 강조색6 32" xfId="21222"/>
    <cellStyle name="60% - 강조색6 33" xfId="21223"/>
    <cellStyle name="60% - 강조색6 34" xfId="21224"/>
    <cellStyle name="60% - 강조색6 35" xfId="21225"/>
    <cellStyle name="60% - 강조색6 36" xfId="21226"/>
    <cellStyle name="60% - 강조색6 4" xfId="1134"/>
    <cellStyle name="60% - 강조색6 4 10" xfId="11984"/>
    <cellStyle name="60% - 강조색6 4 2" xfId="11985"/>
    <cellStyle name="60% - 강조색6 4 2 2" xfId="11986"/>
    <cellStyle name="60% - 강조색6 4 3" xfId="11987"/>
    <cellStyle name="60% - 강조색6 4 4" xfId="11988"/>
    <cellStyle name="60% - 강조색6 4 5" xfId="11989"/>
    <cellStyle name="60% - 강조색6 4 6" xfId="11990"/>
    <cellStyle name="60% - 강조색6 4 7" xfId="11991"/>
    <cellStyle name="60% - 강조색6 4 8" xfId="11992"/>
    <cellStyle name="60% - 강조색6 4 9" xfId="11993"/>
    <cellStyle name="60% - 강조색6 5" xfId="1135"/>
    <cellStyle name="60% - 강조색6 5 2" xfId="11994"/>
    <cellStyle name="60% - 강조색6 5 3" xfId="11995"/>
    <cellStyle name="60% - 강조색6 5 4" xfId="11996"/>
    <cellStyle name="60% - 강조색6 6" xfId="1136"/>
    <cellStyle name="60% - 강조색6 6 2" xfId="11997"/>
    <cellStyle name="60% - 강조색6 6 3" xfId="11998"/>
    <cellStyle name="60% - 강조색6 7" xfId="11999"/>
    <cellStyle name="60% - 강조색6 7 2" xfId="12000"/>
    <cellStyle name="60% - 강조색6 7 3" xfId="12001"/>
    <cellStyle name="60% - 강조색6 8" xfId="12002"/>
    <cellStyle name="60% - 강조색6 8 2" xfId="12003"/>
    <cellStyle name="60% - 강조색6 8 3" xfId="12004"/>
    <cellStyle name="60% - 강조색6 9" xfId="12005"/>
    <cellStyle name="7" xfId="21227"/>
    <cellStyle name="7_01가공비_01이동010201" xfId="21228"/>
    <cellStyle name="7_01가공비_01이동010201_9월손익master" xfId="21229"/>
    <cellStyle name="7_01가공비_01이동010201_9월손익master_I2 6월 결산 검증서_복합대출상품_20101119" xfId="21230"/>
    <cellStyle name="7_01가공비_01이동010201_DN_BS(02년1월말기준)" xfId="21231"/>
    <cellStyle name="7_01가공비_01이동010201_DN_BS(02년1월말기준)_I2 6월 결산 검증서_복합대출상품_20101119" xfId="21232"/>
    <cellStyle name="7_01가공비_01이동010201_DN_BS(02년기초_1월_2월)" xfId="21233"/>
    <cellStyle name="7_01가공비_01이동010201_DN_BS(02년기초_1월_2월)_I2 6월 결산 검증서_복합대출상품_20101119" xfId="21234"/>
    <cellStyle name="7_01가공비_01이동010201_I2 6월 결산 검증서_복합대출상품_20101119" xfId="21235"/>
    <cellStyle name="7_01가공비_01이동010201_년간추정(10.06)-조정(ws용)" xfId="21236"/>
    <cellStyle name="7_01가공비_01이동010201_년간추정(10.06)-조정(ws용)_I2 6월 결산 검증서_복합대출상품_20101119" xfId="21237"/>
    <cellStyle name="7_'02년+사업계획+재무지표(유무선1028)" xfId="21238"/>
    <cellStyle name="7_'02년+사업계획+재무지표(유무선1028)_I2 6월 결산 검증서_복합대출상품_20101119" xfId="21239"/>
    <cellStyle name="7_4월실적(0510)" xfId="21240"/>
    <cellStyle name="7_4월실적(0510)_DN_BS(02년1월말기준)" xfId="21241"/>
    <cellStyle name="7_4월실적(0510)_DN_BS(02년1월말기준)_I2 6월 결산 검증서_복합대출상품_20101119" xfId="21242"/>
    <cellStyle name="7_4월실적(0510)_DN_BS(02년기초_1월_2월)" xfId="21243"/>
    <cellStyle name="7_4월실적(0510)_DN_BS(02년기초_1월_2월)_I2 6월 결산 검증서_복합대출상품_20101119" xfId="21244"/>
    <cellStyle name="7_4월실적(0510)_I2 6월 결산 검증서_복합대출상품_20101119" xfId="21245"/>
    <cellStyle name="7_9월손익master" xfId="21246"/>
    <cellStyle name="7_9월손익master_I2 6월 결산 검증서_복합대출상품_20101119" xfId="21247"/>
    <cellStyle name="7_DN_BS(02년1월말기준)" xfId="21248"/>
    <cellStyle name="7_DN_BS(02년1월말기준)_I2 6월 결산 검증서_복합대출상품_20101119" xfId="21249"/>
    <cellStyle name="7_DN_BS(02년기초_1월_2월)" xfId="21250"/>
    <cellStyle name="7_DN_BS(02년기초_1월_2월)_I2 6월 결산 검증서_복합대출상품_20101119" xfId="21251"/>
    <cellStyle name="7_DSS이동계획(1월)" xfId="21252"/>
    <cellStyle name="7_DSS이동계획(1월)_9월손익master" xfId="21253"/>
    <cellStyle name="7_DSS이동계획(1월)_9월손익master_I2 6월 결산 검증서_복합대출상품_20101119" xfId="21254"/>
    <cellStyle name="7_DSS이동계획(1월)_DN_BS(02년1월말기준)" xfId="21255"/>
    <cellStyle name="7_DSS이동계획(1월)_DN_BS(02년1월말기준)_I2 6월 결산 검증서_복합대출상품_20101119" xfId="21256"/>
    <cellStyle name="7_DSS이동계획(1월)_DN_BS(02년기초_1월_2월)" xfId="21257"/>
    <cellStyle name="7_DSS이동계획(1월)_DN_BS(02년기초_1월_2월)_I2 6월 결산 검증서_복합대출상품_20101119" xfId="21258"/>
    <cellStyle name="7_DSS이동계획(1월)_I2 6월 결산 검증서_복합대출상품_20101119" xfId="21259"/>
    <cellStyle name="7_DSS이동계획(1월)_년간추정(10.06)-조정(ws용)" xfId="21260"/>
    <cellStyle name="7_DSS이동계획(1월)_년간추정(10.06)-조정(ws용)_I2 6월 결산 검증서_복합대출상품_20101119" xfId="21261"/>
    <cellStyle name="7_I2 6월 결산 검증서_복합대출상품_20101119" xfId="21262"/>
    <cellStyle name="7_WH-PAYRO_1" xfId="21263"/>
    <cellStyle name="7_결산진실성EVA" xfId="21264"/>
    <cellStyle name="7_결산진실성EVA_'02년+사업계획+재무지표(유무선1028)" xfId="21265"/>
    <cellStyle name="7_결산진실성EVA_'02년+사업계획+재무지표(유무선1028)_I2 6월 결산 검증서_복합대출상품_20101119" xfId="21266"/>
    <cellStyle name="7_결산진실성EVA_4월실적(0510)" xfId="21267"/>
    <cellStyle name="7_결산진실성EVA_4월실적(0510)_DN_BS(02년1월말기준)" xfId="21268"/>
    <cellStyle name="7_결산진실성EVA_4월실적(0510)_DN_BS(02년1월말기준)_I2 6월 결산 검증서_복합대출상품_20101119" xfId="21269"/>
    <cellStyle name="7_결산진실성EVA_4월실적(0510)_DN_BS(02년기초_1월_2월)" xfId="21270"/>
    <cellStyle name="7_결산진실성EVA_4월실적(0510)_DN_BS(02년기초_1월_2월)_I2 6월 결산 검증서_복합대출상품_20101119" xfId="21271"/>
    <cellStyle name="7_결산진실성EVA_4월실적(0510)_I2 6월 결산 검증서_복합대출상품_20101119" xfId="21272"/>
    <cellStyle name="7_결산진실성EVA_9월손익master" xfId="21273"/>
    <cellStyle name="7_결산진실성EVA_9월손익master_I2 6월 결산 검증서_복합대출상품_20101119" xfId="21274"/>
    <cellStyle name="7_결산진실성EVA_DN_BS(02년1월말기준)" xfId="21275"/>
    <cellStyle name="7_결산진실성EVA_DN_BS(02년1월말기준)_I2 6월 결산 검증서_복합대출상품_20101119" xfId="21276"/>
    <cellStyle name="7_결산진실성EVA_DN_BS(02년기초_1월_2월)" xfId="21277"/>
    <cellStyle name="7_결산진실성EVA_DN_BS(02년기초_1월_2월)_I2 6월 결산 검증서_복합대출상품_20101119" xfId="21278"/>
    <cellStyle name="7_결산진실성EVA_I2 6월 결산 검증서_복합대출상품_20101119" xfId="21279"/>
    <cellStyle name="7_결산진실성EVA_년간추정(10.06)-조정(ws용)" xfId="21280"/>
    <cellStyle name="7_결산진실성EVA_년간추정(10.06)-조정(ws용)_I2 6월 결산 검증서_복합대출상품_20101119" xfId="21281"/>
    <cellStyle name="7_년간추정(10.06)-조정(ws용)" xfId="21282"/>
    <cellStyle name="7_년간추정(10.06)-조정(ws용)_I2 6월 결산 검증서_복합대출상품_20101119" xfId="21283"/>
    <cellStyle name="7_매출" xfId="12006"/>
    <cellStyle name="7_배부월별실적00" xfId="21284"/>
    <cellStyle name="7_배부월별실적00_9월손익master" xfId="21285"/>
    <cellStyle name="7_배부월별실적00_9월손익master_I2 6월 결산 검증서_복합대출상품_20101119" xfId="21286"/>
    <cellStyle name="7_배부월별실적00_DN_BS(02년1월말기준)" xfId="21287"/>
    <cellStyle name="7_배부월별실적00_DN_BS(02년1월말기준)_I2 6월 결산 검증서_복합대출상품_20101119" xfId="21288"/>
    <cellStyle name="7_배부월별실적00_DN_BS(02년기초_1월_2월)" xfId="21289"/>
    <cellStyle name="7_배부월별실적00_DN_BS(02년기초_1월_2월)_I2 6월 결산 검증서_복합대출상품_20101119" xfId="21290"/>
    <cellStyle name="7_배부월별실적00_I2 6월 결산 검증서_복합대출상품_20101119" xfId="21291"/>
    <cellStyle name="7_배부월별실적00_년간추정(10.06)-조정(ws용)" xfId="21292"/>
    <cellStyle name="7_배부월별실적00_년간추정(10.06)-조정(ws용)_I2 6월 결산 검증서_복합대출상품_20101119" xfId="21293"/>
    <cellStyle name="7_이동가공비0324" xfId="21294"/>
    <cellStyle name="7_이동가공비0324_9월손익master" xfId="21295"/>
    <cellStyle name="7_이동가공비0324_9월손익master_I2 6월 결산 검증서_복합대출상품_20101119" xfId="21296"/>
    <cellStyle name="7_이동가공비0324_DN_BS(02년1월말기준)" xfId="21297"/>
    <cellStyle name="7_이동가공비0324_DN_BS(02년1월말기준)_I2 6월 결산 검증서_복합대출상품_20101119" xfId="21298"/>
    <cellStyle name="7_이동가공비0324_DN_BS(02년기초_1월_2월)" xfId="21299"/>
    <cellStyle name="7_이동가공비0324_DN_BS(02년기초_1월_2월)_I2 6월 결산 검증서_복합대출상품_20101119" xfId="21300"/>
    <cellStyle name="7_이동가공비0324_I2 6월 결산 검증서_복합대출상품_20101119" xfId="21301"/>
    <cellStyle name="7_이동가공비0324_년간추정(10.06)-조정(ws용)" xfId="21302"/>
    <cellStyle name="7_이동가공비0324_년간추정(10.06)-조정(ws용)_I2 6월 결산 검증서_복합대출상품_20101119" xfId="21303"/>
    <cellStyle name="7_전자98결산진실" xfId="21304"/>
    <cellStyle name="7_전자98결산진실_'02년+사업계획+재무지표(유무선1028)" xfId="21305"/>
    <cellStyle name="7_전자98결산진실_'02년+사업계획+재무지표(유무선1028)_I2 6월 결산 검증서_복합대출상품_20101119" xfId="21306"/>
    <cellStyle name="7_전자98결산진실_4월실적(0510)" xfId="21307"/>
    <cellStyle name="7_전자98결산진실_4월실적(0510)_DN_BS(02년1월말기준)" xfId="21308"/>
    <cellStyle name="7_전자98결산진실_4월실적(0510)_DN_BS(02년1월말기준)_I2 6월 결산 검증서_복합대출상품_20101119" xfId="21309"/>
    <cellStyle name="7_전자98결산진실_4월실적(0510)_DN_BS(02년기초_1월_2월)" xfId="21310"/>
    <cellStyle name="7_전자98결산진실_4월실적(0510)_DN_BS(02년기초_1월_2월)_I2 6월 결산 검증서_복합대출상품_20101119" xfId="21311"/>
    <cellStyle name="7_전자98결산진실_4월실적(0510)_I2 6월 결산 검증서_복합대출상품_20101119" xfId="21312"/>
    <cellStyle name="7_전자98결산진실_9월손익master" xfId="21313"/>
    <cellStyle name="7_전자98결산진실_9월손익master_I2 6월 결산 검증서_복합대출상품_20101119" xfId="21314"/>
    <cellStyle name="7_전자98결산진실_DN_BS(02년1월말기준)" xfId="21315"/>
    <cellStyle name="7_전자98결산진실_DN_BS(02년1월말기준)_I2 6월 결산 검증서_복합대출상품_20101119" xfId="21316"/>
    <cellStyle name="7_전자98결산진실_DN_BS(02년기초_1월_2월)" xfId="21317"/>
    <cellStyle name="7_전자98결산진실_DN_BS(02년기초_1월_2월)_I2 6월 결산 검증서_복합대출상품_20101119" xfId="21318"/>
    <cellStyle name="7_전자98결산진실_I2 6월 결산 검증서_복합대출상품_20101119" xfId="21319"/>
    <cellStyle name="7_전자98결산진실_년간추정(10.06)-조정(ws용)" xfId="21320"/>
    <cellStyle name="7_전자98결산진실_년간추정(10.06)-조정(ws용)_I2 6월 결산 검증서_복합대출상품_20101119" xfId="21321"/>
    <cellStyle name="7_전자99상결산진실" xfId="21322"/>
    <cellStyle name="7_전자99상결산진실_'02년+사업계획+재무지표(유무선1028)" xfId="21323"/>
    <cellStyle name="7_전자99상결산진실_'02년+사업계획+재무지표(유무선1028)_I2 6월 결산 검증서_복합대출상품_20101119" xfId="21324"/>
    <cellStyle name="7_전자99상결산진실_4월실적(0510)" xfId="21325"/>
    <cellStyle name="7_전자99상결산진실_4월실적(0510)_DN_BS(02년1월말기준)" xfId="21326"/>
    <cellStyle name="7_전자99상결산진실_4월실적(0510)_DN_BS(02년1월말기준)_I2 6월 결산 검증서_복합대출상품_20101119" xfId="21327"/>
    <cellStyle name="7_전자99상결산진실_4월실적(0510)_DN_BS(02년기초_1월_2월)" xfId="21328"/>
    <cellStyle name="7_전자99상결산진실_4월실적(0510)_DN_BS(02년기초_1월_2월)_I2 6월 결산 검증서_복합대출상품_20101119" xfId="21329"/>
    <cellStyle name="7_전자99상결산진실_4월실적(0510)_I2 6월 결산 검증서_복합대출상품_20101119" xfId="21330"/>
    <cellStyle name="7_전자99상결산진실_9월손익master" xfId="21331"/>
    <cellStyle name="7_전자99상결산진실_9월손익master_I2 6월 결산 검증서_복합대출상품_20101119" xfId="21332"/>
    <cellStyle name="7_전자99상결산진실_DN_BS(02년1월말기준)" xfId="21333"/>
    <cellStyle name="7_전자99상결산진실_DN_BS(02년1월말기준)_I2 6월 결산 검증서_복합대출상품_20101119" xfId="21334"/>
    <cellStyle name="7_전자99상결산진실_DN_BS(02년기초_1월_2월)" xfId="21335"/>
    <cellStyle name="7_전자99상결산진실_DN_BS(02년기초_1월_2월)_I2 6월 결산 검증서_복합대출상품_20101119" xfId="21336"/>
    <cellStyle name="7_전자99상결산진실_I2 6월 결산 검증서_복합대출상품_20101119" xfId="21337"/>
    <cellStyle name="7_전자99상결산진실_년간추정(10.06)-조정(ws용)" xfId="21338"/>
    <cellStyle name="7_전자99상결산진실_년간추정(10.06)-조정(ws용)_I2 6월 결산 검증서_복합대출상품_20101119" xfId="21339"/>
    <cellStyle name="7_전자99연간결산진실" xfId="21340"/>
    <cellStyle name="7_전자99연간결산진실_'02년+사업계획+재무지표(유무선1028)" xfId="21341"/>
    <cellStyle name="7_전자99연간결산진실_'02년+사업계획+재무지표(유무선1028)_I2 6월 결산 검증서_복합대출상품_20101119" xfId="21342"/>
    <cellStyle name="7_전자99연간결산진실_4월실적(0510)" xfId="21343"/>
    <cellStyle name="7_전자99연간결산진실_4월실적(0510)_DN_BS(02년1월말기준)" xfId="21344"/>
    <cellStyle name="7_전자99연간결산진실_4월실적(0510)_DN_BS(02년1월말기준)_I2 6월 결산 검증서_복합대출상품_20101119" xfId="21345"/>
    <cellStyle name="7_전자99연간결산진실_4월실적(0510)_DN_BS(02년기초_1월_2월)" xfId="21346"/>
    <cellStyle name="7_전자99연간결산진실_4월실적(0510)_DN_BS(02년기초_1월_2월)_I2 6월 결산 검증서_복합대출상품_20101119" xfId="21347"/>
    <cellStyle name="7_전자99연간결산진실_4월실적(0510)_I2 6월 결산 검증서_복합대출상품_20101119" xfId="21348"/>
    <cellStyle name="7_전자99연간결산진실_9월손익master" xfId="21349"/>
    <cellStyle name="7_전자99연간결산진실_9월손익master_I2 6월 결산 검증서_복합대출상품_20101119" xfId="21350"/>
    <cellStyle name="7_전자99연간결산진실_DN_BS(02년1월말기준)" xfId="21351"/>
    <cellStyle name="7_전자99연간결산진실_DN_BS(02년1월말기준)_I2 6월 결산 검증서_복합대출상품_20101119" xfId="21352"/>
    <cellStyle name="7_전자99연간결산진실_DN_BS(02년기초_1월_2월)" xfId="21353"/>
    <cellStyle name="7_전자99연간결산진실_DN_BS(02년기초_1월_2월)_I2 6월 결산 검증서_복합대출상품_20101119" xfId="21354"/>
    <cellStyle name="7_전자99연간결산진실_I2 6월 결산 검증서_복합대출상품_20101119" xfId="21355"/>
    <cellStyle name="7_전자99연간결산진실_년간추정(10.06)-조정(ws용)" xfId="21356"/>
    <cellStyle name="7_전자99연간결산진실_년간추정(10.06)-조정(ws용)_I2 6월 결산 검증서_복합대출상품_20101119" xfId="21357"/>
    <cellStyle name="82" xfId="12007"/>
    <cellStyle name="Ⅰ" xfId="1137"/>
    <cellStyle name="Ⅰ 10" xfId="12008"/>
    <cellStyle name="Ⅰ 10 2" xfId="12009"/>
    <cellStyle name="Ⅰ 11" xfId="12010"/>
    <cellStyle name="Ⅰ 11 2" xfId="12011"/>
    <cellStyle name="Ⅰ 12" xfId="12012"/>
    <cellStyle name="Ⅰ 12 2" xfId="12013"/>
    <cellStyle name="Ⅰ 13" xfId="12014"/>
    <cellStyle name="Ⅰ 13 2" xfId="12015"/>
    <cellStyle name="Ⅰ 14" xfId="12016"/>
    <cellStyle name="Ⅰ 14 2" xfId="12017"/>
    <cellStyle name="Ⅰ 15" xfId="12018"/>
    <cellStyle name="Ⅰ 15 2" xfId="12019"/>
    <cellStyle name="Ⅰ 15 2 2" xfId="12020"/>
    <cellStyle name="Ⅰ 15 3" xfId="12021"/>
    <cellStyle name="Ⅰ 15 3 2" xfId="12022"/>
    <cellStyle name="Ⅰ 15 4" xfId="12023"/>
    <cellStyle name="Ⅰ 15 4 2" xfId="12024"/>
    <cellStyle name="Ⅰ 15 5" xfId="12025"/>
    <cellStyle name="Ⅰ 16" xfId="12026"/>
    <cellStyle name="Ⅰ 16 2" xfId="12027"/>
    <cellStyle name="Ⅰ 16 2 2" xfId="12028"/>
    <cellStyle name="Ⅰ 16 3" xfId="12029"/>
    <cellStyle name="Ⅰ 16 3 2" xfId="12030"/>
    <cellStyle name="Ⅰ 16 4" xfId="12031"/>
    <cellStyle name="Ⅰ 16 4 2" xfId="12032"/>
    <cellStyle name="Ⅰ 16 5" xfId="12033"/>
    <cellStyle name="Ⅰ 17" xfId="12034"/>
    <cellStyle name="Ⅰ 17 2" xfId="12035"/>
    <cellStyle name="Ⅰ 17 2 2" xfId="12036"/>
    <cellStyle name="Ⅰ 17 3" xfId="12037"/>
    <cellStyle name="Ⅰ 17 3 2" xfId="12038"/>
    <cellStyle name="Ⅰ 17 4" xfId="12039"/>
    <cellStyle name="Ⅰ 17 4 2" xfId="12040"/>
    <cellStyle name="Ⅰ 17 5" xfId="12041"/>
    <cellStyle name="Ⅰ 18" xfId="12042"/>
    <cellStyle name="Ⅰ 2" xfId="12043"/>
    <cellStyle name="Ⅰ 2 2" xfId="12044"/>
    <cellStyle name="Ⅰ 2 2 2" xfId="12045"/>
    <cellStyle name="Ⅰ 2 3" xfId="12046"/>
    <cellStyle name="Ⅰ 2 3 2" xfId="12047"/>
    <cellStyle name="Ⅰ 2 4" xfId="12048"/>
    <cellStyle name="Ⅰ 2 4 2" xfId="12049"/>
    <cellStyle name="Ⅰ 2 5" xfId="12050"/>
    <cellStyle name="Ⅰ 3" xfId="12051"/>
    <cellStyle name="Ⅰ 3 2" xfId="12052"/>
    <cellStyle name="Ⅰ 4" xfId="12053"/>
    <cellStyle name="Ⅰ 4 2" xfId="12054"/>
    <cellStyle name="Ⅰ 5" xfId="12055"/>
    <cellStyle name="Ⅰ 5 2" xfId="12056"/>
    <cellStyle name="Ⅰ 6" xfId="12057"/>
    <cellStyle name="Ⅰ 6 2" xfId="12058"/>
    <cellStyle name="Ⅰ 7" xfId="12059"/>
    <cellStyle name="Ⅰ 7 2" xfId="12060"/>
    <cellStyle name="Ⅰ 8" xfId="12061"/>
    <cellStyle name="Ⅰ 8 2" xfId="12062"/>
    <cellStyle name="Ⅰ 9" xfId="12063"/>
    <cellStyle name="Ⅰ 9 2" xfId="12064"/>
    <cellStyle name="Ⅰ_1211 충당금,건전성 현황_작업" xfId="12065"/>
    <cellStyle name="Ⅰ_Hana 2011-1 Program_Data Disk_Pool B_v2(v5-1더밸류-이교민)" xfId="12066"/>
    <cellStyle name="Ⅰ_Hana 2011-1 Program_Data Disk_Pool B_v2(v5-1더밸류-이교민)_SHB 2011-2 Program_Data Disk_Pool C,B_v1(v2더밸류_이교민)" xfId="12067"/>
    <cellStyle name="Ⅰ_Hana 2011-1 Program_Data Disk_Pool B_v2(v5-1더밸류-이교민)_차주명관리_20110726_v1" xfId="12068"/>
    <cellStyle name="Ⅰ_SHB_2011-3_담보sheet(더밸류_v6이교민)" xfId="12069"/>
    <cellStyle name="Ⅰ_SHB_2011-3_담보sheet(더밸류_v6이교민)_차주명관리_20110726_v1" xfId="12070"/>
    <cellStyle name="Ⅰ_권리분석_v1(최초)-4" xfId="12071"/>
    <cellStyle name="Ⅰ_재무지원부충당금" xfId="1138"/>
    <cellStyle name="Ⅰ_재무지원부충당금 10" xfId="12072"/>
    <cellStyle name="Ⅰ_재무지원부충당금 10 2" xfId="12073"/>
    <cellStyle name="Ⅰ_재무지원부충당금 11" xfId="12074"/>
    <cellStyle name="Ⅰ_재무지원부충당금 11 2" xfId="12075"/>
    <cellStyle name="Ⅰ_재무지원부충당금 12" xfId="12076"/>
    <cellStyle name="Ⅰ_재무지원부충당금 12 2" xfId="12077"/>
    <cellStyle name="Ⅰ_재무지원부충당금 13" xfId="12078"/>
    <cellStyle name="Ⅰ_재무지원부충당금 13 2" xfId="12079"/>
    <cellStyle name="Ⅰ_재무지원부충당금 14" xfId="12080"/>
    <cellStyle name="Ⅰ_재무지원부충당금 14 2" xfId="12081"/>
    <cellStyle name="Ⅰ_재무지원부충당금 15" xfId="12082"/>
    <cellStyle name="Ⅰ_재무지원부충당금 15 2" xfId="12083"/>
    <cellStyle name="Ⅰ_재무지원부충당금 15 2 2" xfId="12084"/>
    <cellStyle name="Ⅰ_재무지원부충당금 15 3" xfId="12085"/>
    <cellStyle name="Ⅰ_재무지원부충당금 15 3 2" xfId="12086"/>
    <cellStyle name="Ⅰ_재무지원부충당금 15 4" xfId="12087"/>
    <cellStyle name="Ⅰ_재무지원부충당금 15 4 2" xfId="12088"/>
    <cellStyle name="Ⅰ_재무지원부충당금 15 5" xfId="12089"/>
    <cellStyle name="Ⅰ_재무지원부충당금 16" xfId="12090"/>
    <cellStyle name="Ⅰ_재무지원부충당금 16 2" xfId="12091"/>
    <cellStyle name="Ⅰ_재무지원부충당금 16 2 2" xfId="12092"/>
    <cellStyle name="Ⅰ_재무지원부충당금 16 3" xfId="12093"/>
    <cellStyle name="Ⅰ_재무지원부충당금 16 3 2" xfId="12094"/>
    <cellStyle name="Ⅰ_재무지원부충당금 16 4" xfId="12095"/>
    <cellStyle name="Ⅰ_재무지원부충당금 16 4 2" xfId="12096"/>
    <cellStyle name="Ⅰ_재무지원부충당금 16 5" xfId="12097"/>
    <cellStyle name="Ⅰ_재무지원부충당금 17" xfId="12098"/>
    <cellStyle name="Ⅰ_재무지원부충당금 17 2" xfId="12099"/>
    <cellStyle name="Ⅰ_재무지원부충당금 17 2 2" xfId="12100"/>
    <cellStyle name="Ⅰ_재무지원부충당금 17 3" xfId="12101"/>
    <cellStyle name="Ⅰ_재무지원부충당금 17 3 2" xfId="12102"/>
    <cellStyle name="Ⅰ_재무지원부충당금 17 4" xfId="12103"/>
    <cellStyle name="Ⅰ_재무지원부충당금 17 4 2" xfId="12104"/>
    <cellStyle name="Ⅰ_재무지원부충당금 17 5" xfId="12105"/>
    <cellStyle name="Ⅰ_재무지원부충당금 18" xfId="12106"/>
    <cellStyle name="Ⅰ_재무지원부충당금 2" xfId="12107"/>
    <cellStyle name="Ⅰ_재무지원부충당금 2 2" xfId="12108"/>
    <cellStyle name="Ⅰ_재무지원부충당금 2 2 2" xfId="12109"/>
    <cellStyle name="Ⅰ_재무지원부충당금 2 3" xfId="12110"/>
    <cellStyle name="Ⅰ_재무지원부충당금 2 3 2" xfId="12111"/>
    <cellStyle name="Ⅰ_재무지원부충당금 2 4" xfId="12112"/>
    <cellStyle name="Ⅰ_재무지원부충당금 2 4 2" xfId="12113"/>
    <cellStyle name="Ⅰ_재무지원부충당금 2 5" xfId="12114"/>
    <cellStyle name="Ⅰ_재무지원부충당금 3" xfId="12115"/>
    <cellStyle name="Ⅰ_재무지원부충당금 3 2" xfId="12116"/>
    <cellStyle name="Ⅰ_재무지원부충당금 4" xfId="12117"/>
    <cellStyle name="Ⅰ_재무지원부충당금 4 2" xfId="12118"/>
    <cellStyle name="Ⅰ_재무지원부충당금 5" xfId="12119"/>
    <cellStyle name="Ⅰ_재무지원부충당금 5 2" xfId="12120"/>
    <cellStyle name="Ⅰ_재무지원부충당금 6" xfId="12121"/>
    <cellStyle name="Ⅰ_재무지원부충당금 6 2" xfId="12122"/>
    <cellStyle name="Ⅰ_재무지원부충당금 7" xfId="12123"/>
    <cellStyle name="Ⅰ_재무지원부충당금 7 2" xfId="12124"/>
    <cellStyle name="Ⅰ_재무지원부충당금 8" xfId="12125"/>
    <cellStyle name="Ⅰ_재무지원부충당금 8 2" xfId="12126"/>
    <cellStyle name="Ⅰ_재무지원부충당금 9" xfId="12127"/>
    <cellStyle name="Ⅰ_재무지원부충당금 9 2" xfId="12128"/>
    <cellStyle name="Ⅰ_재무지원부충당금_1" xfId="1139"/>
    <cellStyle name="Ⅰ_재무지원부충당금_1 10" xfId="12129"/>
    <cellStyle name="Ⅰ_재무지원부충당금_1 10 2" xfId="12130"/>
    <cellStyle name="Ⅰ_재무지원부충당금_1 11" xfId="12131"/>
    <cellStyle name="Ⅰ_재무지원부충당금_1 11 2" xfId="12132"/>
    <cellStyle name="Ⅰ_재무지원부충당금_1 12" xfId="12133"/>
    <cellStyle name="Ⅰ_재무지원부충당금_1 12 2" xfId="12134"/>
    <cellStyle name="Ⅰ_재무지원부충당금_1 13" xfId="12135"/>
    <cellStyle name="Ⅰ_재무지원부충당금_1 13 2" xfId="12136"/>
    <cellStyle name="Ⅰ_재무지원부충당금_1 14" xfId="12137"/>
    <cellStyle name="Ⅰ_재무지원부충당금_1 14 2" xfId="12138"/>
    <cellStyle name="Ⅰ_재무지원부충당금_1 15" xfId="12139"/>
    <cellStyle name="Ⅰ_재무지원부충당금_1 15 2" xfId="12140"/>
    <cellStyle name="Ⅰ_재무지원부충당금_1 15 2 2" xfId="12141"/>
    <cellStyle name="Ⅰ_재무지원부충당금_1 15 3" xfId="12142"/>
    <cellStyle name="Ⅰ_재무지원부충당금_1 15 3 2" xfId="12143"/>
    <cellStyle name="Ⅰ_재무지원부충당금_1 15 4" xfId="12144"/>
    <cellStyle name="Ⅰ_재무지원부충당금_1 15 4 2" xfId="12145"/>
    <cellStyle name="Ⅰ_재무지원부충당금_1 15 5" xfId="12146"/>
    <cellStyle name="Ⅰ_재무지원부충당금_1 16" xfId="12147"/>
    <cellStyle name="Ⅰ_재무지원부충당금_1 16 2" xfId="12148"/>
    <cellStyle name="Ⅰ_재무지원부충당금_1 16 2 2" xfId="12149"/>
    <cellStyle name="Ⅰ_재무지원부충당금_1 16 3" xfId="12150"/>
    <cellStyle name="Ⅰ_재무지원부충당금_1 16 3 2" xfId="12151"/>
    <cellStyle name="Ⅰ_재무지원부충당금_1 16 4" xfId="12152"/>
    <cellStyle name="Ⅰ_재무지원부충당금_1 16 4 2" xfId="12153"/>
    <cellStyle name="Ⅰ_재무지원부충당금_1 16 5" xfId="12154"/>
    <cellStyle name="Ⅰ_재무지원부충당금_1 17" xfId="12155"/>
    <cellStyle name="Ⅰ_재무지원부충당금_1 17 2" xfId="12156"/>
    <cellStyle name="Ⅰ_재무지원부충당금_1 17 2 2" xfId="12157"/>
    <cellStyle name="Ⅰ_재무지원부충당금_1 17 3" xfId="12158"/>
    <cellStyle name="Ⅰ_재무지원부충당금_1 17 3 2" xfId="12159"/>
    <cellStyle name="Ⅰ_재무지원부충당금_1 17 4" xfId="12160"/>
    <cellStyle name="Ⅰ_재무지원부충당금_1 17 4 2" xfId="12161"/>
    <cellStyle name="Ⅰ_재무지원부충당금_1 17 5" xfId="12162"/>
    <cellStyle name="Ⅰ_재무지원부충당금_1 18" xfId="12163"/>
    <cellStyle name="Ⅰ_재무지원부충당금_1 2" xfId="12164"/>
    <cellStyle name="Ⅰ_재무지원부충당금_1 2 2" xfId="12165"/>
    <cellStyle name="Ⅰ_재무지원부충당금_1 2 2 2" xfId="12166"/>
    <cellStyle name="Ⅰ_재무지원부충당금_1 2 3" xfId="12167"/>
    <cellStyle name="Ⅰ_재무지원부충당금_1 2 3 2" xfId="12168"/>
    <cellStyle name="Ⅰ_재무지원부충당금_1 2 4" xfId="12169"/>
    <cellStyle name="Ⅰ_재무지원부충당금_1 2 4 2" xfId="12170"/>
    <cellStyle name="Ⅰ_재무지원부충당금_1 2 5" xfId="12171"/>
    <cellStyle name="Ⅰ_재무지원부충당금_1 3" xfId="12172"/>
    <cellStyle name="Ⅰ_재무지원부충당금_1 3 2" xfId="12173"/>
    <cellStyle name="Ⅰ_재무지원부충당금_1 4" xfId="12174"/>
    <cellStyle name="Ⅰ_재무지원부충당금_1 4 2" xfId="12175"/>
    <cellStyle name="Ⅰ_재무지원부충당금_1 5" xfId="12176"/>
    <cellStyle name="Ⅰ_재무지원부충당금_1 5 2" xfId="12177"/>
    <cellStyle name="Ⅰ_재무지원부충당금_1 6" xfId="12178"/>
    <cellStyle name="Ⅰ_재무지원부충당금_1 6 2" xfId="12179"/>
    <cellStyle name="Ⅰ_재무지원부충당금_1 7" xfId="12180"/>
    <cellStyle name="Ⅰ_재무지원부충당금_1 7 2" xfId="12181"/>
    <cellStyle name="Ⅰ_재무지원부충당금_1 8" xfId="12182"/>
    <cellStyle name="Ⅰ_재무지원부충당금_1 8 2" xfId="12183"/>
    <cellStyle name="Ⅰ_재무지원부충당금_1 9" xfId="12184"/>
    <cellStyle name="Ⅰ_재무지원부충당금_1 9 2" xfId="12185"/>
    <cellStyle name="Ⅰ_재무지원부충당금_1_1211 충당금,건전성 현황_작업" xfId="12186"/>
    <cellStyle name="Ⅰ_재무지원부충당금_1_Hana 2011-1 Program_Data Disk_Pool B_v2(v5-1더밸류-이교민)" xfId="12187"/>
    <cellStyle name="Ⅰ_재무지원부충당금_1_Hana 2011-1 Program_Data Disk_Pool B_v2(v5-1더밸류-이교민)_SHB 2011-2 Program_Data Disk_Pool C,B_v1(v2더밸류_이교민)" xfId="12188"/>
    <cellStyle name="Ⅰ_재무지원부충당금_1_Hana 2011-1 Program_Data Disk_Pool B_v2(v5-1더밸류-이교민)_차주명관리_20110726_v1" xfId="12189"/>
    <cellStyle name="Ⅰ_재무지원부충당금_1_SHB_2011-3_담보sheet(더밸류_v6이교민)" xfId="12190"/>
    <cellStyle name="Ⅰ_재무지원부충당금_1_SHB_2011-3_담보sheet(더밸류_v6이교민)_차주명관리_20110726_v1" xfId="12191"/>
    <cellStyle name="Ⅰ_재무지원부충당금_1_권리분석_v1(최초)-4" xfId="12192"/>
    <cellStyle name="Ⅰ_재무지원부충당금_1_예외적립품의_0910(완료)" xfId="1140"/>
    <cellStyle name="Ⅰ_재무지원부충당금_1_예외적립품의_0910(완료) 10" xfId="12193"/>
    <cellStyle name="Ⅰ_재무지원부충당금_1_예외적립품의_0910(완료) 10 2" xfId="12194"/>
    <cellStyle name="Ⅰ_재무지원부충당금_1_예외적립품의_0910(완료) 11" xfId="12195"/>
    <cellStyle name="Ⅰ_재무지원부충당금_1_예외적립품의_0910(완료) 11 2" xfId="12196"/>
    <cellStyle name="Ⅰ_재무지원부충당금_1_예외적립품의_0910(완료) 12" xfId="12197"/>
    <cellStyle name="Ⅰ_재무지원부충당금_1_예외적립품의_0910(완료) 12 2" xfId="12198"/>
    <cellStyle name="Ⅰ_재무지원부충당금_1_예외적립품의_0910(완료) 13" xfId="12199"/>
    <cellStyle name="Ⅰ_재무지원부충당금_1_예외적립품의_0910(완료) 13 2" xfId="12200"/>
    <cellStyle name="Ⅰ_재무지원부충당금_1_예외적립품의_0910(완료) 14" xfId="12201"/>
    <cellStyle name="Ⅰ_재무지원부충당금_1_예외적립품의_0910(완료) 14 2" xfId="12202"/>
    <cellStyle name="Ⅰ_재무지원부충당금_1_예외적립품의_0910(완료) 15" xfId="12203"/>
    <cellStyle name="Ⅰ_재무지원부충당금_1_예외적립품의_0910(완료) 15 2" xfId="12204"/>
    <cellStyle name="Ⅰ_재무지원부충당금_1_예외적립품의_0910(완료) 15 2 2" xfId="12205"/>
    <cellStyle name="Ⅰ_재무지원부충당금_1_예외적립품의_0910(완료) 15 3" xfId="12206"/>
    <cellStyle name="Ⅰ_재무지원부충당금_1_예외적립품의_0910(완료) 15 3 2" xfId="12207"/>
    <cellStyle name="Ⅰ_재무지원부충당금_1_예외적립품의_0910(완료) 15 4" xfId="12208"/>
    <cellStyle name="Ⅰ_재무지원부충당금_1_예외적립품의_0910(완료) 15 4 2" xfId="12209"/>
    <cellStyle name="Ⅰ_재무지원부충당금_1_예외적립품의_0910(완료) 15 5" xfId="12210"/>
    <cellStyle name="Ⅰ_재무지원부충당금_1_예외적립품의_0910(완료) 16" xfId="12211"/>
    <cellStyle name="Ⅰ_재무지원부충당금_1_예외적립품의_0910(완료) 16 2" xfId="12212"/>
    <cellStyle name="Ⅰ_재무지원부충당금_1_예외적립품의_0910(완료) 16 2 2" xfId="12213"/>
    <cellStyle name="Ⅰ_재무지원부충당금_1_예외적립품의_0910(완료) 16 3" xfId="12214"/>
    <cellStyle name="Ⅰ_재무지원부충당금_1_예외적립품의_0910(완료) 16 3 2" xfId="12215"/>
    <cellStyle name="Ⅰ_재무지원부충당금_1_예외적립품의_0910(완료) 16 4" xfId="12216"/>
    <cellStyle name="Ⅰ_재무지원부충당금_1_예외적립품의_0910(완료) 16 4 2" xfId="12217"/>
    <cellStyle name="Ⅰ_재무지원부충당금_1_예외적립품의_0910(완료) 16 5" xfId="12218"/>
    <cellStyle name="Ⅰ_재무지원부충당금_1_예외적립품의_0910(완료) 17" xfId="12219"/>
    <cellStyle name="Ⅰ_재무지원부충당금_1_예외적립품의_0910(완료) 17 2" xfId="12220"/>
    <cellStyle name="Ⅰ_재무지원부충당금_1_예외적립품의_0910(완료) 17 2 2" xfId="12221"/>
    <cellStyle name="Ⅰ_재무지원부충당금_1_예외적립품의_0910(완료) 17 3" xfId="12222"/>
    <cellStyle name="Ⅰ_재무지원부충당금_1_예외적립품의_0910(완료) 17 3 2" xfId="12223"/>
    <cellStyle name="Ⅰ_재무지원부충당금_1_예외적립품의_0910(완료) 17 4" xfId="12224"/>
    <cellStyle name="Ⅰ_재무지원부충당금_1_예외적립품의_0910(완료) 17 4 2" xfId="12225"/>
    <cellStyle name="Ⅰ_재무지원부충당금_1_예외적립품의_0910(완료) 17 5" xfId="12226"/>
    <cellStyle name="Ⅰ_재무지원부충당금_1_예외적립품의_0910(완료) 18" xfId="12227"/>
    <cellStyle name="Ⅰ_재무지원부충당금_1_예외적립품의_0910(완료) 2" xfId="12228"/>
    <cellStyle name="Ⅰ_재무지원부충당금_1_예외적립품의_0910(완료) 2 2" xfId="12229"/>
    <cellStyle name="Ⅰ_재무지원부충당금_1_예외적립품의_0910(완료) 2 2 2" xfId="12230"/>
    <cellStyle name="Ⅰ_재무지원부충당금_1_예외적립품의_0910(완료) 2 3" xfId="12231"/>
    <cellStyle name="Ⅰ_재무지원부충당금_1_예외적립품의_0910(완료) 2 3 2" xfId="12232"/>
    <cellStyle name="Ⅰ_재무지원부충당금_1_예외적립품의_0910(완료) 2 4" xfId="12233"/>
    <cellStyle name="Ⅰ_재무지원부충당금_1_예외적립품의_0910(완료) 2 4 2" xfId="12234"/>
    <cellStyle name="Ⅰ_재무지원부충당금_1_예외적립품의_0910(완료) 2 5" xfId="12235"/>
    <cellStyle name="Ⅰ_재무지원부충당금_1_예외적립품의_0910(완료) 3" xfId="12236"/>
    <cellStyle name="Ⅰ_재무지원부충당금_1_예외적립품의_0910(완료) 3 2" xfId="12237"/>
    <cellStyle name="Ⅰ_재무지원부충당금_1_예외적립품의_0910(완료) 4" xfId="12238"/>
    <cellStyle name="Ⅰ_재무지원부충당금_1_예외적립품의_0910(완료) 4 2" xfId="12239"/>
    <cellStyle name="Ⅰ_재무지원부충당금_1_예외적립품의_0910(완료) 5" xfId="12240"/>
    <cellStyle name="Ⅰ_재무지원부충당금_1_예외적립품의_0910(완료) 5 2" xfId="12241"/>
    <cellStyle name="Ⅰ_재무지원부충당금_1_예외적립품의_0910(완료) 6" xfId="12242"/>
    <cellStyle name="Ⅰ_재무지원부충당금_1_예외적립품의_0910(완료) 6 2" xfId="12243"/>
    <cellStyle name="Ⅰ_재무지원부충당금_1_예외적립품의_0910(완료) 7" xfId="12244"/>
    <cellStyle name="Ⅰ_재무지원부충당금_1_예외적립품의_0910(완료) 7 2" xfId="12245"/>
    <cellStyle name="Ⅰ_재무지원부충당금_1_예외적립품의_0910(완료) 8" xfId="12246"/>
    <cellStyle name="Ⅰ_재무지원부충당금_1_예외적립품의_0910(완료) 8 2" xfId="12247"/>
    <cellStyle name="Ⅰ_재무지원부충당금_1_예외적립품의_0910(완료) 9" xfId="12248"/>
    <cellStyle name="Ⅰ_재무지원부충당금_1_예외적립품의_0910(완료) 9 2" xfId="12249"/>
    <cellStyle name="Ⅰ_재무지원부충당금_1_예외적립품의_0910(완료)_1211 충당금,건전성 현황_작업" xfId="12250"/>
    <cellStyle name="Ⅰ_재무지원부충당금_1_예외적립품의_0910(완료)_Hana 2011-1 Program_Data Disk_Pool B_v2(v5-1더밸류-이교민)" xfId="12251"/>
    <cellStyle name="Ⅰ_재무지원부충당금_1_예외적립품의_0910(완료)_Hana 2011-1 Program_Data Disk_Pool B_v2(v5-1더밸류-이교민)_SHB 2011-2 Program_Data Disk_Pool C,B_v1(v2더밸류_이교민)" xfId="12252"/>
    <cellStyle name="Ⅰ_재무지원부충당금_1_예외적립품의_0910(완료)_Hana 2011-1 Program_Data Disk_Pool B_v2(v5-1더밸류-이교민)_차주명관리_20110726_v1" xfId="12253"/>
    <cellStyle name="Ⅰ_재무지원부충당금_1_예외적립품의_0910(완료)_SHB_2011-3_담보sheet(더밸류_v6이교민)" xfId="12254"/>
    <cellStyle name="Ⅰ_재무지원부충당금_1_예외적립품의_0910(완료)_SHB_2011-3_담보sheet(더밸류_v6이교민)_차주명관리_20110726_v1" xfId="12255"/>
    <cellStyle name="Ⅰ_재무지원부충당금_1_예외적립품의_0910(완료)_권리분석_v1(최초)-4" xfId="12256"/>
    <cellStyle name="Ⅰ_재무지원부충당금_1_추가적립업체명세(완료)V_3황동인대리님" xfId="1141"/>
    <cellStyle name="Ⅰ_재무지원부충당금_1_추가적립업체명세(완료)V_3황동인대리님 10" xfId="12257"/>
    <cellStyle name="Ⅰ_재무지원부충당금_1_추가적립업체명세(완료)V_3황동인대리님 10 2" xfId="12258"/>
    <cellStyle name="Ⅰ_재무지원부충당금_1_추가적립업체명세(완료)V_3황동인대리님 11" xfId="12259"/>
    <cellStyle name="Ⅰ_재무지원부충당금_1_추가적립업체명세(완료)V_3황동인대리님 11 2" xfId="12260"/>
    <cellStyle name="Ⅰ_재무지원부충당금_1_추가적립업체명세(완료)V_3황동인대리님 12" xfId="12261"/>
    <cellStyle name="Ⅰ_재무지원부충당금_1_추가적립업체명세(완료)V_3황동인대리님 12 2" xfId="12262"/>
    <cellStyle name="Ⅰ_재무지원부충당금_1_추가적립업체명세(완료)V_3황동인대리님 13" xfId="12263"/>
    <cellStyle name="Ⅰ_재무지원부충당금_1_추가적립업체명세(완료)V_3황동인대리님 13 2" xfId="12264"/>
    <cellStyle name="Ⅰ_재무지원부충당금_1_추가적립업체명세(완료)V_3황동인대리님 14" xfId="12265"/>
    <cellStyle name="Ⅰ_재무지원부충당금_1_추가적립업체명세(완료)V_3황동인대리님 14 2" xfId="12266"/>
    <cellStyle name="Ⅰ_재무지원부충당금_1_추가적립업체명세(완료)V_3황동인대리님 15" xfId="12267"/>
    <cellStyle name="Ⅰ_재무지원부충당금_1_추가적립업체명세(완료)V_3황동인대리님 15 2" xfId="12268"/>
    <cellStyle name="Ⅰ_재무지원부충당금_1_추가적립업체명세(완료)V_3황동인대리님 15 2 2" xfId="12269"/>
    <cellStyle name="Ⅰ_재무지원부충당금_1_추가적립업체명세(완료)V_3황동인대리님 15 3" xfId="12270"/>
    <cellStyle name="Ⅰ_재무지원부충당금_1_추가적립업체명세(완료)V_3황동인대리님 15 3 2" xfId="12271"/>
    <cellStyle name="Ⅰ_재무지원부충당금_1_추가적립업체명세(완료)V_3황동인대리님 15 4" xfId="12272"/>
    <cellStyle name="Ⅰ_재무지원부충당금_1_추가적립업체명세(완료)V_3황동인대리님 15 4 2" xfId="12273"/>
    <cellStyle name="Ⅰ_재무지원부충당금_1_추가적립업체명세(완료)V_3황동인대리님 15 5" xfId="12274"/>
    <cellStyle name="Ⅰ_재무지원부충당금_1_추가적립업체명세(완료)V_3황동인대리님 16" xfId="12275"/>
    <cellStyle name="Ⅰ_재무지원부충당금_1_추가적립업체명세(완료)V_3황동인대리님 16 2" xfId="12276"/>
    <cellStyle name="Ⅰ_재무지원부충당금_1_추가적립업체명세(완료)V_3황동인대리님 16 2 2" xfId="12277"/>
    <cellStyle name="Ⅰ_재무지원부충당금_1_추가적립업체명세(완료)V_3황동인대리님 16 3" xfId="12278"/>
    <cellStyle name="Ⅰ_재무지원부충당금_1_추가적립업체명세(완료)V_3황동인대리님 16 3 2" xfId="12279"/>
    <cellStyle name="Ⅰ_재무지원부충당금_1_추가적립업체명세(완료)V_3황동인대리님 16 4" xfId="12280"/>
    <cellStyle name="Ⅰ_재무지원부충당금_1_추가적립업체명세(완료)V_3황동인대리님 16 4 2" xfId="12281"/>
    <cellStyle name="Ⅰ_재무지원부충당금_1_추가적립업체명세(완료)V_3황동인대리님 16 5" xfId="12282"/>
    <cellStyle name="Ⅰ_재무지원부충당금_1_추가적립업체명세(완료)V_3황동인대리님 17" xfId="12283"/>
    <cellStyle name="Ⅰ_재무지원부충당금_1_추가적립업체명세(완료)V_3황동인대리님 17 2" xfId="12284"/>
    <cellStyle name="Ⅰ_재무지원부충당금_1_추가적립업체명세(완료)V_3황동인대리님 17 2 2" xfId="12285"/>
    <cellStyle name="Ⅰ_재무지원부충당금_1_추가적립업체명세(완료)V_3황동인대리님 17 3" xfId="12286"/>
    <cellStyle name="Ⅰ_재무지원부충당금_1_추가적립업체명세(완료)V_3황동인대리님 17 3 2" xfId="12287"/>
    <cellStyle name="Ⅰ_재무지원부충당금_1_추가적립업체명세(완료)V_3황동인대리님 17 4" xfId="12288"/>
    <cellStyle name="Ⅰ_재무지원부충당금_1_추가적립업체명세(완료)V_3황동인대리님 17 4 2" xfId="12289"/>
    <cellStyle name="Ⅰ_재무지원부충당금_1_추가적립업체명세(완료)V_3황동인대리님 17 5" xfId="12290"/>
    <cellStyle name="Ⅰ_재무지원부충당금_1_추가적립업체명세(완료)V_3황동인대리님 18" xfId="12291"/>
    <cellStyle name="Ⅰ_재무지원부충당금_1_추가적립업체명세(완료)V_3황동인대리님 2" xfId="12292"/>
    <cellStyle name="Ⅰ_재무지원부충당금_1_추가적립업체명세(완료)V_3황동인대리님 2 2" xfId="12293"/>
    <cellStyle name="Ⅰ_재무지원부충당금_1_추가적립업체명세(완료)V_3황동인대리님 2 2 2" xfId="12294"/>
    <cellStyle name="Ⅰ_재무지원부충당금_1_추가적립업체명세(완료)V_3황동인대리님 2 3" xfId="12295"/>
    <cellStyle name="Ⅰ_재무지원부충당금_1_추가적립업체명세(완료)V_3황동인대리님 2 3 2" xfId="12296"/>
    <cellStyle name="Ⅰ_재무지원부충당금_1_추가적립업체명세(완료)V_3황동인대리님 2 4" xfId="12297"/>
    <cellStyle name="Ⅰ_재무지원부충당금_1_추가적립업체명세(완료)V_3황동인대리님 2 4 2" xfId="12298"/>
    <cellStyle name="Ⅰ_재무지원부충당금_1_추가적립업체명세(완료)V_3황동인대리님 2 5" xfId="12299"/>
    <cellStyle name="Ⅰ_재무지원부충당금_1_추가적립업체명세(완료)V_3황동인대리님 3" xfId="12300"/>
    <cellStyle name="Ⅰ_재무지원부충당금_1_추가적립업체명세(완료)V_3황동인대리님 3 2" xfId="12301"/>
    <cellStyle name="Ⅰ_재무지원부충당금_1_추가적립업체명세(완료)V_3황동인대리님 4" xfId="12302"/>
    <cellStyle name="Ⅰ_재무지원부충당금_1_추가적립업체명세(완료)V_3황동인대리님 4 2" xfId="12303"/>
    <cellStyle name="Ⅰ_재무지원부충당금_1_추가적립업체명세(완료)V_3황동인대리님 5" xfId="12304"/>
    <cellStyle name="Ⅰ_재무지원부충당금_1_추가적립업체명세(완료)V_3황동인대리님 5 2" xfId="12305"/>
    <cellStyle name="Ⅰ_재무지원부충당금_1_추가적립업체명세(완료)V_3황동인대리님 6" xfId="12306"/>
    <cellStyle name="Ⅰ_재무지원부충당금_1_추가적립업체명세(완료)V_3황동인대리님 6 2" xfId="12307"/>
    <cellStyle name="Ⅰ_재무지원부충당금_1_추가적립업체명세(완료)V_3황동인대리님 7" xfId="12308"/>
    <cellStyle name="Ⅰ_재무지원부충당금_1_추가적립업체명세(완료)V_3황동인대리님 7 2" xfId="12309"/>
    <cellStyle name="Ⅰ_재무지원부충당금_1_추가적립업체명세(완료)V_3황동인대리님 8" xfId="12310"/>
    <cellStyle name="Ⅰ_재무지원부충당금_1_추가적립업체명세(완료)V_3황동인대리님 8 2" xfId="12311"/>
    <cellStyle name="Ⅰ_재무지원부충당금_1_추가적립업체명세(완료)V_3황동인대리님 9" xfId="12312"/>
    <cellStyle name="Ⅰ_재무지원부충당금_1_추가적립업체명세(완료)V_3황동인대리님 9 2" xfId="12313"/>
    <cellStyle name="Ⅰ_재무지원부충당금_1_추가적립업체명세(완료)V_3황동인대리님_1211 충당금,건전성 현황_작업" xfId="12314"/>
    <cellStyle name="Ⅰ_재무지원부충당금_1_추가적립업체명세(완료)V_3황동인대리님_Hana 2011-1 Program_Data Disk_Pool B_v2(v5-1더밸류-이교민)" xfId="12315"/>
    <cellStyle name="Ⅰ_재무지원부충당금_1_추가적립업체명세(완료)V_3황동인대리님_Hana 2011-1 Program_Data Disk_Pool B_v2(v5-1더밸류-이교민)_SHB 2011-2 Program_Data Disk_Pool C,B_v1(v2더밸류_이교민)" xfId="12316"/>
    <cellStyle name="Ⅰ_재무지원부충당금_1_추가적립업체명세(완료)V_3황동인대리님_Hana 2011-1 Program_Data Disk_Pool B_v2(v5-1더밸류-이교민)_차주명관리_20110726_v1" xfId="12317"/>
    <cellStyle name="Ⅰ_재무지원부충당금_1_추가적립업체명세(완료)V_3황동인대리님_SHB_2011-3_담보sheet(더밸류_v6이교민)" xfId="12318"/>
    <cellStyle name="Ⅰ_재무지원부충당금_1_추가적립업체명세(완료)V_3황동인대리님_SHB_2011-3_담보sheet(더밸류_v6이교민)_차주명관리_20110726_v1" xfId="12319"/>
    <cellStyle name="Ⅰ_재무지원부충당금_1_추가적립업체명세(완료)V_3황동인대리님_권리분석_v1(최초)-4" xfId="12320"/>
    <cellStyle name="Ⅰ_재무지원부충당금_1211 충당금,건전성 현황_작업" xfId="12321"/>
    <cellStyle name="Ⅰ_재무지원부충당금_Hana 2011-1 Program_Data Disk_Pool B_v2(v5-1더밸류-이교민)" xfId="12322"/>
    <cellStyle name="Ⅰ_재무지원부충당금_Hana 2011-1 Program_Data Disk_Pool B_v2(v5-1더밸류-이교민)_SHB 2011-2 Program_Data Disk_Pool C,B_v1(v2더밸류_이교민)" xfId="12323"/>
    <cellStyle name="Ⅰ_재무지원부충당금_Hana 2011-1 Program_Data Disk_Pool B_v2(v5-1더밸류-이교민)_차주명관리_20110726_v1" xfId="12324"/>
    <cellStyle name="Ⅰ_재무지원부충당금_SHB_2011-3_담보sheet(더밸류_v6이교민)" xfId="12325"/>
    <cellStyle name="Ⅰ_재무지원부충당금_SHB_2011-3_담보sheet(더밸류_v6이교민)_차주명관리_20110726_v1" xfId="12326"/>
    <cellStyle name="Ⅰ_재무지원부충당금_권리분석_v1(최초)-4" xfId="12327"/>
    <cellStyle name="Ⅰ_추가충당금명세_0630_V3" xfId="1142"/>
    <cellStyle name="Ⅰ_추가충당금명세_0630_V3 10" xfId="12328"/>
    <cellStyle name="Ⅰ_추가충당금명세_0630_V3 10 2" xfId="12329"/>
    <cellStyle name="Ⅰ_추가충당금명세_0630_V3 11" xfId="12330"/>
    <cellStyle name="Ⅰ_추가충당금명세_0630_V3 11 2" xfId="12331"/>
    <cellStyle name="Ⅰ_추가충당금명세_0630_V3 12" xfId="12332"/>
    <cellStyle name="Ⅰ_추가충당금명세_0630_V3 12 2" xfId="12333"/>
    <cellStyle name="Ⅰ_추가충당금명세_0630_V3 13" xfId="12334"/>
    <cellStyle name="Ⅰ_추가충당금명세_0630_V3 13 2" xfId="12335"/>
    <cellStyle name="Ⅰ_추가충당금명세_0630_V3 14" xfId="12336"/>
    <cellStyle name="Ⅰ_추가충당금명세_0630_V3 14 2" xfId="12337"/>
    <cellStyle name="Ⅰ_추가충당금명세_0630_V3 15" xfId="12338"/>
    <cellStyle name="Ⅰ_추가충당금명세_0630_V3 15 2" xfId="12339"/>
    <cellStyle name="Ⅰ_추가충당금명세_0630_V3 15 2 2" xfId="12340"/>
    <cellStyle name="Ⅰ_추가충당금명세_0630_V3 15 3" xfId="12341"/>
    <cellStyle name="Ⅰ_추가충당금명세_0630_V3 15 3 2" xfId="12342"/>
    <cellStyle name="Ⅰ_추가충당금명세_0630_V3 15 4" xfId="12343"/>
    <cellStyle name="Ⅰ_추가충당금명세_0630_V3 15 4 2" xfId="12344"/>
    <cellStyle name="Ⅰ_추가충당금명세_0630_V3 15 5" xfId="12345"/>
    <cellStyle name="Ⅰ_추가충당금명세_0630_V3 16" xfId="12346"/>
    <cellStyle name="Ⅰ_추가충당금명세_0630_V3 16 2" xfId="12347"/>
    <cellStyle name="Ⅰ_추가충당금명세_0630_V3 16 2 2" xfId="12348"/>
    <cellStyle name="Ⅰ_추가충당금명세_0630_V3 16 3" xfId="12349"/>
    <cellStyle name="Ⅰ_추가충당금명세_0630_V3 16 3 2" xfId="12350"/>
    <cellStyle name="Ⅰ_추가충당금명세_0630_V3 16 4" xfId="12351"/>
    <cellStyle name="Ⅰ_추가충당금명세_0630_V3 16 4 2" xfId="12352"/>
    <cellStyle name="Ⅰ_추가충당금명세_0630_V3 16 5" xfId="12353"/>
    <cellStyle name="Ⅰ_추가충당금명세_0630_V3 17" xfId="12354"/>
    <cellStyle name="Ⅰ_추가충당금명세_0630_V3 17 2" xfId="12355"/>
    <cellStyle name="Ⅰ_추가충당금명세_0630_V3 17 2 2" xfId="12356"/>
    <cellStyle name="Ⅰ_추가충당금명세_0630_V3 17 3" xfId="12357"/>
    <cellStyle name="Ⅰ_추가충당금명세_0630_V3 17 3 2" xfId="12358"/>
    <cellStyle name="Ⅰ_추가충당금명세_0630_V3 17 4" xfId="12359"/>
    <cellStyle name="Ⅰ_추가충당금명세_0630_V3 17 4 2" xfId="12360"/>
    <cellStyle name="Ⅰ_추가충당금명세_0630_V3 17 5" xfId="12361"/>
    <cellStyle name="Ⅰ_추가충당금명세_0630_V3 18" xfId="12362"/>
    <cellStyle name="Ⅰ_추가충당금명세_0630_V3 2" xfId="12363"/>
    <cellStyle name="Ⅰ_추가충당금명세_0630_V3 2 2" xfId="12364"/>
    <cellStyle name="Ⅰ_추가충당금명세_0630_V3 2 2 2" xfId="12365"/>
    <cellStyle name="Ⅰ_추가충당금명세_0630_V3 2 3" xfId="12366"/>
    <cellStyle name="Ⅰ_추가충당금명세_0630_V3 2 3 2" xfId="12367"/>
    <cellStyle name="Ⅰ_추가충당금명세_0630_V3 2 4" xfId="12368"/>
    <cellStyle name="Ⅰ_추가충당금명세_0630_V3 2 4 2" xfId="12369"/>
    <cellStyle name="Ⅰ_추가충당금명세_0630_V3 2 5" xfId="12370"/>
    <cellStyle name="Ⅰ_추가충당금명세_0630_V3 3" xfId="12371"/>
    <cellStyle name="Ⅰ_추가충당금명세_0630_V3 3 2" xfId="12372"/>
    <cellStyle name="Ⅰ_추가충당금명세_0630_V3 4" xfId="12373"/>
    <cellStyle name="Ⅰ_추가충당금명세_0630_V3 4 2" xfId="12374"/>
    <cellStyle name="Ⅰ_추가충당금명세_0630_V3 5" xfId="12375"/>
    <cellStyle name="Ⅰ_추가충당금명세_0630_V3 5 2" xfId="12376"/>
    <cellStyle name="Ⅰ_추가충당금명세_0630_V3 6" xfId="12377"/>
    <cellStyle name="Ⅰ_추가충당금명세_0630_V3 6 2" xfId="12378"/>
    <cellStyle name="Ⅰ_추가충당금명세_0630_V3 7" xfId="12379"/>
    <cellStyle name="Ⅰ_추가충당금명세_0630_V3 7 2" xfId="12380"/>
    <cellStyle name="Ⅰ_추가충당금명세_0630_V3 8" xfId="12381"/>
    <cellStyle name="Ⅰ_추가충당금명세_0630_V3 8 2" xfId="12382"/>
    <cellStyle name="Ⅰ_추가충당금명세_0630_V3 9" xfId="12383"/>
    <cellStyle name="Ⅰ_추가충당금명세_0630_V3 9 2" xfId="12384"/>
    <cellStyle name="Ⅰ_추가충당금명세_0630_V3_1211 충당금,건전성 현황_작업" xfId="12385"/>
    <cellStyle name="Ⅰ_추가충당금명세_0630_V3_Hana 2011-1 Program_Data Disk_Pool B_v2(v5-1더밸류-이교민)" xfId="12386"/>
    <cellStyle name="Ⅰ_추가충당금명세_0630_V3_Hana 2011-1 Program_Data Disk_Pool B_v2(v5-1더밸류-이교민)_SHB 2011-2 Program_Data Disk_Pool C,B_v1(v2더밸류_이교민)" xfId="12387"/>
    <cellStyle name="Ⅰ_추가충당금명세_0630_V3_Hana 2011-1 Program_Data Disk_Pool B_v2(v5-1더밸류-이교민)_차주명관리_20110726_v1" xfId="12388"/>
    <cellStyle name="Ⅰ_추가충당금명세_0630_V3_SHB_2011-3_담보sheet(더밸류_v6이교민)" xfId="12389"/>
    <cellStyle name="Ⅰ_추가충당금명세_0630_V3_SHB_2011-3_담보sheet(더밸류_v6이교민)_차주명관리_20110726_v1" xfId="12390"/>
    <cellStyle name="Ⅰ_추가충당금명세_0630_V3_권리분석_v1(최초)-4" xfId="12391"/>
    <cellStyle name="A" xfId="12392"/>
    <cellStyle name="A???[0]_97 ?? " xfId="21358"/>
    <cellStyle name="A???97 ?? " xfId="21359"/>
    <cellStyle name="A???97?a?u? " xfId="21360"/>
    <cellStyle name="A???97Ae?A? " xfId="21361"/>
    <cellStyle name="A???98Ae?A? " xfId="21362"/>
    <cellStyle name="A???AoAUAy캿C? " xfId="21363"/>
    <cellStyle name="A???C?Ao_AoAUAy캿C? " xfId="21364"/>
    <cellStyle name="A???CASH FLOW " xfId="21365"/>
    <cellStyle name="A??[0]_CASH FLOW " xfId="21366"/>
    <cellStyle name="A??CASH FLOW " xfId="21367"/>
    <cellStyle name="Ä?¸¶ [0]_´ëÇü±¸ " xfId="21368"/>
    <cellStyle name="Ä?¸¶_´ëÇü±¸ " xfId="21369"/>
    <cellStyle name="ª?ª?b??_x0010_ÅëÈ­ [0]_M504CDT" xfId="12393"/>
    <cellStyle name="A_01 원재료" xfId="21370"/>
    <cellStyle name="A_01 원재료_I2 6월 결산 검증서_복합대출상품_20101119" xfId="21371"/>
    <cellStyle name="A_01 원재료_Lead Sheet-2004(김기열)ver13" xfId="21372"/>
    <cellStyle name="A_01 원재료_Lead Sheet-2004(김기열)ver13_I2 6월 결산 검증서_복합대출상품_20101119" xfId="21373"/>
    <cellStyle name="A_01 원재료_Lead04_김기열" xfId="21374"/>
    <cellStyle name="A_01 원재료_Lead04_김기열_I2 6월 결산 검증서_복합대출상품_20101119" xfId="21375"/>
    <cellStyle name="A_01 제품" xfId="21376"/>
    <cellStyle name="A_01 제품_I2 6월 결산 검증서_복합대출상품_20101119" xfId="21377"/>
    <cellStyle name="A_01 제품_Lead Sheet-2004(김기열)ver13" xfId="21378"/>
    <cellStyle name="A_01 제품_Lead Sheet-2004(김기열)ver13_I2 6월 결산 검증서_복합대출상품_20101119" xfId="21379"/>
    <cellStyle name="A_01 제품_Lead04_김기열" xfId="21380"/>
    <cellStyle name="A_01 제품_Lead04_김기열_I2 6월 결산 검증서_복합대출상품_20101119" xfId="21381"/>
    <cellStyle name="A_01_AM monthly_Lease_200208" xfId="21382"/>
    <cellStyle name="A_01상반기결산보고" xfId="21383"/>
    <cellStyle name="A_01상반기결산보고_I2 6월 결산 검증서_복합대출상품_20101119" xfId="21384"/>
    <cellStyle name="A_01상반기결산보고_Lead Sheet-2004(김기열)ver13" xfId="21385"/>
    <cellStyle name="A_01상반기결산보고_Lead Sheet-2004(김기열)ver13_I2 6월 결산 검증서_복합대출상품_20101119" xfId="21386"/>
    <cellStyle name="A_01상반기결산보고_Lead04_김기열" xfId="21387"/>
    <cellStyle name="A_01상반기결산보고_Lead04_김기열_I2 6월 결산 검증서_복합대출상품_20101119" xfId="21388"/>
    <cellStyle name="A_02_AM monthly_analysis_2000208" xfId="21389"/>
    <cellStyle name="A_02-도급공사비내역" xfId="12394"/>
    <cellStyle name="A_03_yardi_한화_20028" xfId="21390"/>
    <cellStyle name="A_04028적산수량집계" xfId="12395"/>
    <cellStyle name="A_05_yardi_대한_200208" xfId="21391"/>
    <cellStyle name="a_0514회의확정자료" xfId="12396"/>
    <cellStyle name="A_0901작업1-금액분리" xfId="12397"/>
    <cellStyle name="A_2001 원재료3(수입삭제)" xfId="21392"/>
    <cellStyle name="A_2001 원재료3(수입삭제)_I2 6월 결산 검증서_복합대출상품_20101119" xfId="21393"/>
    <cellStyle name="A_2001 원재료3(수입삭제)_Lead Sheet-2004(김기열)ver13" xfId="21394"/>
    <cellStyle name="A_2001 원재료3(수입삭제)_Lead Sheet-2004(김기열)ver13_I2 6월 결산 검증서_복합대출상품_20101119" xfId="21395"/>
    <cellStyle name="A_2001 원재료3(수입삭제)_Lead04_김기열" xfId="21396"/>
    <cellStyle name="A_2001 원재료3(수입삭제)_Lead04_김기열_I2 6월 결산 검증서_복합대출상품_20101119" xfId="21397"/>
    <cellStyle name="A_2001 원재료4(수입삭제)" xfId="21398"/>
    <cellStyle name="A_2001 원재료4(수입삭제)_I2 6월 결산 검증서_복합대출상품_20101119" xfId="21399"/>
    <cellStyle name="A_2001 원재료4(수입삭제)_Lead Sheet-2004(김기열)ver13" xfId="21400"/>
    <cellStyle name="A_2001 원재료4(수입삭제)_Lead Sheet-2004(김기열)ver13_I2 6월 결산 검증서_복합대출상품_20101119" xfId="21401"/>
    <cellStyle name="A_2001 원재료4(수입삭제)_Lead04_김기열" xfId="21402"/>
    <cellStyle name="A_2001 원재료4(수입삭제)_Lead04_김기열_I2 6월 결산 검증서_복합대출상품_20101119" xfId="21403"/>
    <cellStyle name="A_2001 원재료5(수입삭제,추가재고)" xfId="21404"/>
    <cellStyle name="A_2001 원재료5(수입삭제,추가재고)_I2 6월 결산 검증서_복합대출상품_20101119" xfId="21405"/>
    <cellStyle name="A_2001 원재료5(수입삭제,추가재고)_Lead Sheet-2004(김기열)ver13" xfId="21406"/>
    <cellStyle name="A_2001 원재료5(수입삭제,추가재고)_Lead Sheet-2004(김기열)ver13_I2 6월 결산 검증서_복합대출상품_20101119" xfId="21407"/>
    <cellStyle name="A_2001 원재료5(수입삭제,추가재고)_Lead04_김기열" xfId="21408"/>
    <cellStyle name="A_2001 원재료5(수입삭제,추가재고)_Lead04_김기열_I2 6월 결산 검증서_복합대출상품_20101119" xfId="21409"/>
    <cellStyle name="A_2001 제품" xfId="21410"/>
    <cellStyle name="A_2001 제품_I2 6월 결산 검증서_복합대출상품_20101119" xfId="21411"/>
    <cellStyle name="A_2001 제품_Lead Sheet-2004(김기열)ver13" xfId="21412"/>
    <cellStyle name="A_2001 제품_Lead Sheet-2004(김기열)ver13_I2 6월 결산 검증서_복합대출상품_20101119" xfId="21413"/>
    <cellStyle name="A_2001 제품_Lead04_김기열" xfId="21414"/>
    <cellStyle name="A_2001 제품_Lead04_김기열_I2 6월 결산 검증서_복합대출상품_20101119" xfId="21415"/>
    <cellStyle name="A_2001 제품1" xfId="21416"/>
    <cellStyle name="A_2001 제품1_I2 6월 결산 검증서_복합대출상품_20101119" xfId="21417"/>
    <cellStyle name="A_2001 제품1_Lead Sheet-2004(김기열)ver13" xfId="21418"/>
    <cellStyle name="A_2001 제품1_Lead Sheet-2004(김기열)ver13_I2 6월 결산 검증서_복합대출상품_20101119" xfId="21419"/>
    <cellStyle name="A_2001 제품1_Lead04_김기열" xfId="21420"/>
    <cellStyle name="A_2001 제품1_Lead04_김기열_I2 6월 결산 검증서_복합대출상품_20101119" xfId="21421"/>
    <cellStyle name="A_99상반기 원가계산" xfId="21422"/>
    <cellStyle name="A_99상반기 원가계산(완결)" xfId="21423"/>
    <cellStyle name="A_99상반기 원가계산(완결)_2001 제품1" xfId="21424"/>
    <cellStyle name="A_99상반기 원가계산(완결)_2001 제품1_I2 6월 결산 검증서_복합대출상품_20101119" xfId="21425"/>
    <cellStyle name="A_99상반기 원가계산(완결)_2001 제품1_Lead Sheet-2004(김기열)ver13" xfId="21426"/>
    <cellStyle name="A_99상반기 원가계산(완결)_2001 제품1_Lead Sheet-2004(김기열)ver13_I2 6월 결산 검증서_복합대출상품_20101119" xfId="21427"/>
    <cellStyle name="A_99상반기 원가계산(완결)_2001 제품1_Lead04_김기열" xfId="21428"/>
    <cellStyle name="A_99상반기 원가계산(완결)_2001 제품1_Lead04_김기열_I2 6월 결산 검증서_복합대출상품_20101119" xfId="21429"/>
    <cellStyle name="A_99상반기 원가계산(완결)_I2 6월 결산 검증서_복합대출상품_20101119" xfId="21430"/>
    <cellStyle name="A_99상반기 원가계산(완결)_Lead Sheet-2004(김기열)ver13" xfId="21431"/>
    <cellStyle name="A_99상반기 원가계산(완결)_Lead Sheet-2004(김기열)ver13_I2 6월 결산 검증서_복합대출상품_20101119" xfId="21432"/>
    <cellStyle name="A_99상반기 원가계산(완결)_Lead04_김기열" xfId="21433"/>
    <cellStyle name="A_99상반기 원가계산(완결)_Lead04_김기열_I2 6월 결산 검증서_복합대출상품_20101119" xfId="21434"/>
    <cellStyle name="A_99상반기 원가계산(완결)_상반기제품" xfId="21435"/>
    <cellStyle name="A_99상반기 원가계산(완결)_상반기제품_I2 6월 결산 검증서_복합대출상품_20101119" xfId="21436"/>
    <cellStyle name="A_99상반기 원가계산(완결)_상반기제품_Lead Sheet-2004(김기열)ver13" xfId="21437"/>
    <cellStyle name="A_99상반기 원가계산(완결)_상반기제품_Lead Sheet-2004(김기열)ver13_I2 6월 결산 검증서_복합대출상품_20101119" xfId="21438"/>
    <cellStyle name="A_99상반기 원가계산(완결)_상반기제품_Lead04_김기열" xfId="21439"/>
    <cellStyle name="A_99상반기 원가계산(완결)_상반기제품_Lead04_김기열_I2 6월 결산 검증서_복합대출상품_20101119" xfId="21440"/>
    <cellStyle name="A_99상반기 원가계산_2001 제품1" xfId="21441"/>
    <cellStyle name="A_99상반기 원가계산_2001 제품1_I2 6월 결산 검증서_복합대출상품_20101119" xfId="21442"/>
    <cellStyle name="A_99상반기 원가계산_2001 제품1_Lead Sheet-2004(김기열)ver13" xfId="21443"/>
    <cellStyle name="A_99상반기 원가계산_2001 제품1_Lead Sheet-2004(김기열)ver13_I2 6월 결산 검증서_복합대출상품_20101119" xfId="21444"/>
    <cellStyle name="A_99상반기 원가계산_2001 제품1_Lead04_김기열" xfId="21445"/>
    <cellStyle name="A_99상반기 원가계산_2001 제품1_Lead04_김기열_I2 6월 결산 검증서_복합대출상품_20101119" xfId="21446"/>
    <cellStyle name="A_99상반기 원가계산_I2 6월 결산 검증서_복합대출상품_20101119" xfId="21447"/>
    <cellStyle name="A_99상반기 원가계산_Lead Sheet-2004(김기열)ver13" xfId="21448"/>
    <cellStyle name="A_99상반기 원가계산_Lead Sheet-2004(김기열)ver13_I2 6월 결산 검증서_복합대출상품_20101119" xfId="21449"/>
    <cellStyle name="A_99상반기 원가계산_Lead04_김기열" xfId="21450"/>
    <cellStyle name="A_99상반기 원가계산_Lead04_김기열_I2 6월 결산 검증서_복합대출상품_20101119" xfId="21451"/>
    <cellStyle name="A_99상반기 원가계산_상반기제품" xfId="21452"/>
    <cellStyle name="A_99상반기 원가계산_상반기제품_I2 6월 결산 검증서_복합대출상품_20101119" xfId="21453"/>
    <cellStyle name="A_99상반기 원가계산_상반기제품_Lead Sheet-2004(김기열)ver13" xfId="21454"/>
    <cellStyle name="A_99상반기 원가계산_상반기제품_Lead Sheet-2004(김기열)ver13_I2 6월 결산 검증서_복합대출상품_20101119" xfId="21455"/>
    <cellStyle name="A_99상반기 원가계산_상반기제품_Lead04_김기열" xfId="21456"/>
    <cellStyle name="A_99상반기 원가계산_상반기제품_Lead04_김기열_I2 6월 결산 검증서_복합대출상품_20101119" xfId="21457"/>
    <cellStyle name="A_A0509-가실행(파주)" xfId="12398"/>
    <cellStyle name="a_A-0902건축공사확정(대안포함)" xfId="12399"/>
    <cellStyle name="a_A-0902조경공사확정(대안포함)" xfId="12400"/>
    <cellStyle name="A_BOOKCITY(전기)" xfId="12401"/>
    <cellStyle name="A_BOOKCITY(전기)_04028적산수량집계" xfId="12402"/>
    <cellStyle name="A_CODE별" xfId="21458"/>
    <cellStyle name="A_CODE별_E130 대손충당금" xfId="21459"/>
    <cellStyle name="A_CODE별_E130 대손충당금_I2 6월 결산 검증서_복합대출상품_20101119" xfId="21460"/>
    <cellStyle name="A_CODE별_Lead Sheet-2004(김기열)ver13" xfId="21461"/>
    <cellStyle name="A_CODE별_Lead Sheet-2004(김기열)ver13_I2 6월 결산 검증서_복합대출상품_20101119" xfId="21462"/>
    <cellStyle name="A_CODE별_Lead04_김기열" xfId="21463"/>
    <cellStyle name="A_CODE별_Lead04_김기열_I2 6월 결산 검증서_복합대출상품_20101119" xfId="21464"/>
    <cellStyle name="A_CODE별_U3" xfId="21465"/>
    <cellStyle name="A_cover_yardi_Yvette" xfId="21466"/>
    <cellStyle name="A_Lead Sheet-2004(김기열)ver13" xfId="21467"/>
    <cellStyle name="A_Lead Sheet-2004(김기열)ver13_I2 6월 결산 검증서_복합대출상품_20101119" xfId="21468"/>
    <cellStyle name="A_Lead04_김기열" xfId="21469"/>
    <cellStyle name="A_Lead04_김기열_I2 6월 결산 검증서_복합대출상품_20101119" xfId="21470"/>
    <cellStyle name="A_PM Monthly report_한화_송부" xfId="21471"/>
    <cellStyle name="A_Rev1_IS Report_by C&amp;W_for Sep" xfId="21472"/>
    <cellStyle name="A_Sheet11" xfId="21473"/>
    <cellStyle name="A_Sheet12" xfId="21474"/>
    <cellStyle name="A_Sheet5" xfId="21475"/>
    <cellStyle name="A_Sheet6" xfId="21476"/>
    <cellStyle name="A_Z01-본작업" xfId="12403"/>
    <cellStyle name="A_가실행(3th)" xfId="12404"/>
    <cellStyle name="A_개시BS검증서_v8_I2_대출채권식별및제거_박승민_20100115" xfId="21477"/>
    <cellStyle name="A_개시BS검증서_v8_I2_대출채권식별및제거_박승민_20100115_I2 6월 결산 검증서_복합대출상품_20101119" xfId="21478"/>
    <cellStyle name="A_개시재무상태표 검증절차서_IB_I3_금융보증계약등_박승민_20091006" xfId="21479"/>
    <cellStyle name="A_개시재무상태표 검증절차서_IB_I3_금융보증계약등_박승민_20091006_I2 6월 결산 검증서_복합대출상품_20101119" xfId="21480"/>
    <cellStyle name="A_결산자료" xfId="21481"/>
    <cellStyle name="A_결산자료_E130 대손충당금" xfId="21482"/>
    <cellStyle name="A_결산자료_E130 대손충당금_I2 6월 결산 검증서_복합대출상품_20101119" xfId="21483"/>
    <cellStyle name="A_결산자료_Lead Sheet-2004(김기열)ver13" xfId="21484"/>
    <cellStyle name="A_결산자료_Lead Sheet-2004(김기열)ver13_I2 6월 결산 검증서_복합대출상품_20101119" xfId="21485"/>
    <cellStyle name="A_결산자료_Lead04_김기열" xfId="21486"/>
    <cellStyle name="A_결산자료_Lead04_김기열_I2 6월 결산 검증서_복합대출상품_20101119" xfId="21487"/>
    <cellStyle name="A_결산자료_U3" xfId="21488"/>
    <cellStyle name="A_결정01-총괄가실행(0820)" xfId="12405"/>
    <cellStyle name="A_공설운동진입(가실행)" xfId="12406"/>
    <cellStyle name="A_공설운동진입(가실행)_04028적산수량집계" xfId="12407"/>
    <cellStyle name="A_공설운동진입(가실행)_BOOKCITY(전기)" xfId="12408"/>
    <cellStyle name="A_공설운동진입(가실행)_BOOKCITY(전기)_04028적산수량집계" xfId="12409"/>
    <cellStyle name="A_공설운동진입(가실행)_사본 - 파주 북시티(이채)" xfId="12410"/>
    <cellStyle name="A_공설운동진입(가실행)_사본 - 파주 북시티(이채)_04028적산수량집계" xfId="12411"/>
    <cellStyle name="A_공설운동진입(가실행)_파주 BOOK CITY(통보용)" xfId="12412"/>
    <cellStyle name="A_공설운동진입(가실행)_파주 BOOK CITY(통보용)_04028적산수량집계" xfId="12413"/>
    <cellStyle name="A_공설운동진입(가실행)_파주 BOOK CITY가실행내역" xfId="12414"/>
    <cellStyle name="A_공설운동진입(가실행)_파주 BOOK CITY가실행내역_04028적산수량집계" xfId="12415"/>
    <cellStyle name="A_공설운동진입(가실행)_파주 북시티(이채)제출" xfId="12416"/>
    <cellStyle name="A_공설운동진입(가실행)_파주 북시티(이채)제출_04028적산수량집계" xfId="12417"/>
    <cellStyle name="A_공설운동진입(가실행)_파주 북시티(전체)제출(변경전)" xfId="12418"/>
    <cellStyle name="A_공설운동진입(가실행)_파주 북시티(전체)제출(변경전)_04028적산수량집계" xfId="12419"/>
    <cellStyle name="a_공항관련공사비 비교" xfId="12420"/>
    <cellStyle name="A_당팀-가실행작업" xfId="12421"/>
    <cellStyle name="A_도급공사변경Ⅰ(0626)" xfId="12422"/>
    <cellStyle name="A_명세DATA (2)" xfId="21489"/>
    <cellStyle name="A_명세DATA (2)_E130 대손충당금" xfId="21490"/>
    <cellStyle name="A_명세DATA (2)_E130 대손충당금_I2 6월 결산 검증서_복합대출상품_20101119" xfId="21491"/>
    <cellStyle name="A_명세DATA (2)_Lead Sheet-2004(김기열)ver13" xfId="21492"/>
    <cellStyle name="A_명세DATA (2)_Lead Sheet-2004(김기열)ver13_I2 6월 결산 검증서_복합대출상품_20101119" xfId="21493"/>
    <cellStyle name="A_명세DATA (2)_Lead04_김기열" xfId="21494"/>
    <cellStyle name="A_명세DATA (2)_Lead04_김기열_I2 6월 결산 검증서_복합대출상품_20101119" xfId="21495"/>
    <cellStyle name="A_명세DATA (2)_U3" xfId="21496"/>
    <cellStyle name="A_명세서 (2)" xfId="21497"/>
    <cellStyle name="A_명세서 (2)_E130 대손충당금" xfId="21498"/>
    <cellStyle name="A_명세서 (2)_E130 대손충당금_I2 6월 결산 검증서_복합대출상품_20101119" xfId="21499"/>
    <cellStyle name="A_명세서 (2)_Lead Sheet-2004(김기열)ver13" xfId="21500"/>
    <cellStyle name="A_명세서 (2)_Lead Sheet-2004(김기열)ver13_I2 6월 결산 검증서_복합대출상품_20101119" xfId="21501"/>
    <cellStyle name="A_명세서 (2)_Lead04_김기열" xfId="21502"/>
    <cellStyle name="A_명세서 (2)_Lead04_김기열_I2 6월 결산 검증서_복합대출상품_20101119" xfId="21503"/>
    <cellStyle name="A_명세서 (2)_U3" xfId="21504"/>
    <cellStyle name="A_보고02-건축공사감액보고서(0714)" xfId="12423"/>
    <cellStyle name="A_분석001-구조체투입관련" xfId="12424"/>
    <cellStyle name="A_사본 - 0429파본사" xfId="12425"/>
    <cellStyle name="A_사본 - 파주 북시티(이채)" xfId="12426"/>
    <cellStyle name="A_사본 - 파주 북시티(이채)_04028적산수량집계" xfId="12427"/>
    <cellStyle name="A_상반기원재료" xfId="21505"/>
    <cellStyle name="A_상반기원재료_I2 6월 결산 검증서_복합대출상품_20101119" xfId="21506"/>
    <cellStyle name="A_상반기원재료_Lead Sheet-2004(김기열)ver13" xfId="21507"/>
    <cellStyle name="A_상반기원재료_Lead Sheet-2004(김기열)ver13_I2 6월 결산 검증서_복합대출상품_20101119" xfId="21508"/>
    <cellStyle name="A_상반기원재료_Lead04_김기열" xfId="21509"/>
    <cellStyle name="A_상반기원재료_Lead04_김기열_I2 6월 결산 검증서_복합대출상품_20101119" xfId="21510"/>
    <cellStyle name="A_상반기원재료_하반기결산" xfId="21511"/>
    <cellStyle name="A_상반기원재료_하반기결산_I2 6월 결산 검증서_복합대출상품_20101119" xfId="21512"/>
    <cellStyle name="A_상반기원재료_하반기결산_Lead Sheet-2004(김기열)ver13" xfId="21513"/>
    <cellStyle name="A_상반기원재료_하반기결산_Lead Sheet-2004(김기열)ver13_I2 6월 결산 검증서_복합대출상품_20101119" xfId="21514"/>
    <cellStyle name="A_상반기원재료_하반기결산_Lead04_김기열" xfId="21515"/>
    <cellStyle name="A_상반기원재료_하반기결산_Lead04_김기열_I2 6월 결산 검증서_복합대출상품_20101119" xfId="21516"/>
    <cellStyle name="A_상반기원재료2" xfId="21517"/>
    <cellStyle name="A_상반기원재료2_I2 6월 결산 검증서_복합대출상품_20101119" xfId="21518"/>
    <cellStyle name="A_상반기원재료2_Lead Sheet-2004(김기열)ver13" xfId="21519"/>
    <cellStyle name="A_상반기원재료2_Lead Sheet-2004(김기열)ver13_I2 6월 결산 검증서_복합대출상품_20101119" xfId="21520"/>
    <cellStyle name="A_상반기원재료2_Lead04_김기열" xfId="21521"/>
    <cellStyle name="A_상반기원재료2_Lead04_김기열_I2 6월 결산 검증서_복합대출상품_20101119" xfId="21522"/>
    <cellStyle name="A_상반기제품" xfId="21523"/>
    <cellStyle name="A_상반기제품(3)" xfId="21524"/>
    <cellStyle name="A_상반기제품(3)_I2 6월 결산 검증서_복합대출상품_20101119" xfId="21525"/>
    <cellStyle name="A_상반기제품(3)_Lead Sheet-2004(김기열)ver13" xfId="21526"/>
    <cellStyle name="A_상반기제품(3)_Lead Sheet-2004(김기열)ver13_I2 6월 결산 검증서_복합대출상품_20101119" xfId="21527"/>
    <cellStyle name="A_상반기제품(3)_Lead04_김기열" xfId="21528"/>
    <cellStyle name="A_상반기제품(3)_Lead04_김기열_I2 6월 결산 검증서_복합대출상품_20101119" xfId="21529"/>
    <cellStyle name="A_상반기제품_I2 6월 결산 검증서_복합대출상품_20101119" xfId="21530"/>
    <cellStyle name="A_상반기제품_Lead Sheet-2004(김기열)ver13" xfId="21531"/>
    <cellStyle name="A_상반기제품_Lead Sheet-2004(김기열)ver13_I2 6월 결산 검증서_복합대출상품_20101119" xfId="21532"/>
    <cellStyle name="A_상반기제품_Lead04_김기열" xfId="21533"/>
    <cellStyle name="A_상반기제품_Lead04_김기열_I2 6월 결산 검증서_복합대출상품_20101119" xfId="21534"/>
    <cellStyle name="A_실행01-총괄가실행(0828)" xfId="12428"/>
    <cellStyle name="A_원재료" xfId="21535"/>
    <cellStyle name="A_원재료_E130 대손충당금" xfId="21536"/>
    <cellStyle name="A_원재료_E130 대손충당금_I2 6월 결산 검증서_복합대출상품_20101119" xfId="21537"/>
    <cellStyle name="A_원재료_Lead Sheet-2004(김기열)ver13" xfId="21538"/>
    <cellStyle name="A_원재료_Lead Sheet-2004(김기열)ver13_I2 6월 결산 검증서_복합대출상품_20101119" xfId="21539"/>
    <cellStyle name="A_원재료_Lead04_김기열" xfId="21540"/>
    <cellStyle name="A_원재료_Lead04_김기열_I2 6월 결산 검증서_복합대출상품_20101119" xfId="21541"/>
    <cellStyle name="A_원재료_U3" xfId="21542"/>
    <cellStyle name="a_자료03-대안수량조정실행대비표" xfId="12429"/>
    <cellStyle name="a_자료06-토목공사" xfId="12430"/>
    <cellStyle name="a_작업01-조경공사0709" xfId="12431"/>
    <cellStyle name="A_제품2(전송용)" xfId="21543"/>
    <cellStyle name="A_제품2(전송용)_E130 대손충당금" xfId="21544"/>
    <cellStyle name="A_제품2(전송용)_E130 대손충당금_I2 6월 결산 검증서_복합대출상품_20101119" xfId="21545"/>
    <cellStyle name="A_제품2(전송용)_Lead Sheet-2004(김기열)ver13" xfId="21546"/>
    <cellStyle name="A_제품2(전송용)_Lead Sheet-2004(김기열)ver13_I2 6월 결산 검증서_복합대출상품_20101119" xfId="21547"/>
    <cellStyle name="A_제품2(전송용)_Lead04_김기열" xfId="21548"/>
    <cellStyle name="A_제품2(전송용)_Lead04_김기열_I2 6월 결산 검증서_복합대출상품_20101119" xfId="21549"/>
    <cellStyle name="A_제품2(전송용)_U3" xfId="21550"/>
    <cellStyle name="a_참고02-당초가실행" xfId="12432"/>
    <cellStyle name="A_토목내역서" xfId="12433"/>
    <cellStyle name="A_토목내역서_04028적산수량집계" xfId="12434"/>
    <cellStyle name="A_토목내역서_BOOKCITY(전기)" xfId="12435"/>
    <cellStyle name="A_토목내역서_BOOKCITY(전기)_04028적산수량집계" xfId="12436"/>
    <cellStyle name="A_토목내역서_공설운동진입(가실행)" xfId="12437"/>
    <cellStyle name="A_토목내역서_공설운동진입(가실행)_04028적산수량집계" xfId="12438"/>
    <cellStyle name="A_토목내역서_공설운동진입(가실행)_BOOKCITY(전기)" xfId="12439"/>
    <cellStyle name="A_토목내역서_공설운동진입(가실행)_BOOKCITY(전기)_04028적산수량집계" xfId="12440"/>
    <cellStyle name="A_토목내역서_공설운동진입(가실행)_사본 - 파주 북시티(이채)" xfId="12441"/>
    <cellStyle name="A_토목내역서_공설운동진입(가실행)_사본 - 파주 북시티(이채)_04028적산수량집계" xfId="12442"/>
    <cellStyle name="A_토목내역서_공설운동진입(가실행)_파주 BOOK CITY(통보용)" xfId="12443"/>
    <cellStyle name="A_토목내역서_공설운동진입(가실행)_파주 BOOK CITY(통보용)_04028적산수량집계" xfId="12444"/>
    <cellStyle name="A_토목내역서_공설운동진입(가실행)_파주 BOOK CITY가실행내역" xfId="12445"/>
    <cellStyle name="A_토목내역서_공설운동진입(가실행)_파주 BOOK CITY가실행내역_04028적산수량집계" xfId="12446"/>
    <cellStyle name="A_토목내역서_공설운동진입(가실행)_파주 북시티(이채)제출" xfId="12447"/>
    <cellStyle name="A_토목내역서_공설운동진입(가실행)_파주 북시티(이채)제출_04028적산수량집계" xfId="12448"/>
    <cellStyle name="A_토목내역서_공설운동진입(가실행)_파주 북시티(전체)제출(변경전)" xfId="12449"/>
    <cellStyle name="A_토목내역서_공설운동진입(가실행)_파주 북시티(전체)제출(변경전)_04028적산수량집계" xfId="12450"/>
    <cellStyle name="A_토목내역서_사본 - 파주 북시티(이채)" xfId="12451"/>
    <cellStyle name="A_토목내역서_사본 - 파주 북시티(이채)_04028적산수량집계" xfId="12452"/>
    <cellStyle name="A_토목내역서_파주 BOOK CITY(통보용)" xfId="12453"/>
    <cellStyle name="A_토목내역서_파주 BOOK CITY(통보용)_04028적산수량집계" xfId="12454"/>
    <cellStyle name="A_토목내역서_파주 BOOK CITY가실행내역" xfId="12455"/>
    <cellStyle name="A_토목내역서_파주 BOOK CITY가실행내역_04028적산수량집계" xfId="12456"/>
    <cellStyle name="A_토목내역서_파주 북시티(이채)제출" xfId="12457"/>
    <cellStyle name="A_토목내역서_파주 북시티(이채)제출_04028적산수량집계" xfId="12458"/>
    <cellStyle name="A_토목내역서_파주 북시티(전체)제출(변경전)" xfId="12459"/>
    <cellStyle name="A_토목내역서_파주 북시티(전체)제출(변경전)_04028적산수량집계" xfId="12460"/>
    <cellStyle name="A_파주 BOOK CITY(통보용)" xfId="12461"/>
    <cellStyle name="A_파주 BOOK CITY(통보용)_04028적산수량집계" xfId="12462"/>
    <cellStyle name="A_파주 BOOK CITY가실행내역" xfId="12463"/>
    <cellStyle name="A_파주 BOOK CITY가실행내역_04028적산수량집계" xfId="12464"/>
    <cellStyle name="A_파주 북시티(이채)제출" xfId="12465"/>
    <cellStyle name="A_파주 북시티(이채)제출_04028적산수량집계" xfId="12466"/>
    <cellStyle name="A_파주 북시티(전체)제출(변경전)" xfId="12467"/>
    <cellStyle name="A_파주 북시티(전체)제출(변경전)_04028적산수량집계" xfId="12468"/>
    <cellStyle name="a_파주1차가실행(통합)-대안1-현장분" xfId="12469"/>
    <cellStyle name="A_하반기결산" xfId="21551"/>
    <cellStyle name="A_하반기결산_I2 6월 결산 검증서_복합대출상품_20101119" xfId="21552"/>
    <cellStyle name="A_하반기결산_Lead Sheet-2004(김기열)ver13" xfId="21553"/>
    <cellStyle name="A_하반기결산_Lead Sheet-2004(김기열)ver13_I2 6월 결산 검증서_복합대출상품_20101119" xfId="21554"/>
    <cellStyle name="A_하반기결산_Lead04_김기열" xfId="21555"/>
    <cellStyle name="A_하반기결산_Lead04_김기열_I2 6월 결산 검증서_복합대출상품_20101119" xfId="21556"/>
    <cellStyle name="A_한화_수익편차" xfId="21557"/>
    <cellStyle name="A¡§¡©¡Ë¡þ¡ËO [0]_10¡Ë?u2AO " xfId="12470"/>
    <cellStyle name="A¡§¡©¡Ë¡þ¡ËO_10¡Ë?u2AO " xfId="12471"/>
    <cellStyle name="A¡§¡ⓒ¡E¡þ¡EO [0]_¡§￠Ri¡§u¡§¡þ¡§¡þI¡§u￠R¨I" xfId="12472"/>
    <cellStyle name="A¡§¡ⓒ¡E¡þ¡EO_¡§￠Ri¡§u¡§¡þ¡§¡þI¡§u￠R¨I" xfId="12473"/>
    <cellStyle name="A¨­???? [0]_2000¨?OER " xfId="12474"/>
    <cellStyle name="A¨­????_2000¨?OER " xfId="12475"/>
    <cellStyle name="A¨­￠￢￠O [0]_¡¾aEⓒo¨oCLAN(AuA|A￠O¡ÆC)" xfId="12476"/>
    <cellStyle name="A¨­¢¬¢Ò [0]_2000¨ùOER " xfId="12477"/>
    <cellStyle name="A¨­￠￢￠O [0]_C¡IAo_AoAUAy¡ÆeC¡I" xfId="12478"/>
    <cellStyle name="A¨­￠￢￠O_¡¾aEⓒo¨oCLAN(AuA|A￠O¡ÆC)" xfId="12479"/>
    <cellStyle name="A¨­¢¬¢Ò_2000¨ùOER " xfId="12480"/>
    <cellStyle name="A¨­￠￢￠O_AoAUAy¡ÆeC¡I " xfId="12481"/>
    <cellStyle name="A￠R¡×￠R¨I￠RE￠Rⓒ­￠REO [0]_¡ER¡§￠R¡§I¡ER￠RE?￠RIiCoE¡§I￠RA" xfId="21558"/>
    <cellStyle name="A￠R¡×￠R¨I￠RE￠Rⓒ­￠REO_¡ER¡§￠R¡§I¡ER￠RE?￠RIiCoE¡§I￠RA" xfId="21559"/>
    <cellStyle name="A￠RERERER¡ERERER￠RERER￠RERE?￠RERERER￠RERER¡ERER￠RER￠RE?I￠RERERERE￠RERERER¡ERER￠RER¡ER¡E?I￠RERER￠RER¡ER￠R￠?I￠REREREREO [0]_¡ERERERER¡ERERER￠RERER¡ERER¡ERE?￠RERERER¡ERERER￠RERER¡ERER¡ERE?I¡ERERER￠RERER¡ERER¡ERE?¡ERERERI¡" xfId="21560"/>
    <cellStyle name="A￠RERERER¡ERERER￠RERER￠RERE?￠RERERER￠RERER¡ERER￠RER￠RE?I￠RERERERE￠RERERER¡ERER￠RER¡ER¡E?I￠RERER￠RER¡ER￠R￠?I￠REREREREO_¡ERERERER¡ERERER￠RERER¡ERER¡ERE?￠RERERER¡ERERER￠RERER¡ERER¡ERE?I¡ERERER￠RERER¡ERER¡ERE?¡ERERERI¡ERER" xfId="21561"/>
    <cellStyle name="À²_°æ¿µÁöÇ¥" xfId="12482"/>
    <cellStyle name="aa" xfId="12483"/>
    <cellStyle name="Aⓒ­" xfId="12484"/>
    <cellStyle name="Accent1" xfId="1143"/>
    <cellStyle name="Accent1 2" xfId="1144"/>
    <cellStyle name="Accent1 2 2" xfId="1145"/>
    <cellStyle name="Accent1 2 2 2" xfId="1146"/>
    <cellStyle name="Accent1 2 2 3" xfId="1147"/>
    <cellStyle name="Accent1 2 3" xfId="1148"/>
    <cellStyle name="Accent1 2 4" xfId="1149"/>
    <cellStyle name="Accent1 3" xfId="1150"/>
    <cellStyle name="Accent1 4" xfId="1151"/>
    <cellStyle name="Accent1 5" xfId="1152"/>
    <cellStyle name="Accent1 6" xfId="1153"/>
    <cellStyle name="Accent1_2011-3차 매각 작업(실사팀 송부용)_0712" xfId="12485"/>
    <cellStyle name="Accent2" xfId="1154"/>
    <cellStyle name="Accent2 2" xfId="1155"/>
    <cellStyle name="Accent2 2 2" xfId="1156"/>
    <cellStyle name="Accent2 2 2 2" xfId="1157"/>
    <cellStyle name="Accent2 2 2 3" xfId="1158"/>
    <cellStyle name="Accent2 2 3" xfId="1159"/>
    <cellStyle name="Accent2 2 4" xfId="1160"/>
    <cellStyle name="Accent2 3" xfId="1161"/>
    <cellStyle name="Accent2 4" xfId="1162"/>
    <cellStyle name="Accent2 5" xfId="1163"/>
    <cellStyle name="Accent2 6" xfId="1164"/>
    <cellStyle name="Accent2_2011-3차 매각 작업(실사팀 송부용)_0712" xfId="12486"/>
    <cellStyle name="Accent3" xfId="1165"/>
    <cellStyle name="Accent3 2" xfId="1166"/>
    <cellStyle name="Accent3 2 2" xfId="1167"/>
    <cellStyle name="Accent3 2 2 2" xfId="1168"/>
    <cellStyle name="Accent3 2 2 3" xfId="1169"/>
    <cellStyle name="Accent3 2 3" xfId="1170"/>
    <cellStyle name="Accent3 2 4" xfId="1171"/>
    <cellStyle name="Accent3 3" xfId="1172"/>
    <cellStyle name="Accent3 4" xfId="1173"/>
    <cellStyle name="Accent3 5" xfId="1174"/>
    <cellStyle name="Accent3 6" xfId="1175"/>
    <cellStyle name="Accent3_2011-3차 매각 작업(실사팀 송부용)_0712" xfId="12487"/>
    <cellStyle name="Accent4" xfId="1176"/>
    <cellStyle name="Accent4 2" xfId="1177"/>
    <cellStyle name="Accent4 2 2" xfId="1178"/>
    <cellStyle name="Accent4 2 2 2" xfId="1179"/>
    <cellStyle name="Accent4 2 2 3" xfId="1180"/>
    <cellStyle name="Accent4 2 3" xfId="1181"/>
    <cellStyle name="Accent4 2 4" xfId="1182"/>
    <cellStyle name="Accent4 3" xfId="1183"/>
    <cellStyle name="Accent4 4" xfId="1184"/>
    <cellStyle name="Accent4 5" xfId="1185"/>
    <cellStyle name="Accent4 6" xfId="1186"/>
    <cellStyle name="Accent4_2011-3차 매각 작업(실사팀 송부용)_0712" xfId="12488"/>
    <cellStyle name="Accent5" xfId="1187"/>
    <cellStyle name="Accent5 2" xfId="1188"/>
    <cellStyle name="Accent5 2 2" xfId="1189"/>
    <cellStyle name="Accent5 2 2 2" xfId="1190"/>
    <cellStyle name="Accent5 2 2 3" xfId="1191"/>
    <cellStyle name="Accent5 2 3" xfId="1192"/>
    <cellStyle name="Accent5 2 4" xfId="1193"/>
    <cellStyle name="Accent5 3" xfId="1194"/>
    <cellStyle name="Accent5 4" xfId="1195"/>
    <cellStyle name="Accent5 5" xfId="1196"/>
    <cellStyle name="Accent5 6" xfId="1197"/>
    <cellStyle name="Accent5_2011-3차 매각 작업(실사팀 송부용)_0712" xfId="12489"/>
    <cellStyle name="Accent6" xfId="1198"/>
    <cellStyle name="Accent6 2" xfId="1199"/>
    <cellStyle name="Accent6 2 2" xfId="1200"/>
    <cellStyle name="Accent6 2 2 2" xfId="1201"/>
    <cellStyle name="Accent6 2 2 3" xfId="1202"/>
    <cellStyle name="Accent6 2 3" xfId="1203"/>
    <cellStyle name="Accent6 2 4" xfId="1204"/>
    <cellStyle name="Accent6 3" xfId="1205"/>
    <cellStyle name="Accent6 4" xfId="1206"/>
    <cellStyle name="Accent6 5" xfId="1207"/>
    <cellStyle name="Accent6 6" xfId="1208"/>
    <cellStyle name="Accent6_2011-3차 매각 작업(실사팀 송부용)_0712" xfId="12490"/>
    <cellStyle name="active" xfId="12491"/>
    <cellStyle name="Actual Date" xfId="21562"/>
    <cellStyle name="add" xfId="21563"/>
    <cellStyle name="Ae" xfId="12492"/>
    <cellStyle name="Åëè­" xfId="1209"/>
    <cellStyle name="Aee­ " xfId="12493"/>
    <cellStyle name="Åëè­ [0]" xfId="1210"/>
    <cellStyle name="Åëè­ [0] 2" xfId="21564"/>
    <cellStyle name="AeE­ [0]_  A¾  CO  " xfId="12494"/>
    <cellStyle name="ÅëÈ­ [0]_(1.Åä)" xfId="12495"/>
    <cellStyle name="AeE­ [0]_(AO)AA¿μ 9703" xfId="12496"/>
    <cellStyle name="AëE­ [0]_´ëÇü±¸ " xfId="21565"/>
    <cellStyle name="ÅëÈ­ [0]_´ëÇü±¸ " xfId="21566"/>
    <cellStyle name="AeE­ [0]_¸AAa¿ø°¡AN°y" xfId="21567"/>
    <cellStyle name="ÅëÈ­ [0]_¿¬ÁÖ Eng'g ÇÁ·ÎÁ§Æ®ÆÀ " xfId="21568"/>
    <cellStyle name="AeE­ [0]_±aA¸" xfId="1211"/>
    <cellStyle name="ÅëÈ­ [0]_±âÅ¸" xfId="12497"/>
    <cellStyle name="AeE­ [0]_°eE¹_11¿a½A " xfId="12498"/>
    <cellStyle name="ÅëÈ­ [0]_°ü¸®¿ø°¡" xfId="21569"/>
    <cellStyle name="AëE­ [0]_°ü¸®Ç×¸n_3÷Á3o° " xfId="21570"/>
    <cellStyle name="AeE­ [0]_°u¸R¿ø°¡" xfId="21571"/>
    <cellStyle name="ÅëÈ­ [0]_µ¿ºÎ" xfId="21572"/>
    <cellStyle name="AeE­ [0]_¼oAa½CAu _~0001070" xfId="21573"/>
    <cellStyle name="ÅëÈ­ [0]_¼öÃâ½ÇÀû _~3474856" xfId="21574"/>
    <cellStyle name="AeE­ [0]_¼oAa½CAu _~4164184" xfId="21575"/>
    <cellStyle name="ÅëÈ­ [0]_¼öÃâ½ÇÀû _~8201603" xfId="21576"/>
    <cellStyle name="AeE­ [0]_¼oAa½CAu _10월" xfId="21577"/>
    <cellStyle name="ÅëÈ­ [0]_¼öÃâ½ÇÀû _11월매출" xfId="21578"/>
    <cellStyle name="AeE­ [0]_¼oAa½CAu _11월명세" xfId="21579"/>
    <cellStyle name="ÅëÈ­ [0]_¼öÃâ½ÇÀû _12월 매출명세서" xfId="21580"/>
    <cellStyle name="AeE­ [0]_¼oAa½CAu _12월명세서" xfId="21581"/>
    <cellStyle name="ÅëÈ­ [0]_¼öÃâ½ÇÀû _APL12" xfId="21582"/>
    <cellStyle name="AeE­ [0]_¼oAa½CAu _Book1" xfId="21583"/>
    <cellStyle name="ÅëÈ­ [0]_¼öÃâ½ÇÀû _CoGM2" xfId="21584"/>
    <cellStyle name="AeE­ [0]_¼oAa½CAu _FS0203(S)" xfId="21585"/>
    <cellStyle name="ÅëÈ­ [0]_¼öÃâ½ÇÀû _FS12감사후" xfId="21586"/>
    <cellStyle name="AeE­ [0]_¼oAa½CAu _USANCE이자(미지급비용)05" xfId="21587"/>
    <cellStyle name="ÅëÈ­ [0]_¼öÃâ½ÇÀû _결산서2001유형처분" xfId="21588"/>
    <cellStyle name="AeE­ [0]_¼oAa½CAu _구분BS,IS" xfId="21589"/>
    <cellStyle name="ÅëÈ­ [0]_¼öÃâ½ÇÀû _구분BS,IS" xfId="21590"/>
    <cellStyle name="AeE­ [0]_¼oAa½CAu _단기차입금" xfId="21591"/>
    <cellStyle name="ÅëÈ­ [0]_¼öÃâ½ÇÀû _시산표0111(CL-)" xfId="21592"/>
    <cellStyle name="AeE­ [0]_¼oAa½CAu _시산표0112(연말결산)-GAAD" xfId="21593"/>
    <cellStyle name="ÅëÈ­ [0]_¼öÃâ½ÇÀû _시산표0112(연말결산)-GAAD" xfId="21594"/>
    <cellStyle name="AeE­ [0]_¼oAa½CAu _시산표07" xfId="21595"/>
    <cellStyle name="ÅëÈ­ [0]_¼öÃâ½ÇÀû _시산표07" xfId="21596"/>
    <cellStyle name="AeE­ [0]_¼oAa½CAu _애라07" xfId="21597"/>
    <cellStyle name="ÅëÈ­ [0]_¼öÃâ½ÇÀû _원가자료(Aug.)" xfId="21598"/>
    <cellStyle name="AeE­ [0]_¼oAa½CAu _원가자료(July)" xfId="21599"/>
    <cellStyle name="ÅëÈ­ [0]_¼öÃâ½ÇÀû _원가자료(Oct.)" xfId="21600"/>
    <cellStyle name="AeE­ [0]_¼oAa½CAu _원가자료01" xfId="21601"/>
    <cellStyle name="ÅëÈ­ [0]_¼öÃâ½ÇÀû _원가자료01" xfId="21602"/>
    <cellStyle name="AeE­ [0]_¼oAa½CAu _유동성장기부채2002" xfId="21603"/>
    <cellStyle name="ÅëÈ­ [0]_¼öÃâ½ÇÀû _퇴충금0203" xfId="21604"/>
    <cellStyle name="AeE­ [0]_¼oAa½CAu _파생상품2002" xfId="21605"/>
    <cellStyle name="ÅëÈ­ [0]_¼öÀÔ " xfId="21606"/>
    <cellStyle name="AeE­ [0]_¼oAO _~0001070" xfId="21607"/>
    <cellStyle name="ÅëÈ­ [0]_¼öÀÔ _~0024614" xfId="21608"/>
    <cellStyle name="AeE­ [0]_¼oAO _~0028575" xfId="21609"/>
    <cellStyle name="ÅëÈ­ [0]_¼öÀÔ _~2850075" xfId="21610"/>
    <cellStyle name="AeE­ [0]_¼oAO _~4080998" xfId="21611"/>
    <cellStyle name="ÅëÈ­ [0]_¼öÀÔ _~6610738" xfId="21612"/>
    <cellStyle name="AeE­ [0]_¼oAO _~9198332" xfId="21613"/>
    <cellStyle name="ÅëÈ­ [0]_¼öÀÔ _APL12" xfId="21614"/>
    <cellStyle name="AeE­ [0]_¼oAO _CoGM2" xfId="21615"/>
    <cellStyle name="ÅëÈ­ [0]_¼öÀÔ _CoGM2" xfId="21616"/>
    <cellStyle name="AeE­ [0]_¼oAO _FS0203(S)" xfId="21617"/>
    <cellStyle name="ÅëÈ­ [0]_¼öÀÔ _FS12감사후" xfId="21618"/>
    <cellStyle name="AeE­ [0]_¼oAO _USANCE이자(미지급비용)05" xfId="21619"/>
    <cellStyle name="ÅëÈ­ [0]_¼öÀÔ _결산서" xfId="21620"/>
    <cellStyle name="AeE­ [0]_¼oAO _결산서2001유형처분" xfId="21621"/>
    <cellStyle name="ÅëÈ­ [0]_¼öÀÔ _결산서2001유형처분" xfId="21622"/>
    <cellStyle name="AeE­ [0]_¼oAO _결산서first" xfId="21623"/>
    <cellStyle name="ÅëÈ­ [0]_¼öÀÔ _경영분석10(PL)" xfId="21624"/>
    <cellStyle name="AeE­ [0]_¼oAO _구분BS,IS" xfId="21625"/>
    <cellStyle name="ÅëÈ­ [0]_¼öÀÔ _구분BS,IS" xfId="21626"/>
    <cellStyle name="AeE­ [0]_¼oAO _명세서" xfId="21627"/>
    <cellStyle name="ÅëÈ­ [0]_¼öÀÔ _명세서" xfId="21628"/>
    <cellStyle name="AeE­ [0]_¼oAO _명세서04" xfId="21629"/>
    <cellStyle name="ÅëÈ­ [0]_¼öÀÔ _시산표0111(클레임제외)" xfId="21630"/>
    <cellStyle name="AeE­ [0]_¼oAO _시산표0112(연말결산)-GAAD" xfId="21631"/>
    <cellStyle name="ÅëÈ­ [0]_¼öÀÔ _시산표0112(연말결산)-GAAD" xfId="21632"/>
    <cellStyle name="AeE­ [0]_¼oAO _시산표07" xfId="21633"/>
    <cellStyle name="ÅëÈ­ [0]_¼öÀÔ _시산표07" xfId="21634"/>
    <cellStyle name="AeE­ [0]_¼oAO _애라07" xfId="21635"/>
    <cellStyle name="ÅëÈ­ [0]_¼öÀÔ _원가명세(Aug.)" xfId="21636"/>
    <cellStyle name="AeE­ [0]_¼oAO _원가명세(Dec.)" xfId="21637"/>
    <cellStyle name="ÅëÈ­ [0]_¼öÀÔ _원가명세(Dec.)" xfId="21638"/>
    <cellStyle name="AeE­ [0]_¼oAO _원가명세(Jun.)" xfId="21639"/>
    <cellStyle name="ÅëÈ­ [0]_¼öÀÔ _원가명세(Jun.)" xfId="21640"/>
    <cellStyle name="AeE­ [0]_¼oAO _원가명세(Nov.)" xfId="21641"/>
    <cellStyle name="ÅëÈ­ [0]_¼öÀÔ _원가명세(Nov.)" xfId="21642"/>
    <cellStyle name="AeE­ [0]_¼oAO _원가명세(Oct.)" xfId="21643"/>
    <cellStyle name="ÅëÈ­ [0]_¼öÀÔ _원가명세(Oct.)" xfId="21644"/>
    <cellStyle name="AeE­ [0]_¼oAO _원가명세02" xfId="21645"/>
    <cellStyle name="ÅëÈ­ [0]_¼öÀÔ _원가명세02" xfId="21646"/>
    <cellStyle name="AeE­ [0]_¼oAO _원가명세11" xfId="21647"/>
    <cellStyle name="ÅëÈ­ [0]_¼öÀÔ _원가명세11" xfId="21648"/>
    <cellStyle name="AeE­ [0]_¼oAO _원가명세12" xfId="21649"/>
    <cellStyle name="ÅëÈ­ [0]_¼öÀÔ _원가명세12" xfId="21650"/>
    <cellStyle name="AeE­ [0]_¼oAO _원가자료(Aug.)" xfId="21651"/>
    <cellStyle name="ÅëÈ­ [0]_¼öÀÔ _원가자료(Aug.)" xfId="21652"/>
    <cellStyle name="AeE­ [0]_¼oAO _원가자료(Oct.)" xfId="21653"/>
    <cellStyle name="ÅëÈ­ [0]_¼öÀÔ _원가자료(Oct.)" xfId="21654"/>
    <cellStyle name="AeE­ [0]_¼oAO _원가자료(Sep.)" xfId="21655"/>
    <cellStyle name="ÅëÈ­ [0]_¼öÀÔ _원가자료(Sep.)" xfId="21656"/>
    <cellStyle name="AeE­ [0]_¼oAO _원가자료01" xfId="21657"/>
    <cellStyle name="ÅëÈ­ [0]_¼öÀÔ _원가자료01" xfId="21658"/>
    <cellStyle name="AeE­ [0]_¼oAO _퇴충금08" xfId="21659"/>
    <cellStyle name="ÅëÈ­ [0]_¼öÀÔ _퇴충금08" xfId="21660"/>
    <cellStyle name="AeE­ [0]_¼oAO _퇴충금10" xfId="21661"/>
    <cellStyle name="ÅëÈ­ [0]_¼öÀÔ _퇴충금10" xfId="21662"/>
    <cellStyle name="AeE­ [0]_¼oAO _현금과예금03" xfId="21663"/>
    <cellStyle name="ÅëÈ­ [0]_½ÂÀÎ¾÷Ã¼" xfId="1212"/>
    <cellStyle name="AeE­ [0]_¾aC°≫c¿eCoE² " xfId="12499"/>
    <cellStyle name="AëE­ [0]_1ÇAu " xfId="21664"/>
    <cellStyle name="ÅëÈ­ [0]_¹Ì¼ö¼öÀÍ" xfId="21665"/>
    <cellStyle name="AeE­ [0]_95³aAN°y¼o·R " xfId="12500"/>
    <cellStyle name="ÅëÈ­ [0]_97MBO" xfId="1213"/>
    <cellStyle name="AeE­ [0]_97MBO (2)" xfId="1214"/>
    <cellStyle name="ÅëÈ­ [0]_97MBO (2)" xfId="1215"/>
    <cellStyle name="AeE­ [0]_97MBO (2) 10" xfId="12501"/>
    <cellStyle name="ÅëÈ­ [0]_97MBO (2) 2" xfId="12502"/>
    <cellStyle name="AeE­ [0]_A¾CO½A¼³ " xfId="21666"/>
    <cellStyle name="AëE­ [0]_Aç°í°ü¸® " xfId="21667"/>
    <cellStyle name="ÅëÈ­ [0]_Àç°í°ü¸® " xfId="21668"/>
    <cellStyle name="AëE­ [0]_Aç°í°ü¸®  2" xfId="21669"/>
    <cellStyle name="ÅëÈ­ [0]_Àç°í°ü¸®  2" xfId="21670"/>
    <cellStyle name="AëE­ [0]_Aç°í°ü¸®  2 2" xfId="21671"/>
    <cellStyle name="ÅëÈ­ [0]_Àç°í°ü¸®  2 2" xfId="21672"/>
    <cellStyle name="AëE­ [0]_Aç°í°ü¸®  3" xfId="21673"/>
    <cellStyle name="ÅëÈ­ [0]_Àç°í°ü¸®  3" xfId="21674"/>
    <cellStyle name="AeE­ [0]_AMT " xfId="12503"/>
    <cellStyle name="ÅëÈ­ [0]_Áõ±Ç Project" xfId="1216"/>
    <cellStyle name="AeE­ [0]_Ao±C Project 10" xfId="12504"/>
    <cellStyle name="ÅëÈ­ [0]_Áõ±Ç Project 2" xfId="12505"/>
    <cellStyle name="AeE­ [0]_COºI project" xfId="12506"/>
    <cellStyle name="ÅëÈ­ [0]_ÇÒºÎ project" xfId="1217"/>
    <cellStyle name="AeE­ [0]_COºI project 10" xfId="12507"/>
    <cellStyle name="ÅëÈ­ [0]_ÇÒºÎ project 2" xfId="12508"/>
    <cellStyle name="AeE­ [0]_INQUIRY ¿μ¾÷AßAø " xfId="12509"/>
    <cellStyle name="ÅëÈ­ [0]_L601CPT" xfId="12510"/>
    <cellStyle name="AeE­ [0]_laroux_1" xfId="1218"/>
    <cellStyle name="ÅëÈ­ [0]_laroux_1" xfId="1219"/>
    <cellStyle name="AeE­ [0]_laroux_1 10" xfId="12511"/>
    <cellStyle name="ÅëÈ­ [0]_laroux_1 2" xfId="12512"/>
    <cellStyle name="AeE­ [0]_laroux_1_공장별차입금배부(01.1.31)_비교" xfId="21675"/>
    <cellStyle name="ÅëÈ­ [0]_laroux_1_공장별차입금배부(01.1.31)_비교" xfId="21676"/>
    <cellStyle name="AeE­ [0]_laroux_1_미지급 선급(021031)" xfId="21677"/>
    <cellStyle name="ÅëÈ­ [0]_laroux_1_미지급 선급(021031)" xfId="21678"/>
    <cellStyle name="AeE­ [0]_laroux_1_미지급 선급(021231)" xfId="21679"/>
    <cellStyle name="ÅëÈ­ [0]_laroux_1_미지급 선급(021231)" xfId="21680"/>
    <cellStyle name="AeE­ [0]_laroux_1_신용공여액 신고 대사자료" xfId="21681"/>
    <cellStyle name="ÅëÈ­ [0]_laroux_1_신용공여액 신고 대사자료" xfId="21682"/>
    <cellStyle name="AeE­ [0]_laroux_1_신용공여액 신고 대사자료_미지급 선급(021031)" xfId="21683"/>
    <cellStyle name="ÅëÈ­ [0]_laroux_1_신용공여액 신고 대사자료_미지급 선급(021031)" xfId="21684"/>
    <cellStyle name="AeE­ [0]_laroux_1_신용공여액 신고 대사자료_미지급 선급(021231)" xfId="21685"/>
    <cellStyle name="ÅëÈ­ [0]_laroux_1_신용공여액 신고 대사자료_미지급 선급(021231)" xfId="21686"/>
    <cellStyle name="AeE­ [0]_laroux_1_최종배분표(한빛은행)_020614" xfId="21687"/>
    <cellStyle name="ÅëÈ­ [0]_laroux_1_최종배분표(한빛은행)_020614" xfId="21688"/>
    <cellStyle name="AeE­ [0]_laroux_1_최종배분표(한빛은행)_020617" xfId="21689"/>
    <cellStyle name="ÅëÈ­ [0]_laroux_1_최종배분표(한빛은행)_020617" xfId="21690"/>
    <cellStyle name="AeE­ [0]_laroux_2" xfId="12513"/>
    <cellStyle name="ÅëÈ­ [0]_laroux_2" xfId="1220"/>
    <cellStyle name="AeE­ [0]_laroux_3" xfId="1221"/>
    <cellStyle name="ÅëÈ­ [0]_laroux_3" xfId="1222"/>
    <cellStyle name="AeE­ [0]_laroux_3 10" xfId="12514"/>
    <cellStyle name="ÅëÈ­ [0]_laroux_3 2" xfId="12515"/>
    <cellStyle name="AeE­ [0]_laroux_4" xfId="12516"/>
    <cellStyle name="ÅëÈ­ [0]_laroux_4" xfId="1223"/>
    <cellStyle name="AeE­ [0]_laroux_5" xfId="1224"/>
    <cellStyle name="ÅëÈ­ [0]_laroux_5" xfId="1225"/>
    <cellStyle name="AeE­ [0]_MBO_0" xfId="1226"/>
    <cellStyle name="ÅëÈ­ [0]_MBO_0" xfId="1227"/>
    <cellStyle name="AeE­ [0]_MBO_0 10" xfId="12517"/>
    <cellStyle name="ÅëÈ­ [0]_MBO_0 2" xfId="12518"/>
    <cellStyle name="AeE­ [0]_MBO96_1" xfId="12519"/>
    <cellStyle name="ÅëÈ­ [0]_MBO96_1" xfId="1228"/>
    <cellStyle name="AeE­ [0]_MBO96_1 10" xfId="12520"/>
    <cellStyle name="ÅëÈ­ [0]_MBO96_1 2" xfId="12521"/>
    <cellStyle name="AeE­ [0]_º≫¼± ±æ¾i±uºI ¼o·R Ay°eC￥ " xfId="12522"/>
    <cellStyle name="ÅëÈ­ [0]_RESULTS" xfId="12523"/>
    <cellStyle name="AeE­ [0]_Sheet2" xfId="21691"/>
    <cellStyle name="ÅëÈ­ [0]_Sheet2" xfId="21692"/>
    <cellStyle name="AeE­ [0]_Sheet2_공장별차입금배부(01.1.31)_비교" xfId="21693"/>
    <cellStyle name="ÅëÈ­ [0]_Sheet2_공장별차입금배부(01.1.31)_비교" xfId="21694"/>
    <cellStyle name="AeE­ [0]_Sheet2_공장별차입금배부(01.1.31)_비교_미지급 선급(021031)" xfId="21695"/>
    <cellStyle name="ÅëÈ­ [0]_Sheet2_공장별차입금배부(01.1.31)_비교_미지급 선급(021031)" xfId="21696"/>
    <cellStyle name="AeE­ [0]_Sheet2_공장별차입금배부(01.1.31)_비교_미지급 선급(021231)" xfId="21697"/>
    <cellStyle name="ÅëÈ­ [0]_Sheet2_공장별차입금배부(01.1.31)_비교_미지급 선급(021231)" xfId="21698"/>
    <cellStyle name="AeE­ [0]_Sheet2_미지급 선급(021031)" xfId="21699"/>
    <cellStyle name="ÅëÈ­ [0]_Sheet2_미지급 선급(021031)" xfId="21700"/>
    <cellStyle name="AeE­ [0]_Sheet2_미지급 선급(021231)" xfId="21701"/>
    <cellStyle name="ÅëÈ­ [0]_Sheet2_미지급 선급(021231)" xfId="21702"/>
    <cellStyle name="AeE­ [0]_Sheet2_신용공여액 신고 대사자료" xfId="21703"/>
    <cellStyle name="ÅëÈ­ [0]_Sheet2_신용공여액 신고 대사자료" xfId="21704"/>
    <cellStyle name="AeE­ [0]_Sheet2_신용공여액 신고 대사자료_미지급 선급(021031)" xfId="21705"/>
    <cellStyle name="ÅëÈ­ [0]_Sheet2_신용공여액 신고 대사자료_미지급 선급(021031)" xfId="21706"/>
    <cellStyle name="AeE­ [0]_Sheet2_신용공여액 신고 대사자료_미지급 선급(021231)" xfId="21707"/>
    <cellStyle name="ÅëÈ­ [0]_Sheet2_신용공여액 신고 대사자료_미지급 선급(021231)" xfId="21708"/>
    <cellStyle name="AeE­ [0]_Sheet2_최종배분표(한빛은행)_020614" xfId="21709"/>
    <cellStyle name="ÅëÈ­ [0]_Sheet2_최종배분표(한빛은행)_020614" xfId="21710"/>
    <cellStyle name="AeE­ [0]_Sheet2_최종배분표(한빛은행)_020614_미지급 선급(021031)" xfId="21711"/>
    <cellStyle name="ÅëÈ­ [0]_Sheet2_최종배분표(한빛은행)_020614_미지급 선급(021031)" xfId="21712"/>
    <cellStyle name="AeE­ [0]_Sheet2_최종배분표(한빛은행)_020614_미지급 선급(021231)" xfId="21713"/>
    <cellStyle name="ÅëÈ­ [0]_Sheet2_최종배분표(한빛은행)_020614_미지급 선급(021231)" xfId="21714"/>
    <cellStyle name="AeE­ [0]_Sheet2_최종배분표(한빛은행)_020617" xfId="21715"/>
    <cellStyle name="ÅëÈ­ [0]_Sheet2_최종배분표(한빛은행)_020617" xfId="21716"/>
    <cellStyle name="AeE­ [0]_Sheet2_최종배분표(한빛은행)_020617_미지급 선급(021031)" xfId="21717"/>
    <cellStyle name="ÅëÈ­ [0]_Sheet2_최종배분표(한빛은행)_020617_미지급 선급(021031)" xfId="21718"/>
    <cellStyle name="AeE­ [0]_Sheet2_최종배분표(한빛은행)_020617_미지급 선급(021231)" xfId="21719"/>
    <cellStyle name="ÅëÈ­ [0]_Sheet2_최종배분표(한빛은행)_020617_미지급 선급(021231)" xfId="21720"/>
    <cellStyle name="AëE­ [0]_SP 1°µ?1× ?ÜÁÖ " xfId="21721"/>
    <cellStyle name="ÅëÈ­ [0]_SP ¹°µ¿¹× ¿ÜÁÖ " xfId="21722"/>
    <cellStyle name="AeE­ [0]_SP ¹°μ¿¹× ¿UAO " xfId="21723"/>
    <cellStyle name="Aee­ _(20060126)-투자심의" xfId="12524"/>
    <cellStyle name="Åëè­ 2" xfId="21724"/>
    <cellStyle name="Åëè­ 3" xfId="21725"/>
    <cellStyle name="Åëè­ 4" xfId="21726"/>
    <cellStyle name="AeE?[0]_97 ?? " xfId="21727"/>
    <cellStyle name="AeE?97 ?? " xfId="21728"/>
    <cellStyle name="AeE?97?a?u? " xfId="21729"/>
    <cellStyle name="AeE?97Ae?A? " xfId="21730"/>
    <cellStyle name="AeE?98Ae?A? " xfId="21731"/>
    <cellStyle name="AeE?AoAUAy캿C? " xfId="21732"/>
    <cellStyle name="AeE?C?Ao_AoAUAy캿C? " xfId="21733"/>
    <cellStyle name="AeE?CASH FLOW " xfId="21734"/>
    <cellStyle name="ÅëÈ­_      " xfId="12525"/>
    <cellStyle name="AeE­_  A¾  CO  " xfId="12526"/>
    <cellStyle name="ÅëÈ­_(1.Åä)" xfId="12527"/>
    <cellStyle name="AeE­_(AO)AA¿μ 9703" xfId="12528"/>
    <cellStyle name="ÅëÈ­_´ëÂ÷´ëÁ¶" xfId="21735"/>
    <cellStyle name="AeE­_´eAN°yC￥ " xfId="21736"/>
    <cellStyle name="AëE­_´ëÇü±¸ " xfId="21737"/>
    <cellStyle name="ÅëÈ­_´ëÇü±¸ " xfId="21738"/>
    <cellStyle name="AeE­_¸AAa¿ø°¡AN°y" xfId="21739"/>
    <cellStyle name="ÅëÈ­_¿¬ÁÖ Eng'g ÇÁ·ÎÁ§Æ®ÆÀ " xfId="21740"/>
    <cellStyle name="AeE­_±aA¸" xfId="1229"/>
    <cellStyle name="ÅëÈ­_±âÅ¸" xfId="12529"/>
    <cellStyle name="AeE­_°eE¹_11¿a½A " xfId="12530"/>
    <cellStyle name="ÅëÈ­_°ü¸®¿ø°¡" xfId="21741"/>
    <cellStyle name="AëE­_°ü¸®Ç×¸n_3÷Á3o° " xfId="21742"/>
    <cellStyle name="AeE­_°u¸R¿ø°¡" xfId="21743"/>
    <cellStyle name="ÅëÈ­_µ¿ºÎ" xfId="12531"/>
    <cellStyle name="AeE­_¼oAa½CAu " xfId="12532"/>
    <cellStyle name="ÅëÈ­_¼öÃâ½ÇÀû _~0001070" xfId="21744"/>
    <cellStyle name="AeE­_¼oAa½CAu _~0008020" xfId="21745"/>
    <cellStyle name="ÅëÈ­_¼öÃâ½ÇÀû _~0008020" xfId="21746"/>
    <cellStyle name="AeE­_¼oAa½CAu _~0014230" xfId="21747"/>
    <cellStyle name="ÅëÈ­_¼öÃâ½ÇÀû _~0014230" xfId="21748"/>
    <cellStyle name="AeE­_¼oAa½CAu _~0023478" xfId="21749"/>
    <cellStyle name="ÅëÈ­_¼öÃâ½ÇÀû _~0023478" xfId="21750"/>
    <cellStyle name="AeE­_¼oAa½CAu _~0024614" xfId="21751"/>
    <cellStyle name="ÅëÈ­_¼öÃâ½ÇÀû _~0024614" xfId="21752"/>
    <cellStyle name="AeE­_¼oAa½CAu _~0028575" xfId="21753"/>
    <cellStyle name="ÅëÈ­_¼öÃâ½ÇÀû _~0028575" xfId="21754"/>
    <cellStyle name="AeE­_¼oAa½CAu _~0033004" xfId="21755"/>
    <cellStyle name="ÅëÈ­_¼öÃâ½ÇÀû _~0033004" xfId="21756"/>
    <cellStyle name="AeE­_¼oAa½CAu _~0041327" xfId="21757"/>
    <cellStyle name="ÅëÈ­_¼öÃâ½ÇÀû _~0041327" xfId="21758"/>
    <cellStyle name="AeE­_¼oAa½CAu _~0041748" xfId="21759"/>
    <cellStyle name="ÅëÈ­_¼öÃâ½ÇÀû _~0041748" xfId="21760"/>
    <cellStyle name="AeE­_¼oAa½CAu _~0047758" xfId="21761"/>
    <cellStyle name="ÅëÈ­_¼öÃâ½ÇÀû _~0047758" xfId="21762"/>
    <cellStyle name="AeE­_¼oAa½CAu _~0061957" xfId="21763"/>
    <cellStyle name="ÅëÈ­_¼öÃâ½ÇÀû _~0061957" xfId="21764"/>
    <cellStyle name="AeE­_¼oAa½CAu _~0468386" xfId="21765"/>
    <cellStyle name="ÅëÈ­_¼öÃâ½ÇÀû _~1005118" xfId="21766"/>
    <cellStyle name="AeE­_¼oAa½CAu _~2568305" xfId="21767"/>
    <cellStyle name="ÅëÈ­_¼öÃâ½ÇÀû _~2568305" xfId="21768"/>
    <cellStyle name="AeE­_¼oAa½CAu _~3474856" xfId="21769"/>
    <cellStyle name="ÅëÈ­_¼öÃâ½ÇÀû _~3474856" xfId="21770"/>
    <cellStyle name="AeE­_¼oAa½CAu _~4112068" xfId="21771"/>
    <cellStyle name="ÅëÈ­_¼öÃâ½ÇÀû _~4112068" xfId="21772"/>
    <cellStyle name="AeE­_¼oAa½CAu _~4164184" xfId="21773"/>
    <cellStyle name="ÅëÈ­_¼öÃâ½ÇÀû _~4164184" xfId="21774"/>
    <cellStyle name="AeE­_¼oAa½CAu _~4644378" xfId="21775"/>
    <cellStyle name="ÅëÈ­_¼öÃâ½ÇÀû _~4644378" xfId="21776"/>
    <cellStyle name="AeE­_¼oAa½CAu _~5937231" xfId="21777"/>
    <cellStyle name="ÅëÈ­_¼öÃâ½ÇÀû _~5937231" xfId="21778"/>
    <cellStyle name="AeE­_¼oAa½CAu _~6086544" xfId="21779"/>
    <cellStyle name="ÅëÈ­_¼öÃâ½ÇÀû _~6086544" xfId="21780"/>
    <cellStyle name="AeE­_¼oAa½CAu _~6610738" xfId="21781"/>
    <cellStyle name="ÅëÈ­_¼öÃâ½ÇÀû _~6610738" xfId="21782"/>
    <cellStyle name="AeE­_¼oAa½CAu _~7493862" xfId="21783"/>
    <cellStyle name="ÅëÈ­_¼öÃâ½ÇÀû _~7493862" xfId="21784"/>
    <cellStyle name="AeE­_¼oAa½CAu _~7890322" xfId="21785"/>
    <cellStyle name="ÅëÈ­_¼öÃâ½ÇÀû _~7890322" xfId="21786"/>
    <cellStyle name="AeE­_¼oAa½CAu _~8201603" xfId="21787"/>
    <cellStyle name="ÅëÈ­_¼öÃâ½ÇÀû _~8201603" xfId="21788"/>
    <cellStyle name="AeE­_¼oAa½CAu _~8586242" xfId="21789"/>
    <cellStyle name="ÅëÈ­_¼öÃâ½ÇÀû _~8586242" xfId="21790"/>
    <cellStyle name="AeE­_¼oAa½CAu _~9010915" xfId="21791"/>
    <cellStyle name="ÅëÈ­_¼öÃâ½ÇÀû _01품목별매출현황" xfId="21792"/>
    <cellStyle name="AeE­_¼oAa½CAu _10월" xfId="21793"/>
    <cellStyle name="ÅëÈ­_¼öÃâ½ÇÀû _10월명세서" xfId="21794"/>
    <cellStyle name="AeE­_¼oAa½CAu _11월명세" xfId="21795"/>
    <cellStyle name="ÅëÈ­_¼öÃâ½ÇÀû _11월명세서" xfId="21796"/>
    <cellStyle name="AeE­_¼oAa½CAu _12월" xfId="21797"/>
    <cellStyle name="ÅëÈ­_¼öÃâ½ÇÀû _12월 매출명세서" xfId="21798"/>
    <cellStyle name="AeE­_¼oAa½CAu _1월 가수명세서" xfId="21799"/>
    <cellStyle name="ÅëÈ­_¼öÃâ½ÇÀû _2002.02" xfId="21800"/>
    <cellStyle name="AeE­_¼oAa½CAu _2002.11명세서" xfId="21801"/>
    <cellStyle name="ÅëÈ­_¼öÃâ½ÇÀû _2002.11명세서" xfId="21802"/>
    <cellStyle name="AeE­_¼oAa½CAu _4월명세서" xfId="21803"/>
    <cellStyle name="ÅëÈ­_¼öÃâ½ÇÀû _4월명세서" xfId="21804"/>
    <cellStyle name="AeE­_¼oAa½CAu _6월명세서" xfId="21805"/>
    <cellStyle name="ÅëÈ­_¼öÃâ½ÇÀû _6월명세서" xfId="21806"/>
    <cellStyle name="AeE­_¼oAa½CAu _7월" xfId="21807"/>
    <cellStyle name="ÅëÈ­_¼öÃâ½ÇÀû _7월명세서제출" xfId="21808"/>
    <cellStyle name="AeE­_¼oAa½CAu _8월" xfId="21809"/>
    <cellStyle name="ÅëÈ­_¼öÃâ½ÇÀû _8월명세서" xfId="21810"/>
    <cellStyle name="AeE­_¼oAa½CAu _99결산" xfId="21811"/>
    <cellStyle name="ÅëÈ­_¼öÃâ½ÇÀû _99결산" xfId="21812"/>
    <cellStyle name="AeE­_¼oAa½CAu _99결산 (2)" xfId="21813"/>
    <cellStyle name="ÅëÈ­_¼öÃâ½ÇÀû _99결산 (2)" xfId="21814"/>
    <cellStyle name="AeE­_¼oAa½CAu _99결산 (2)_~0008020" xfId="21815"/>
    <cellStyle name="ÅëÈ­_¼öÃâ½ÇÀû _99결산 (2)_~0008020" xfId="21816"/>
    <cellStyle name="AeE­_¼oAa½CAu _99결산 (2)_~0023478" xfId="21817"/>
    <cellStyle name="ÅëÈ­_¼öÃâ½ÇÀû _99결산 (2)_~0023478" xfId="21818"/>
    <cellStyle name="AeE­_¼oAa½CAu _99결산 (2)_~0028575" xfId="21819"/>
    <cellStyle name="ÅëÈ­_¼öÃâ½ÇÀû _99결산 (2)_~0028575" xfId="21820"/>
    <cellStyle name="AeE­_¼oAa½CAu _99결산 (2)_~0033004" xfId="21821"/>
    <cellStyle name="ÅëÈ­_¼öÃâ½ÇÀû _99결산 (2)_~0033004" xfId="21822"/>
    <cellStyle name="AeE­_¼oAa½CAu _99결산 (2)_~0041327" xfId="21823"/>
    <cellStyle name="ÅëÈ­_¼öÃâ½ÇÀû _99결산 (2)_~0041327" xfId="21824"/>
    <cellStyle name="AeE­_¼oAa½CAu _99결산 (2)_~0041748" xfId="21825"/>
    <cellStyle name="ÅëÈ­_¼öÃâ½ÇÀû _99결산 (2)_~0041748" xfId="21826"/>
    <cellStyle name="AeE­_¼oAa½CAu _99결산 (2)_~0047758" xfId="21827"/>
    <cellStyle name="ÅëÈ­_¼öÃâ½ÇÀû _99결산 (2)_~0047758" xfId="21828"/>
    <cellStyle name="AeE­_¼oAa½CAu _99결산 (2)_~0058556" xfId="21829"/>
    <cellStyle name="ÅëÈ­_¼öÃâ½ÇÀû _99결산 (2)_~0058556" xfId="21830"/>
    <cellStyle name="AeE­_¼oAa½CAu _99결산 (2)_~0061957" xfId="21831"/>
    <cellStyle name="ÅëÈ­_¼öÃâ½ÇÀû _99결산 (2)_~0061957" xfId="21832"/>
    <cellStyle name="AeE­_¼oAa½CAu _99결산 (2)_~0883834" xfId="21833"/>
    <cellStyle name="ÅëÈ­_¼öÃâ½ÇÀû _99결산 (2)_~0883834" xfId="21834"/>
    <cellStyle name="AeE­_¼oAa½CAu _99결산 (2)_~1005118" xfId="21835"/>
    <cellStyle name="ÅëÈ­_¼öÃâ½ÇÀû _99결산 (2)_~1005118" xfId="21836"/>
    <cellStyle name="AeE­_¼oAa½CAu _99결산 (2)_~2387715" xfId="21837"/>
    <cellStyle name="ÅëÈ­_¼öÃâ½ÇÀû _99결산 (2)_~2387715" xfId="21838"/>
    <cellStyle name="AeE­_¼oAa½CAu _99결산 (2)_~2568305" xfId="21839"/>
    <cellStyle name="ÅëÈ­_¼öÃâ½ÇÀû _99결산 (2)_~2568305" xfId="21840"/>
    <cellStyle name="AeE­_¼oAa½CAu _99결산 (2)_~3374048" xfId="21841"/>
    <cellStyle name="ÅëÈ­_¼öÃâ½ÇÀû _99결산 (2)_~3374048" xfId="21842"/>
    <cellStyle name="AeE­_¼oAa½CAu _99결산 (2)_~3941577" xfId="21843"/>
    <cellStyle name="ÅëÈ­_¼öÃâ½ÇÀû _99결산 (2)_~3941577" xfId="21844"/>
    <cellStyle name="AeE­_¼oAa½CAu _99결산 (2)_~4080998" xfId="21845"/>
    <cellStyle name="ÅëÈ­_¼öÃâ½ÇÀû _99결산 (2)_~4080998" xfId="21846"/>
    <cellStyle name="AeE­_¼oAa½CAu _99결산 (2)_~4164184" xfId="21847"/>
    <cellStyle name="ÅëÈ­_¼öÃâ½ÇÀû _99결산 (2)_~4164184" xfId="21848"/>
    <cellStyle name="AeE­_¼oAa½CAu _99결산 (2)_~5937231" xfId="21849"/>
    <cellStyle name="ÅëÈ­_¼öÃâ½ÇÀû _99결산 (2)_~5937231" xfId="21850"/>
    <cellStyle name="AeE­_¼oAa½CAu _99결산 (2)_~6086544" xfId="21851"/>
    <cellStyle name="ÅëÈ­_¼öÃâ½ÇÀû _99결산 (2)_~6086544" xfId="21852"/>
    <cellStyle name="AeE­_¼oAa½CAu _99결산 (2)_~7042345" xfId="21853"/>
    <cellStyle name="ÅëÈ­_¼öÃâ½ÇÀû _99결산 (2)_~7042345" xfId="21854"/>
    <cellStyle name="AeE­_¼oAa½CAu _99결산 (2)_~7493862" xfId="21855"/>
    <cellStyle name="ÅëÈ­_¼öÃâ½ÇÀû _99결산 (2)_~7493862" xfId="21856"/>
    <cellStyle name="AeE­_¼oAa½CAu _99결산 (2)_~7656697" xfId="21857"/>
    <cellStyle name="ÅëÈ­_¼öÃâ½ÇÀû _99결산 (2)_~7656697" xfId="21858"/>
    <cellStyle name="AeE­_¼oAa½CAu _99결산 (2)_~7789554" xfId="21859"/>
    <cellStyle name="ÅëÈ­_¼öÃâ½ÇÀû _99결산 (2)_~7789554" xfId="21860"/>
    <cellStyle name="AeE­_¼oAa½CAu _99결산 (2)_~7890322" xfId="21861"/>
    <cellStyle name="ÅëÈ­_¼öÃâ½ÇÀû _99결산 (2)_~7890322" xfId="21862"/>
    <cellStyle name="AeE­_¼oAa½CAu _99결산 (2)_~7966799" xfId="21863"/>
    <cellStyle name="ÅëÈ­_¼öÃâ½ÇÀû _99결산 (2)_~7966799" xfId="21864"/>
    <cellStyle name="AeE­_¼oAa½CAu _99결산 (2)_~9198332" xfId="21865"/>
    <cellStyle name="ÅëÈ­_¼öÃâ½ÇÀû _99결산 (2)_~9198332" xfId="21866"/>
    <cellStyle name="AeE­_¼oAa½CAu _99결산 (2)_~9799706" xfId="21867"/>
    <cellStyle name="ÅëÈ­_¼öÃâ½ÇÀû _99결산 (2)_~9799706" xfId="21868"/>
    <cellStyle name="AeE­_¼oAa½CAu _99결산 (2)_05외화미지급이자" xfId="21869"/>
    <cellStyle name="ÅëÈ­_¼öÃâ½ÇÀû _99결산 (2)_05외화미지급이자" xfId="21870"/>
    <cellStyle name="AeE­_¼oAa½CAu _99결산 (2)_06외화미지급이자" xfId="21871"/>
    <cellStyle name="ÅëÈ­_¼öÃâ½ÇÀû _99결산 (2)_06외화미지급이자" xfId="21872"/>
    <cellStyle name="AeE­_¼oAa½CAu _99결산 (2)_07외화미지급이자" xfId="21873"/>
    <cellStyle name="ÅëÈ­_¼öÃâ½ÇÀû _99결산 (2)_07외화미지급이자" xfId="21874"/>
    <cellStyle name="AeE­_¼oAa½CAu _99결산 (2)_09외화미지급이자" xfId="21875"/>
    <cellStyle name="ÅëÈ­_¼öÃâ½ÇÀû _99결산 (2)_09외화미지급이자" xfId="21876"/>
    <cellStyle name="AeE­_¼oAa½CAu _99결산 (2)_10월명세서" xfId="21877"/>
    <cellStyle name="ÅëÈ­_¼öÃâ½ÇÀû _99결산 (2)_10월명세서" xfId="21878"/>
    <cellStyle name="AeE­_¼oAa½CAu _99결산 (2)_10월명세서수정" xfId="21879"/>
    <cellStyle name="ÅëÈ­_¼öÃâ½ÇÀû _99결산 (2)_10월명세서수정" xfId="21880"/>
    <cellStyle name="AeE­_¼oAa½CAu _99결산 (2)_11월명세서" xfId="21881"/>
    <cellStyle name="ÅëÈ­_¼öÃâ½ÇÀû _99결산 (2)_11월명세서" xfId="21882"/>
    <cellStyle name="AeE­_¼oAa½CAu _99결산 (2)_12월명세서" xfId="21883"/>
    <cellStyle name="ÅëÈ­_¼öÃâ½ÇÀû _99결산 (2)_12월명세서" xfId="21884"/>
    <cellStyle name="AeE­_¼oAa½CAu _99결산 (2)_2002.02" xfId="21885"/>
    <cellStyle name="ÅëÈ­_¼öÃâ½ÇÀû _99결산 (2)_2002.02" xfId="21886"/>
    <cellStyle name="AeE­_¼oAa½CAu _99결산 (2)_2002.11명세서" xfId="21887"/>
    <cellStyle name="ÅëÈ­_¼öÃâ½ÇÀû _99결산 (2)_2002.11명세서" xfId="21888"/>
    <cellStyle name="AeE­_¼oAa½CAu _99결산 (2)_4월명세서" xfId="21889"/>
    <cellStyle name="ÅëÈ­_¼öÃâ½ÇÀû _99결산 (2)_4월명세서" xfId="21890"/>
    <cellStyle name="AeE­_¼oAa½CAu _99결산 (2)_5월명세서" xfId="21891"/>
    <cellStyle name="ÅëÈ­_¼öÃâ½ÇÀû _99결산 (2)_5월명세서" xfId="21892"/>
    <cellStyle name="AeE­_¼oAa½CAu _99결산 (2)_6월명세서" xfId="21893"/>
    <cellStyle name="ÅëÈ­_¼öÃâ½ÇÀû _99결산 (2)_6월명세서" xfId="21894"/>
    <cellStyle name="AeE­_¼oAa½CAu _99결산 (2)_7월명세서" xfId="21895"/>
    <cellStyle name="ÅëÈ­_¼öÃâ½ÇÀû _99결산 (2)_7월명세서" xfId="21896"/>
    <cellStyle name="AeE­_¼oAa½CAu _99결산 (2)_7월명세서제출" xfId="21897"/>
    <cellStyle name="ÅëÈ­_¼öÃâ½ÇÀû _99결산 (2)_7월명세서제출" xfId="21898"/>
    <cellStyle name="AeE­_¼oAa½CAu _99결산 (2)_8월명세서" xfId="21899"/>
    <cellStyle name="ÅëÈ­_¼öÃâ½ÇÀû _99결산 (2)_8월명세서" xfId="21900"/>
    <cellStyle name="AeE­_¼oAa½CAu _99결산 (2)_9월명세서" xfId="21901"/>
    <cellStyle name="ÅëÈ­_¼öÃâ½ÇÀû _99결산 (2)_9월명세서" xfId="21902"/>
    <cellStyle name="AeE­_¼oAa½CAu _99결산 (2)_ABS0201" xfId="21903"/>
    <cellStyle name="ÅëÈ­_¼öÃâ½ÇÀû _99결산 (2)_ABS0201" xfId="21904"/>
    <cellStyle name="AeE­_¼oAa½CAu _99결산 (2)_ABS0202" xfId="21905"/>
    <cellStyle name="ÅëÈ­_¼öÃâ½ÇÀû _99결산 (2)_ABS0202" xfId="21906"/>
    <cellStyle name="AeE­_¼oAa½CAu _99결산 (2)_ABS0202_BS0202" xfId="21907"/>
    <cellStyle name="ÅëÈ­_¼öÃâ½ÇÀû _99결산 (2)_ABS0202_BS0202" xfId="21908"/>
    <cellStyle name="AeE­_¼oAa½CAu _99결산 (2)_ABS0202_미수수익0203B" xfId="21909"/>
    <cellStyle name="ÅëÈ­_¼öÃâ½ÇÀû _99결산 (2)_ABS0202_미수수익0203B" xfId="21910"/>
    <cellStyle name="AeE­_¼oAa½CAu _99결산 (2)_ABS0202_미수수익0206" xfId="21911"/>
    <cellStyle name="ÅëÈ­_¼öÃâ½ÇÀû _99결산 (2)_ABS0202_미수수익0206" xfId="21912"/>
    <cellStyle name="AeE­_¼oAa½CAu _99결산 (2)_ABS0202_미수수익0209a" xfId="21913"/>
    <cellStyle name="ÅëÈ­_¼öÃâ½ÇÀû _99결산 (2)_ABS0202_미수수익0209a" xfId="21914"/>
    <cellStyle name="AeE­_¼oAa½CAu _99결산 (2)_ABS0202_미수수익0212" xfId="21915"/>
    <cellStyle name="ÅëÈ­_¼öÃâ½ÇÀû _99결산 (2)_ABS0202_미수수익0212" xfId="21916"/>
    <cellStyle name="AeE­_¼oAa½CAu _99결산 (2)_ABS12" xfId="21917"/>
    <cellStyle name="ÅëÈ­_¼öÃâ½ÇÀû _99결산 (2)_ABS12" xfId="21918"/>
    <cellStyle name="AeE­_¼oAa½CAu _99결산 (2)_APL0201" xfId="21919"/>
    <cellStyle name="ÅëÈ­_¼öÃâ½ÇÀû _99결산 (2)_APL0201" xfId="21920"/>
    <cellStyle name="AeE­_¼oAa½CAu _99결산 (2)_APL12" xfId="21921"/>
    <cellStyle name="ÅëÈ­_¼öÃâ½ÇÀû _99결산 (2)_APL12" xfId="21922"/>
    <cellStyle name="AeE­_¼oAa½CAu _99결산 (2)_ASUP0202A" xfId="21923"/>
    <cellStyle name="ÅëÈ­_¼öÃâ½ÇÀû _99결산 (2)_ASUP0202A" xfId="21924"/>
    <cellStyle name="AeE­_¼oAa½CAu _99결산 (2)_ASUP0202B" xfId="21925"/>
    <cellStyle name="ÅëÈ­_¼öÃâ½ÇÀû _99결산 (2)_ASUP0202B" xfId="21926"/>
    <cellStyle name="AeE­_¼oAa½CAu _99결산 (2)_ASUP11" xfId="21927"/>
    <cellStyle name="ÅëÈ­_¼öÃâ½ÇÀû _99결산 (2)_ASUP11" xfId="21928"/>
    <cellStyle name="AeE­_¼oAa½CAu _99결산 (2)_Book1" xfId="21929"/>
    <cellStyle name="ÅëÈ­_¼öÃâ½ÇÀû _99결산 (2)_Book1" xfId="21930"/>
    <cellStyle name="AeE­_¼oAa½CAu _99결산 (2)_BS0201" xfId="21931"/>
    <cellStyle name="ÅëÈ­_¼öÃâ½ÇÀû _99결산 (2)_BS0201" xfId="21932"/>
    <cellStyle name="AeE­_¼oAa½CAu _99결산 (2)_BS0202" xfId="21933"/>
    <cellStyle name="ÅëÈ­_¼öÃâ½ÇÀû _99결산 (2)_BS0202" xfId="21934"/>
    <cellStyle name="AeE­_¼oAa½CAu _99결산 (2)_BS0203" xfId="21935"/>
    <cellStyle name="ÅëÈ­_¼öÃâ½ÇÀû _99결산 (2)_BS0203" xfId="21936"/>
    <cellStyle name="AeE­_¼oAa½CAu _99결산 (2)_BS0206" xfId="21937"/>
    <cellStyle name="ÅëÈ­_¼öÃâ½ÇÀû _99결산 (2)_BS0206" xfId="21938"/>
    <cellStyle name="AeE­_¼oAa½CAu _99결산 (2)_BS0208" xfId="21939"/>
    <cellStyle name="ÅëÈ­_¼öÃâ½ÇÀû _99결산 (2)_BS0208" xfId="21940"/>
    <cellStyle name="AeE­_¼oAa½CAu _99결산 (2)_BS0209" xfId="21941"/>
    <cellStyle name="ÅëÈ­_¼öÃâ½ÇÀû _99결산 (2)_BS0209" xfId="21942"/>
    <cellStyle name="AeE­_¼oAa½CAu _99결산 (2)_Foreign0209" xfId="21943"/>
    <cellStyle name="ÅëÈ­_¼öÃâ½ÇÀû _99결산 (2)_Foreign0209" xfId="21944"/>
    <cellStyle name="AeE­_¼oAa½CAu _99결산 (2)_USANCE이자(미지급비용)05" xfId="21945"/>
    <cellStyle name="ÅëÈ­_¼öÃâ½ÇÀû _99결산 (2)_USANCE이자(미지급비용)05" xfId="21946"/>
    <cellStyle name="AeE­_¼oAa½CAu _99결산 (2)_USANCE이자(미지급비용)06" xfId="21947"/>
    <cellStyle name="ÅëÈ­_¼öÃâ½ÇÀû _99결산 (2)_USANCE이자(미지급비용)06" xfId="21948"/>
    <cellStyle name="AeE­_¼oAa½CAu _99결산 (2)_USANCE이자(미지급비용)07" xfId="21949"/>
    <cellStyle name="ÅëÈ­_¼öÃâ½ÇÀû _99결산 (2)_USANCE이자(미지급비용)07" xfId="21950"/>
    <cellStyle name="AeE­_¼oAa½CAu _99결산 (2)_USANCE이자(미지급비용)08" xfId="21951"/>
    <cellStyle name="ÅëÈ­_¼öÃâ½ÇÀû _99결산 (2)_USANCE이자(미지급비용)08" xfId="21952"/>
    <cellStyle name="AeE­_¼oAa½CAu _99결산 (2)_USANCE이자(미지급비용)10" xfId="21953"/>
    <cellStyle name="ÅëÈ­_¼öÃâ½ÇÀû _99결산 (2)_USANCE이자(미지급비용)10" xfId="21954"/>
    <cellStyle name="AeE­_¼oAa½CAu _99결산 (2)_건가200112" xfId="21955"/>
    <cellStyle name="ÅëÈ­_¼öÃâ½ÇÀû _99결산 (2)_건가200112" xfId="21956"/>
    <cellStyle name="AeE­_¼oAa½CAu _99결산 (2)_건가2002" xfId="21957"/>
    <cellStyle name="ÅëÈ­_¼öÃâ½ÇÀû _99결산 (2)_건가2002" xfId="21958"/>
    <cellStyle name="AeE­_¼oAa½CAu _99결산 (2)_경영분석05" xfId="21959"/>
    <cellStyle name="ÅëÈ­_¼öÃâ½ÇÀû _99결산 (2)_경영분석05" xfId="21960"/>
    <cellStyle name="AeE­_¼oAa½CAu _99결산 (2)_경영분석05(BS)" xfId="21961"/>
    <cellStyle name="ÅëÈ­_¼öÃâ½ÇÀû _99결산 (2)_경영분석05(BS)" xfId="21962"/>
    <cellStyle name="AeE­_¼oAa½CAu _99결산 (2)_경영분석05(BS)_APL0201" xfId="21963"/>
    <cellStyle name="ÅëÈ­_¼öÃâ½ÇÀû _99결산 (2)_경영분석05(BS)_APL0201" xfId="21964"/>
    <cellStyle name="AeE­_¼oAa½CAu _99결산 (2)_경영분석05(BS)_APL12" xfId="21965"/>
    <cellStyle name="ÅëÈ­_¼öÃâ½ÇÀû _99결산 (2)_경영분석05(BS)_APL12" xfId="21966"/>
    <cellStyle name="AeE­_¼oAa½CAu _99결산 (2)_경영분석05(BS)_경영분석05(PL)" xfId="21967"/>
    <cellStyle name="ÅëÈ­_¼öÃâ½ÇÀû _99결산 (2)_경영분석05(BS)_경영분석05(PL)" xfId="21968"/>
    <cellStyle name="AeE­_¼oAa½CAu _99결산 (2)_경영분석05(PL)" xfId="21969"/>
    <cellStyle name="ÅëÈ­_¼öÃâ½ÇÀû _99결산 (2)_경영분석05(PL)" xfId="21970"/>
    <cellStyle name="AeE­_¼oAa½CAu _99결산 (2)_경영분석05(TO)" xfId="21971"/>
    <cellStyle name="ÅëÈ­_¼öÃâ½ÇÀû _99결산 (2)_경영분석05(TO)" xfId="21972"/>
    <cellStyle name="AeE­_¼oAa½CAu _99결산 (2)_경영분석05(별첨)" xfId="21973"/>
    <cellStyle name="ÅëÈ­_¼öÃâ½ÇÀû _99결산 (2)_경영분석05(별첨)" xfId="21974"/>
    <cellStyle name="AeE­_¼oAa½CAu _99결산 (2)_경영분석07(별첨)" xfId="21975"/>
    <cellStyle name="ÅëÈ­_¼öÃâ½ÇÀû _99결산 (2)_경영분석07(별첨)" xfId="21976"/>
    <cellStyle name="AeE­_¼oAa½CAu _99결산 (2)_경영분석10(PL)" xfId="21977"/>
    <cellStyle name="ÅëÈ­_¼öÃâ½ÇÀû _99결산 (2)_경영분석10(PL)" xfId="21978"/>
    <cellStyle name="AeE­_¼oAa½CAu _99결산 (2)_단기차입금" xfId="21979"/>
    <cellStyle name="ÅëÈ­_¼öÃâ½ÇÀû _99결산 (2)_단기차입금" xfId="21980"/>
    <cellStyle name="AeE­_¼oAa½CAu _99결산 (2)_단기차입금(KRW)08" xfId="21981"/>
    <cellStyle name="ÅëÈ­_¼öÃâ½ÇÀû _99결산 (2)_단기차입금(KRW)08" xfId="21982"/>
    <cellStyle name="AeE­_¼oAa½CAu _99결산 (2)_단기차입금(KRW)09" xfId="21983"/>
    <cellStyle name="ÅëÈ­_¼öÃâ½ÇÀû _99결산 (2)_단기차입금(KRW)09" xfId="21984"/>
    <cellStyle name="AeE­_¼oAa½CAu _99결산 (2)_단기차입금(KRW)10" xfId="21985"/>
    <cellStyle name="ÅëÈ­_¼öÃâ½ÇÀû _99결산 (2)_단기차입금(KRW)10" xfId="21986"/>
    <cellStyle name="AeE­_¼oAa½CAu _99결산 (2)_단기차입금(KRW)11" xfId="21987"/>
    <cellStyle name="ÅëÈ­_¼öÃâ½ÇÀû _99결산 (2)_단기차입금(KRW)11" xfId="21988"/>
    <cellStyle name="AeE­_¼oAa½CAu _99결산 (2)_단기차입금(원화)" xfId="21989"/>
    <cellStyle name="ÅëÈ­_¼öÃâ½ÇÀû _99결산 (2)_단기차입금(원화)" xfId="21990"/>
    <cellStyle name="AeE­_¼oAa½CAu _99결산 (2)_단기차입금2002" xfId="21991"/>
    <cellStyle name="ÅëÈ­_¼öÃâ½ÇÀû _99결산 (2)_단기차입금2002" xfId="21992"/>
    <cellStyle name="AeE­_¼oAa½CAu _99결산 (2)_단체예치금2002" xfId="21993"/>
    <cellStyle name="ÅëÈ­_¼öÃâ½ÇÀû _99결산 (2)_단체예치금2002" xfId="21994"/>
    <cellStyle name="AeE­_¼oAa½CAu _99결산 (2)_단퇴200112" xfId="21995"/>
    <cellStyle name="ÅëÈ­_¼öÃâ½ÇÀû _99결산 (2)_단퇴200112" xfId="21996"/>
    <cellStyle name="AeE­_¼oAa½CAu _99결산 (2)_명세서05" xfId="21997"/>
    <cellStyle name="ÅëÈ­_¼öÃâ½ÇÀû _99결산 (2)_명세서05" xfId="21998"/>
    <cellStyle name="AeE­_¼oAa½CAu _99결산 (2)_미수금2002" xfId="21999"/>
    <cellStyle name="ÅëÈ­_¼öÃâ½ÇÀû _99결산 (2)_미수금2002" xfId="22000"/>
    <cellStyle name="AeE­_¼oAa½CAu _99결산 (2)_미수수익0203B" xfId="22001"/>
    <cellStyle name="ÅëÈ­_¼öÃâ½ÇÀû _99결산 (2)_미수수익0203B" xfId="22002"/>
    <cellStyle name="AeE­_¼oAa½CAu _99결산 (2)_미지급금2002" xfId="22003"/>
    <cellStyle name="ÅëÈ­_¼öÃâ½ÇÀû _99결산 (2)_미지급금2002" xfId="22004"/>
    <cellStyle name="AeE­_¼oAa½CAu _99결산 (2)_미지급비용2002" xfId="22005"/>
    <cellStyle name="ÅëÈ­_¼öÃâ½ÇÀû _99결산 (2)_미지급비용2002" xfId="22006"/>
    <cellStyle name="AeE­_¼oAa½CAu _99결산 (2)_보증금2002" xfId="22007"/>
    <cellStyle name="ÅëÈ­_¼öÃâ½ÇÀû _99결산 (2)_보증금2002" xfId="22008"/>
    <cellStyle name="AeE­_¼oAa½CAu _99결산 (2)_선급비용2002" xfId="22009"/>
    <cellStyle name="ÅëÈ­_¼öÃâ½ÇÀû _99결산 (2)_선급비용2002" xfId="22010"/>
    <cellStyle name="AeE­_¼oAa½CAu _99결산 (2)_선수수익2002" xfId="22011"/>
    <cellStyle name="ÅëÈ­_¼öÃâ½ÇÀû _99결산 (2)_선수수익2002" xfId="22012"/>
    <cellStyle name="AeE­_¼oAa½CAu _99결산 (2)_애라07" xfId="22013"/>
    <cellStyle name="ÅëÈ­_¼öÃâ½ÇÀû _99결산 (2)_애라07" xfId="22014"/>
    <cellStyle name="AeE­_¼oAa½CAu _99결산 (2)_외상매입금(AP)2002" xfId="22015"/>
    <cellStyle name="ÅëÈ­_¼öÃâ½ÇÀû _99결산 (2)_외상매입금(AP)2002" xfId="22016"/>
    <cellStyle name="AeE­_¼oAa½CAu _99결산 (2)_외상매입금2002" xfId="22017"/>
    <cellStyle name="ÅëÈ­_¼öÃâ½ÇÀû _99결산 (2)_외상매입금2002" xfId="22018"/>
    <cellStyle name="AeE­_¼oAa½CAu _99결산 (2)_외화미지급이자01" xfId="22019"/>
    <cellStyle name="ÅëÈ­_¼öÃâ½ÇÀû _99결산 (2)_외화미지급이자01" xfId="22020"/>
    <cellStyle name="AeE­_¼oAa½CAu _99결산 (2)_외화외상매입금2002" xfId="22021"/>
    <cellStyle name="ÅëÈ­_¼öÃâ½ÇÀû _99결산 (2)_외화외상매입금2002" xfId="22022"/>
    <cellStyle name="AeE­_¼oAa½CAu _99결산 (2)_외화외상평가0201" xfId="22023"/>
    <cellStyle name="ÅëÈ­_¼öÃâ½ÇÀû _99결산 (2)_외화외상평가0201" xfId="22024"/>
    <cellStyle name="AeE­_¼oAa½CAu _99결산 (2)_외화차입금" xfId="22025"/>
    <cellStyle name="ÅëÈ­_¼öÃâ½ÇÀû _99결산 (2)_외화차입금" xfId="22026"/>
    <cellStyle name="AeE­_¼oAa½CAu _99결산 (2)_외화차입금04" xfId="22027"/>
    <cellStyle name="ÅëÈ­_¼öÃâ½ÇÀû _99결산 (2)_외화차입금04" xfId="22028"/>
    <cellStyle name="AeE­_¼oAa½CAu _99결산 (2)_외화차입금10" xfId="22029"/>
    <cellStyle name="ÅëÈ­_¼öÃâ½ÇÀû _99결산 (2)_외화차입금10" xfId="22030"/>
    <cellStyle name="AeE­_¼oAa½CAu _99결산 (2)_외화환산손익07(부채)" xfId="22031"/>
    <cellStyle name="ÅëÈ­_¼öÃâ½ÇÀû _99결산 (2)_외화환산손익07(부채)" xfId="22032"/>
    <cellStyle name="AeE­_¼oAa½CAu _99결산 (2)_외화환산손익09(부채)A" xfId="22033"/>
    <cellStyle name="ÅëÈ­_¼öÃâ½ÇÀû _99결산 (2)_외화환산손익09(부채)A" xfId="22034"/>
    <cellStyle name="AeE­_¼oAa½CAu _99결산 (2)_유동성장기부채2002" xfId="22035"/>
    <cellStyle name="ÅëÈ­_¼öÃâ½ÇÀû _99결산 (2)_유동성장기부채2002" xfId="22036"/>
    <cellStyle name="AeE­_¼oAa½CAu _99결산 (2)_은행미지급금" xfId="22037"/>
    <cellStyle name="ÅëÈ­_¼öÃâ½ÇÀû _99결산 (2)_은행미지급금" xfId="22038"/>
    <cellStyle name="AeE­_¼oAa½CAu _99결산 (2)_은행미지급금2002" xfId="22039"/>
    <cellStyle name="ÅëÈ­_¼öÃâ½ÇÀû _99결산 (2)_은행미지급금2002" xfId="22040"/>
    <cellStyle name="AeE­_¼oAa½CAu _99결산 (2)_임대자산2002" xfId="22041"/>
    <cellStyle name="ÅëÈ­_¼öÃâ½ÇÀû _99결산 (2)_임대자산2002" xfId="22042"/>
    <cellStyle name="AeE­_¼oAa½CAu _99결산 (2)_자본현황2002" xfId="22043"/>
    <cellStyle name="ÅëÈ­_¼öÃâ½ÇÀû _99결산 (2)_자본현황2002" xfId="22044"/>
    <cellStyle name="AeE­_¼oAa½CAu _99결산 (2)_장기미지급금2002" xfId="22045"/>
    <cellStyle name="ÅëÈ­_¼öÃâ½ÇÀû _99결산 (2)_장기미지급금2002" xfId="22046"/>
    <cellStyle name="AeE­_¼oAa½CAu _99결산 (2)_장기차입금2002" xfId="22047"/>
    <cellStyle name="ÅëÈ­_¼öÃâ½ÇÀû _99결산 (2)_장기차입금2002" xfId="22048"/>
    <cellStyle name="AeE­_¼oAa½CAu _99결산 (2)_종업원퇴직보험금2002" xfId="22049"/>
    <cellStyle name="ÅëÈ­_¼öÃâ½ÇÀû _99결산 (2)_종업원퇴직보험금2002" xfId="22050"/>
    <cellStyle name="AeE­_¼oAa½CAu _99결산 (2)_지급어음2002" xfId="22051"/>
    <cellStyle name="ÅëÈ­_¼öÃâ½ÇÀû _99결산 (2)_지급어음2002" xfId="22052"/>
    <cellStyle name="AeE­_¼oAa½CAu _99결산 (2)_퇴직급여충당금2002" xfId="22053"/>
    <cellStyle name="ÅëÈ­_¼öÃâ½ÇÀû _99결산 (2)_퇴직급여충당금2002" xfId="22054"/>
    <cellStyle name="AeE­_¼oAa½CAu _99결산 (2)_퇴직보험금2002" xfId="22055"/>
    <cellStyle name="ÅëÈ­_¼öÃâ½ÇÀû _99결산 (2)_퇴직보험금2002" xfId="22056"/>
    <cellStyle name="AeE­_¼oAa½CAu _99결산 (2)_퇴직전환금2002" xfId="22057"/>
    <cellStyle name="ÅëÈ­_¼öÃâ½ÇÀû _99결산 (2)_퇴직전환금2002" xfId="22058"/>
    <cellStyle name="AeE­_¼oAa½CAu _99결산 (2)_파생상품2002" xfId="22059"/>
    <cellStyle name="ÅëÈ­_¼öÃâ½ÇÀû _99결산 (2)_파생상품2002" xfId="22060"/>
    <cellStyle name="AeE­_¼oAa½CAu _99결산 (2)_현금과예금03" xfId="22061"/>
    <cellStyle name="ÅëÈ­_¼öÃâ½ÇÀû _99결산 (2)_현금과예금03" xfId="22062"/>
    <cellStyle name="AeE­_¼oAa½CAu _99결산_~0028575" xfId="22063"/>
    <cellStyle name="ÅëÈ­_¼öÃâ½ÇÀû _99결산_~0028575" xfId="22064"/>
    <cellStyle name="AeE­_¼oAa½CAu _99결산_~0058556" xfId="22065"/>
    <cellStyle name="ÅëÈ­_¼öÃâ½ÇÀû _99결산_~0058556" xfId="22066"/>
    <cellStyle name="AeE­_¼oAa½CAu _99결산_~0883834" xfId="22067"/>
    <cellStyle name="ÅëÈ­_¼öÃâ½ÇÀû _99결산_~0883834" xfId="22068"/>
    <cellStyle name="AeE­_¼oAa½CAu _99결산_~1052377" xfId="22069"/>
    <cellStyle name="ÅëÈ­_¼öÃâ½ÇÀû _99결산_~2568305" xfId="22070"/>
    <cellStyle name="AeE­_¼oAa½CAu _99결산_~3374048" xfId="22071"/>
    <cellStyle name="ÅëÈ­_¼öÃâ½ÇÀû _99결산_~3374048" xfId="22072"/>
    <cellStyle name="AeE­_¼oAa½CAu _99결산_~3941577" xfId="22073"/>
    <cellStyle name="ÅëÈ­_¼öÃâ½ÇÀû _99결산_~3941577" xfId="22074"/>
    <cellStyle name="AeE­_¼oAa½CAu _99결산_~7042345" xfId="22075"/>
    <cellStyle name="ÅëÈ­_¼öÃâ½ÇÀû _99결산_~7042345" xfId="22076"/>
    <cellStyle name="AeE­_¼oAa½CAu _99결산_~7656697" xfId="22077"/>
    <cellStyle name="ÅëÈ­_¼öÃâ½ÇÀû _99결산_~7656697" xfId="22078"/>
    <cellStyle name="AeE­_¼oAa½CAu _99결산_~7966799" xfId="22079"/>
    <cellStyle name="ÅëÈ­_¼öÃâ½ÇÀû _99결산_~7966799" xfId="22080"/>
    <cellStyle name="AeE­_¼oAa½CAu _99결산_~9010915" xfId="22081"/>
    <cellStyle name="ÅëÈ­_¼öÃâ½ÇÀû _99결산_~9198332" xfId="22082"/>
    <cellStyle name="AeE­_¼oAa½CAu _99결산_~9799706" xfId="22083"/>
    <cellStyle name="ÅëÈ­_¼öÃâ½ÇÀû _99결산_~9799706" xfId="22084"/>
    <cellStyle name="AeE­_¼oAa½CAu _99결산_05외화미지급이자" xfId="22085"/>
    <cellStyle name="ÅëÈ­_¼öÃâ½ÇÀû _99결산_05외화미지급이자" xfId="22086"/>
    <cellStyle name="AeE­_¼oAa½CAu _99결산_06외화미지급이자" xfId="22087"/>
    <cellStyle name="ÅëÈ­_¼öÃâ½ÇÀû _99결산_06외화미지급이자" xfId="22088"/>
    <cellStyle name="AeE­_¼oAa½CAu _99결산_07외화미지급이자" xfId="22089"/>
    <cellStyle name="ÅëÈ­_¼öÃâ½ÇÀû _99결산_07외화미지급이자" xfId="22090"/>
    <cellStyle name="AeE­_¼oAa½CAu _99결산_09외화미지급이자" xfId="22091"/>
    <cellStyle name="ÅëÈ­_¼öÃâ½ÇÀû _99결산_09외화미지급이자" xfId="22092"/>
    <cellStyle name="AeE­_¼oAa½CAu _99결산_12월" xfId="22093"/>
    <cellStyle name="ÅëÈ­_¼öÃâ½ÇÀû _99결산_12월명세서" xfId="22094"/>
    <cellStyle name="AeE­_¼oAa½CAu _99결산_5월" xfId="22095"/>
    <cellStyle name="ÅëÈ­_¼öÃâ½ÇÀû _99결산_6월명세서" xfId="22096"/>
    <cellStyle name="AeE­_¼oAa½CAu _99결산_8월" xfId="22097"/>
    <cellStyle name="ÅëÈ­_¼öÃâ½ÇÀû _99결산_8월명세서" xfId="22098"/>
    <cellStyle name="AeE­_¼oAa½CAu _99결산_9월" xfId="22099"/>
    <cellStyle name="ÅëÈ­_¼öÃâ½ÇÀû _99결산_9월명세서" xfId="22100"/>
    <cellStyle name="AeE­_¼oAa½CAu _99결산_ABS0202" xfId="22101"/>
    <cellStyle name="ÅëÈ­_¼öÃâ½ÇÀû _99결산_ABS0202" xfId="22102"/>
    <cellStyle name="AeE­_¼oAa½CAu _99결산_ASUP0202A" xfId="22103"/>
    <cellStyle name="ÅëÈ­_¼öÃâ½ÇÀû _99결산_ASUP0202A" xfId="22104"/>
    <cellStyle name="AeE­_¼oAa½CAu _99결산_ASUP0202B" xfId="22105"/>
    <cellStyle name="ÅëÈ­_¼öÃâ½ÇÀû _99결산_ASUP0202B" xfId="22106"/>
    <cellStyle name="AeE­_¼oAa½CAu _99결산_BS0203" xfId="22107"/>
    <cellStyle name="ÅëÈ­_¼öÃâ½ÇÀû _99결산_BS0203" xfId="22108"/>
    <cellStyle name="AeE­_¼oAa½CAu _99결산_BS0208" xfId="22109"/>
    <cellStyle name="ÅëÈ­_¼öÃâ½ÇÀû _99결산_BS0208" xfId="22110"/>
    <cellStyle name="AeE­_¼oAa½CAu _99결산_BS0209" xfId="22111"/>
    <cellStyle name="ÅëÈ­_¼öÃâ½ÇÀû _99결산_BS0209" xfId="22112"/>
    <cellStyle name="AeE­_¼oAa½CAu _99결산_Foreign0209" xfId="22113"/>
    <cellStyle name="ÅëÈ­_¼öÃâ½ÇÀû _99결산_Foreign0209" xfId="22114"/>
    <cellStyle name="AeE­_¼oAa½CAu _99결산_USANCE이자(미지급비용)05" xfId="22115"/>
    <cellStyle name="ÅëÈ­_¼öÃâ½ÇÀû _99결산_USANCE이자(미지급비용)05" xfId="22116"/>
    <cellStyle name="AeE­_¼oAa½CAu _99결산_USANCE이자(미지급비용)06" xfId="22117"/>
    <cellStyle name="ÅëÈ­_¼öÃâ½ÇÀû _99결산_USANCE이자(미지급비용)06" xfId="22118"/>
    <cellStyle name="AeE­_¼oAa½CAu _99결산_USANCE이자(미지급비용)07" xfId="22119"/>
    <cellStyle name="ÅëÈ­_¼öÃâ½ÇÀû _99결산_USANCE이자(미지급비용)07" xfId="22120"/>
    <cellStyle name="AeE­_¼oAa½CAu _99결산_USANCE이자(미지급비용)08" xfId="22121"/>
    <cellStyle name="ÅëÈ­_¼öÃâ½ÇÀû _99결산_USANCE이자(미지급비용)08" xfId="22122"/>
    <cellStyle name="AeE­_¼oAa½CAu _99결산_USANCE이자(미지급비용)10" xfId="22123"/>
    <cellStyle name="ÅëÈ­_¼öÃâ½ÇÀû _99결산_USANCE이자(미지급비용)10" xfId="22124"/>
    <cellStyle name="AeE­_¼oAa½CAu _99결산_경영분석05(별첨)" xfId="22125"/>
    <cellStyle name="ÅëÈ­_¼öÃâ½ÇÀû _99결산_경영분석05(별첨)" xfId="22126"/>
    <cellStyle name="AeE­_¼oAa½CAu _99결산_받을어음(9월)" xfId="22127"/>
    <cellStyle name="ÅëÈ­_¼öÃâ½ÇÀû _99결산_보증금2002" xfId="22128"/>
    <cellStyle name="AeE­_¼oAa½CAu _99결산_외상매입금(AP)2002" xfId="22129"/>
    <cellStyle name="ÅëÈ­_¼öÃâ½ÇÀû _99결산_외상매입금(AP)2002" xfId="22130"/>
    <cellStyle name="AeE­_¼oAa½CAu _99결산_외화외상매입금2002" xfId="22131"/>
    <cellStyle name="ÅëÈ­_¼öÃâ½ÇÀû _99결산_외화외상매입금2002" xfId="22132"/>
    <cellStyle name="AeE­_¼oAa½CAu _99결산_외화외상평가0201" xfId="22133"/>
    <cellStyle name="ÅëÈ­_¼öÃâ½ÇÀû _99결산_외화외상평가0201" xfId="22134"/>
    <cellStyle name="AeE­_¼oAa½CAu _99결산_외화차입금" xfId="22135"/>
    <cellStyle name="ÅëÈ­_¼öÃâ½ÇÀû _99결산_외화차입금" xfId="22136"/>
    <cellStyle name="AeE­_¼oAa½CAu _99결산_외화차입금04" xfId="22137"/>
    <cellStyle name="ÅëÈ­_¼öÃâ½ÇÀû _99결산_외화차입금04" xfId="22138"/>
    <cellStyle name="AeE­_¼oAa½CAu _99결산_외화환산손익09(부채)A" xfId="22139"/>
    <cellStyle name="ÅëÈ­_¼öÃâ½ÇÀû _99결산_외화환산손익09(부채)A" xfId="22140"/>
    <cellStyle name="AeE­_¼oAa½CAu _99결산_혜영07" xfId="22141"/>
    <cellStyle name="ÅëÈ­_¼öÃâ½ÇÀû _99결산서" xfId="22142"/>
    <cellStyle name="AeE­_¼oAa½CAu _99결산서_~0008020" xfId="22143"/>
    <cellStyle name="ÅëÈ­_¼öÃâ½ÇÀû _99결산서_~0008020" xfId="22144"/>
    <cellStyle name="AeE­_¼oAa½CAu _99결산서_~0023478" xfId="22145"/>
    <cellStyle name="ÅëÈ­_¼öÃâ½ÇÀû _99결산서_~0023478" xfId="22146"/>
    <cellStyle name="AeE­_¼oAa½CAu _99결산서_~0028575" xfId="22147"/>
    <cellStyle name="ÅëÈ­_¼öÃâ½ÇÀû _99결산서_~0028575" xfId="22148"/>
    <cellStyle name="AeE­_¼oAa½CAu _99결산서_~0033004" xfId="22149"/>
    <cellStyle name="ÅëÈ­_¼öÃâ½ÇÀû _99결산서_~0033004" xfId="22150"/>
    <cellStyle name="AeE­_¼oAa½CAu _99결산서_~0041327" xfId="22151"/>
    <cellStyle name="ÅëÈ­_¼öÃâ½ÇÀû _99결산서_~0041327" xfId="22152"/>
    <cellStyle name="AeE­_¼oAa½CAu _99결산서_~0041748" xfId="22153"/>
    <cellStyle name="ÅëÈ­_¼öÃâ½ÇÀû _99결산서_~0041748" xfId="22154"/>
    <cellStyle name="AeE­_¼oAa½CAu _99결산서_~0047758" xfId="22155"/>
    <cellStyle name="ÅëÈ­_¼öÃâ½ÇÀû _99결산서_~0047758" xfId="22156"/>
    <cellStyle name="AeE­_¼oAa½CAu _99결산서_~0058556" xfId="22157"/>
    <cellStyle name="ÅëÈ­_¼öÃâ½ÇÀû _99결산서_~0058556" xfId="22158"/>
    <cellStyle name="AeE­_¼oAa½CAu _99결산서_~0061957" xfId="22159"/>
    <cellStyle name="ÅëÈ­_¼öÃâ½ÇÀû _99결산서_~0061957" xfId="22160"/>
    <cellStyle name="AeE­_¼oAa½CAu _99결산서_~0883834" xfId="22161"/>
    <cellStyle name="ÅëÈ­_¼öÃâ½ÇÀû _99결산서_~0883834" xfId="22162"/>
    <cellStyle name="AeE­_¼oAa½CAu _99결산서_~1005118" xfId="22163"/>
    <cellStyle name="ÅëÈ­_¼öÃâ½ÇÀû _99결산서_~1005118" xfId="22164"/>
    <cellStyle name="AeE­_¼oAa½CAu _99결산서_~2387715" xfId="22165"/>
    <cellStyle name="ÅëÈ­_¼öÃâ½ÇÀû _99결산서_~2387715" xfId="22166"/>
    <cellStyle name="AeE­_¼oAa½CAu _99결산서_~2568305" xfId="22167"/>
    <cellStyle name="ÅëÈ­_¼öÃâ½ÇÀû _99결산서_~2568305" xfId="22168"/>
    <cellStyle name="AeE­_¼oAa½CAu _99결산서_~3374048" xfId="22169"/>
    <cellStyle name="ÅëÈ­_¼öÃâ½ÇÀû _99결산서_~3374048" xfId="22170"/>
    <cellStyle name="AeE­_¼oAa½CAu _99결산서_~3941577" xfId="22171"/>
    <cellStyle name="ÅëÈ­_¼öÃâ½ÇÀû _99결산서_~3941577" xfId="22172"/>
    <cellStyle name="AeE­_¼oAa½CAu _99결산서_~4080998" xfId="22173"/>
    <cellStyle name="ÅëÈ­_¼öÃâ½ÇÀû _99결산서_~4080998" xfId="22174"/>
    <cellStyle name="AeE­_¼oAa½CAu _99결산서_~4164184" xfId="22175"/>
    <cellStyle name="ÅëÈ­_¼öÃâ½ÇÀû _99결산서_~4164184" xfId="22176"/>
    <cellStyle name="AeE­_¼oAa½CAu _99결산서_~5937231" xfId="22177"/>
    <cellStyle name="ÅëÈ­_¼öÃâ½ÇÀû _99결산서_~5937231" xfId="22178"/>
    <cellStyle name="AeE­_¼oAa½CAu _99결산서_~6086544" xfId="22179"/>
    <cellStyle name="ÅëÈ­_¼öÃâ½ÇÀû _99결산서_~6086544" xfId="22180"/>
    <cellStyle name="AeE­_¼oAa½CAu _99결산서_~7042345" xfId="22181"/>
    <cellStyle name="ÅëÈ­_¼öÃâ½ÇÀû _99결산서_~7042345" xfId="22182"/>
    <cellStyle name="AeE­_¼oAa½CAu _99결산서_~7493862" xfId="22183"/>
    <cellStyle name="ÅëÈ­_¼öÃâ½ÇÀû _99결산서_~7493862" xfId="22184"/>
    <cellStyle name="AeE­_¼oAa½CAu _99결산서_~7656697" xfId="22185"/>
    <cellStyle name="ÅëÈ­_¼öÃâ½ÇÀû _99결산서_~7656697" xfId="22186"/>
    <cellStyle name="AeE­_¼oAa½CAu _99결산서_~7789554" xfId="22187"/>
    <cellStyle name="ÅëÈ­_¼öÃâ½ÇÀû _99결산서_~7789554" xfId="22188"/>
    <cellStyle name="AeE­_¼oAa½CAu _99결산서_~7890322" xfId="22189"/>
    <cellStyle name="ÅëÈ­_¼öÃâ½ÇÀû _99결산서_~7890322" xfId="22190"/>
    <cellStyle name="AeE­_¼oAa½CAu _99결산서_~7966799" xfId="22191"/>
    <cellStyle name="ÅëÈ­_¼öÃâ½ÇÀû _99결산서_~7966799" xfId="22192"/>
    <cellStyle name="AeE­_¼oAa½CAu _99결산서_~9198332" xfId="22193"/>
    <cellStyle name="ÅëÈ­_¼öÃâ½ÇÀû _99결산서_~9198332" xfId="22194"/>
    <cellStyle name="AeE­_¼oAa½CAu _99결산서_~9799706" xfId="22195"/>
    <cellStyle name="ÅëÈ­_¼öÃâ½ÇÀû _99결산서_~9799706" xfId="22196"/>
    <cellStyle name="AeE­_¼oAa½CAu _99결산서_05외화미지급이자" xfId="22197"/>
    <cellStyle name="ÅëÈ­_¼öÃâ½ÇÀû _99결산서_05외화미지급이자" xfId="22198"/>
    <cellStyle name="AeE­_¼oAa½CAu _99결산서_06외화미지급이자" xfId="22199"/>
    <cellStyle name="ÅëÈ­_¼öÃâ½ÇÀû _99결산서_06외화미지급이자" xfId="22200"/>
    <cellStyle name="AeE­_¼oAa½CAu _99결산서_07외화미지급이자" xfId="22201"/>
    <cellStyle name="ÅëÈ­_¼öÃâ½ÇÀû _99결산서_07외화미지급이자" xfId="22202"/>
    <cellStyle name="AeE­_¼oAa½CAu _99결산서_09외화미지급이자" xfId="22203"/>
    <cellStyle name="ÅëÈ­_¼öÃâ½ÇÀû _99결산서_09외화미지급이자" xfId="22204"/>
    <cellStyle name="AeE­_¼oAa½CAu _99결산서_10월명세서" xfId="22205"/>
    <cellStyle name="ÅëÈ­_¼öÃâ½ÇÀû _99결산서_10월명세서" xfId="22206"/>
    <cellStyle name="AeE­_¼oAa½CAu _99결산서_10월명세서수정" xfId="22207"/>
    <cellStyle name="ÅëÈ­_¼öÃâ½ÇÀû _99결산서_10월명세서수정" xfId="22208"/>
    <cellStyle name="AeE­_¼oAa½CAu _99결산서_11월명세서" xfId="22209"/>
    <cellStyle name="ÅëÈ­_¼öÃâ½ÇÀû _99결산서_11월명세서" xfId="22210"/>
    <cellStyle name="AeE­_¼oAa½CAu _99결산서_12월명세서" xfId="22211"/>
    <cellStyle name="ÅëÈ­_¼öÃâ½ÇÀû _99결산서_12월명세서" xfId="22212"/>
    <cellStyle name="AeE­_¼oAa½CAu _99결산서_2002.02" xfId="22213"/>
    <cellStyle name="ÅëÈ­_¼öÃâ½ÇÀû _99결산서_2002.02" xfId="22214"/>
    <cellStyle name="AeE­_¼oAa½CAu _99결산서_2002.11명세서" xfId="22215"/>
    <cellStyle name="ÅëÈ­_¼öÃâ½ÇÀû _99결산서_2002.11명세서" xfId="22216"/>
    <cellStyle name="AeE­_¼oAa½CAu _99결산서_4월명세서" xfId="22217"/>
    <cellStyle name="ÅëÈ­_¼öÃâ½ÇÀû _99결산서_4월명세서" xfId="22218"/>
    <cellStyle name="AeE­_¼oAa½CAu _99결산서_5월명세서" xfId="22219"/>
    <cellStyle name="ÅëÈ­_¼öÃâ½ÇÀû _99결산서_5월명세서" xfId="22220"/>
    <cellStyle name="AeE­_¼oAa½CAu _99결산서_6월명세서" xfId="22221"/>
    <cellStyle name="ÅëÈ­_¼öÃâ½ÇÀû _99결산서_6월명세서" xfId="22222"/>
    <cellStyle name="AeE­_¼oAa½CAu _99결산서_7월명세서" xfId="22223"/>
    <cellStyle name="ÅëÈ­_¼öÃâ½ÇÀû _99결산서_7월명세서" xfId="22224"/>
    <cellStyle name="AeE­_¼oAa½CAu _99결산서_7월명세서제출" xfId="22225"/>
    <cellStyle name="ÅëÈ­_¼öÃâ½ÇÀû _99결산서_7월명세서제출" xfId="22226"/>
    <cellStyle name="AeE­_¼oAa½CAu _99결산서_8월명세서" xfId="22227"/>
    <cellStyle name="ÅëÈ­_¼öÃâ½ÇÀû _99결산서_8월명세서" xfId="22228"/>
    <cellStyle name="AeE­_¼oAa½CAu _99결산서_9월명세서" xfId="22229"/>
    <cellStyle name="ÅëÈ­_¼öÃâ½ÇÀû _99결산서_9월명세서" xfId="22230"/>
    <cellStyle name="AeE­_¼oAa½CAu _99결산서_ABS0201" xfId="22231"/>
    <cellStyle name="ÅëÈ­_¼öÃâ½ÇÀû _99결산서_ABS0201" xfId="22232"/>
    <cellStyle name="AeE­_¼oAa½CAu _99결산서_ABS0202" xfId="22233"/>
    <cellStyle name="ÅëÈ­_¼öÃâ½ÇÀû _99결산서_ABS0202" xfId="22234"/>
    <cellStyle name="AeE­_¼oAa½CAu _99결산서_ABS0202_BS0202" xfId="22235"/>
    <cellStyle name="ÅëÈ­_¼öÃâ½ÇÀû _99결산서_ABS0202_BS0202" xfId="22236"/>
    <cellStyle name="AeE­_¼oAa½CAu _99결산서_ABS0202_미수수익0203B" xfId="22237"/>
    <cellStyle name="ÅëÈ­_¼öÃâ½ÇÀû _99결산서_ABS0202_미수수익0203B" xfId="22238"/>
    <cellStyle name="AeE­_¼oAa½CAu _99결산서_ABS0202_미수수익0206" xfId="22239"/>
    <cellStyle name="ÅëÈ­_¼öÃâ½ÇÀû _99결산서_ABS0202_미수수익0206" xfId="22240"/>
    <cellStyle name="AeE­_¼oAa½CAu _99결산서_ABS0202_미수수익0209a" xfId="22241"/>
    <cellStyle name="ÅëÈ­_¼öÃâ½ÇÀû _99결산서_ABS0202_미수수익0209a" xfId="22242"/>
    <cellStyle name="AeE­_¼oAa½CAu _99결산서_ABS0202_미수수익0212" xfId="22243"/>
    <cellStyle name="ÅëÈ­_¼öÃâ½ÇÀû _99결산서_ABS0202_미수수익0212" xfId="22244"/>
    <cellStyle name="AeE­_¼oAa½CAu _99결산서_ABS12" xfId="22245"/>
    <cellStyle name="ÅëÈ­_¼öÃâ½ÇÀû _99결산서_ABS12" xfId="22246"/>
    <cellStyle name="AeE­_¼oAa½CAu _99결산서_APL0201" xfId="22247"/>
    <cellStyle name="ÅëÈ­_¼öÃâ½ÇÀû _99결산서_APL0201" xfId="22248"/>
    <cellStyle name="AeE­_¼oAa½CAu _99결산서_APL12" xfId="22249"/>
    <cellStyle name="ÅëÈ­_¼öÃâ½ÇÀû _99결산서_APL12" xfId="22250"/>
    <cellStyle name="AeE­_¼oAa½CAu _99결산서_ASUP0202A" xfId="22251"/>
    <cellStyle name="ÅëÈ­_¼öÃâ½ÇÀû _99결산서_ASUP0202A" xfId="22252"/>
    <cellStyle name="AeE­_¼oAa½CAu _99결산서_ASUP0202B" xfId="22253"/>
    <cellStyle name="ÅëÈ­_¼öÃâ½ÇÀû _99결산서_ASUP0202B" xfId="22254"/>
    <cellStyle name="AeE­_¼oAa½CAu _99결산서_ASUP11" xfId="22255"/>
    <cellStyle name="ÅëÈ­_¼öÃâ½ÇÀû _99결산서_ASUP11" xfId="22256"/>
    <cellStyle name="AeE­_¼oAa½CAu _99결산서_Book1" xfId="22257"/>
    <cellStyle name="ÅëÈ­_¼öÃâ½ÇÀû _99결산서_Book1" xfId="22258"/>
    <cellStyle name="AeE­_¼oAa½CAu _99결산서_BS0201" xfId="22259"/>
    <cellStyle name="ÅëÈ­_¼öÃâ½ÇÀû _99결산서_BS0201" xfId="22260"/>
    <cellStyle name="AeE­_¼oAa½CAu _99결산서_BS0202" xfId="22261"/>
    <cellStyle name="ÅëÈ­_¼öÃâ½ÇÀû _99결산서_BS0202" xfId="22262"/>
    <cellStyle name="AeE­_¼oAa½CAu _99결산서_BS0203" xfId="22263"/>
    <cellStyle name="ÅëÈ­_¼öÃâ½ÇÀû _99결산서_BS0203" xfId="22264"/>
    <cellStyle name="AeE­_¼oAa½CAu _99결산서_BS0206" xfId="22265"/>
    <cellStyle name="ÅëÈ­_¼öÃâ½ÇÀû _99결산서_BS0206" xfId="22266"/>
    <cellStyle name="AeE­_¼oAa½CAu _99결산서_BS0208" xfId="22267"/>
    <cellStyle name="ÅëÈ­_¼öÃâ½ÇÀû _99결산서_BS0208" xfId="22268"/>
    <cellStyle name="AeE­_¼oAa½CAu _99결산서_BS0209" xfId="22269"/>
    <cellStyle name="ÅëÈ­_¼öÃâ½ÇÀû _99결산서_BS0209" xfId="22270"/>
    <cellStyle name="AeE­_¼oAa½CAu _99결산서_Foreign0209" xfId="22271"/>
    <cellStyle name="ÅëÈ­_¼öÃâ½ÇÀû _99결산서_Foreign0209" xfId="22272"/>
    <cellStyle name="AeE­_¼oAa½CAu _99결산서_USANCE이자(미지급비용)05" xfId="22273"/>
    <cellStyle name="ÅëÈ­_¼öÃâ½ÇÀû _99결산서_USANCE이자(미지급비용)05" xfId="22274"/>
    <cellStyle name="AeE­_¼oAa½CAu _99결산서_USANCE이자(미지급비용)06" xfId="22275"/>
    <cellStyle name="ÅëÈ­_¼öÃâ½ÇÀû _99결산서_USANCE이자(미지급비용)06" xfId="22276"/>
    <cellStyle name="AeE­_¼oAa½CAu _99결산서_USANCE이자(미지급비용)07" xfId="22277"/>
    <cellStyle name="ÅëÈ­_¼öÃâ½ÇÀû _99결산서_USANCE이자(미지급비용)07" xfId="22278"/>
    <cellStyle name="AeE­_¼oAa½CAu _99결산서_USANCE이자(미지급비용)08" xfId="22279"/>
    <cellStyle name="ÅëÈ­_¼öÃâ½ÇÀû _99결산서_USANCE이자(미지급비용)08" xfId="22280"/>
    <cellStyle name="AeE­_¼oAa½CAu _99결산서_USANCE이자(미지급비용)10" xfId="22281"/>
    <cellStyle name="ÅëÈ­_¼öÃâ½ÇÀû _99결산서_USANCE이자(미지급비용)10" xfId="22282"/>
    <cellStyle name="AeE­_¼oAa½CAu _99결산서_건가200112" xfId="22283"/>
    <cellStyle name="ÅëÈ­_¼öÃâ½ÇÀû _99결산서_건가200112" xfId="22284"/>
    <cellStyle name="AeE­_¼oAa½CAu _99결산서_건가2002" xfId="22285"/>
    <cellStyle name="ÅëÈ­_¼öÃâ½ÇÀû _99결산서_건가2002" xfId="22286"/>
    <cellStyle name="AeE­_¼oAa½CAu _99결산서_경영분석05" xfId="22287"/>
    <cellStyle name="ÅëÈ­_¼öÃâ½ÇÀû _99결산서_경영분석05" xfId="22288"/>
    <cellStyle name="AeE­_¼oAa½CAu _99결산서_경영분석05(BS)" xfId="22289"/>
    <cellStyle name="ÅëÈ­_¼öÃâ½ÇÀû _99결산서_경영분석05(BS)" xfId="22290"/>
    <cellStyle name="AeE­_¼oAa½CAu _99결산서_경영분석05(BS)_APL0201" xfId="22291"/>
    <cellStyle name="ÅëÈ­_¼öÃâ½ÇÀû _99결산서_경영분석05(BS)_APL0201" xfId="22292"/>
    <cellStyle name="AeE­_¼oAa½CAu _99결산서_경영분석05(BS)_APL12" xfId="22293"/>
    <cellStyle name="ÅëÈ­_¼öÃâ½ÇÀû _99결산서_경영분석05(BS)_APL12" xfId="22294"/>
    <cellStyle name="AeE­_¼oAa½CAu _99결산서_경영분석05(BS)_경영분석05(PL)" xfId="22295"/>
    <cellStyle name="ÅëÈ­_¼öÃâ½ÇÀû _99결산서_경영분석05(BS)_경영분석05(PL)" xfId="22296"/>
    <cellStyle name="AeE­_¼oAa½CAu _99결산서_경영분석05(PL)" xfId="22297"/>
    <cellStyle name="ÅëÈ­_¼öÃâ½ÇÀû _99결산서_경영분석05(PL)" xfId="22298"/>
    <cellStyle name="AeE­_¼oAa½CAu _99결산서_경영분석05(TO)" xfId="22299"/>
    <cellStyle name="ÅëÈ­_¼öÃâ½ÇÀû _99결산서_경영분석05(TO)" xfId="22300"/>
    <cellStyle name="AeE­_¼oAa½CAu _99결산서_경영분석05(별첨)" xfId="22301"/>
    <cellStyle name="ÅëÈ­_¼öÃâ½ÇÀû _99결산서_경영분석05(별첨)" xfId="22302"/>
    <cellStyle name="AeE­_¼oAa½CAu _99결산서_경영분석07(별첨)" xfId="22303"/>
    <cellStyle name="ÅëÈ­_¼öÃâ½ÇÀû _99결산서_경영분석07(별첨)" xfId="22304"/>
    <cellStyle name="AeE­_¼oAa½CAu _99결산서_경영분석10(PL)" xfId="22305"/>
    <cellStyle name="ÅëÈ­_¼öÃâ½ÇÀû _99결산서_경영분석10(PL)" xfId="22306"/>
    <cellStyle name="AeE­_¼oAa½CAu _99결산서_단기차입금" xfId="22307"/>
    <cellStyle name="ÅëÈ­_¼öÃâ½ÇÀû _99결산서_단기차입금" xfId="22308"/>
    <cellStyle name="AeE­_¼oAa½CAu _99결산서_단기차입금(KRW)08" xfId="22309"/>
    <cellStyle name="ÅëÈ­_¼öÃâ½ÇÀû _99결산서_단기차입금(KRW)08" xfId="22310"/>
    <cellStyle name="AeE­_¼oAa½CAu _99결산서_단기차입금(KRW)09" xfId="22311"/>
    <cellStyle name="ÅëÈ­_¼öÃâ½ÇÀû _99결산서_단기차입금(KRW)09" xfId="22312"/>
    <cellStyle name="AeE­_¼oAa½CAu _99결산서_단기차입금(KRW)10" xfId="22313"/>
    <cellStyle name="ÅëÈ­_¼öÃâ½ÇÀû _99결산서_단기차입금(KRW)10" xfId="22314"/>
    <cellStyle name="AeE­_¼oAa½CAu _99결산서_단기차입금(KRW)11" xfId="22315"/>
    <cellStyle name="ÅëÈ­_¼öÃâ½ÇÀû _99결산서_단기차입금(KRW)11" xfId="22316"/>
    <cellStyle name="AeE­_¼oAa½CAu _99결산서_단기차입금(원화)" xfId="22317"/>
    <cellStyle name="ÅëÈ­_¼öÃâ½ÇÀû _99결산서_단기차입금(원화)" xfId="22318"/>
    <cellStyle name="AeE­_¼oAa½CAu _99결산서_단기차입금2002" xfId="22319"/>
    <cellStyle name="ÅëÈ­_¼öÃâ½ÇÀû _99결산서_단기차입금2002" xfId="22320"/>
    <cellStyle name="AeE­_¼oAa½CAu _99결산서_단체예치금2002" xfId="22321"/>
    <cellStyle name="ÅëÈ­_¼öÃâ½ÇÀû _99결산서_단체예치금2002" xfId="22322"/>
    <cellStyle name="AeE­_¼oAa½CAu _99결산서_단퇴200112" xfId="22323"/>
    <cellStyle name="ÅëÈ­_¼öÃâ½ÇÀû _99결산서_단퇴200112" xfId="22324"/>
    <cellStyle name="AeE­_¼oAa½CAu _99결산서_명세서05" xfId="22325"/>
    <cellStyle name="ÅëÈ­_¼öÃâ½ÇÀû _99결산서_명세서05" xfId="22326"/>
    <cellStyle name="AeE­_¼oAa½CAu _99결산서_미수금2002" xfId="22327"/>
    <cellStyle name="ÅëÈ­_¼öÃâ½ÇÀû _99결산서_미수금2002" xfId="22328"/>
    <cellStyle name="AeE­_¼oAa½CAu _99결산서_미수수익0203B" xfId="22329"/>
    <cellStyle name="ÅëÈ­_¼öÃâ½ÇÀû _99결산서_미수수익0203B" xfId="22330"/>
    <cellStyle name="AeE­_¼oAa½CAu _99결산서_미지급금2002" xfId="22331"/>
    <cellStyle name="ÅëÈ­_¼öÃâ½ÇÀû _99결산서_미지급금2002" xfId="22332"/>
    <cellStyle name="AeE­_¼oAa½CAu _99결산서_미지급비용2002" xfId="22333"/>
    <cellStyle name="ÅëÈ­_¼öÃâ½ÇÀû _99결산서_미지급비용2002" xfId="22334"/>
    <cellStyle name="AeE­_¼oAa½CAu _99결산서_보증금2002" xfId="22335"/>
    <cellStyle name="ÅëÈ­_¼öÃâ½ÇÀû _99결산서_보증금2002" xfId="22336"/>
    <cellStyle name="AeE­_¼oAa½CAu _99결산서_선급비용2002" xfId="22337"/>
    <cellStyle name="ÅëÈ­_¼öÃâ½ÇÀû _99결산서_선급비용2002" xfId="22338"/>
    <cellStyle name="AeE­_¼oAa½CAu _99결산서_선수수익2002" xfId="22339"/>
    <cellStyle name="ÅëÈ­_¼öÃâ½ÇÀû _99결산서_선수수익2002" xfId="22340"/>
    <cellStyle name="AeE­_¼oAa½CAu _99결산서_애라07" xfId="22341"/>
    <cellStyle name="ÅëÈ­_¼öÃâ½ÇÀû _99결산서_애라07" xfId="22342"/>
    <cellStyle name="AeE­_¼oAa½CAu _99결산서_외상매입금(AP)2002" xfId="22343"/>
    <cellStyle name="ÅëÈ­_¼öÃâ½ÇÀû _99결산서_외상매입금(AP)2002" xfId="22344"/>
    <cellStyle name="AeE­_¼oAa½CAu _99결산서_외상매입금2002" xfId="22345"/>
    <cellStyle name="ÅëÈ­_¼öÃâ½ÇÀû _99결산서_외상매입금2002" xfId="22346"/>
    <cellStyle name="AeE­_¼oAa½CAu _99결산서_외화미지급이자01" xfId="22347"/>
    <cellStyle name="ÅëÈ­_¼öÃâ½ÇÀû _99결산서_외화미지급이자01" xfId="22348"/>
    <cellStyle name="AeE­_¼oAa½CAu _99결산서_외화외상매입금2002" xfId="22349"/>
    <cellStyle name="ÅëÈ­_¼öÃâ½ÇÀû _99결산서_외화외상매입금2002" xfId="22350"/>
    <cellStyle name="AeE­_¼oAa½CAu _99결산서_외화외상평가0201" xfId="22351"/>
    <cellStyle name="ÅëÈ­_¼öÃâ½ÇÀû _99결산서_외화외상평가0201" xfId="22352"/>
    <cellStyle name="AeE­_¼oAa½CAu _99결산서_외화차입금" xfId="22353"/>
    <cellStyle name="ÅëÈ­_¼öÃâ½ÇÀû _99결산서_외화차입금" xfId="22354"/>
    <cellStyle name="AeE­_¼oAa½CAu _99결산서_외화차입금04" xfId="22355"/>
    <cellStyle name="ÅëÈ­_¼öÃâ½ÇÀû _99결산서_외화차입금04" xfId="22356"/>
    <cellStyle name="AeE­_¼oAa½CAu _99결산서_외화차입금10" xfId="22357"/>
    <cellStyle name="ÅëÈ­_¼öÃâ½ÇÀû _99결산서_외화차입금10" xfId="22358"/>
    <cellStyle name="AeE­_¼oAa½CAu _99결산서_외화환산손익07(부채)" xfId="22359"/>
    <cellStyle name="ÅëÈ­_¼öÃâ½ÇÀû _99결산서_외화환산손익07(부채)" xfId="22360"/>
    <cellStyle name="AeE­_¼oAa½CAu _99결산서_외화환산손익09(부채)A" xfId="22361"/>
    <cellStyle name="ÅëÈ­_¼öÃâ½ÇÀû _99결산서_외화환산손익09(부채)A" xfId="22362"/>
    <cellStyle name="AeE­_¼oAa½CAu _99결산서_유동성장기부채2002" xfId="22363"/>
    <cellStyle name="ÅëÈ­_¼öÃâ½ÇÀû _99결산서_유동성장기부채2002" xfId="22364"/>
    <cellStyle name="AeE­_¼oAa½CAu _99결산서_은행미지급금" xfId="22365"/>
    <cellStyle name="ÅëÈ­_¼öÃâ½ÇÀû _99결산서_은행미지급금" xfId="22366"/>
    <cellStyle name="AeE­_¼oAa½CAu _99결산서_은행미지급금2002" xfId="22367"/>
    <cellStyle name="ÅëÈ­_¼öÃâ½ÇÀû _99결산서_은행미지급금2002" xfId="22368"/>
    <cellStyle name="AeE­_¼oAa½CAu _99결산서_임대자산2002" xfId="22369"/>
    <cellStyle name="ÅëÈ­_¼öÃâ½ÇÀû _99결산서_임대자산2002" xfId="22370"/>
    <cellStyle name="AeE­_¼oAa½CAu _99결산서_자본현황2002" xfId="22371"/>
    <cellStyle name="ÅëÈ­_¼öÃâ½ÇÀû _99결산서_자본현황2002" xfId="22372"/>
    <cellStyle name="AeE­_¼oAa½CAu _99결산서_장기미지급금2002" xfId="22373"/>
    <cellStyle name="ÅëÈ­_¼öÃâ½ÇÀû _99결산서_장기미지급금2002" xfId="22374"/>
    <cellStyle name="AeE­_¼oAa½CAu _99결산서_장기차입금2002" xfId="22375"/>
    <cellStyle name="ÅëÈ­_¼öÃâ½ÇÀû _99결산서_장기차입금2002" xfId="22376"/>
    <cellStyle name="AeE­_¼oAa½CAu _99결산서_종업원퇴직보험금2002" xfId="22377"/>
    <cellStyle name="ÅëÈ­_¼öÃâ½ÇÀû _99결산서_종업원퇴직보험금2002" xfId="22378"/>
    <cellStyle name="AeE­_¼oAa½CAu _99결산서_지급어음2002" xfId="22379"/>
    <cellStyle name="ÅëÈ­_¼öÃâ½ÇÀû _99결산서_지급어음2002" xfId="22380"/>
    <cellStyle name="AeE­_¼oAa½CAu _99결산서_퇴직급여충당금2002" xfId="22381"/>
    <cellStyle name="ÅëÈ­_¼öÃâ½ÇÀû _99결산서_퇴직급여충당금2002" xfId="22382"/>
    <cellStyle name="AeE­_¼oAa½CAu _99결산서_퇴직보험금2002" xfId="22383"/>
    <cellStyle name="ÅëÈ­_¼öÃâ½ÇÀû _99결산서_퇴직보험금2002" xfId="22384"/>
    <cellStyle name="AeE­_¼oAa½CAu _99결산서_퇴직전환금2002" xfId="22385"/>
    <cellStyle name="ÅëÈ­_¼öÃâ½ÇÀû _99결산서_퇴직전환금2002" xfId="22386"/>
    <cellStyle name="AeE­_¼oAa½CAu _99결산서_파생상품2002" xfId="22387"/>
    <cellStyle name="ÅëÈ­_¼öÃâ½ÇÀû _99결산서_파생상품2002" xfId="22388"/>
    <cellStyle name="AeE­_¼oAa½CAu _99결산서_현금과예금03" xfId="22389"/>
    <cellStyle name="ÅëÈ­_¼öÃâ½ÇÀû _99결산서_현금과예금03" xfId="22390"/>
    <cellStyle name="AeE­_¼oAa½CAu _9월" xfId="22391"/>
    <cellStyle name="ÅëÈ­_¼öÃâ½ÇÀû _9월명세서" xfId="22392"/>
    <cellStyle name="AeE­_¼oAa½CAu _ABS0202" xfId="22393"/>
    <cellStyle name="ÅëÈ­_¼öÃâ½ÇÀû _ABS0202" xfId="22394"/>
    <cellStyle name="AeE­_¼oAa½CAu _ABS0202_BS0202" xfId="22395"/>
    <cellStyle name="ÅëÈ­_¼öÃâ½ÇÀû _ABS0202_BS0202" xfId="22396"/>
    <cellStyle name="AeE­_¼oAa½CAu _ABS0202_미수수익0203B" xfId="22397"/>
    <cellStyle name="ÅëÈ­_¼öÃâ½ÇÀû _ABS0202_미수수익0203B" xfId="22398"/>
    <cellStyle name="AeE­_¼oAa½CAu _ABS0202_미수수익0206" xfId="22399"/>
    <cellStyle name="ÅëÈ­_¼öÃâ½ÇÀû _ABS0202_미수수익0206" xfId="22400"/>
    <cellStyle name="AeE­_¼oAa½CAu _ABS0202_미수수익0209a" xfId="22401"/>
    <cellStyle name="ÅëÈ­_¼öÃâ½ÇÀû _ABS0202_미수수익0209a" xfId="22402"/>
    <cellStyle name="AeE­_¼oAa½CAu _ABS0202_미수수익0212" xfId="22403"/>
    <cellStyle name="ÅëÈ­_¼öÃâ½ÇÀû _ABS0202_미수수익0212" xfId="22404"/>
    <cellStyle name="AeE­_¼oAa½CAu _ABS12" xfId="22405"/>
    <cellStyle name="ÅëÈ­_¼öÃâ½ÇÀû _ABS12" xfId="22406"/>
    <cellStyle name="AeE­_¼oAa½CAu _APL0201" xfId="22407"/>
    <cellStyle name="ÅëÈ­_¼öÃâ½ÇÀû _APL0201" xfId="22408"/>
    <cellStyle name="AeE­_¼oAa½CAu _APL12" xfId="22409"/>
    <cellStyle name="ÅëÈ­_¼öÃâ½ÇÀû _APL12" xfId="22410"/>
    <cellStyle name="AeE­_¼oAa½CAu _Book1" xfId="22411"/>
    <cellStyle name="ÅëÈ­_¼öÃâ½ÇÀû _Book1" xfId="22412"/>
    <cellStyle name="AeE­_¼oAa½CAu _BS0201" xfId="22413"/>
    <cellStyle name="ÅëÈ­_¼öÃâ½ÇÀû _BS0201" xfId="22414"/>
    <cellStyle name="AeE­_¼oAa½CAu _BS0202" xfId="22415"/>
    <cellStyle name="ÅëÈ­_¼öÃâ½ÇÀû _BS0202" xfId="22416"/>
    <cellStyle name="AeE­_¼oAa½CAu _BS0203" xfId="22417"/>
    <cellStyle name="ÅëÈ­_¼öÃâ½ÇÀû _BS0203" xfId="22418"/>
    <cellStyle name="AeE­_¼oAa½CAu _BS0206" xfId="22419"/>
    <cellStyle name="ÅëÈ­_¼öÃâ½ÇÀû _BS0206" xfId="22420"/>
    <cellStyle name="AeE­_¼oAa½CAu _BS0208" xfId="22421"/>
    <cellStyle name="ÅëÈ­_¼öÃâ½ÇÀû _BS0208" xfId="22422"/>
    <cellStyle name="AeE­_¼oAa½CAu _BS0209" xfId="22423"/>
    <cellStyle name="ÅëÈ­_¼öÃâ½ÇÀû _BS0209" xfId="22424"/>
    <cellStyle name="AeE­_¼oAa½CAu _FS0203(S)" xfId="22425"/>
    <cellStyle name="ÅëÈ­_¼öÃâ½ÇÀû _FS0203(S)" xfId="22426"/>
    <cellStyle name="AeE­_¼oAa½CAu _FS0203S" xfId="22427"/>
    <cellStyle name="ÅëÈ­_¼öÃâ½ÇÀû _FS0203S" xfId="22428"/>
    <cellStyle name="AeE­_¼oAa½CAu _FS12감사후" xfId="22429"/>
    <cellStyle name="ÅëÈ­_¼öÃâ½ÇÀû _FS12감사후" xfId="22430"/>
    <cellStyle name="AeE­_¼oAa½CAu _USANCE이자(미지급비용)05" xfId="22431"/>
    <cellStyle name="ÅëÈ­_¼öÃâ½ÇÀû _USANCE이자(미지급비용)05" xfId="22432"/>
    <cellStyle name="AeE­_¼oAa½CAu _건가200112" xfId="22433"/>
    <cellStyle name="ÅëÈ­_¼öÃâ½ÇÀû _건가200112" xfId="22434"/>
    <cellStyle name="AeE­_¼oAa½CAu _건가2002" xfId="22435"/>
    <cellStyle name="ÅëÈ­_¼öÃâ½ÇÀû _건가2002" xfId="22436"/>
    <cellStyle name="AeE­_¼oAa½CAu _결산서" xfId="22437"/>
    <cellStyle name="ÅëÈ­_¼öÃâ½ÇÀû _결산서" xfId="22438"/>
    <cellStyle name="AeE­_¼oAa½CAu _결산서2001유형처분" xfId="22439"/>
    <cellStyle name="ÅëÈ­_¼öÃâ½ÇÀû _결산서UP" xfId="22440"/>
    <cellStyle name="AeE­_¼oAa½CAu _결산원재" xfId="22441"/>
    <cellStyle name="ÅëÈ­_¼öÃâ½ÇÀû _경영분석05" xfId="22442"/>
    <cellStyle name="AeE­_¼oAa½CAu _경영분석05(BS)" xfId="22443"/>
    <cellStyle name="ÅëÈ­_¼öÃâ½ÇÀû _경영분석05(BS)" xfId="22444"/>
    <cellStyle name="AeE­_¼oAa½CAu _경영분석05(BS)_APL0201" xfId="22445"/>
    <cellStyle name="ÅëÈ­_¼öÃâ½ÇÀû _경영분석05(BS)_APL0201" xfId="22446"/>
    <cellStyle name="AeE­_¼oAa½CAu _경영분석05(BS)_APL12" xfId="22447"/>
    <cellStyle name="ÅëÈ­_¼öÃâ½ÇÀû _경영분석05(BS)_APL12" xfId="22448"/>
    <cellStyle name="AeE­_¼oAa½CAu _경영분석05(BS)_경영분석05(PL)" xfId="22449"/>
    <cellStyle name="ÅëÈ­_¼öÃâ½ÇÀû _경영분석05(BS)_경영분석05(PL)" xfId="22450"/>
    <cellStyle name="AeE­_¼oAa½CAu _경영분석05(PL)" xfId="22451"/>
    <cellStyle name="ÅëÈ­_¼öÃâ½ÇÀû _경영분석05(PL)" xfId="22452"/>
    <cellStyle name="AeE­_¼oAa½CAu _경영분석05(TO)" xfId="22453"/>
    <cellStyle name="ÅëÈ­_¼öÃâ½ÇÀû _경영분석05(TO)" xfId="22454"/>
    <cellStyle name="AeE­_¼oAa½CAu _경영분석05(별첨)" xfId="22455"/>
    <cellStyle name="ÅëÈ­_¼öÃâ½ÇÀû _경영분석05(별첨)" xfId="22456"/>
    <cellStyle name="AeE­_¼oAa½CAu _경영분석07(별첨)" xfId="22457"/>
    <cellStyle name="ÅëÈ­_¼öÃâ½ÇÀû _경영분석07(별첨)" xfId="22458"/>
    <cellStyle name="AeE­_¼oAa½CAu _경영분석09(PL)" xfId="22459"/>
    <cellStyle name="ÅëÈ­_¼öÃâ½ÇÀû _경영분석09(PL)" xfId="22460"/>
    <cellStyle name="AeE­_¼oAa½CAu _경영분석10(PL)" xfId="22461"/>
    <cellStyle name="ÅëÈ­_¼öÃâ½ÇÀû _경영분석10(PL)" xfId="22462"/>
    <cellStyle name="AeE­_¼oAa½CAu _내부원가자료(May)" xfId="22463"/>
    <cellStyle name="ÅëÈ­_¼öÃâ½ÇÀû _단기차입금" xfId="22464"/>
    <cellStyle name="AeE­_¼oAa½CAu _단기차입금(KRW)08" xfId="22465"/>
    <cellStyle name="ÅëÈ­_¼öÃâ½ÇÀû _단기차입금(KRW)08" xfId="22466"/>
    <cellStyle name="AeE­_¼oAa½CAu _단기차입금(KRW)09" xfId="22467"/>
    <cellStyle name="ÅëÈ­_¼öÃâ½ÇÀû _단기차입금(KRW)09" xfId="22468"/>
    <cellStyle name="AeE­_¼oAa½CAu _단기차입금(KRW)10" xfId="22469"/>
    <cellStyle name="ÅëÈ­_¼öÃâ½ÇÀû _단기차입금(KRW)10" xfId="22470"/>
    <cellStyle name="AeE­_¼oAa½CAu _단기차입금(KRW)11" xfId="22471"/>
    <cellStyle name="ÅëÈ­_¼öÃâ½ÇÀû _단기차입금(KRW)11" xfId="22472"/>
    <cellStyle name="AeE­_¼oAa½CAu _단기차입금(원화)" xfId="22473"/>
    <cellStyle name="ÅëÈ­_¼öÃâ½ÇÀû _단기차입금(원화)" xfId="22474"/>
    <cellStyle name="AeE­_¼oAa½CAu _단기차입금2002" xfId="22475"/>
    <cellStyle name="ÅëÈ­_¼öÃâ½ÇÀû _단기차입금2002" xfId="22476"/>
    <cellStyle name="AeE­_¼oAa½CAu _단체예치금2002" xfId="22477"/>
    <cellStyle name="ÅëÈ­_¼öÃâ½ÇÀû _단체예치금2002" xfId="22478"/>
    <cellStyle name="AeE­_¼oAa½CAu _단퇴200112" xfId="22479"/>
    <cellStyle name="ÅëÈ­_¼öÃâ½ÇÀû _단퇴200112" xfId="22480"/>
    <cellStyle name="AeE­_¼oAa½CAu _명세09" xfId="22481"/>
    <cellStyle name="ÅëÈ­_¼öÃâ½ÇÀû _명세서" xfId="22482"/>
    <cellStyle name="AeE­_¼oAa½CAu _명세서05" xfId="22483"/>
    <cellStyle name="ÅëÈ­_¼öÃâ½ÇÀû _명세서05" xfId="22484"/>
    <cellStyle name="AeE­_¼oAa½CAu _미수금2002" xfId="22485"/>
    <cellStyle name="ÅëÈ­_¼öÃâ½ÇÀû _미수금2002" xfId="22486"/>
    <cellStyle name="AeE­_¼oAa½CAu _미수수익0203B" xfId="22487"/>
    <cellStyle name="ÅëÈ­_¼öÃâ½ÇÀû _미수수익0203B" xfId="22488"/>
    <cellStyle name="AeE­_¼oAa½CAu _미지급금2002" xfId="22489"/>
    <cellStyle name="ÅëÈ­_¼öÃâ½ÇÀû _미지급금2002" xfId="22490"/>
    <cellStyle name="AeE­_¼oAa½CAu _미지급비용2002" xfId="22491"/>
    <cellStyle name="ÅëÈ­_¼öÃâ½ÇÀû _미지급비용2002" xfId="22492"/>
    <cellStyle name="AeE­_¼oAa½CAu _받을어음(9월)" xfId="22493"/>
    <cellStyle name="ÅëÈ­_¼öÃâ½ÇÀû _보증금2002" xfId="22494"/>
    <cellStyle name="AeE­_¼oAa½CAu _선급비용2002" xfId="22495"/>
    <cellStyle name="ÅëÈ­_¼öÃâ½ÇÀû _선급비용2002" xfId="22496"/>
    <cellStyle name="AeE­_¼oAa½CAu _선수수익2002" xfId="22497"/>
    <cellStyle name="ÅëÈ­_¼öÃâ½ÇÀû _선수수익2002" xfId="22498"/>
    <cellStyle name="AeE­_¼oAa½CAu _시산표0110" xfId="22499"/>
    <cellStyle name="ÅëÈ­_¼öÃâ½ÇÀû _시산표0110" xfId="22500"/>
    <cellStyle name="AeE­_¼oAa½CAu _시산표0111(클레임제외)" xfId="22501"/>
    <cellStyle name="ÅëÈ­_¼öÃâ½ÇÀû _시산표0111(클레임제외)" xfId="22502"/>
    <cellStyle name="AeE­_¼oAa½CAu _시산표0112(연말결산)-GAAD" xfId="22503"/>
    <cellStyle name="ÅëÈ­_¼öÃâ½ÇÀû _시산표0112(연말결산)-GAAD" xfId="22504"/>
    <cellStyle name="AeE­_¼oAa½CAu _시산표05" xfId="22505"/>
    <cellStyle name="ÅëÈ­_¼öÃâ½ÇÀû _시산표05" xfId="22506"/>
    <cellStyle name="AeE­_¼oAa½CAu _압수2002" xfId="22507"/>
    <cellStyle name="ÅëÈ­_¼öÃâ½ÇÀû _압수2002" xfId="22508"/>
    <cellStyle name="AeE­_¼oAa½CAu _애라07" xfId="22509"/>
    <cellStyle name="ÅëÈ­_¼öÃâ½ÇÀû _애라07" xfId="22510"/>
    <cellStyle name="AeE­_¼oAa½CAu _외상매입금(AP)2002" xfId="22511"/>
    <cellStyle name="ÅëÈ­_¼öÃâ½ÇÀû _외상매입금(AP)2002" xfId="22512"/>
    <cellStyle name="AeE­_¼oAa½CAu _외상매입금2002" xfId="22513"/>
    <cellStyle name="ÅëÈ­_¼öÃâ½ÇÀû _외상매입금2002" xfId="22514"/>
    <cellStyle name="AeE­_¼oAa½CAu _외화외상매입금2002" xfId="22515"/>
    <cellStyle name="ÅëÈ­_¼öÃâ½ÇÀû _외화외상매입금2002" xfId="22516"/>
    <cellStyle name="AeE­_¼oAa½CAu _외화차입금" xfId="22517"/>
    <cellStyle name="ÅëÈ­_¼öÃâ½ÇÀû _외화차입금" xfId="22518"/>
    <cellStyle name="AeE­_¼oAa½CAu _외화차입금04" xfId="22519"/>
    <cellStyle name="ÅëÈ­_¼öÃâ½ÇÀû _외화차입금04" xfId="22520"/>
    <cellStyle name="AeE­_¼oAa½CAu _외화차입금10" xfId="22521"/>
    <cellStyle name="ÅëÈ­_¼öÃâ½ÇÀû _외화차입금10" xfId="22522"/>
    <cellStyle name="AeE­_¼oAa½CAu _외화환산손익07(부채)" xfId="22523"/>
    <cellStyle name="ÅëÈ­_¼öÃâ½ÇÀû _외화환산손익07(부채)" xfId="22524"/>
    <cellStyle name="AeE­_¼oAa½CAu _외화환산손익09(부채)A" xfId="22525"/>
    <cellStyle name="ÅëÈ­_¼öÃâ½ÇÀû _외화환산손익09(부채)A" xfId="22526"/>
    <cellStyle name="AeE­_¼oAa½CAu _원가명세(Aug.)" xfId="22527"/>
    <cellStyle name="ÅëÈ­_¼öÃâ½ÇÀû _원가명세(Aug.)" xfId="22528"/>
    <cellStyle name="AeE­_¼oAa½CAu _원가명세(Dec.)" xfId="22529"/>
    <cellStyle name="ÅëÈ­_¼öÃâ½ÇÀû _원가명세(Dec.)" xfId="22530"/>
    <cellStyle name="AeE­_¼oAa½CAu _원가명세(Jun.)" xfId="22531"/>
    <cellStyle name="ÅëÈ­_¼öÃâ½ÇÀû _원가명세(Jun.)" xfId="22532"/>
    <cellStyle name="AeE­_¼oAa½CAu _원가명세(May.." xfId="22533"/>
    <cellStyle name="ÅëÈ­_¼öÃâ½ÇÀû _원가명세(May.." xfId="22534"/>
    <cellStyle name="AeE­_¼oAa½CAu _원가명세(Nov.)" xfId="22535"/>
    <cellStyle name="ÅëÈ­_¼öÃâ½ÇÀû _원가명세(Nov.)" xfId="22536"/>
    <cellStyle name="AeE­_¼oAa½CAu _원가명세(Oct.)" xfId="22537"/>
    <cellStyle name="ÅëÈ­_¼öÃâ½ÇÀû _원가명세(Oct.)" xfId="22538"/>
    <cellStyle name="AeE­_¼oAa½CAu _원가명세(Sep.)" xfId="22539"/>
    <cellStyle name="ÅëÈ­_¼öÃâ½ÇÀû _원가명세(Sep.)" xfId="22540"/>
    <cellStyle name="AeE­_¼oAa½CAu _원가명세01" xfId="22541"/>
    <cellStyle name="ÅëÈ­_¼öÃâ½ÇÀû _원가명세01" xfId="22542"/>
    <cellStyle name="AeE­_¼oAa½CAu _원가명세04" xfId="22543"/>
    <cellStyle name="ÅëÈ­_¼öÃâ½ÇÀû _원가명세04" xfId="22544"/>
    <cellStyle name="AeE­_¼oAa½CAu _원가명세09" xfId="22545"/>
    <cellStyle name="ÅëÈ­_¼öÃâ½ÇÀû _원가명세09" xfId="22546"/>
    <cellStyle name="AeE­_¼oAa½CAu _원가명세11" xfId="22547"/>
    <cellStyle name="ÅëÈ­_¼öÃâ½ÇÀû _원가명세11" xfId="22548"/>
    <cellStyle name="AeE­_¼oAa½CAu _원가명세12" xfId="22549"/>
    <cellStyle name="ÅëÈ­_¼öÃâ½ÇÀû _원가명세12" xfId="22550"/>
    <cellStyle name="AeE­_¼oAa½CAu _원가자료(Aug.)" xfId="22551"/>
    <cellStyle name="ÅëÈ­_¼öÃâ½ÇÀû _원가자료(Aug.)" xfId="22552"/>
    <cellStyle name="AeE­_¼oAa½CAu _원가자료(July)" xfId="22553"/>
    <cellStyle name="ÅëÈ­_¼öÃâ½ÇÀû _원가자료(Oct.)" xfId="22554"/>
    <cellStyle name="AeE­_¼oAa½CAu _원가자료01" xfId="22555"/>
    <cellStyle name="ÅëÈ­_¼öÃâ½ÇÀû _원가자료01" xfId="22556"/>
    <cellStyle name="AeE­_¼oAa½CAu _유동성장기부채2002" xfId="22557"/>
    <cellStyle name="ÅëÈ­_¼öÃâ½ÇÀû _유동성장기부채2002" xfId="22558"/>
    <cellStyle name="AeE­_¼oAa½CAu _은행미지급금" xfId="22559"/>
    <cellStyle name="ÅëÈ­_¼öÃâ½ÇÀû _은행미지급금" xfId="22560"/>
    <cellStyle name="AeE­_¼oAa½CAu _은행미지급금2002" xfId="22561"/>
    <cellStyle name="ÅëÈ­_¼öÃâ½ÇÀû _은행미지급금2002" xfId="22562"/>
    <cellStyle name="AeE­_¼oAa½CAu _임대자산2002" xfId="22563"/>
    <cellStyle name="ÅëÈ­_¼öÃâ½ÇÀû _임대자산2002" xfId="22564"/>
    <cellStyle name="AeE­_¼oAa½CAu _자본현황2002" xfId="22565"/>
    <cellStyle name="ÅëÈ­_¼öÃâ½ÇÀû _자본현황2002" xfId="22566"/>
    <cellStyle name="AeE­_¼oAa½CAu _장기미지급금2002" xfId="22567"/>
    <cellStyle name="ÅëÈ­_¼öÃâ½ÇÀû _장기미지급금2002" xfId="22568"/>
    <cellStyle name="AeE­_¼oAa½CAu _장기차입금2002" xfId="22569"/>
    <cellStyle name="ÅëÈ­_¼öÃâ½ÇÀû _장기차입금2002" xfId="22570"/>
    <cellStyle name="AeE­_¼oAa½CAu _종업원퇴직보험금2002" xfId="22571"/>
    <cellStyle name="ÅëÈ­_¼öÃâ½ÇÀû _종업원퇴직보험금2002" xfId="22572"/>
    <cellStyle name="AeE­_¼oAa½CAu _지급어음2002" xfId="22573"/>
    <cellStyle name="ÅëÈ­_¼öÃâ½ÇÀû _지급어음2002" xfId="22574"/>
    <cellStyle name="AeE­_¼oAa½CAu _퇴직급여충당금2002" xfId="22575"/>
    <cellStyle name="ÅëÈ­_¼öÃâ½ÇÀû _퇴직급여충당금2002" xfId="22576"/>
    <cellStyle name="AeE­_¼oAa½CAu _퇴직보험금2002" xfId="22577"/>
    <cellStyle name="ÅëÈ­_¼öÃâ½ÇÀû _퇴직보험금2002" xfId="22578"/>
    <cellStyle name="AeE­_¼oAa½CAu _퇴직전환금2002" xfId="22579"/>
    <cellStyle name="ÅëÈ­_¼öÃâ½ÇÀû _퇴직전환금2002" xfId="22580"/>
    <cellStyle name="AeE­_¼oAa½CAu _퇴충금0203" xfId="22581"/>
    <cellStyle name="ÅëÈ­_¼öÃâ½ÇÀû _퇴충금0203" xfId="22582"/>
    <cellStyle name="AeE­_¼oAa½CAu _파생상품2002" xfId="22583"/>
    <cellStyle name="ÅëÈ­_¼öÃâ½ÇÀû _파생상품2002" xfId="22584"/>
    <cellStyle name="AeE­_¼oAa½CAu _현금과예금03" xfId="22585"/>
    <cellStyle name="ÅëÈ­_¼öÃâ½ÇÀû _현금과예금03" xfId="22586"/>
    <cellStyle name="AeE­_¼oAa½CAu _혜영07" xfId="22587"/>
    <cellStyle name="ÅëÈ­_¼öÀÍ¼º " xfId="12533"/>
    <cellStyle name="AeE­_¾aC°≫c¿eCoE² " xfId="12534"/>
    <cellStyle name="AëE­_1ÇAu " xfId="22588"/>
    <cellStyle name="ÅëÈ­_¹Ì¼ö¼öÀÍ" xfId="22589"/>
    <cellStyle name="AeE­_95³aAN°y¼o·R " xfId="12535"/>
    <cellStyle name="ÅëÈ­_97MBO" xfId="1230"/>
    <cellStyle name="AeE­_97MBO (2)" xfId="1231"/>
    <cellStyle name="ÅëÈ­_97MBO (2)" xfId="1232"/>
    <cellStyle name="AeE­_97MBO (2) 10" xfId="12536"/>
    <cellStyle name="ÅëÈ­_97MBO (2) 2" xfId="12537"/>
    <cellStyle name="AeE­_A|Aa¿e" xfId="12538"/>
    <cellStyle name="ÅëÈ­_Á¦Ãâ¿ë" xfId="1233"/>
    <cellStyle name="AeE­_A¾CO½A¼³ " xfId="22590"/>
    <cellStyle name="AëE­_Aç°í°ü¸® " xfId="22591"/>
    <cellStyle name="ÅëÈ­_Àç°í°ü¸® " xfId="22592"/>
    <cellStyle name="AëE­_Aç°í°ü¸®  2" xfId="22593"/>
    <cellStyle name="ÅëÈ­_Àç°í°ü¸®  2" xfId="22594"/>
    <cellStyle name="AëE­_Aç°í°ü¸®  2 2" xfId="22595"/>
    <cellStyle name="ÅëÈ­_Àç°í°ü¸®  2 2" xfId="22596"/>
    <cellStyle name="AëE­_Aç°í°ü¸®  3" xfId="22597"/>
    <cellStyle name="ÅëÈ­_Àç°í°ü¸®  3" xfId="22598"/>
    <cellStyle name="AeE­_AMT " xfId="12539"/>
    <cellStyle name="ÅëÈ­_Áõ±Ç Project" xfId="1234"/>
    <cellStyle name="AeE­_Ao±C Project 10" xfId="12540"/>
    <cellStyle name="ÅëÈ­_Áõ±Ç Project 2" xfId="12541"/>
    <cellStyle name="AeE­_AoAU°eE¹(¹ßAO) " xfId="22599"/>
    <cellStyle name="ÅëÈ­_ÇÒºÎ project" xfId="1235"/>
    <cellStyle name="AeE­_COºI project 10" xfId="12542"/>
    <cellStyle name="ÅëÈ­_ÇÒºÎ project 2" xfId="12543"/>
    <cellStyle name="AeE­_INQUIRY ¿μ¾÷AßAø " xfId="12544"/>
    <cellStyle name="ÅëÈ­_L601CPT" xfId="12545"/>
    <cellStyle name="AeE­_laroux_1" xfId="1236"/>
    <cellStyle name="ÅëÈ­_laroux_1" xfId="1237"/>
    <cellStyle name="AeE­_laroux_1 10" xfId="12546"/>
    <cellStyle name="ÅëÈ­_laroux_1 2" xfId="12547"/>
    <cellStyle name="AeE­_laroux_1_공장별차입금배부(01.1.31)_비교" xfId="22600"/>
    <cellStyle name="ÅëÈ­_laroux_1_공장별차입금배부(01.1.31)_비교" xfId="22601"/>
    <cellStyle name="AeE­_laroux_1_공장별차입금배부(01.1.31)_비교_미지급 선급(021031)" xfId="22602"/>
    <cellStyle name="ÅëÈ­_laroux_1_공장별차입금배부(01.1.31)_비교_미지급 선급(021031)" xfId="22603"/>
    <cellStyle name="AeE­_laroux_1_공장별차입금배부(01.1.31)_비교_미지급 선급(021231)" xfId="22604"/>
    <cellStyle name="ÅëÈ­_laroux_1_공장별차입금배부(01.1.31)_비교_미지급 선급(021231)" xfId="22605"/>
    <cellStyle name="AeE­_laroux_1_미지급 선급(021031)" xfId="22606"/>
    <cellStyle name="ÅëÈ­_laroux_1_미지급 선급(021031)" xfId="22607"/>
    <cellStyle name="AeE­_laroux_1_미지급 선급(021231)" xfId="22608"/>
    <cellStyle name="ÅëÈ­_laroux_1_미지급 선급(021231)" xfId="22609"/>
    <cellStyle name="AeE­_laroux_1_신용공여액 신고 대사자료" xfId="22610"/>
    <cellStyle name="ÅëÈ­_laroux_1_신용공여액 신고 대사자료" xfId="22611"/>
    <cellStyle name="AeE­_laroux_1_신용공여액 신고 대사자료_미지급 선급(021031)" xfId="22612"/>
    <cellStyle name="ÅëÈ­_laroux_1_신용공여액 신고 대사자료_미지급 선급(021031)" xfId="22613"/>
    <cellStyle name="AeE­_laroux_1_신용공여액 신고 대사자료_미지급 선급(021231)" xfId="22614"/>
    <cellStyle name="ÅëÈ­_laroux_1_신용공여액 신고 대사자료_미지급 선급(021231)" xfId="22615"/>
    <cellStyle name="AeE­_laroux_1_최종배분표(한빛은행)_020614" xfId="22616"/>
    <cellStyle name="ÅëÈ­_laroux_1_최종배분표(한빛은행)_020614" xfId="22617"/>
    <cellStyle name="AeE­_laroux_1_최종배분표(한빛은행)_020614_미지급 선급(021031)" xfId="22618"/>
    <cellStyle name="ÅëÈ­_laroux_1_최종배분표(한빛은행)_020614_미지급 선급(021031)" xfId="22619"/>
    <cellStyle name="AeE­_laroux_1_최종배분표(한빛은행)_020614_미지급 선급(021231)" xfId="22620"/>
    <cellStyle name="ÅëÈ­_laroux_1_최종배분표(한빛은행)_020614_미지급 선급(021231)" xfId="22621"/>
    <cellStyle name="AeE­_laroux_1_최종배분표(한빛은행)_020617" xfId="22622"/>
    <cellStyle name="ÅëÈ­_laroux_1_최종배분표(한빛은행)_020617" xfId="22623"/>
    <cellStyle name="AeE­_laroux_1_최종배분표(한빛은행)_020617_미지급 선급(021031)" xfId="22624"/>
    <cellStyle name="ÅëÈ­_laroux_1_최종배분표(한빛은행)_020617_미지급 선급(021031)" xfId="22625"/>
    <cellStyle name="AeE­_laroux_1_최종배분표(한빛은행)_020617_미지급 선급(021231)" xfId="22626"/>
    <cellStyle name="ÅëÈ­_laroux_1_최종배분표(한빛은행)_020617_미지급 선급(021231)" xfId="22627"/>
    <cellStyle name="AeE­_laroux_2" xfId="12548"/>
    <cellStyle name="ÅëÈ­_laroux_2" xfId="1238"/>
    <cellStyle name="AeE­_laroux_3" xfId="1239"/>
    <cellStyle name="ÅëÈ­_laroux_3" xfId="1240"/>
    <cellStyle name="AeE­_laroux_3 10" xfId="12549"/>
    <cellStyle name="ÅëÈ­_laroux_3 2" xfId="12550"/>
    <cellStyle name="AeE­_laroux_4" xfId="12551"/>
    <cellStyle name="ÅëÈ­_laroux_4" xfId="1241"/>
    <cellStyle name="AeE­_laroux_5" xfId="1242"/>
    <cellStyle name="ÅëÈ­_laroux_5" xfId="1243"/>
    <cellStyle name="AeE­_laroux_99.08 부채비율" xfId="22628"/>
    <cellStyle name="ÅëÈ­_laroux_99.08 부채비율" xfId="22629"/>
    <cellStyle name="AeE­_laroux_99.08 부채비율_공장별차입금배부(01.1.31)_비교" xfId="22630"/>
    <cellStyle name="ÅëÈ­_laroux_99.08 부채비율_공장별차입금배부(01.1.31)_비교" xfId="22631"/>
    <cellStyle name="AeE­_laroux_99.08 부채비율_공장별차입금배부(01.1.31)_비교_미지급 선급(021031)" xfId="22632"/>
    <cellStyle name="ÅëÈ­_laroux_99.08 부채비율_공장별차입금배부(01.1.31)_비교_미지급 선급(021031)" xfId="22633"/>
    <cellStyle name="AeE­_laroux_99.08 부채비율_공장별차입금배부(01.1.31)_비교_미지급 선급(021231)" xfId="22634"/>
    <cellStyle name="ÅëÈ­_laroux_99.08 부채비율_공장별차입금배부(01.1.31)_비교_미지급 선급(021231)" xfId="22635"/>
    <cellStyle name="AeE­_laroux_99.08 부채비율_미지급 선급(021031)" xfId="22636"/>
    <cellStyle name="ÅëÈ­_laroux_99.08 부채비율_미지급 선급(021031)" xfId="22637"/>
    <cellStyle name="AeE­_laroux_99.08 부채비율_미지급 선급(021231)" xfId="22638"/>
    <cellStyle name="ÅëÈ­_laroux_99.08 부채비율_미지급 선급(021231)" xfId="22639"/>
    <cellStyle name="AeE­_laroux_99.08 부채비율_신용공여액 신고 대사자료" xfId="22640"/>
    <cellStyle name="ÅëÈ­_laroux_99.08 부채비율_신용공여액 신고 대사자료" xfId="22641"/>
    <cellStyle name="AeE­_laroux_99.08 부채비율_신용공여액 신고 대사자료_미지급 선급(021031)" xfId="22642"/>
    <cellStyle name="ÅëÈ­_laroux_99.08 부채비율_신용공여액 신고 대사자료_미지급 선급(021031)" xfId="22643"/>
    <cellStyle name="AeE­_laroux_99.08 부채비율_신용공여액 신고 대사자료_미지급 선급(021231)" xfId="22644"/>
    <cellStyle name="ÅëÈ­_laroux_99.08 부채비율_신용공여액 신고 대사자료_미지급 선급(021231)" xfId="22645"/>
    <cellStyle name="AeE­_laroux_99.08 부채비율_최종배분표(한빛은행)_020614" xfId="22646"/>
    <cellStyle name="ÅëÈ­_laroux_99.08 부채비율_최종배분표(한빛은행)_020614" xfId="22647"/>
    <cellStyle name="AeE­_laroux_99.08 부채비율_최종배분표(한빛은행)_020614_미지급 선급(021031)" xfId="22648"/>
    <cellStyle name="ÅëÈ­_laroux_99.08 부채비율_최종배분표(한빛은행)_020614_미지급 선급(021031)" xfId="22649"/>
    <cellStyle name="AeE­_laroux_99.08 부채비율_최종배분표(한빛은행)_020614_미지급 선급(021231)" xfId="22650"/>
    <cellStyle name="ÅëÈ­_laroux_99.08 부채비율_최종배분표(한빛은행)_020614_미지급 선급(021231)" xfId="22651"/>
    <cellStyle name="AeE­_laroux_99.08 부채비율_최종배분표(한빛은행)_020617" xfId="22652"/>
    <cellStyle name="ÅëÈ­_laroux_99.08 부채비율_최종배분표(한빛은행)_020617" xfId="22653"/>
    <cellStyle name="AeE­_laroux_99.08 부채비율_최종배분표(한빛은행)_020617_미지급 선급(021031)" xfId="22654"/>
    <cellStyle name="ÅëÈ­_laroux_99.08 부채비율_최종배분표(한빛은행)_020617_미지급 선급(021031)" xfId="22655"/>
    <cellStyle name="AeE­_laroux_99.08 부채비율_최종배분표(한빛은행)_020617_미지급 선급(021231)" xfId="22656"/>
    <cellStyle name="ÅëÈ­_laroux_99.08 부채비율_최종배분표(한빛은행)_020617_미지급 선급(021231)" xfId="22657"/>
    <cellStyle name="AeE­_MBO_0" xfId="1244"/>
    <cellStyle name="ÅëÈ­_MBO_0" xfId="1245"/>
    <cellStyle name="AeE­_MBO_0 10" xfId="12552"/>
    <cellStyle name="ÅëÈ­_MBO_0 2" xfId="12553"/>
    <cellStyle name="AeE­_MBO96_1" xfId="12554"/>
    <cellStyle name="ÅëÈ­_MBO96_1" xfId="1246"/>
    <cellStyle name="AeE­_MBO96_1 10" xfId="12555"/>
    <cellStyle name="ÅëÈ­_MBO96_1 2" xfId="12556"/>
    <cellStyle name="AeE­_º≫¼± ±æ¾i±uºI ¼o·R Ay°eC￥ " xfId="12557"/>
    <cellStyle name="ÅëÈ­_RESULTS" xfId="12558"/>
    <cellStyle name="AeE­_Sheet2" xfId="22658"/>
    <cellStyle name="ÅëÈ­_Sheet2" xfId="22659"/>
    <cellStyle name="AeE­_Sheet2_99.08 부채비율" xfId="22660"/>
    <cellStyle name="ÅëÈ­_Sheet2_99.08 부채비율" xfId="22661"/>
    <cellStyle name="AeE­_Sheet2_99.08 부채비율_공장별차입금배부(01.1.31)_비교" xfId="22662"/>
    <cellStyle name="ÅëÈ­_Sheet2_99.08 부채비율_공장별차입금배부(01.1.31)_비교" xfId="22663"/>
    <cellStyle name="AeE­_Sheet2_99.08 부채비율_공장별차입금배부(01.1.31)_비교_미지급 선급(021031)" xfId="22664"/>
    <cellStyle name="ÅëÈ­_Sheet2_99.08 부채비율_공장별차입금배부(01.1.31)_비교_미지급 선급(021031)" xfId="22665"/>
    <cellStyle name="AeE­_Sheet2_99.08 부채비율_공장별차입금배부(01.1.31)_비교_미지급 선급(021231)" xfId="22666"/>
    <cellStyle name="ÅëÈ­_Sheet2_99.08 부채비율_공장별차입금배부(01.1.31)_비교_미지급 선급(021231)" xfId="22667"/>
    <cellStyle name="AeE­_Sheet2_99.08 부채비율_미지급 선급(021031)" xfId="22668"/>
    <cellStyle name="ÅëÈ­_Sheet2_99.08 부채비율_미지급 선급(021031)" xfId="22669"/>
    <cellStyle name="AeE­_Sheet2_99.08 부채비율_미지급 선급(021231)" xfId="22670"/>
    <cellStyle name="ÅëÈ­_Sheet2_99.08 부채비율_미지급 선급(021231)" xfId="22671"/>
    <cellStyle name="AeE­_Sheet2_99.08 부채비율_신용공여액 신고 대사자료" xfId="22672"/>
    <cellStyle name="ÅëÈ­_Sheet2_99.08 부채비율_신용공여액 신고 대사자료" xfId="22673"/>
    <cellStyle name="AeE­_Sheet2_99.08 부채비율_신용공여액 신고 대사자료_미지급 선급(021031)" xfId="22674"/>
    <cellStyle name="ÅëÈ­_Sheet2_99.08 부채비율_신용공여액 신고 대사자료_미지급 선급(021031)" xfId="22675"/>
    <cellStyle name="AeE­_Sheet2_99.08 부채비율_신용공여액 신고 대사자료_미지급 선급(021231)" xfId="22676"/>
    <cellStyle name="ÅëÈ­_Sheet2_99.08 부채비율_신용공여액 신고 대사자료_미지급 선급(021231)" xfId="22677"/>
    <cellStyle name="AeE­_Sheet2_99.08 부채비율_최종배분표(한빛은행)_020614" xfId="22678"/>
    <cellStyle name="ÅëÈ­_Sheet2_99.08 부채비율_최종배분표(한빛은행)_020614" xfId="22679"/>
    <cellStyle name="AeE­_Sheet2_99.08 부채비율_최종배분표(한빛은행)_020614_미지급 선급(021031)" xfId="22680"/>
    <cellStyle name="ÅëÈ­_Sheet2_99.08 부채비율_최종배분표(한빛은행)_020614_미지급 선급(021031)" xfId="22681"/>
    <cellStyle name="AeE­_Sheet2_99.08 부채비율_최종배분표(한빛은행)_020614_미지급 선급(021231)" xfId="22682"/>
    <cellStyle name="ÅëÈ­_Sheet2_99.08 부채비율_최종배분표(한빛은행)_020614_미지급 선급(021231)" xfId="22683"/>
    <cellStyle name="AeE­_Sheet2_99.08 부채비율_최종배분표(한빛은행)_020617" xfId="22684"/>
    <cellStyle name="ÅëÈ­_Sheet2_99.08 부채비율_최종배분표(한빛은행)_020617" xfId="22685"/>
    <cellStyle name="AeE­_Sheet2_99.08 부채비율_최종배분표(한빛은행)_020617_미지급 선급(021031)" xfId="22686"/>
    <cellStyle name="ÅëÈ­_Sheet2_99.08 부채비율_최종배분표(한빛은행)_020617_미지급 선급(021031)" xfId="22687"/>
    <cellStyle name="AeE­_Sheet2_99.08 부채비율_최종배분표(한빛은행)_020617_미지급 선급(021231)" xfId="22688"/>
    <cellStyle name="ÅëÈ­_Sheet2_99.08 부채비율_최종배분표(한빛은행)_020617_미지급 선급(021231)" xfId="22689"/>
    <cellStyle name="AëE­_SP 1°µ?1× ?ÜÁÖ " xfId="22690"/>
    <cellStyle name="ÅëÈ­_SP ¹°µ¿¹× ¿ÜÁÖ " xfId="22691"/>
    <cellStyle name="AeE­_SP ¹°μ¿¹× ¿UAO " xfId="22692"/>
    <cellStyle name="Aee¡" xfId="12559"/>
    <cellStyle name="AeE¡ⓒ [0]_¡¾aEⓒo¨oCLAN(AuA|A￠O¡ÆC)" xfId="12560"/>
    <cellStyle name="AeE¡ⓒ_¡¾aEⓒo¨oCLAN(AuA|A￠O¡ÆC)" xfId="12561"/>
    <cellStyle name="AeE¡ER¡§I [0]_¡ER¡§￠R¡§I¡ER￠RE?￠RIiCoE¡§I￠RA" xfId="22693"/>
    <cellStyle name="AeE¡ER¡§I_¡ER¡§￠R¡§I¡ER￠RE?￠RIiCoE¡§I￠RA" xfId="22694"/>
    <cellStyle name="AeE¡ERERERER¡ERERER￠RERER¡ERER¡ERE?I [0]_¡ERERERER¡ERERER￠RERER¡ERER¡ERE?￠RERERER¡ERERER￠RERER¡ERER¡ERE?I¡ERERER￠RERER¡ERER¡ERE?¡ERERERI¡ERERER￠RERER¡ERER¡ERE?IoR" xfId="22695"/>
    <cellStyle name="AeE¡ERERERER¡ERERER￠RERER¡ERER¡ERE?I_¡ERERERER¡ERERER￠RERER¡ERER¡ERE?￠RERERER¡ERERER￠RERER¡ERER¡ERE?I¡ERERER￠RERER¡ERER¡ERE?¡ERERERI¡ERERER￠RERER¡ERER¡ERE?IoR" xfId="22696"/>
    <cellStyle name="AeE￠R¨I [0]_¡§￠Ri¡§u¡§¡þ¡§¡þI¡§u￠R¨I" xfId="12562"/>
    <cellStyle name="AeE￠R¨I_¡§￠Ri¡§u¡§¡þ¡§¡þI¡§u￠R¨I" xfId="12563"/>
    <cellStyle name="AeE々 [0]_【№" xfId="12564"/>
    <cellStyle name="AeE々_【№" xfId="12565"/>
    <cellStyle name="Æu¼ " xfId="12566"/>
    <cellStyle name="aging" xfId="22697"/>
    <cellStyle name="al_PieTFT.xls Chart 1_TEAM.XLS Char*Normal_PieTFT.xls Chart 1_TEAM.XLS Char*Normal_PieTFT.xls Chart 1_TEAM.XL" xfId="22698"/>
    <cellStyle name="ALIGNMENT" xfId="1247"/>
    <cellStyle name="ALIGNMENT 2" xfId="1248"/>
    <cellStyle name="ALIGNMENT 3" xfId="12567"/>
    <cellStyle name="AoA¤μCAo ¾EA½" xfId="22699"/>
    <cellStyle name="Aō⒁ [0]_【№" xfId="12568"/>
    <cellStyle name="Aō⒁_【№" xfId="12569"/>
    <cellStyle name="args.style" xfId="12570"/>
    <cellStyle name="Arial 10" xfId="1249"/>
    <cellStyle name="Arial 10 2" xfId="12571"/>
    <cellStyle name="Arial 10 3" xfId="12572"/>
    <cellStyle name="Arial 12" xfId="1250"/>
    <cellStyle name="Arial 12 2" xfId="12573"/>
    <cellStyle name="Arial 12 3" xfId="12574"/>
    <cellStyle name="aroux`" xfId="22700"/>
    <cellStyle name="Aþ¸" xfId="12575"/>
    <cellStyle name="Äþ¸¶" xfId="1251"/>
    <cellStyle name="AÞ¸¶ [0]" xfId="12576"/>
    <cellStyle name="Äþ¸¶ [0]" xfId="1252"/>
    <cellStyle name="Äþ¸¶ [0] 2" xfId="22701"/>
    <cellStyle name="AÞ¸¶ [0]_  A¾  CO  " xfId="12577"/>
    <cellStyle name="ÄÞ¸¶ [0]_(1.Åä)" xfId="12578"/>
    <cellStyle name="AÞ¸¶ [0]_´e¿i" xfId="12579"/>
    <cellStyle name="ÄÞ¸¶ [0]_´ëºñÇ¥" xfId="12580"/>
    <cellStyle name="AÞ¸¶ [0]_¸AAa¿ø°¡AN°y" xfId="22702"/>
    <cellStyle name="ÄÞ¸¶ [0]_¿¬ÁÖ Eng'g ÇÁ·ÎÁ§Æ®ÆÀ " xfId="22703"/>
    <cellStyle name="AÞ¸¶ [0]_±aA¸" xfId="1253"/>
    <cellStyle name="ÄÞ¸¶ [0]_±âÅ¸" xfId="12581"/>
    <cellStyle name="AÞ¸¶ [0]_°¡³ª´U " xfId="22704"/>
    <cellStyle name="ÄÞ¸¶ [0]_°ü¸®¿ø°¡" xfId="22705"/>
    <cellStyle name="AÞ¸¶ [0]_°u¸R¿ø°¡" xfId="22706"/>
    <cellStyle name="ÄÞ¸¶ [0]_µ¿ºÎ" xfId="12582"/>
    <cellStyle name="AÞ¸¶ [0]_021" xfId="22707"/>
    <cellStyle name="ÄÞ¸¶ [0]_¼öÃâ½ÇÀû " xfId="22708"/>
    <cellStyle name="AÞ¸¶ [0]_¼oAa½CAu _~0001070" xfId="22709"/>
    <cellStyle name="ÄÞ¸¶ [0]_¼öÃâ½ÇÀû _~0001070" xfId="22710"/>
    <cellStyle name="AÞ¸¶ [0]_¼oAa½CAu _~0008020" xfId="22711"/>
    <cellStyle name="ÄÞ¸¶ [0]_¼öÃâ½ÇÀû _~0008020" xfId="22712"/>
    <cellStyle name="AÞ¸¶ [0]_¼oAa½CAu _~0014230" xfId="22713"/>
    <cellStyle name="ÄÞ¸¶ [0]_¼öÃâ½ÇÀû _~0014230" xfId="22714"/>
    <cellStyle name="AÞ¸¶ [0]_¼oAa½CAu _~0023478" xfId="22715"/>
    <cellStyle name="ÄÞ¸¶ [0]_¼öÃâ½ÇÀû _~0023478" xfId="22716"/>
    <cellStyle name="AÞ¸¶ [0]_¼oAa½CAu _~0028575" xfId="22717"/>
    <cellStyle name="ÄÞ¸¶ [0]_¼öÃâ½ÇÀû _~0028575" xfId="22718"/>
    <cellStyle name="AÞ¸¶ [0]_¼oAa½CAu _~0033004" xfId="22719"/>
    <cellStyle name="ÄÞ¸¶ [0]_¼öÃâ½ÇÀû _~0033004" xfId="22720"/>
    <cellStyle name="AÞ¸¶ [0]_¼oAa½CAu _~0041327" xfId="22721"/>
    <cellStyle name="ÄÞ¸¶ [0]_¼öÃâ½ÇÀû _~0041327" xfId="22722"/>
    <cellStyle name="AÞ¸¶ [0]_¼oAa½CAu _~0041748" xfId="22723"/>
    <cellStyle name="ÄÞ¸¶ [0]_¼öÃâ½ÇÀû _~0041748" xfId="22724"/>
    <cellStyle name="AÞ¸¶ [0]_¼oAa½CAu _~0047758" xfId="22725"/>
    <cellStyle name="ÄÞ¸¶ [0]_¼öÃâ½ÇÀû _~0047758" xfId="22726"/>
    <cellStyle name="AÞ¸¶ [0]_¼oAa½CAu _~0061957" xfId="22727"/>
    <cellStyle name="ÄÞ¸¶ [0]_¼öÃâ½ÇÀû _~0061957" xfId="22728"/>
    <cellStyle name="AÞ¸¶ [0]_¼oAa½CAu _~0468386" xfId="22729"/>
    <cellStyle name="ÄÞ¸¶ [0]_¼öÃâ½ÇÀû _~1005118" xfId="22730"/>
    <cellStyle name="AÞ¸¶ [0]_¼oAa½CAu _~2568305" xfId="22731"/>
    <cellStyle name="ÄÞ¸¶ [0]_¼öÃâ½ÇÀû _~2568305" xfId="22732"/>
    <cellStyle name="AÞ¸¶ [0]_¼oAa½CAu _~2720862" xfId="22733"/>
    <cellStyle name="ÄÞ¸¶ [0]_¼öÃâ½ÇÀû _~2720862" xfId="22734"/>
    <cellStyle name="AÞ¸¶ [0]_¼oAa½CAu _~2850075" xfId="22735"/>
    <cellStyle name="ÄÞ¸¶ [0]_¼öÃâ½ÇÀû _~2850075" xfId="22736"/>
    <cellStyle name="AÞ¸¶ [0]_¼oAa½CAu _~3261057" xfId="22737"/>
    <cellStyle name="ÄÞ¸¶ [0]_¼öÃâ½ÇÀû _~3261057" xfId="22738"/>
    <cellStyle name="AÞ¸¶ [0]_¼oAa½CAu _~3474856" xfId="22739"/>
    <cellStyle name="ÄÞ¸¶ [0]_¼öÃâ½ÇÀû _~3474856" xfId="22740"/>
    <cellStyle name="AÞ¸¶ [0]_¼oAa½CAu _~4112068" xfId="22741"/>
    <cellStyle name="ÄÞ¸¶ [0]_¼öÃâ½ÇÀû _~4112068" xfId="22742"/>
    <cellStyle name="AÞ¸¶ [0]_¼oAa½CAu _~4164184" xfId="22743"/>
    <cellStyle name="ÄÞ¸¶ [0]_¼öÃâ½ÇÀû _~4164184" xfId="22744"/>
    <cellStyle name="AÞ¸¶ [0]_¼oAa½CAu _~4644378" xfId="22745"/>
    <cellStyle name="ÄÞ¸¶ [0]_¼öÃâ½ÇÀû _~4644378" xfId="22746"/>
    <cellStyle name="AÞ¸¶ [0]_¼oAa½CAu _~5937231" xfId="22747"/>
    <cellStyle name="ÄÞ¸¶ [0]_¼öÃâ½ÇÀû _~5937231" xfId="22748"/>
    <cellStyle name="AÞ¸¶ [0]_¼oAa½CAu _~6086544" xfId="22749"/>
    <cellStyle name="ÄÞ¸¶ [0]_¼öÃâ½ÇÀû _~6086544" xfId="22750"/>
    <cellStyle name="AÞ¸¶ [0]_¼oAa½CAu _~7493862" xfId="22751"/>
    <cellStyle name="ÄÞ¸¶ [0]_¼öÃâ½ÇÀû _~7493862" xfId="22752"/>
    <cellStyle name="AÞ¸¶ [0]_¼oAa½CAu _~7789554" xfId="22753"/>
    <cellStyle name="ÄÞ¸¶ [0]_¼öÃâ½ÇÀû _~7789554" xfId="22754"/>
    <cellStyle name="AÞ¸¶ [0]_¼oAa½CAu _~7890322" xfId="22755"/>
    <cellStyle name="ÄÞ¸¶ [0]_¼öÃâ½ÇÀû _~7890322" xfId="22756"/>
    <cellStyle name="AÞ¸¶ [0]_¼oAa½CAu _~8201603" xfId="22757"/>
    <cellStyle name="ÄÞ¸¶ [0]_¼öÃâ½ÇÀû _~8201603" xfId="22758"/>
    <cellStyle name="AÞ¸¶ [0]_¼oAa½CAu _~8586242" xfId="22759"/>
    <cellStyle name="ÄÞ¸¶ [0]_¼öÃâ½ÇÀû _~8586242" xfId="22760"/>
    <cellStyle name="AÞ¸¶ [0]_¼oAa½CAu _~9010915" xfId="22761"/>
    <cellStyle name="ÄÞ¸¶ [0]_¼öÃâ½ÇÀû _01품목별매출현황" xfId="22762"/>
    <cellStyle name="AÞ¸¶ [0]_¼oAa½CAu _10월" xfId="22763"/>
    <cellStyle name="ÄÞ¸¶ [0]_¼öÃâ½ÇÀû _10월명세서" xfId="22764"/>
    <cellStyle name="AÞ¸¶ [0]_¼oAa½CAu _11월명세" xfId="22765"/>
    <cellStyle name="ÄÞ¸¶ [0]_¼öÃâ½ÇÀû _11월명세서" xfId="22766"/>
    <cellStyle name="AÞ¸¶ [0]_¼oAa½CAu _12월" xfId="22767"/>
    <cellStyle name="ÄÞ¸¶ [0]_¼öÃâ½ÇÀû _12월 매출명세서" xfId="22768"/>
    <cellStyle name="AÞ¸¶ [0]_¼oAa½CAu _1월 가수명세서" xfId="22769"/>
    <cellStyle name="ÄÞ¸¶ [0]_¼öÃâ½ÇÀû _2002.02" xfId="22770"/>
    <cellStyle name="AÞ¸¶ [0]_¼oAa½CAu _2002.11명세서" xfId="22771"/>
    <cellStyle name="ÄÞ¸¶ [0]_¼öÃâ½ÇÀû _2002.11명세서" xfId="22772"/>
    <cellStyle name="AÞ¸¶ [0]_¼oAa½CAu _3월명세서" xfId="22773"/>
    <cellStyle name="ÄÞ¸¶ [0]_¼öÃâ½ÇÀû _3월명세서" xfId="22774"/>
    <cellStyle name="AÞ¸¶ [0]_¼oAa½CAu _4월명세서" xfId="22775"/>
    <cellStyle name="ÄÞ¸¶ [0]_¼öÃâ½ÇÀû _4월명세서" xfId="22776"/>
    <cellStyle name="AÞ¸¶ [0]_¼oAa½CAu _6월명세서" xfId="22777"/>
    <cellStyle name="ÄÞ¸¶ [0]_¼öÃâ½ÇÀû _6월명세서" xfId="22778"/>
    <cellStyle name="AÞ¸¶ [0]_¼oAa½CAu _7월" xfId="22779"/>
    <cellStyle name="ÄÞ¸¶ [0]_¼öÃâ½ÇÀû _7월명세서" xfId="22780"/>
    <cellStyle name="AÞ¸¶ [0]_¼oAa½CAu _7월명세서제출" xfId="22781"/>
    <cellStyle name="ÄÞ¸¶ [0]_¼öÃâ½ÇÀû _7월명세서제출" xfId="22782"/>
    <cellStyle name="AÞ¸¶ [0]_¼oAa½CAu _8월" xfId="22783"/>
    <cellStyle name="ÄÞ¸¶ [0]_¼öÃâ½ÇÀû _8월명세서" xfId="22784"/>
    <cellStyle name="AÞ¸¶ [0]_¼oAa½CAu _99결산" xfId="22785"/>
    <cellStyle name="ÄÞ¸¶ [0]_¼öÃâ½ÇÀû _99결산" xfId="22786"/>
    <cellStyle name="AÞ¸¶ [0]_¼oAa½CAu _99결산 (2)" xfId="22787"/>
    <cellStyle name="ÄÞ¸¶ [0]_¼öÃâ½ÇÀû _99결산 (2)" xfId="22788"/>
    <cellStyle name="AÞ¸¶ [0]_¼oAa½CAu _99결산 (2)_~0008020" xfId="22789"/>
    <cellStyle name="ÄÞ¸¶ [0]_¼öÃâ½ÇÀû _99결산 (2)_~0008020" xfId="22790"/>
    <cellStyle name="AÞ¸¶ [0]_¼oAa½CAu _99결산 (2)_~0023478" xfId="22791"/>
    <cellStyle name="ÄÞ¸¶ [0]_¼öÃâ½ÇÀû _99결산 (2)_~0023478" xfId="22792"/>
    <cellStyle name="AÞ¸¶ [0]_¼oAa½CAu _99결산 (2)_~0028575" xfId="22793"/>
    <cellStyle name="ÄÞ¸¶ [0]_¼öÃâ½ÇÀû _99결산 (2)_~0028575" xfId="22794"/>
    <cellStyle name="AÞ¸¶ [0]_¼oAa½CAu _99결산 (2)_~0033004" xfId="22795"/>
    <cellStyle name="ÄÞ¸¶ [0]_¼öÃâ½ÇÀû _99결산 (2)_~0033004" xfId="22796"/>
    <cellStyle name="AÞ¸¶ [0]_¼oAa½CAu _99결산 (2)_~0041327" xfId="22797"/>
    <cellStyle name="ÄÞ¸¶ [0]_¼öÃâ½ÇÀû _99결산 (2)_~0041327" xfId="22798"/>
    <cellStyle name="AÞ¸¶ [0]_¼oAa½CAu _99결산 (2)_~0041748" xfId="22799"/>
    <cellStyle name="ÄÞ¸¶ [0]_¼öÃâ½ÇÀû _99결산 (2)_~0041748" xfId="22800"/>
    <cellStyle name="AÞ¸¶ [0]_¼oAa½CAu _99결산 (2)_~0047758" xfId="22801"/>
    <cellStyle name="ÄÞ¸¶ [0]_¼öÃâ½ÇÀû _99결산 (2)_~0047758" xfId="22802"/>
    <cellStyle name="AÞ¸¶ [0]_¼oAa½CAu _99결산 (2)_~0058556" xfId="22803"/>
    <cellStyle name="ÄÞ¸¶ [0]_¼öÃâ½ÇÀû _99결산 (2)_~0058556" xfId="22804"/>
    <cellStyle name="AÞ¸¶ [0]_¼oAa½CAu _99결산 (2)_~0061957" xfId="22805"/>
    <cellStyle name="ÄÞ¸¶ [0]_¼öÃâ½ÇÀû _99결산 (2)_~0061957" xfId="22806"/>
    <cellStyle name="AÞ¸¶ [0]_¼oAa½CAu _99결산 (2)_~0883834" xfId="22807"/>
    <cellStyle name="ÄÞ¸¶ [0]_¼öÃâ½ÇÀû _99결산 (2)_~0883834" xfId="22808"/>
    <cellStyle name="AÞ¸¶ [0]_¼oAa½CAu _99결산 (2)_~1005118" xfId="22809"/>
    <cellStyle name="ÄÞ¸¶ [0]_¼öÃâ½ÇÀû _99결산 (2)_~1005118" xfId="22810"/>
    <cellStyle name="AÞ¸¶ [0]_¼oAa½CAu _99결산 (2)_~2387715" xfId="22811"/>
    <cellStyle name="ÄÞ¸¶ [0]_¼öÃâ½ÇÀû _99결산 (2)_~2387715" xfId="22812"/>
    <cellStyle name="AÞ¸¶ [0]_¼oAa½CAu _99결산 (2)_~2568305" xfId="22813"/>
    <cellStyle name="ÄÞ¸¶ [0]_¼öÃâ½ÇÀû _99결산 (2)_~2568305" xfId="22814"/>
    <cellStyle name="AÞ¸¶ [0]_¼oAa½CAu _99결산 (2)_~3374048" xfId="22815"/>
    <cellStyle name="ÄÞ¸¶ [0]_¼öÃâ½ÇÀû _99결산 (2)_~3374048" xfId="22816"/>
    <cellStyle name="AÞ¸¶ [0]_¼oAa½CAu _99결산 (2)_~3941577" xfId="22817"/>
    <cellStyle name="ÄÞ¸¶ [0]_¼öÃâ½ÇÀû _99결산 (2)_~3941577" xfId="22818"/>
    <cellStyle name="AÞ¸¶ [0]_¼oAa½CAu _99결산 (2)_~4080998" xfId="22819"/>
    <cellStyle name="ÄÞ¸¶ [0]_¼öÃâ½ÇÀû _99결산 (2)_~4080998" xfId="22820"/>
    <cellStyle name="AÞ¸¶ [0]_¼oAa½CAu _99결산 (2)_~4164184" xfId="22821"/>
    <cellStyle name="ÄÞ¸¶ [0]_¼öÃâ½ÇÀû _99결산 (2)_~4164184" xfId="22822"/>
    <cellStyle name="AÞ¸¶ [0]_¼oAa½CAu _99결산 (2)_~5937231" xfId="22823"/>
    <cellStyle name="ÄÞ¸¶ [0]_¼öÃâ½ÇÀû _99결산 (2)_~5937231" xfId="22824"/>
    <cellStyle name="AÞ¸¶ [0]_¼oAa½CAu _99결산 (2)_~6086544" xfId="22825"/>
    <cellStyle name="ÄÞ¸¶ [0]_¼öÃâ½ÇÀû _99결산 (2)_~6086544" xfId="22826"/>
    <cellStyle name="AÞ¸¶ [0]_¼oAa½CAu _99결산 (2)_~7042345" xfId="22827"/>
    <cellStyle name="ÄÞ¸¶ [0]_¼öÃâ½ÇÀû _99결산 (2)_~7042345" xfId="22828"/>
    <cellStyle name="AÞ¸¶ [0]_¼oAa½CAu _99결산 (2)_~7493862" xfId="22829"/>
    <cellStyle name="ÄÞ¸¶ [0]_¼öÃâ½ÇÀû _99결산 (2)_~7493862" xfId="22830"/>
    <cellStyle name="AÞ¸¶ [0]_¼oAa½CAu _99결산 (2)_~7656697" xfId="22831"/>
    <cellStyle name="ÄÞ¸¶ [0]_¼öÃâ½ÇÀû _99결산 (2)_~7656697" xfId="22832"/>
    <cellStyle name="AÞ¸¶ [0]_¼oAa½CAu _99결산 (2)_~7789554" xfId="22833"/>
    <cellStyle name="ÄÞ¸¶ [0]_¼öÃâ½ÇÀû _99결산 (2)_~7789554" xfId="22834"/>
    <cellStyle name="AÞ¸¶ [0]_¼oAa½CAu _99결산 (2)_~7890322" xfId="22835"/>
    <cellStyle name="ÄÞ¸¶ [0]_¼öÃâ½ÇÀû _99결산 (2)_~7890322" xfId="22836"/>
    <cellStyle name="AÞ¸¶ [0]_¼oAa½CAu _99결산 (2)_~7966799" xfId="22837"/>
    <cellStyle name="ÄÞ¸¶ [0]_¼öÃâ½ÇÀû _99결산 (2)_~7966799" xfId="22838"/>
    <cellStyle name="AÞ¸¶ [0]_¼oAa½CAu _99결산 (2)_~9198332" xfId="22839"/>
    <cellStyle name="ÄÞ¸¶ [0]_¼öÃâ½ÇÀû _99결산 (2)_~9198332" xfId="22840"/>
    <cellStyle name="AÞ¸¶ [0]_¼oAa½CAu _99결산 (2)_~9799706" xfId="22841"/>
    <cellStyle name="ÄÞ¸¶ [0]_¼öÃâ½ÇÀû _99결산 (2)_~9799706" xfId="22842"/>
    <cellStyle name="AÞ¸¶ [0]_¼oAa½CAu _99결산 (2)_05외화미지급이자" xfId="22843"/>
    <cellStyle name="ÄÞ¸¶ [0]_¼öÃâ½ÇÀû _99결산 (2)_05외화미지급이자" xfId="22844"/>
    <cellStyle name="AÞ¸¶ [0]_¼oAa½CAu _99결산 (2)_06외화미지급이자" xfId="22845"/>
    <cellStyle name="ÄÞ¸¶ [0]_¼öÃâ½ÇÀû _99결산 (2)_06외화미지급이자" xfId="22846"/>
    <cellStyle name="AÞ¸¶ [0]_¼oAa½CAu _99결산 (2)_07외화미지급이자" xfId="22847"/>
    <cellStyle name="ÄÞ¸¶ [0]_¼öÃâ½ÇÀû _99결산 (2)_07외화미지급이자" xfId="22848"/>
    <cellStyle name="AÞ¸¶ [0]_¼oAa½CAu _99결산 (2)_09외화미지급이자" xfId="22849"/>
    <cellStyle name="ÄÞ¸¶ [0]_¼öÃâ½ÇÀû _99결산 (2)_09외화미지급이자" xfId="22850"/>
    <cellStyle name="AÞ¸¶ [0]_¼oAa½CAu _99결산 (2)_10월명세서" xfId="22851"/>
    <cellStyle name="ÄÞ¸¶ [0]_¼öÃâ½ÇÀû _99결산 (2)_10월명세서" xfId="22852"/>
    <cellStyle name="AÞ¸¶ [0]_¼oAa½CAu _99결산 (2)_10월명세서수정" xfId="22853"/>
    <cellStyle name="ÄÞ¸¶ [0]_¼öÃâ½ÇÀû _99결산 (2)_10월명세서수정" xfId="22854"/>
    <cellStyle name="AÞ¸¶ [0]_¼oAa½CAu _99결산 (2)_11월명세서" xfId="22855"/>
    <cellStyle name="ÄÞ¸¶ [0]_¼öÃâ½ÇÀû _99결산 (2)_11월명세서" xfId="22856"/>
    <cellStyle name="AÞ¸¶ [0]_¼oAa½CAu _99결산 (2)_12월명세서" xfId="22857"/>
    <cellStyle name="ÄÞ¸¶ [0]_¼öÃâ½ÇÀû _99결산 (2)_12월명세서" xfId="22858"/>
    <cellStyle name="AÞ¸¶ [0]_¼oAa½CAu _99결산 (2)_2002.02" xfId="22859"/>
    <cellStyle name="ÄÞ¸¶ [0]_¼öÃâ½ÇÀû _99결산 (2)_2002.02" xfId="22860"/>
    <cellStyle name="AÞ¸¶ [0]_¼oAa½CAu _99결산 (2)_2002.11명세서" xfId="22861"/>
    <cellStyle name="ÄÞ¸¶ [0]_¼öÃâ½ÇÀû _99결산 (2)_2002.11명세서" xfId="22862"/>
    <cellStyle name="AÞ¸¶ [0]_¼oAa½CAu _99결산 (2)_4월명세서" xfId="22863"/>
    <cellStyle name="ÄÞ¸¶ [0]_¼öÃâ½ÇÀû _99결산 (2)_4월명세서" xfId="22864"/>
    <cellStyle name="AÞ¸¶ [0]_¼oAa½CAu _99결산 (2)_5월명세서" xfId="22865"/>
    <cellStyle name="ÄÞ¸¶ [0]_¼öÃâ½ÇÀû _99결산 (2)_5월명세서" xfId="22866"/>
    <cellStyle name="AÞ¸¶ [0]_¼oAa½CAu _99결산 (2)_6월명세서" xfId="22867"/>
    <cellStyle name="ÄÞ¸¶ [0]_¼öÃâ½ÇÀû _99결산 (2)_6월명세서" xfId="22868"/>
    <cellStyle name="AÞ¸¶ [0]_¼oAa½CAu _99결산 (2)_7월명세서" xfId="22869"/>
    <cellStyle name="ÄÞ¸¶ [0]_¼öÃâ½ÇÀû _99결산 (2)_7월명세서" xfId="22870"/>
    <cellStyle name="AÞ¸¶ [0]_¼oAa½CAu _99결산 (2)_7월명세서제출" xfId="22871"/>
    <cellStyle name="ÄÞ¸¶ [0]_¼öÃâ½ÇÀû _99결산 (2)_7월명세서제출" xfId="22872"/>
    <cellStyle name="AÞ¸¶ [0]_¼oAa½CAu _99결산 (2)_8월명세서" xfId="22873"/>
    <cellStyle name="ÄÞ¸¶ [0]_¼öÃâ½ÇÀû _99결산 (2)_8월명세서" xfId="22874"/>
    <cellStyle name="AÞ¸¶ [0]_¼oAa½CAu _99결산 (2)_9월명세서" xfId="22875"/>
    <cellStyle name="ÄÞ¸¶ [0]_¼öÃâ½ÇÀû _99결산 (2)_9월명세서" xfId="22876"/>
    <cellStyle name="AÞ¸¶ [0]_¼oAa½CAu _99결산 (2)_ABS0201" xfId="22877"/>
    <cellStyle name="ÄÞ¸¶ [0]_¼öÃâ½ÇÀû _99결산 (2)_ABS0201" xfId="22878"/>
    <cellStyle name="AÞ¸¶ [0]_¼oAa½CAu _99결산 (2)_ABS0202" xfId="22879"/>
    <cellStyle name="ÄÞ¸¶ [0]_¼öÃâ½ÇÀû _99결산 (2)_ABS0202" xfId="22880"/>
    <cellStyle name="AÞ¸¶ [0]_¼oAa½CAu _99결산 (2)_ABS0202_BS0202" xfId="22881"/>
    <cellStyle name="ÄÞ¸¶ [0]_¼öÃâ½ÇÀû _99결산 (2)_ABS0202_BS0202" xfId="22882"/>
    <cellStyle name="AÞ¸¶ [0]_¼oAa½CAu _99결산 (2)_ABS0202_미수수익0203B" xfId="22883"/>
    <cellStyle name="ÄÞ¸¶ [0]_¼öÃâ½ÇÀû _99결산 (2)_ABS0202_미수수익0203B" xfId="22884"/>
    <cellStyle name="AÞ¸¶ [0]_¼oAa½CAu _99결산 (2)_ABS0202_미수수익0206" xfId="22885"/>
    <cellStyle name="ÄÞ¸¶ [0]_¼öÃâ½ÇÀû _99결산 (2)_ABS0202_미수수익0206" xfId="22886"/>
    <cellStyle name="AÞ¸¶ [0]_¼oAa½CAu _99결산 (2)_ABS0202_미수수익0209a" xfId="22887"/>
    <cellStyle name="ÄÞ¸¶ [0]_¼öÃâ½ÇÀû _99결산 (2)_ABS0202_미수수익0209a" xfId="22888"/>
    <cellStyle name="AÞ¸¶ [0]_¼oAa½CAu _99결산 (2)_ABS0202_미수수익0212" xfId="22889"/>
    <cellStyle name="ÄÞ¸¶ [0]_¼öÃâ½ÇÀû _99결산 (2)_ABS0202_미수수익0212" xfId="22890"/>
    <cellStyle name="AÞ¸¶ [0]_¼oAa½CAu _99결산 (2)_ABS12" xfId="22891"/>
    <cellStyle name="ÄÞ¸¶ [0]_¼öÃâ½ÇÀû _99결산 (2)_ABS12" xfId="22892"/>
    <cellStyle name="AÞ¸¶ [0]_¼oAa½CAu _99결산 (2)_APL0201" xfId="22893"/>
    <cellStyle name="ÄÞ¸¶ [0]_¼öÃâ½ÇÀû _99결산 (2)_APL0201" xfId="22894"/>
    <cellStyle name="AÞ¸¶ [0]_¼oAa½CAu _99결산 (2)_APL12" xfId="22895"/>
    <cellStyle name="ÄÞ¸¶ [0]_¼öÃâ½ÇÀû _99결산 (2)_APL12" xfId="22896"/>
    <cellStyle name="AÞ¸¶ [0]_¼oAa½CAu _99결산 (2)_ASUP0202A" xfId="22897"/>
    <cellStyle name="ÄÞ¸¶ [0]_¼öÃâ½ÇÀû _99결산 (2)_ASUP0202A" xfId="22898"/>
    <cellStyle name="AÞ¸¶ [0]_¼oAa½CAu _99결산 (2)_ASUP0202B" xfId="22899"/>
    <cellStyle name="ÄÞ¸¶ [0]_¼öÃâ½ÇÀû _99결산 (2)_ASUP0202B" xfId="22900"/>
    <cellStyle name="AÞ¸¶ [0]_¼oAa½CAu _99결산 (2)_ASUP11" xfId="22901"/>
    <cellStyle name="ÄÞ¸¶ [0]_¼öÃâ½ÇÀû _99결산 (2)_ASUP11" xfId="22902"/>
    <cellStyle name="AÞ¸¶ [0]_¼oAa½CAu _99결산 (2)_Book1" xfId="22903"/>
    <cellStyle name="ÄÞ¸¶ [0]_¼öÃâ½ÇÀû _99결산 (2)_Book1" xfId="22904"/>
    <cellStyle name="AÞ¸¶ [0]_¼oAa½CAu _99결산 (2)_BS0201" xfId="22905"/>
    <cellStyle name="ÄÞ¸¶ [0]_¼öÃâ½ÇÀû _99결산 (2)_BS0201" xfId="22906"/>
    <cellStyle name="AÞ¸¶ [0]_¼oAa½CAu _99결산 (2)_BS0202" xfId="22907"/>
    <cellStyle name="ÄÞ¸¶ [0]_¼öÃâ½ÇÀû _99결산 (2)_BS0202" xfId="22908"/>
    <cellStyle name="AÞ¸¶ [0]_¼oAa½CAu _99결산 (2)_BS0203" xfId="22909"/>
    <cellStyle name="ÄÞ¸¶ [0]_¼öÃâ½ÇÀû _99결산 (2)_BS0203" xfId="22910"/>
    <cellStyle name="AÞ¸¶ [0]_¼oAa½CAu _99결산 (2)_BS0206" xfId="22911"/>
    <cellStyle name="ÄÞ¸¶ [0]_¼öÃâ½ÇÀû _99결산 (2)_BS0206" xfId="22912"/>
    <cellStyle name="AÞ¸¶ [0]_¼oAa½CAu _99결산 (2)_BS0208" xfId="22913"/>
    <cellStyle name="ÄÞ¸¶ [0]_¼öÃâ½ÇÀû _99결산 (2)_BS0208" xfId="22914"/>
    <cellStyle name="AÞ¸¶ [0]_¼oAa½CAu _99결산 (2)_BS0209" xfId="22915"/>
    <cellStyle name="ÄÞ¸¶ [0]_¼öÃâ½ÇÀû _99결산 (2)_BS0209" xfId="22916"/>
    <cellStyle name="AÞ¸¶ [0]_¼oAa½CAu _99결산 (2)_Foreign0209" xfId="22917"/>
    <cellStyle name="ÄÞ¸¶ [0]_¼öÃâ½ÇÀû _99결산 (2)_Foreign0209" xfId="22918"/>
    <cellStyle name="AÞ¸¶ [0]_¼oAa½CAu _99결산 (2)_USANCE이자(미지급비용)05" xfId="22919"/>
    <cellStyle name="ÄÞ¸¶ [0]_¼öÃâ½ÇÀû _99결산 (2)_USANCE이자(미지급비용)05" xfId="22920"/>
    <cellStyle name="AÞ¸¶ [0]_¼oAa½CAu _99결산 (2)_USANCE이자(미지급비용)06" xfId="22921"/>
    <cellStyle name="ÄÞ¸¶ [0]_¼öÃâ½ÇÀû _99결산 (2)_USANCE이자(미지급비용)06" xfId="22922"/>
    <cellStyle name="AÞ¸¶ [0]_¼oAa½CAu _99결산 (2)_USANCE이자(미지급비용)07" xfId="22923"/>
    <cellStyle name="ÄÞ¸¶ [0]_¼öÃâ½ÇÀû _99결산 (2)_USANCE이자(미지급비용)07" xfId="22924"/>
    <cellStyle name="AÞ¸¶ [0]_¼oAa½CAu _99결산 (2)_USANCE이자(미지급비용)08" xfId="22925"/>
    <cellStyle name="ÄÞ¸¶ [0]_¼öÃâ½ÇÀû _99결산 (2)_USANCE이자(미지급비용)08" xfId="22926"/>
    <cellStyle name="AÞ¸¶ [0]_¼oAa½CAu _99결산 (2)_USANCE이자(미지급비용)10" xfId="22927"/>
    <cellStyle name="ÄÞ¸¶ [0]_¼öÃâ½ÇÀû _99결산 (2)_USANCE이자(미지급비용)10" xfId="22928"/>
    <cellStyle name="AÞ¸¶ [0]_¼oAa½CAu _99결산 (2)_건가200112" xfId="22929"/>
    <cellStyle name="ÄÞ¸¶ [0]_¼öÃâ½ÇÀû _99결산 (2)_건가200112" xfId="22930"/>
    <cellStyle name="AÞ¸¶ [0]_¼oAa½CAu _99결산 (2)_건가2002" xfId="22931"/>
    <cellStyle name="ÄÞ¸¶ [0]_¼öÃâ½ÇÀû _99결산 (2)_건가2002" xfId="22932"/>
    <cellStyle name="AÞ¸¶ [0]_¼oAa½CAu _99결산 (2)_경영분석05" xfId="22933"/>
    <cellStyle name="ÄÞ¸¶ [0]_¼öÃâ½ÇÀû _99결산 (2)_경영분석05" xfId="22934"/>
    <cellStyle name="AÞ¸¶ [0]_¼oAa½CAu _99결산 (2)_경영분석05(BS)" xfId="22935"/>
    <cellStyle name="ÄÞ¸¶ [0]_¼öÃâ½ÇÀû _99결산 (2)_경영분석05(BS)" xfId="22936"/>
    <cellStyle name="AÞ¸¶ [0]_¼oAa½CAu _99결산 (2)_경영분석05(BS)_APL0201" xfId="22937"/>
    <cellStyle name="ÄÞ¸¶ [0]_¼öÃâ½ÇÀû _99결산 (2)_경영분석05(BS)_APL0201" xfId="22938"/>
    <cellStyle name="AÞ¸¶ [0]_¼oAa½CAu _99결산 (2)_경영분석05(BS)_APL12" xfId="22939"/>
    <cellStyle name="ÄÞ¸¶ [0]_¼öÃâ½ÇÀû _99결산 (2)_경영분석05(BS)_APL12" xfId="22940"/>
    <cellStyle name="AÞ¸¶ [0]_¼oAa½CAu _99결산 (2)_경영분석05(BS)_경영분석05(PL)" xfId="22941"/>
    <cellStyle name="ÄÞ¸¶ [0]_¼öÃâ½ÇÀû _99결산 (2)_경영분석05(BS)_경영분석05(PL)" xfId="22942"/>
    <cellStyle name="AÞ¸¶ [0]_¼oAa½CAu _99결산 (2)_경영분석05(PL)" xfId="22943"/>
    <cellStyle name="ÄÞ¸¶ [0]_¼öÃâ½ÇÀû _99결산 (2)_경영분석05(PL)" xfId="22944"/>
    <cellStyle name="AÞ¸¶ [0]_¼oAa½CAu _99결산 (2)_경영분석05(TO)" xfId="22945"/>
    <cellStyle name="ÄÞ¸¶ [0]_¼öÃâ½ÇÀû _99결산 (2)_경영분석05(TO)" xfId="22946"/>
    <cellStyle name="AÞ¸¶ [0]_¼oAa½CAu _99결산 (2)_경영분석05(별첨)" xfId="22947"/>
    <cellStyle name="ÄÞ¸¶ [0]_¼öÃâ½ÇÀû _99결산 (2)_경영분석05(별첨)" xfId="22948"/>
    <cellStyle name="AÞ¸¶ [0]_¼oAa½CAu _99결산 (2)_경영분석07(별첨)" xfId="22949"/>
    <cellStyle name="ÄÞ¸¶ [0]_¼öÃâ½ÇÀû _99결산 (2)_경영분석07(별첨)" xfId="22950"/>
    <cellStyle name="AÞ¸¶ [0]_¼oAa½CAu _99결산 (2)_경영분석10(PL)" xfId="22951"/>
    <cellStyle name="ÄÞ¸¶ [0]_¼öÃâ½ÇÀû _99결산 (2)_경영분석10(PL)" xfId="22952"/>
    <cellStyle name="AÞ¸¶ [0]_¼oAa½CAu _99결산 (2)_단기차입금" xfId="22953"/>
    <cellStyle name="ÄÞ¸¶ [0]_¼öÃâ½ÇÀû _99결산 (2)_단기차입금" xfId="22954"/>
    <cellStyle name="AÞ¸¶ [0]_¼oAa½CAu _99결산 (2)_단기차입금(KRW)08" xfId="22955"/>
    <cellStyle name="ÄÞ¸¶ [0]_¼öÃâ½ÇÀû _99결산 (2)_단기차입금(KRW)08" xfId="22956"/>
    <cellStyle name="AÞ¸¶ [0]_¼oAa½CAu _99결산 (2)_단기차입금(KRW)09" xfId="22957"/>
    <cellStyle name="ÄÞ¸¶ [0]_¼öÃâ½ÇÀû _99결산 (2)_단기차입금(KRW)09" xfId="22958"/>
    <cellStyle name="AÞ¸¶ [0]_¼oAa½CAu _99결산 (2)_단기차입금(KRW)10" xfId="22959"/>
    <cellStyle name="ÄÞ¸¶ [0]_¼öÃâ½ÇÀû _99결산 (2)_단기차입금(KRW)10" xfId="22960"/>
    <cellStyle name="AÞ¸¶ [0]_¼oAa½CAu _99결산 (2)_단기차입금(KRW)11" xfId="22961"/>
    <cellStyle name="ÄÞ¸¶ [0]_¼öÃâ½ÇÀû _99결산 (2)_단기차입금(KRW)11" xfId="22962"/>
    <cellStyle name="AÞ¸¶ [0]_¼oAa½CAu _99결산 (2)_단기차입금(원화)" xfId="22963"/>
    <cellStyle name="ÄÞ¸¶ [0]_¼öÃâ½ÇÀû _99결산 (2)_단기차입금(원화)" xfId="22964"/>
    <cellStyle name="AÞ¸¶ [0]_¼oAa½CAu _99결산 (2)_단기차입금2002" xfId="22965"/>
    <cellStyle name="ÄÞ¸¶ [0]_¼öÃâ½ÇÀû _99결산 (2)_단기차입금2002" xfId="22966"/>
    <cellStyle name="AÞ¸¶ [0]_¼oAa½CAu _99결산 (2)_단체예치금2002" xfId="22967"/>
    <cellStyle name="ÄÞ¸¶ [0]_¼öÃâ½ÇÀû _99결산 (2)_단체예치금2002" xfId="22968"/>
    <cellStyle name="AÞ¸¶ [0]_¼oAa½CAu _99결산 (2)_단퇴200112" xfId="22969"/>
    <cellStyle name="ÄÞ¸¶ [0]_¼öÃâ½ÇÀû _99결산 (2)_단퇴200112" xfId="22970"/>
    <cellStyle name="AÞ¸¶ [0]_¼oAa½CAu _99결산 (2)_명세서05" xfId="22971"/>
    <cellStyle name="ÄÞ¸¶ [0]_¼öÃâ½ÇÀû _99결산 (2)_명세서05" xfId="22972"/>
    <cellStyle name="AÞ¸¶ [0]_¼oAa½CAu _99결산 (2)_미수금2002" xfId="22973"/>
    <cellStyle name="ÄÞ¸¶ [0]_¼öÃâ½ÇÀû _99결산 (2)_미수금2002" xfId="22974"/>
    <cellStyle name="AÞ¸¶ [0]_¼oAa½CAu _99결산 (2)_미수수익0203B" xfId="22975"/>
    <cellStyle name="ÄÞ¸¶ [0]_¼öÃâ½ÇÀû _99결산 (2)_미수수익0203B" xfId="22976"/>
    <cellStyle name="AÞ¸¶ [0]_¼oAa½CAu _99결산 (2)_미지급금2002" xfId="22977"/>
    <cellStyle name="ÄÞ¸¶ [0]_¼öÃâ½ÇÀû _99결산 (2)_미지급금2002" xfId="22978"/>
    <cellStyle name="AÞ¸¶ [0]_¼oAa½CAu _99결산 (2)_미지급비용2002" xfId="22979"/>
    <cellStyle name="ÄÞ¸¶ [0]_¼öÃâ½ÇÀû _99결산 (2)_미지급비용2002" xfId="22980"/>
    <cellStyle name="AÞ¸¶ [0]_¼oAa½CAu _99결산 (2)_보증금2002" xfId="22981"/>
    <cellStyle name="ÄÞ¸¶ [0]_¼öÃâ½ÇÀû _99결산 (2)_보증금2002" xfId="22982"/>
    <cellStyle name="AÞ¸¶ [0]_¼oAa½CAu _99결산 (2)_선급비용2002" xfId="22983"/>
    <cellStyle name="ÄÞ¸¶ [0]_¼öÃâ½ÇÀû _99결산 (2)_선급비용2002" xfId="22984"/>
    <cellStyle name="AÞ¸¶ [0]_¼oAa½CAu _99결산 (2)_선수수익2002" xfId="22985"/>
    <cellStyle name="ÄÞ¸¶ [0]_¼öÃâ½ÇÀû _99결산 (2)_선수수익2002" xfId="22986"/>
    <cellStyle name="AÞ¸¶ [0]_¼oAa½CAu _99결산 (2)_애라07" xfId="22987"/>
    <cellStyle name="ÄÞ¸¶ [0]_¼öÃâ½ÇÀû _99결산 (2)_애라07" xfId="22988"/>
    <cellStyle name="AÞ¸¶ [0]_¼oAa½CAu _99결산 (2)_외상매입금(AP)2002" xfId="22989"/>
    <cellStyle name="ÄÞ¸¶ [0]_¼öÃâ½ÇÀû _99결산 (2)_외상매입금(AP)2002" xfId="22990"/>
    <cellStyle name="AÞ¸¶ [0]_¼oAa½CAu _99결산 (2)_외상매입금2002" xfId="22991"/>
    <cellStyle name="ÄÞ¸¶ [0]_¼öÃâ½ÇÀû _99결산 (2)_외상매입금2002" xfId="22992"/>
    <cellStyle name="AÞ¸¶ [0]_¼oAa½CAu _99결산 (2)_외화미지급이자01" xfId="22993"/>
    <cellStyle name="ÄÞ¸¶ [0]_¼öÃâ½ÇÀû _99결산 (2)_외화미지급이자01" xfId="22994"/>
    <cellStyle name="AÞ¸¶ [0]_¼oAa½CAu _99결산 (2)_외화외상매입금2002" xfId="22995"/>
    <cellStyle name="ÄÞ¸¶ [0]_¼öÃâ½ÇÀû _99결산 (2)_외화외상매입금2002" xfId="22996"/>
    <cellStyle name="AÞ¸¶ [0]_¼oAa½CAu _99결산 (2)_외화외상평가0201" xfId="22997"/>
    <cellStyle name="ÄÞ¸¶ [0]_¼öÃâ½ÇÀû _99결산 (2)_외화외상평가0201" xfId="22998"/>
    <cellStyle name="AÞ¸¶ [0]_¼oAa½CAu _99결산 (2)_외화차입금" xfId="22999"/>
    <cellStyle name="ÄÞ¸¶ [0]_¼öÃâ½ÇÀû _99결산 (2)_외화차입금" xfId="23000"/>
    <cellStyle name="AÞ¸¶ [0]_¼oAa½CAu _99결산 (2)_외화차입금04" xfId="23001"/>
    <cellStyle name="ÄÞ¸¶ [0]_¼öÃâ½ÇÀû _99결산 (2)_외화차입금04" xfId="23002"/>
    <cellStyle name="AÞ¸¶ [0]_¼oAa½CAu _99결산 (2)_외화차입금10" xfId="23003"/>
    <cellStyle name="ÄÞ¸¶ [0]_¼öÃâ½ÇÀû _99결산 (2)_외화차입금10" xfId="23004"/>
    <cellStyle name="AÞ¸¶ [0]_¼oAa½CAu _99결산 (2)_외화환산손익07(부채)" xfId="23005"/>
    <cellStyle name="ÄÞ¸¶ [0]_¼öÃâ½ÇÀû _99결산 (2)_외화환산손익07(부채)" xfId="23006"/>
    <cellStyle name="AÞ¸¶ [0]_¼oAa½CAu _99결산 (2)_외화환산손익09(부채)A" xfId="23007"/>
    <cellStyle name="ÄÞ¸¶ [0]_¼öÃâ½ÇÀû _99결산 (2)_외화환산손익09(부채)A" xfId="23008"/>
    <cellStyle name="AÞ¸¶ [0]_¼oAa½CAu _99결산 (2)_유동성장기부채2002" xfId="23009"/>
    <cellStyle name="ÄÞ¸¶ [0]_¼öÃâ½ÇÀû _99결산 (2)_유동성장기부채2002" xfId="23010"/>
    <cellStyle name="AÞ¸¶ [0]_¼oAa½CAu _99결산 (2)_은행미지급금" xfId="23011"/>
    <cellStyle name="ÄÞ¸¶ [0]_¼öÃâ½ÇÀû _99결산 (2)_은행미지급금" xfId="23012"/>
    <cellStyle name="AÞ¸¶ [0]_¼oAa½CAu _99결산 (2)_은행미지급금2002" xfId="23013"/>
    <cellStyle name="ÄÞ¸¶ [0]_¼öÃâ½ÇÀû _99결산 (2)_은행미지급금2002" xfId="23014"/>
    <cellStyle name="AÞ¸¶ [0]_¼oAa½CAu _99결산 (2)_임대자산2002" xfId="23015"/>
    <cellStyle name="ÄÞ¸¶ [0]_¼öÃâ½ÇÀû _99결산 (2)_임대자산2002" xfId="23016"/>
    <cellStyle name="AÞ¸¶ [0]_¼oAa½CAu _99결산 (2)_자본현황2002" xfId="23017"/>
    <cellStyle name="ÄÞ¸¶ [0]_¼öÃâ½ÇÀû _99결산 (2)_자본현황2002" xfId="23018"/>
    <cellStyle name="AÞ¸¶ [0]_¼oAa½CAu _99결산 (2)_장기미지급금2002" xfId="23019"/>
    <cellStyle name="ÄÞ¸¶ [0]_¼öÃâ½ÇÀû _99결산 (2)_장기미지급금2002" xfId="23020"/>
    <cellStyle name="AÞ¸¶ [0]_¼oAa½CAu _99결산 (2)_장기차입금2002" xfId="23021"/>
    <cellStyle name="ÄÞ¸¶ [0]_¼öÃâ½ÇÀû _99결산 (2)_장기차입금2002" xfId="23022"/>
    <cellStyle name="AÞ¸¶ [0]_¼oAa½CAu _99결산 (2)_종업원퇴직보험금2002" xfId="23023"/>
    <cellStyle name="ÄÞ¸¶ [0]_¼öÃâ½ÇÀû _99결산 (2)_종업원퇴직보험금2002" xfId="23024"/>
    <cellStyle name="AÞ¸¶ [0]_¼oAa½CAu _99결산 (2)_지급어음2002" xfId="23025"/>
    <cellStyle name="ÄÞ¸¶ [0]_¼öÃâ½ÇÀû _99결산 (2)_지급어음2002" xfId="23026"/>
    <cellStyle name="AÞ¸¶ [0]_¼oAa½CAu _99결산 (2)_퇴직급여충당금2002" xfId="23027"/>
    <cellStyle name="ÄÞ¸¶ [0]_¼öÃâ½ÇÀû _99결산 (2)_퇴직급여충당금2002" xfId="23028"/>
    <cellStyle name="AÞ¸¶ [0]_¼oAa½CAu _99결산 (2)_퇴직보험금2002" xfId="23029"/>
    <cellStyle name="ÄÞ¸¶ [0]_¼öÃâ½ÇÀû _99결산 (2)_퇴직보험금2002" xfId="23030"/>
    <cellStyle name="AÞ¸¶ [0]_¼oAa½CAu _99결산 (2)_퇴직전환금2002" xfId="23031"/>
    <cellStyle name="ÄÞ¸¶ [0]_¼öÃâ½ÇÀû _99결산 (2)_퇴직전환금2002" xfId="23032"/>
    <cellStyle name="AÞ¸¶ [0]_¼oAa½CAu _99결산 (2)_파생상품2002" xfId="23033"/>
    <cellStyle name="ÄÞ¸¶ [0]_¼öÃâ½ÇÀû _99결산 (2)_파생상품2002" xfId="23034"/>
    <cellStyle name="AÞ¸¶ [0]_¼oAa½CAu _99결산 (2)_현금과예금03" xfId="23035"/>
    <cellStyle name="ÄÞ¸¶ [0]_¼öÃâ½ÇÀû _99결산 (2)_현금과예금03" xfId="23036"/>
    <cellStyle name="AÞ¸¶ [0]_¼oAa½CAu _99결산_~0028575" xfId="23037"/>
    <cellStyle name="ÄÞ¸¶ [0]_¼öÃâ½ÇÀû _99결산_~0028575" xfId="23038"/>
    <cellStyle name="AÞ¸¶ [0]_¼oAa½CAu _99결산_~0058556" xfId="23039"/>
    <cellStyle name="ÄÞ¸¶ [0]_¼öÃâ½ÇÀû _99결산_~0058556" xfId="23040"/>
    <cellStyle name="AÞ¸¶ [0]_¼oAa½CAu _99결산_~0883834" xfId="23041"/>
    <cellStyle name="ÄÞ¸¶ [0]_¼öÃâ½ÇÀû _99결산_~0883834" xfId="23042"/>
    <cellStyle name="AÞ¸¶ [0]_¼oAa½CAu _99결산_~1052377" xfId="23043"/>
    <cellStyle name="ÄÞ¸¶ [0]_¼öÃâ½ÇÀû _99결산_~2568305" xfId="23044"/>
    <cellStyle name="AÞ¸¶ [0]_¼oAa½CAu _99결산_~3374048" xfId="23045"/>
    <cellStyle name="ÄÞ¸¶ [0]_¼öÃâ½ÇÀû _99결산_~3374048" xfId="23046"/>
    <cellStyle name="AÞ¸¶ [0]_¼oAa½CAu _99결산_~3941577" xfId="23047"/>
    <cellStyle name="ÄÞ¸¶ [0]_¼öÃâ½ÇÀû _99결산_~3941577" xfId="23048"/>
    <cellStyle name="AÞ¸¶ [0]_¼oAa½CAu _99결산_~7042345" xfId="23049"/>
    <cellStyle name="ÄÞ¸¶ [0]_¼öÃâ½ÇÀû _99결산_~7042345" xfId="23050"/>
    <cellStyle name="AÞ¸¶ [0]_¼oAa½CAu _99결산_~7656697" xfId="23051"/>
    <cellStyle name="ÄÞ¸¶ [0]_¼öÃâ½ÇÀû _99결산_~7656697" xfId="23052"/>
    <cellStyle name="AÞ¸¶ [0]_¼oAa½CAu _99결산_~7966799" xfId="23053"/>
    <cellStyle name="ÄÞ¸¶ [0]_¼öÃâ½ÇÀû _99결산_~7966799" xfId="23054"/>
    <cellStyle name="AÞ¸¶ [0]_¼oAa½CAu _99결산_~9010915" xfId="23055"/>
    <cellStyle name="ÄÞ¸¶ [0]_¼öÃâ½ÇÀû _99결산_~9198332" xfId="23056"/>
    <cellStyle name="AÞ¸¶ [0]_¼oAa½CAu _99결산_~9799706" xfId="23057"/>
    <cellStyle name="ÄÞ¸¶ [0]_¼öÃâ½ÇÀû _99결산_~9799706" xfId="23058"/>
    <cellStyle name="AÞ¸¶ [0]_¼oAa½CAu _99결산_05외화미지급이자" xfId="23059"/>
    <cellStyle name="ÄÞ¸¶ [0]_¼öÃâ½ÇÀû _99결산_05외화미지급이자" xfId="23060"/>
    <cellStyle name="AÞ¸¶ [0]_¼oAa½CAu _99결산_06외화미지급이자" xfId="23061"/>
    <cellStyle name="ÄÞ¸¶ [0]_¼öÃâ½ÇÀû _99결산_06외화미지급이자" xfId="23062"/>
    <cellStyle name="AÞ¸¶ [0]_¼oAa½CAu _99결산_07외화미지급이자" xfId="23063"/>
    <cellStyle name="ÄÞ¸¶ [0]_¼öÃâ½ÇÀû _99결산_07외화미지급이자" xfId="23064"/>
    <cellStyle name="AÞ¸¶ [0]_¼oAa½CAu _99결산_09외화미지급이자" xfId="23065"/>
    <cellStyle name="ÄÞ¸¶ [0]_¼öÃâ½ÇÀû _99결산_09외화미지급이자" xfId="23066"/>
    <cellStyle name="AÞ¸¶ [0]_¼oAa½CAu _99결산_12월" xfId="23067"/>
    <cellStyle name="ÄÞ¸¶ [0]_¼öÃâ½ÇÀû _99결산_12월명세서" xfId="23068"/>
    <cellStyle name="AÞ¸¶ [0]_¼oAa½CAu _99결산_5월" xfId="23069"/>
    <cellStyle name="ÄÞ¸¶ [0]_¼öÃâ½ÇÀû _99결산_6월명세서" xfId="23070"/>
    <cellStyle name="AÞ¸¶ [0]_¼oAa½CAu _99결산_8월" xfId="23071"/>
    <cellStyle name="ÄÞ¸¶ [0]_¼öÃâ½ÇÀû _99결산_8월명세서" xfId="23072"/>
    <cellStyle name="AÞ¸¶ [0]_¼oAa½CAu _99결산_9월" xfId="23073"/>
    <cellStyle name="ÄÞ¸¶ [0]_¼öÃâ½ÇÀû _99결산_9월명세서" xfId="23074"/>
    <cellStyle name="AÞ¸¶ [0]_¼oAa½CAu _99결산_ABS0202" xfId="23075"/>
    <cellStyle name="ÄÞ¸¶ [0]_¼öÃâ½ÇÀû _99결산_ABS0202" xfId="23076"/>
    <cellStyle name="AÞ¸¶ [0]_¼oAa½CAu _99결산_ASUP0202A" xfId="23077"/>
    <cellStyle name="ÄÞ¸¶ [0]_¼öÃâ½ÇÀû _99결산_ASUP0202A" xfId="23078"/>
    <cellStyle name="AÞ¸¶ [0]_¼oAa½CAu _99결산_ASUP0202B" xfId="23079"/>
    <cellStyle name="ÄÞ¸¶ [0]_¼öÃâ½ÇÀû _99결산_ASUP0202B" xfId="23080"/>
    <cellStyle name="AÞ¸¶ [0]_¼oAa½CAu _99결산_BS0203" xfId="23081"/>
    <cellStyle name="ÄÞ¸¶ [0]_¼öÃâ½ÇÀû _99결산_BS0203" xfId="23082"/>
    <cellStyle name="AÞ¸¶ [0]_¼oAa½CAu _99결산_BS0208" xfId="23083"/>
    <cellStyle name="ÄÞ¸¶ [0]_¼öÃâ½ÇÀû _99결산_BS0208" xfId="23084"/>
    <cellStyle name="AÞ¸¶ [0]_¼oAa½CAu _99결산_BS0209" xfId="23085"/>
    <cellStyle name="ÄÞ¸¶ [0]_¼öÃâ½ÇÀû _99결산_BS0209" xfId="23086"/>
    <cellStyle name="AÞ¸¶ [0]_¼oAa½CAu _99결산_Foreign0209" xfId="23087"/>
    <cellStyle name="ÄÞ¸¶ [0]_¼öÃâ½ÇÀû _99결산_Foreign0209" xfId="23088"/>
    <cellStyle name="AÞ¸¶ [0]_¼oAa½CAu _99결산_USANCE이자(미지급비용)05" xfId="23089"/>
    <cellStyle name="ÄÞ¸¶ [0]_¼öÃâ½ÇÀû _99결산_USANCE이자(미지급비용)05" xfId="23090"/>
    <cellStyle name="AÞ¸¶ [0]_¼oAa½CAu _99결산_USANCE이자(미지급비용)06" xfId="23091"/>
    <cellStyle name="ÄÞ¸¶ [0]_¼öÃâ½ÇÀû _99결산_USANCE이자(미지급비용)06" xfId="23092"/>
    <cellStyle name="AÞ¸¶ [0]_¼oAa½CAu _99결산_USANCE이자(미지급비용)07" xfId="23093"/>
    <cellStyle name="ÄÞ¸¶ [0]_¼öÃâ½ÇÀû _99결산_USANCE이자(미지급비용)07" xfId="23094"/>
    <cellStyle name="AÞ¸¶ [0]_¼oAa½CAu _99결산_USANCE이자(미지급비용)08" xfId="23095"/>
    <cellStyle name="ÄÞ¸¶ [0]_¼öÃâ½ÇÀû _99결산_USANCE이자(미지급비용)08" xfId="23096"/>
    <cellStyle name="AÞ¸¶ [0]_¼oAa½CAu _99결산_USANCE이자(미지급비용)10" xfId="23097"/>
    <cellStyle name="ÄÞ¸¶ [0]_¼öÃâ½ÇÀû _99결산_USANCE이자(미지급비용)10" xfId="23098"/>
    <cellStyle name="AÞ¸¶ [0]_¼oAa½CAu _99결산_경영분석05(별첨)" xfId="23099"/>
    <cellStyle name="ÄÞ¸¶ [0]_¼öÃâ½ÇÀû _99결산_경영분석05(별첨)" xfId="23100"/>
    <cellStyle name="AÞ¸¶ [0]_¼oAa½CAu _99결산_받을어음(9월)" xfId="23101"/>
    <cellStyle name="ÄÞ¸¶ [0]_¼öÃâ½ÇÀû _99결산_보증금2002" xfId="23102"/>
    <cellStyle name="AÞ¸¶ [0]_¼oAa½CAu _99결산_외상매입금(AP)2002" xfId="23103"/>
    <cellStyle name="ÄÞ¸¶ [0]_¼öÃâ½ÇÀû _99결산_외상매입금(AP)2002" xfId="23104"/>
    <cellStyle name="AÞ¸¶ [0]_¼oAa½CAu _99결산_외화외상매입금2002" xfId="23105"/>
    <cellStyle name="ÄÞ¸¶ [0]_¼öÃâ½ÇÀû _99결산_외화외상매입금2002" xfId="23106"/>
    <cellStyle name="AÞ¸¶ [0]_¼oAa½CAu _99결산_외화외상평가0201" xfId="23107"/>
    <cellStyle name="ÄÞ¸¶ [0]_¼öÃâ½ÇÀû _99결산_외화외상평가0201" xfId="23108"/>
    <cellStyle name="AÞ¸¶ [0]_¼oAa½CAu _99결산_외화차입금" xfId="23109"/>
    <cellStyle name="ÄÞ¸¶ [0]_¼öÃâ½ÇÀû _99결산_외화차입금" xfId="23110"/>
    <cellStyle name="AÞ¸¶ [0]_¼oAa½CAu _99결산_외화차입금04" xfId="23111"/>
    <cellStyle name="ÄÞ¸¶ [0]_¼öÃâ½ÇÀû _99결산_외화차입금04" xfId="23112"/>
    <cellStyle name="AÞ¸¶ [0]_¼oAa½CAu _99결산_외화환산손익09(부채)A" xfId="23113"/>
    <cellStyle name="ÄÞ¸¶ [0]_¼öÃâ½ÇÀû _99결산_외화환산손익09(부채)A" xfId="23114"/>
    <cellStyle name="AÞ¸¶ [0]_¼oAa½CAu _99결산_혜영07" xfId="23115"/>
    <cellStyle name="ÄÞ¸¶ [0]_¼öÃâ½ÇÀû _99결산서" xfId="23116"/>
    <cellStyle name="AÞ¸¶ [0]_¼oAa½CAu _99결산서_~0008020" xfId="23117"/>
    <cellStyle name="ÄÞ¸¶ [0]_¼öÃâ½ÇÀû _99결산서_~0008020" xfId="23118"/>
    <cellStyle name="AÞ¸¶ [0]_¼oAa½CAu _99결산서_~0023478" xfId="23119"/>
    <cellStyle name="ÄÞ¸¶ [0]_¼öÃâ½ÇÀû _99결산서_~0023478" xfId="23120"/>
    <cellStyle name="AÞ¸¶ [0]_¼oAa½CAu _99결산서_~0028575" xfId="23121"/>
    <cellStyle name="ÄÞ¸¶ [0]_¼öÃâ½ÇÀû _99결산서_~0028575" xfId="23122"/>
    <cellStyle name="AÞ¸¶ [0]_¼oAa½CAu _99결산서_~0033004" xfId="23123"/>
    <cellStyle name="ÄÞ¸¶ [0]_¼öÃâ½ÇÀû _99결산서_~0033004" xfId="23124"/>
    <cellStyle name="AÞ¸¶ [0]_¼oAa½CAu _99결산서_~0041327" xfId="23125"/>
    <cellStyle name="ÄÞ¸¶ [0]_¼öÃâ½ÇÀû _99결산서_~0041327" xfId="23126"/>
    <cellStyle name="AÞ¸¶ [0]_¼oAa½CAu _99결산서_~0041748" xfId="23127"/>
    <cellStyle name="ÄÞ¸¶ [0]_¼öÃâ½ÇÀû _99결산서_~0041748" xfId="23128"/>
    <cellStyle name="AÞ¸¶ [0]_¼oAa½CAu _99결산서_~0047758" xfId="23129"/>
    <cellStyle name="ÄÞ¸¶ [0]_¼öÃâ½ÇÀû _99결산서_~0047758" xfId="23130"/>
    <cellStyle name="AÞ¸¶ [0]_¼oAa½CAu _99결산서_~0058556" xfId="23131"/>
    <cellStyle name="ÄÞ¸¶ [0]_¼öÃâ½ÇÀû _99결산서_~0058556" xfId="23132"/>
    <cellStyle name="AÞ¸¶ [0]_¼oAa½CAu _99결산서_~0061957" xfId="23133"/>
    <cellStyle name="ÄÞ¸¶ [0]_¼öÃâ½ÇÀû _99결산서_~0061957" xfId="23134"/>
    <cellStyle name="AÞ¸¶ [0]_¼oAa½CAu _99결산서_~0883834" xfId="23135"/>
    <cellStyle name="ÄÞ¸¶ [0]_¼öÃâ½ÇÀû _99결산서_~0883834" xfId="23136"/>
    <cellStyle name="AÞ¸¶ [0]_¼oAa½CAu _99결산서_~1005118" xfId="23137"/>
    <cellStyle name="ÄÞ¸¶ [0]_¼öÃâ½ÇÀû _99결산서_~1005118" xfId="23138"/>
    <cellStyle name="AÞ¸¶ [0]_¼oAa½CAu _99결산서_~2387715" xfId="23139"/>
    <cellStyle name="ÄÞ¸¶ [0]_¼öÃâ½ÇÀû _99결산서_~2387715" xfId="23140"/>
    <cellStyle name="AÞ¸¶ [0]_¼oAa½CAu _99결산서_~2568305" xfId="23141"/>
    <cellStyle name="ÄÞ¸¶ [0]_¼öÃâ½ÇÀû _99결산서_~2568305" xfId="23142"/>
    <cellStyle name="AÞ¸¶ [0]_¼oAa½CAu _99결산서_~3374048" xfId="23143"/>
    <cellStyle name="ÄÞ¸¶ [0]_¼öÃâ½ÇÀû _99결산서_~3374048" xfId="23144"/>
    <cellStyle name="AÞ¸¶ [0]_¼oAa½CAu _99결산서_~3941577" xfId="23145"/>
    <cellStyle name="ÄÞ¸¶ [0]_¼öÃâ½ÇÀû _99결산서_~3941577" xfId="23146"/>
    <cellStyle name="AÞ¸¶ [0]_¼oAa½CAu _99결산서_~4080998" xfId="23147"/>
    <cellStyle name="ÄÞ¸¶ [0]_¼öÃâ½ÇÀû _99결산서_~4080998" xfId="23148"/>
    <cellStyle name="AÞ¸¶ [0]_¼oAa½CAu _99결산서_~4164184" xfId="23149"/>
    <cellStyle name="ÄÞ¸¶ [0]_¼öÃâ½ÇÀû _99결산서_~4164184" xfId="23150"/>
    <cellStyle name="AÞ¸¶ [0]_¼oAa½CAu _99결산서_~5937231" xfId="23151"/>
    <cellStyle name="ÄÞ¸¶ [0]_¼öÃâ½ÇÀû _99결산서_~5937231" xfId="23152"/>
    <cellStyle name="AÞ¸¶ [0]_¼oAa½CAu _99결산서_~6086544" xfId="23153"/>
    <cellStyle name="ÄÞ¸¶ [0]_¼öÃâ½ÇÀû _99결산서_~6086544" xfId="23154"/>
    <cellStyle name="AÞ¸¶ [0]_¼oAa½CAu _99결산서_~7042345" xfId="23155"/>
    <cellStyle name="ÄÞ¸¶ [0]_¼öÃâ½ÇÀû _99결산서_~7042345" xfId="23156"/>
    <cellStyle name="AÞ¸¶ [0]_¼oAa½CAu _99결산서_~7493862" xfId="23157"/>
    <cellStyle name="ÄÞ¸¶ [0]_¼öÃâ½ÇÀû _99결산서_~7493862" xfId="23158"/>
    <cellStyle name="AÞ¸¶ [0]_¼oAa½CAu _99결산서_~7656697" xfId="23159"/>
    <cellStyle name="ÄÞ¸¶ [0]_¼öÃâ½ÇÀû _99결산서_~7656697" xfId="23160"/>
    <cellStyle name="AÞ¸¶ [0]_¼oAa½CAu _99결산서_~7789554" xfId="23161"/>
    <cellStyle name="ÄÞ¸¶ [0]_¼öÃâ½ÇÀû _99결산서_~7789554" xfId="23162"/>
    <cellStyle name="AÞ¸¶ [0]_¼oAa½CAu _99결산서_~7890322" xfId="23163"/>
    <cellStyle name="ÄÞ¸¶ [0]_¼öÃâ½ÇÀû _99결산서_~7890322" xfId="23164"/>
    <cellStyle name="AÞ¸¶ [0]_¼oAa½CAu _99결산서_~7966799" xfId="23165"/>
    <cellStyle name="ÄÞ¸¶ [0]_¼öÃâ½ÇÀû _99결산서_~7966799" xfId="23166"/>
    <cellStyle name="AÞ¸¶ [0]_¼oAa½CAu _99결산서_~9198332" xfId="23167"/>
    <cellStyle name="ÄÞ¸¶ [0]_¼öÃâ½ÇÀû _99결산서_~9198332" xfId="23168"/>
    <cellStyle name="AÞ¸¶ [0]_¼oAa½CAu _99결산서_~9799706" xfId="23169"/>
    <cellStyle name="ÄÞ¸¶ [0]_¼öÃâ½ÇÀû _99결산서_~9799706" xfId="23170"/>
    <cellStyle name="AÞ¸¶ [0]_¼oAa½CAu _99결산서_05외화미지급이자" xfId="23171"/>
    <cellStyle name="ÄÞ¸¶ [0]_¼öÃâ½ÇÀû _99결산서_05외화미지급이자" xfId="23172"/>
    <cellStyle name="AÞ¸¶ [0]_¼oAa½CAu _99결산서_06외화미지급이자" xfId="23173"/>
    <cellStyle name="ÄÞ¸¶ [0]_¼öÃâ½ÇÀû _99결산서_06외화미지급이자" xfId="23174"/>
    <cellStyle name="AÞ¸¶ [0]_¼oAa½CAu _99결산서_07외화미지급이자" xfId="23175"/>
    <cellStyle name="ÄÞ¸¶ [0]_¼öÃâ½ÇÀû _99결산서_07외화미지급이자" xfId="23176"/>
    <cellStyle name="AÞ¸¶ [0]_¼oAa½CAu _99결산서_09외화미지급이자" xfId="23177"/>
    <cellStyle name="ÄÞ¸¶ [0]_¼öÃâ½ÇÀû _99결산서_09외화미지급이자" xfId="23178"/>
    <cellStyle name="AÞ¸¶ [0]_¼oAa½CAu _99결산서_10월명세서" xfId="23179"/>
    <cellStyle name="ÄÞ¸¶ [0]_¼öÃâ½ÇÀû _99결산서_10월명세서" xfId="23180"/>
    <cellStyle name="AÞ¸¶ [0]_¼oAa½CAu _99결산서_10월명세서수정" xfId="23181"/>
    <cellStyle name="ÄÞ¸¶ [0]_¼öÃâ½ÇÀû _99결산서_10월명세서수정" xfId="23182"/>
    <cellStyle name="AÞ¸¶ [0]_¼oAa½CAu _99결산서_11월명세서" xfId="23183"/>
    <cellStyle name="ÄÞ¸¶ [0]_¼öÃâ½ÇÀû _99결산서_11월명세서" xfId="23184"/>
    <cellStyle name="AÞ¸¶ [0]_¼oAa½CAu _99결산서_12월명세서" xfId="23185"/>
    <cellStyle name="ÄÞ¸¶ [0]_¼öÃâ½ÇÀû _99결산서_12월명세서" xfId="23186"/>
    <cellStyle name="AÞ¸¶ [0]_¼oAa½CAu _99결산서_2002.02" xfId="23187"/>
    <cellStyle name="ÄÞ¸¶ [0]_¼öÃâ½ÇÀû _99결산서_2002.02" xfId="23188"/>
    <cellStyle name="AÞ¸¶ [0]_¼oAa½CAu _99결산서_2002.11명세서" xfId="23189"/>
    <cellStyle name="ÄÞ¸¶ [0]_¼öÃâ½ÇÀû _99결산서_2002.11명세서" xfId="23190"/>
    <cellStyle name="AÞ¸¶ [0]_¼oAa½CAu _99결산서_4월명세서" xfId="23191"/>
    <cellStyle name="ÄÞ¸¶ [0]_¼öÃâ½ÇÀû _99결산서_4월명세서" xfId="23192"/>
    <cellStyle name="AÞ¸¶ [0]_¼oAa½CAu _99결산서_5월명세서" xfId="23193"/>
    <cellStyle name="ÄÞ¸¶ [0]_¼öÃâ½ÇÀû _99결산서_5월명세서" xfId="23194"/>
    <cellStyle name="AÞ¸¶ [0]_¼oAa½CAu _99결산서_6월명세서" xfId="23195"/>
    <cellStyle name="ÄÞ¸¶ [0]_¼öÃâ½ÇÀû _99결산서_6월명세서" xfId="23196"/>
    <cellStyle name="AÞ¸¶ [0]_¼oAa½CAu _99결산서_7월명세서" xfId="23197"/>
    <cellStyle name="ÄÞ¸¶ [0]_¼öÃâ½ÇÀû _99결산서_7월명세서" xfId="23198"/>
    <cellStyle name="AÞ¸¶ [0]_¼oAa½CAu _99결산서_7월명세서제출" xfId="23199"/>
    <cellStyle name="ÄÞ¸¶ [0]_¼öÃâ½ÇÀû _99결산서_7월명세서제출" xfId="23200"/>
    <cellStyle name="AÞ¸¶ [0]_¼oAa½CAu _99결산서_8월명세서" xfId="23201"/>
    <cellStyle name="ÄÞ¸¶ [0]_¼öÃâ½ÇÀû _99결산서_8월명세서" xfId="23202"/>
    <cellStyle name="AÞ¸¶ [0]_¼oAa½CAu _99결산서_9월명세서" xfId="23203"/>
    <cellStyle name="ÄÞ¸¶ [0]_¼öÃâ½ÇÀû _99결산서_9월명세서" xfId="23204"/>
    <cellStyle name="AÞ¸¶ [0]_¼oAa½CAu _99결산서_ABS0201" xfId="23205"/>
    <cellStyle name="ÄÞ¸¶ [0]_¼öÃâ½ÇÀû _99결산서_ABS0201" xfId="23206"/>
    <cellStyle name="AÞ¸¶ [0]_¼oAa½CAu _99결산서_ABS0202" xfId="23207"/>
    <cellStyle name="ÄÞ¸¶ [0]_¼öÃâ½ÇÀû _99결산서_ABS0202" xfId="23208"/>
    <cellStyle name="AÞ¸¶ [0]_¼oAa½CAu _99결산서_ABS0202_BS0202" xfId="23209"/>
    <cellStyle name="ÄÞ¸¶ [0]_¼öÃâ½ÇÀû _99결산서_ABS0202_BS0202" xfId="23210"/>
    <cellStyle name="AÞ¸¶ [0]_¼oAa½CAu _99결산서_ABS0202_미수수익0203B" xfId="23211"/>
    <cellStyle name="ÄÞ¸¶ [0]_¼öÃâ½ÇÀû _99결산서_ABS0202_미수수익0203B" xfId="23212"/>
    <cellStyle name="AÞ¸¶ [0]_¼oAa½CAu _99결산서_ABS0202_미수수익0206" xfId="23213"/>
    <cellStyle name="ÄÞ¸¶ [0]_¼öÃâ½ÇÀû _99결산서_ABS0202_미수수익0206" xfId="23214"/>
    <cellStyle name="AÞ¸¶ [0]_¼oAa½CAu _99결산서_ABS0202_미수수익0209a" xfId="23215"/>
    <cellStyle name="ÄÞ¸¶ [0]_¼öÃâ½ÇÀû _99결산서_ABS0202_미수수익0209a" xfId="23216"/>
    <cellStyle name="AÞ¸¶ [0]_¼oAa½CAu _99결산서_ABS0202_미수수익0212" xfId="23217"/>
    <cellStyle name="ÄÞ¸¶ [0]_¼öÃâ½ÇÀû _99결산서_ABS0202_미수수익0212" xfId="23218"/>
    <cellStyle name="AÞ¸¶ [0]_¼oAa½CAu _99결산서_ABS12" xfId="23219"/>
    <cellStyle name="ÄÞ¸¶ [0]_¼öÃâ½ÇÀû _99결산서_ABS12" xfId="23220"/>
    <cellStyle name="AÞ¸¶ [0]_¼oAa½CAu _99결산서_APL0201" xfId="23221"/>
    <cellStyle name="ÄÞ¸¶ [0]_¼öÃâ½ÇÀû _99결산서_APL0201" xfId="23222"/>
    <cellStyle name="AÞ¸¶ [0]_¼oAa½CAu _99결산서_APL12" xfId="23223"/>
    <cellStyle name="ÄÞ¸¶ [0]_¼öÃâ½ÇÀû _99결산서_APL12" xfId="23224"/>
    <cellStyle name="AÞ¸¶ [0]_¼oAa½CAu _99결산서_ASUP0202A" xfId="23225"/>
    <cellStyle name="ÄÞ¸¶ [0]_¼öÃâ½ÇÀû _99결산서_ASUP0202A" xfId="23226"/>
    <cellStyle name="AÞ¸¶ [0]_¼oAa½CAu _99결산서_ASUP0202B" xfId="23227"/>
    <cellStyle name="ÄÞ¸¶ [0]_¼öÃâ½ÇÀû _99결산서_ASUP0202B" xfId="23228"/>
    <cellStyle name="AÞ¸¶ [0]_¼oAa½CAu _99결산서_ASUP11" xfId="23229"/>
    <cellStyle name="ÄÞ¸¶ [0]_¼öÃâ½ÇÀû _99결산서_ASUP11" xfId="23230"/>
    <cellStyle name="AÞ¸¶ [0]_¼oAa½CAu _99결산서_Book1" xfId="23231"/>
    <cellStyle name="ÄÞ¸¶ [0]_¼öÃâ½ÇÀû _99결산서_Book1" xfId="23232"/>
    <cellStyle name="AÞ¸¶ [0]_¼oAa½CAu _99결산서_BS0201" xfId="23233"/>
    <cellStyle name="ÄÞ¸¶ [0]_¼öÃâ½ÇÀû _99결산서_BS0201" xfId="23234"/>
    <cellStyle name="AÞ¸¶ [0]_¼oAa½CAu _99결산서_BS0202" xfId="23235"/>
    <cellStyle name="ÄÞ¸¶ [0]_¼öÃâ½ÇÀû _99결산서_BS0202" xfId="23236"/>
    <cellStyle name="AÞ¸¶ [0]_¼oAa½CAu _99결산서_BS0203" xfId="23237"/>
    <cellStyle name="ÄÞ¸¶ [0]_¼öÃâ½ÇÀû _99결산서_BS0203" xfId="23238"/>
    <cellStyle name="AÞ¸¶ [0]_¼oAa½CAu _99결산서_BS0206" xfId="23239"/>
    <cellStyle name="ÄÞ¸¶ [0]_¼öÃâ½ÇÀû _99결산서_BS0206" xfId="23240"/>
    <cellStyle name="AÞ¸¶ [0]_¼oAa½CAu _99결산서_BS0208" xfId="23241"/>
    <cellStyle name="ÄÞ¸¶ [0]_¼öÃâ½ÇÀû _99결산서_BS0208" xfId="23242"/>
    <cellStyle name="AÞ¸¶ [0]_¼oAa½CAu _99결산서_BS0209" xfId="23243"/>
    <cellStyle name="ÄÞ¸¶ [0]_¼öÃâ½ÇÀû _99결산서_BS0209" xfId="23244"/>
    <cellStyle name="AÞ¸¶ [0]_¼oAa½CAu _99결산서_Foreign0209" xfId="23245"/>
    <cellStyle name="ÄÞ¸¶ [0]_¼öÃâ½ÇÀû _99결산서_Foreign0209" xfId="23246"/>
    <cellStyle name="AÞ¸¶ [0]_¼oAa½CAu _99결산서_USANCE이자(미지급비용)05" xfId="23247"/>
    <cellStyle name="ÄÞ¸¶ [0]_¼öÃâ½ÇÀû _99결산서_USANCE이자(미지급비용)05" xfId="23248"/>
    <cellStyle name="AÞ¸¶ [0]_¼oAa½CAu _99결산서_USANCE이자(미지급비용)06" xfId="23249"/>
    <cellStyle name="ÄÞ¸¶ [0]_¼öÃâ½ÇÀû _99결산서_USANCE이자(미지급비용)06" xfId="23250"/>
    <cellStyle name="AÞ¸¶ [0]_¼oAa½CAu _99결산서_USANCE이자(미지급비용)07" xfId="23251"/>
    <cellStyle name="ÄÞ¸¶ [0]_¼öÃâ½ÇÀû _99결산서_USANCE이자(미지급비용)07" xfId="23252"/>
    <cellStyle name="AÞ¸¶ [0]_¼oAa½CAu _99결산서_USANCE이자(미지급비용)08" xfId="23253"/>
    <cellStyle name="ÄÞ¸¶ [0]_¼öÃâ½ÇÀû _99결산서_USANCE이자(미지급비용)08" xfId="23254"/>
    <cellStyle name="AÞ¸¶ [0]_¼oAa½CAu _99결산서_USANCE이자(미지급비용)10" xfId="23255"/>
    <cellStyle name="ÄÞ¸¶ [0]_¼öÃâ½ÇÀû _99결산서_USANCE이자(미지급비용)10" xfId="23256"/>
    <cellStyle name="AÞ¸¶ [0]_¼oAa½CAu _99결산서_건가200112" xfId="23257"/>
    <cellStyle name="ÄÞ¸¶ [0]_¼öÃâ½ÇÀû _99결산서_건가200112" xfId="23258"/>
    <cellStyle name="AÞ¸¶ [0]_¼oAa½CAu _99결산서_건가2002" xfId="23259"/>
    <cellStyle name="ÄÞ¸¶ [0]_¼öÃâ½ÇÀû _99결산서_건가2002" xfId="23260"/>
    <cellStyle name="AÞ¸¶ [0]_¼oAa½CAu _99결산서_경영분석05" xfId="23261"/>
    <cellStyle name="ÄÞ¸¶ [0]_¼öÃâ½ÇÀû _99결산서_경영분석05" xfId="23262"/>
    <cellStyle name="AÞ¸¶ [0]_¼oAa½CAu _99결산서_경영분석05(BS)" xfId="23263"/>
    <cellStyle name="ÄÞ¸¶ [0]_¼öÃâ½ÇÀû _99결산서_경영분석05(BS)" xfId="23264"/>
    <cellStyle name="AÞ¸¶ [0]_¼oAa½CAu _99결산서_경영분석05(BS)_APL0201" xfId="23265"/>
    <cellStyle name="ÄÞ¸¶ [0]_¼öÃâ½ÇÀû _99결산서_경영분석05(BS)_APL0201" xfId="23266"/>
    <cellStyle name="AÞ¸¶ [0]_¼oAa½CAu _99결산서_경영분석05(BS)_APL12" xfId="23267"/>
    <cellStyle name="ÄÞ¸¶ [0]_¼öÃâ½ÇÀû _99결산서_경영분석05(BS)_APL12" xfId="23268"/>
    <cellStyle name="AÞ¸¶ [0]_¼oAa½CAu _99결산서_경영분석05(BS)_경영분석05(PL)" xfId="23269"/>
    <cellStyle name="ÄÞ¸¶ [0]_¼öÃâ½ÇÀû _99결산서_경영분석05(BS)_경영분석05(PL)" xfId="23270"/>
    <cellStyle name="AÞ¸¶ [0]_¼oAa½CAu _99결산서_경영분석05(PL)" xfId="23271"/>
    <cellStyle name="ÄÞ¸¶ [0]_¼öÃâ½ÇÀû _99결산서_경영분석05(PL)" xfId="23272"/>
    <cellStyle name="AÞ¸¶ [0]_¼oAa½CAu _99결산서_경영분석05(TO)" xfId="23273"/>
    <cellStyle name="ÄÞ¸¶ [0]_¼öÃâ½ÇÀû _99결산서_경영분석05(TO)" xfId="23274"/>
    <cellStyle name="AÞ¸¶ [0]_¼oAa½CAu _99결산서_경영분석05(별첨)" xfId="23275"/>
    <cellStyle name="ÄÞ¸¶ [0]_¼öÃâ½ÇÀû _99결산서_경영분석05(별첨)" xfId="23276"/>
    <cellStyle name="AÞ¸¶ [0]_¼oAa½CAu _99결산서_경영분석07(별첨)" xfId="23277"/>
    <cellStyle name="ÄÞ¸¶ [0]_¼öÃâ½ÇÀû _99결산서_경영분석07(별첨)" xfId="23278"/>
    <cellStyle name="AÞ¸¶ [0]_¼oAa½CAu _99결산서_경영분석10(PL)" xfId="23279"/>
    <cellStyle name="ÄÞ¸¶ [0]_¼öÃâ½ÇÀû _99결산서_경영분석10(PL)" xfId="23280"/>
    <cellStyle name="AÞ¸¶ [0]_¼oAa½CAu _99결산서_단기차입금" xfId="23281"/>
    <cellStyle name="ÄÞ¸¶ [0]_¼öÃâ½ÇÀû _99결산서_단기차입금" xfId="23282"/>
    <cellStyle name="AÞ¸¶ [0]_¼oAa½CAu _99결산서_단기차입금(KRW)08" xfId="23283"/>
    <cellStyle name="ÄÞ¸¶ [0]_¼öÃâ½ÇÀû _99결산서_단기차입금(KRW)08" xfId="23284"/>
    <cellStyle name="AÞ¸¶ [0]_¼oAa½CAu _99결산서_단기차입금(KRW)09" xfId="23285"/>
    <cellStyle name="ÄÞ¸¶ [0]_¼öÃâ½ÇÀû _99결산서_단기차입금(KRW)09" xfId="23286"/>
    <cellStyle name="AÞ¸¶ [0]_¼oAa½CAu _99결산서_단기차입금(KRW)10" xfId="23287"/>
    <cellStyle name="ÄÞ¸¶ [0]_¼öÃâ½ÇÀû _99결산서_단기차입금(KRW)10" xfId="23288"/>
    <cellStyle name="AÞ¸¶ [0]_¼oAa½CAu _99결산서_단기차입금(KRW)11" xfId="23289"/>
    <cellStyle name="ÄÞ¸¶ [0]_¼öÃâ½ÇÀû _99결산서_단기차입금(KRW)11" xfId="23290"/>
    <cellStyle name="AÞ¸¶ [0]_¼oAa½CAu _99결산서_단기차입금(원화)" xfId="23291"/>
    <cellStyle name="ÄÞ¸¶ [0]_¼öÃâ½ÇÀû _99결산서_단기차입금(원화)" xfId="23292"/>
    <cellStyle name="AÞ¸¶ [0]_¼oAa½CAu _99결산서_단기차입금2002" xfId="23293"/>
    <cellStyle name="ÄÞ¸¶ [0]_¼öÃâ½ÇÀû _99결산서_단기차입금2002" xfId="23294"/>
    <cellStyle name="AÞ¸¶ [0]_¼oAa½CAu _99결산서_단체예치금2002" xfId="23295"/>
    <cellStyle name="ÄÞ¸¶ [0]_¼öÃâ½ÇÀû _99결산서_단체예치금2002" xfId="23296"/>
    <cellStyle name="AÞ¸¶ [0]_¼oAa½CAu _99결산서_단퇴200112" xfId="23297"/>
    <cellStyle name="ÄÞ¸¶ [0]_¼öÃâ½ÇÀû _99결산서_단퇴200112" xfId="23298"/>
    <cellStyle name="AÞ¸¶ [0]_¼oAa½CAu _99결산서_명세서05" xfId="23299"/>
    <cellStyle name="ÄÞ¸¶ [0]_¼öÃâ½ÇÀû _99결산서_명세서05" xfId="23300"/>
    <cellStyle name="AÞ¸¶ [0]_¼oAa½CAu _99결산서_미수금2002" xfId="23301"/>
    <cellStyle name="ÄÞ¸¶ [0]_¼öÃâ½ÇÀû _99결산서_미수금2002" xfId="23302"/>
    <cellStyle name="AÞ¸¶ [0]_¼oAa½CAu _99결산서_미수수익0203B" xfId="23303"/>
    <cellStyle name="ÄÞ¸¶ [0]_¼öÃâ½ÇÀû _99결산서_미수수익0203B" xfId="23304"/>
    <cellStyle name="AÞ¸¶ [0]_¼oAa½CAu _99결산서_미지급금2002" xfId="23305"/>
    <cellStyle name="ÄÞ¸¶ [0]_¼öÃâ½ÇÀû _99결산서_미지급금2002" xfId="23306"/>
    <cellStyle name="AÞ¸¶ [0]_¼oAa½CAu _99결산서_미지급비용2002" xfId="23307"/>
    <cellStyle name="ÄÞ¸¶ [0]_¼öÃâ½ÇÀû _99결산서_미지급비용2002" xfId="23308"/>
    <cellStyle name="AÞ¸¶ [0]_¼oAa½CAu _99결산서_보증금2002" xfId="23309"/>
    <cellStyle name="ÄÞ¸¶ [0]_¼öÃâ½ÇÀû _99결산서_보증금2002" xfId="23310"/>
    <cellStyle name="AÞ¸¶ [0]_¼oAa½CAu _99결산서_선급비용2002" xfId="23311"/>
    <cellStyle name="ÄÞ¸¶ [0]_¼öÃâ½ÇÀû _99결산서_선급비용2002" xfId="23312"/>
    <cellStyle name="AÞ¸¶ [0]_¼oAa½CAu _99결산서_선수수익2002" xfId="23313"/>
    <cellStyle name="ÄÞ¸¶ [0]_¼öÃâ½ÇÀû _99결산서_선수수익2002" xfId="23314"/>
    <cellStyle name="AÞ¸¶ [0]_¼oAa½CAu _99결산서_애라07" xfId="23315"/>
    <cellStyle name="ÄÞ¸¶ [0]_¼öÃâ½ÇÀû _99결산서_애라07" xfId="23316"/>
    <cellStyle name="AÞ¸¶ [0]_¼oAa½CAu _99결산서_외상매입금(AP)2002" xfId="23317"/>
    <cellStyle name="ÄÞ¸¶ [0]_¼öÃâ½ÇÀû _99결산서_외상매입금(AP)2002" xfId="23318"/>
    <cellStyle name="AÞ¸¶ [0]_¼oAa½CAu _99결산서_외상매입금2002" xfId="23319"/>
    <cellStyle name="ÄÞ¸¶ [0]_¼öÃâ½ÇÀû _99결산서_외상매입금2002" xfId="23320"/>
    <cellStyle name="AÞ¸¶ [0]_¼oAa½CAu _99결산서_외화미지급이자01" xfId="23321"/>
    <cellStyle name="ÄÞ¸¶ [0]_¼öÃâ½ÇÀû _99결산서_외화미지급이자01" xfId="23322"/>
    <cellStyle name="AÞ¸¶ [0]_¼oAa½CAu _99결산서_외화외상매입금2002" xfId="23323"/>
    <cellStyle name="ÄÞ¸¶ [0]_¼öÃâ½ÇÀû _99결산서_외화외상매입금2002" xfId="23324"/>
    <cellStyle name="AÞ¸¶ [0]_¼oAa½CAu _99결산서_외화외상평가0201" xfId="23325"/>
    <cellStyle name="ÄÞ¸¶ [0]_¼öÃâ½ÇÀû _99결산서_외화외상평가0201" xfId="23326"/>
    <cellStyle name="AÞ¸¶ [0]_¼oAa½CAu _99결산서_외화차입금" xfId="23327"/>
    <cellStyle name="ÄÞ¸¶ [0]_¼öÃâ½ÇÀû _99결산서_외화차입금" xfId="23328"/>
    <cellStyle name="AÞ¸¶ [0]_¼oAa½CAu _99결산서_외화차입금04" xfId="23329"/>
    <cellStyle name="ÄÞ¸¶ [0]_¼öÃâ½ÇÀû _99결산서_외화차입금04" xfId="23330"/>
    <cellStyle name="AÞ¸¶ [0]_¼oAa½CAu _99결산서_외화차입금10" xfId="23331"/>
    <cellStyle name="ÄÞ¸¶ [0]_¼öÃâ½ÇÀû _99결산서_외화차입금10" xfId="23332"/>
    <cellStyle name="AÞ¸¶ [0]_¼oAa½CAu _99결산서_외화환산손익07(부채)" xfId="23333"/>
    <cellStyle name="ÄÞ¸¶ [0]_¼öÃâ½ÇÀû _99결산서_외화환산손익07(부채)" xfId="23334"/>
    <cellStyle name="AÞ¸¶ [0]_¼oAa½CAu _99결산서_외화환산손익09(부채)A" xfId="23335"/>
    <cellStyle name="ÄÞ¸¶ [0]_¼öÃâ½ÇÀû _99결산서_외화환산손익09(부채)A" xfId="23336"/>
    <cellStyle name="AÞ¸¶ [0]_¼oAa½CAu _99결산서_유동성장기부채2002" xfId="23337"/>
    <cellStyle name="ÄÞ¸¶ [0]_¼öÃâ½ÇÀû _99결산서_유동성장기부채2002" xfId="23338"/>
    <cellStyle name="AÞ¸¶ [0]_¼oAa½CAu _99결산서_은행미지급금" xfId="23339"/>
    <cellStyle name="ÄÞ¸¶ [0]_¼öÃâ½ÇÀû _99결산서_은행미지급금" xfId="23340"/>
    <cellStyle name="AÞ¸¶ [0]_¼oAa½CAu _99결산서_은행미지급금2002" xfId="23341"/>
    <cellStyle name="ÄÞ¸¶ [0]_¼öÃâ½ÇÀû _99결산서_은행미지급금2002" xfId="23342"/>
    <cellStyle name="AÞ¸¶ [0]_¼oAa½CAu _99결산서_임대자산2002" xfId="23343"/>
    <cellStyle name="ÄÞ¸¶ [0]_¼öÃâ½ÇÀû _99결산서_임대자산2002" xfId="23344"/>
    <cellStyle name="AÞ¸¶ [0]_¼oAa½CAu _99결산서_자본현황2002" xfId="23345"/>
    <cellStyle name="ÄÞ¸¶ [0]_¼öÃâ½ÇÀû _99결산서_자본현황2002" xfId="23346"/>
    <cellStyle name="AÞ¸¶ [0]_¼oAa½CAu _99결산서_장기미지급금2002" xfId="23347"/>
    <cellStyle name="ÄÞ¸¶ [0]_¼öÃâ½ÇÀû _99결산서_장기미지급금2002" xfId="23348"/>
    <cellStyle name="AÞ¸¶ [0]_¼oAa½CAu _99결산서_장기차입금2002" xfId="23349"/>
    <cellStyle name="ÄÞ¸¶ [0]_¼öÃâ½ÇÀû _99결산서_장기차입금2002" xfId="23350"/>
    <cellStyle name="AÞ¸¶ [0]_¼oAa½CAu _99결산서_종업원퇴직보험금2002" xfId="23351"/>
    <cellStyle name="ÄÞ¸¶ [0]_¼öÃâ½ÇÀû _99결산서_종업원퇴직보험금2002" xfId="23352"/>
    <cellStyle name="AÞ¸¶ [0]_¼oAa½CAu _99결산서_지급어음2002" xfId="23353"/>
    <cellStyle name="ÄÞ¸¶ [0]_¼öÃâ½ÇÀû _99결산서_지급어음2002" xfId="23354"/>
    <cellStyle name="AÞ¸¶ [0]_¼oAa½CAu _99결산서_퇴직급여충당금2002" xfId="23355"/>
    <cellStyle name="ÄÞ¸¶ [0]_¼öÃâ½ÇÀû _99결산서_퇴직급여충당금2002" xfId="23356"/>
    <cellStyle name="AÞ¸¶ [0]_¼oAa½CAu _99결산서_퇴직보험금2002" xfId="23357"/>
    <cellStyle name="ÄÞ¸¶ [0]_¼öÃâ½ÇÀû _99결산서_퇴직보험금2002" xfId="23358"/>
    <cellStyle name="AÞ¸¶ [0]_¼oAa½CAu _99결산서_퇴직전환금2002" xfId="23359"/>
    <cellStyle name="ÄÞ¸¶ [0]_¼öÃâ½ÇÀû _99결산서_퇴직전환금2002" xfId="23360"/>
    <cellStyle name="AÞ¸¶ [0]_¼oAa½CAu _99결산서_파생상품2002" xfId="23361"/>
    <cellStyle name="ÄÞ¸¶ [0]_¼öÃâ½ÇÀû _99결산서_파생상품2002" xfId="23362"/>
    <cellStyle name="AÞ¸¶ [0]_¼oAa½CAu _99결산서_현금과예금03" xfId="23363"/>
    <cellStyle name="ÄÞ¸¶ [0]_¼öÃâ½ÇÀû _99결산서_현금과예금03" xfId="23364"/>
    <cellStyle name="AÞ¸¶ [0]_¼oAa½CAu _9월" xfId="23365"/>
    <cellStyle name="ÄÞ¸¶ [0]_¼öÃâ½ÇÀû _9월명세서" xfId="23366"/>
    <cellStyle name="AÞ¸¶ [0]_¼oAa½CAu _ABS0202" xfId="23367"/>
    <cellStyle name="ÄÞ¸¶ [0]_¼öÃâ½ÇÀû _ABS0202" xfId="23368"/>
    <cellStyle name="AÞ¸¶ [0]_¼oAa½CAu _ABS0202_BS0202" xfId="23369"/>
    <cellStyle name="ÄÞ¸¶ [0]_¼öÃâ½ÇÀû _ABS0202_BS0202" xfId="23370"/>
    <cellStyle name="AÞ¸¶ [0]_¼oAa½CAu _ABS0202_미수수익0203B" xfId="23371"/>
    <cellStyle name="ÄÞ¸¶ [0]_¼öÃâ½ÇÀû _ABS0202_미수수익0203B" xfId="23372"/>
    <cellStyle name="AÞ¸¶ [0]_¼oAa½CAu _ABS0202_미수수익0206" xfId="23373"/>
    <cellStyle name="ÄÞ¸¶ [0]_¼öÃâ½ÇÀû _ABS0202_미수수익0206" xfId="23374"/>
    <cellStyle name="AÞ¸¶ [0]_¼oAa½CAu _ABS0202_미수수익0209a" xfId="23375"/>
    <cellStyle name="ÄÞ¸¶ [0]_¼öÃâ½ÇÀû _ABS0202_미수수익0209a" xfId="23376"/>
    <cellStyle name="AÞ¸¶ [0]_¼oAa½CAu _ABS0202_미수수익0212" xfId="23377"/>
    <cellStyle name="ÄÞ¸¶ [0]_¼öÃâ½ÇÀû _ABS0202_미수수익0212" xfId="23378"/>
    <cellStyle name="AÞ¸¶ [0]_¼oAa½CAu _ABS12" xfId="23379"/>
    <cellStyle name="ÄÞ¸¶ [0]_¼öÃâ½ÇÀû _ABS12" xfId="23380"/>
    <cellStyle name="AÞ¸¶ [0]_¼oAa½CAu _APL0201" xfId="23381"/>
    <cellStyle name="ÄÞ¸¶ [0]_¼öÃâ½ÇÀû _APL0201" xfId="23382"/>
    <cellStyle name="AÞ¸¶ [0]_¼oAa½CAu _APL12" xfId="23383"/>
    <cellStyle name="ÄÞ¸¶ [0]_¼öÃâ½ÇÀû _APL12" xfId="23384"/>
    <cellStyle name="AÞ¸¶ [0]_¼oAa½CAu _ASUP0202A" xfId="23385"/>
    <cellStyle name="ÄÞ¸¶ [0]_¼öÃâ½ÇÀû _ASUP0202A" xfId="23386"/>
    <cellStyle name="AÞ¸¶ [0]_¼oAa½CAu _ASUP0202B" xfId="23387"/>
    <cellStyle name="ÄÞ¸¶ [0]_¼öÃâ½ÇÀû _ASUP0202B" xfId="23388"/>
    <cellStyle name="AÞ¸¶ [0]_¼oAa½CAu _Book1" xfId="23389"/>
    <cellStyle name="ÄÞ¸¶ [0]_¼öÃâ½ÇÀû _Book1" xfId="23390"/>
    <cellStyle name="AÞ¸¶ [0]_¼oAa½CAu _BS0201" xfId="23391"/>
    <cellStyle name="ÄÞ¸¶ [0]_¼öÃâ½ÇÀû _BS0201" xfId="23392"/>
    <cellStyle name="AÞ¸¶ [0]_¼oAa½CAu _BS0202" xfId="23393"/>
    <cellStyle name="ÄÞ¸¶ [0]_¼öÃâ½ÇÀû _BS0202" xfId="23394"/>
    <cellStyle name="AÞ¸¶ [0]_¼oAa½CAu _BS0203" xfId="23395"/>
    <cellStyle name="ÄÞ¸¶ [0]_¼öÃâ½ÇÀû _BS0203" xfId="23396"/>
    <cellStyle name="AÞ¸¶ [0]_¼oAa½CAu _BS0206" xfId="23397"/>
    <cellStyle name="ÄÞ¸¶ [0]_¼öÃâ½ÇÀû _BS0206" xfId="23398"/>
    <cellStyle name="AÞ¸¶ [0]_¼oAa½CAu _BS0208" xfId="23399"/>
    <cellStyle name="ÄÞ¸¶ [0]_¼öÃâ½ÇÀû _BS0208" xfId="23400"/>
    <cellStyle name="AÞ¸¶ [0]_¼oAa½CAu _BS0209" xfId="23401"/>
    <cellStyle name="ÄÞ¸¶ [0]_¼öÃâ½ÇÀû _BS0209" xfId="23402"/>
    <cellStyle name="AÞ¸¶ [0]_¼oAa½CAu _CoGM2" xfId="23403"/>
    <cellStyle name="ÄÞ¸¶ [0]_¼öÃâ½ÇÀû _CoGM2" xfId="23404"/>
    <cellStyle name="AÞ¸¶ [0]_¼oAa½CAu _FS0203(S)" xfId="23405"/>
    <cellStyle name="ÄÞ¸¶ [0]_¼öÃâ½ÇÀû _FS0203(S)" xfId="23406"/>
    <cellStyle name="AÞ¸¶ [0]_¼oAa½CAu _FS0203S" xfId="23407"/>
    <cellStyle name="ÄÞ¸¶ [0]_¼öÃâ½ÇÀû _FS0203S" xfId="23408"/>
    <cellStyle name="AÞ¸¶ [0]_¼oAa½CAu _FS12감사후" xfId="23409"/>
    <cellStyle name="ÄÞ¸¶ [0]_¼öÃâ½ÇÀû _FS12감사후" xfId="23410"/>
    <cellStyle name="AÞ¸¶ [0]_¼oAa½CAu _USANCE이자(미지급비용)05" xfId="23411"/>
    <cellStyle name="ÄÞ¸¶ [0]_¼öÃâ½ÇÀû _USANCE이자(미지급비용)05" xfId="23412"/>
    <cellStyle name="AÞ¸¶ [0]_¼oAa½CAu _건가200112" xfId="23413"/>
    <cellStyle name="ÄÞ¸¶ [0]_¼öÃâ½ÇÀû _건가200112" xfId="23414"/>
    <cellStyle name="AÞ¸¶ [0]_¼oAa½CAu _건가2002" xfId="23415"/>
    <cellStyle name="ÄÞ¸¶ [0]_¼öÃâ½ÇÀû _건가2002" xfId="23416"/>
    <cellStyle name="AÞ¸¶ [0]_¼oAa½CAu _결산서2001유형처분" xfId="23417"/>
    <cellStyle name="ÄÞ¸¶ [0]_¼öÃâ½ÇÀû _경영분석05" xfId="23418"/>
    <cellStyle name="AÞ¸¶ [0]_¼oAa½CAu _경영분석05(BS)" xfId="23419"/>
    <cellStyle name="ÄÞ¸¶ [0]_¼öÃâ½ÇÀû _경영분석05(BS)" xfId="23420"/>
    <cellStyle name="AÞ¸¶ [0]_¼oAa½CAu _경영분석05(BS)_APL0201" xfId="23421"/>
    <cellStyle name="ÄÞ¸¶ [0]_¼öÃâ½ÇÀû _경영분석05(BS)_APL0201" xfId="23422"/>
    <cellStyle name="AÞ¸¶ [0]_¼oAa½CAu _경영분석05(BS)_APL12" xfId="23423"/>
    <cellStyle name="ÄÞ¸¶ [0]_¼öÃâ½ÇÀû _경영분석05(BS)_APL12" xfId="23424"/>
    <cellStyle name="AÞ¸¶ [0]_¼oAa½CAu _경영분석05(BS)_경영분석05(PL)" xfId="23425"/>
    <cellStyle name="ÄÞ¸¶ [0]_¼öÃâ½ÇÀû _경영분석05(BS)_경영분석05(PL)" xfId="23426"/>
    <cellStyle name="AÞ¸¶ [0]_¼oAa½CAu _경영분석05(PL)" xfId="23427"/>
    <cellStyle name="ÄÞ¸¶ [0]_¼öÃâ½ÇÀû _경영분석05(PL)" xfId="23428"/>
    <cellStyle name="AÞ¸¶ [0]_¼oAa½CAu _경영분석05(TO)" xfId="23429"/>
    <cellStyle name="ÄÞ¸¶ [0]_¼öÃâ½ÇÀû _경영분석05(TO)" xfId="23430"/>
    <cellStyle name="AÞ¸¶ [0]_¼oAa½CAu _경영분석05(별첨)" xfId="23431"/>
    <cellStyle name="ÄÞ¸¶ [0]_¼öÃâ½ÇÀû _경영분석05(별첨)" xfId="23432"/>
    <cellStyle name="AÞ¸¶ [0]_¼oAa½CAu _경영분석07(별첨)" xfId="23433"/>
    <cellStyle name="ÄÞ¸¶ [0]_¼öÃâ½ÇÀû _경영분석07(별첨)" xfId="23434"/>
    <cellStyle name="AÞ¸¶ [0]_¼oAa½CAu _경영분석09(PL)" xfId="23435"/>
    <cellStyle name="ÄÞ¸¶ [0]_¼öÃâ½ÇÀû _경영분석09(PL)" xfId="23436"/>
    <cellStyle name="AÞ¸¶ [0]_¼oAa½CAu _경영분석10(PL)" xfId="23437"/>
    <cellStyle name="ÄÞ¸¶ [0]_¼öÃâ½ÇÀû _경영분석10(PL)" xfId="23438"/>
    <cellStyle name="AÞ¸¶ [0]_¼oAa½CAu _구분BS,IS" xfId="23439"/>
    <cellStyle name="ÄÞ¸¶ [0]_¼öÃâ½ÇÀû _구분BS,IS" xfId="23440"/>
    <cellStyle name="AÞ¸¶ [0]_¼oAa½CAu _내부원가자료(May)" xfId="23441"/>
    <cellStyle name="ÄÞ¸¶ [0]_¼öÃâ½ÇÀû _단기차입금" xfId="23442"/>
    <cellStyle name="AÞ¸¶ [0]_¼oAa½CAu _단기차입금(KRW)08" xfId="23443"/>
    <cellStyle name="ÄÞ¸¶ [0]_¼öÃâ½ÇÀû _단기차입금(KRW)08" xfId="23444"/>
    <cellStyle name="AÞ¸¶ [0]_¼oAa½CAu _단기차입금(KRW)09" xfId="23445"/>
    <cellStyle name="ÄÞ¸¶ [0]_¼öÃâ½ÇÀû _단기차입금(KRW)09" xfId="23446"/>
    <cellStyle name="AÞ¸¶ [0]_¼oAa½CAu _단기차입금(KRW)10" xfId="23447"/>
    <cellStyle name="ÄÞ¸¶ [0]_¼öÃâ½ÇÀû _단기차입금(KRW)10" xfId="23448"/>
    <cellStyle name="AÞ¸¶ [0]_¼oAa½CAu _단기차입금(KRW)11" xfId="23449"/>
    <cellStyle name="ÄÞ¸¶ [0]_¼öÃâ½ÇÀû _단기차입금(KRW)11" xfId="23450"/>
    <cellStyle name="AÞ¸¶ [0]_¼oAa½CAu _단기차입금(원화)" xfId="23451"/>
    <cellStyle name="ÄÞ¸¶ [0]_¼öÃâ½ÇÀû _단기차입금(원화)" xfId="23452"/>
    <cellStyle name="AÞ¸¶ [0]_¼oAa½CAu _단기차입금2002" xfId="23453"/>
    <cellStyle name="ÄÞ¸¶ [0]_¼öÃâ½ÇÀû _단기차입금2002" xfId="23454"/>
    <cellStyle name="AÞ¸¶ [0]_¼oAa½CAu _단체예치금2002" xfId="23455"/>
    <cellStyle name="ÄÞ¸¶ [0]_¼öÃâ½ÇÀû _단체예치금2002" xfId="23456"/>
    <cellStyle name="AÞ¸¶ [0]_¼oAa½CAu _단퇴200112" xfId="23457"/>
    <cellStyle name="ÄÞ¸¶ [0]_¼öÃâ½ÇÀû _단퇴200112" xfId="23458"/>
    <cellStyle name="AÞ¸¶ [0]_¼oAa½CAu _명세09" xfId="23459"/>
    <cellStyle name="ÄÞ¸¶ [0]_¼öÃâ½ÇÀû _명세서" xfId="23460"/>
    <cellStyle name="AÞ¸¶ [0]_¼oAa½CAu _명세서05" xfId="23461"/>
    <cellStyle name="ÄÞ¸¶ [0]_¼öÃâ½ÇÀû _명세서05" xfId="23462"/>
    <cellStyle name="AÞ¸¶ [0]_¼oAa½CAu _미수금2002" xfId="23463"/>
    <cellStyle name="ÄÞ¸¶ [0]_¼öÃâ½ÇÀû _미수금2002" xfId="23464"/>
    <cellStyle name="AÞ¸¶ [0]_¼oAa½CAu _미수수익0203B" xfId="23465"/>
    <cellStyle name="ÄÞ¸¶ [0]_¼öÃâ½ÇÀû _미수수익0203B" xfId="23466"/>
    <cellStyle name="AÞ¸¶ [0]_¼oAa½CAu _미지급금2002" xfId="23467"/>
    <cellStyle name="ÄÞ¸¶ [0]_¼öÃâ½ÇÀû _미지급금2002" xfId="23468"/>
    <cellStyle name="AÞ¸¶ [0]_¼oAa½CAu _미지급비용2002" xfId="23469"/>
    <cellStyle name="ÄÞ¸¶ [0]_¼öÃâ½ÇÀû _미지급비용2002" xfId="23470"/>
    <cellStyle name="AÞ¸¶ [0]_¼oAa½CAu _받을어음(9월)" xfId="23471"/>
    <cellStyle name="ÄÞ¸¶ [0]_¼öÃâ½ÇÀû _보증금2002" xfId="23472"/>
    <cellStyle name="AÞ¸¶ [0]_¼oAa½CAu _선급비용2002" xfId="23473"/>
    <cellStyle name="ÄÞ¸¶ [0]_¼öÃâ½ÇÀû _선급비용2002" xfId="23474"/>
    <cellStyle name="AÞ¸¶ [0]_¼oAa½CAu _선수수익2002" xfId="23475"/>
    <cellStyle name="ÄÞ¸¶ [0]_¼öÃâ½ÇÀû _선수수익2002" xfId="23476"/>
    <cellStyle name="AÞ¸¶ [0]_¼oAa½CAu _시산표0110" xfId="23477"/>
    <cellStyle name="ÄÞ¸¶ [0]_¼öÃâ½ÇÀû _시산표0110" xfId="23478"/>
    <cellStyle name="AÞ¸¶ [0]_¼oAa½CAu _시산표0111(클레임제외)" xfId="23479"/>
    <cellStyle name="ÄÞ¸¶ [0]_¼öÃâ½ÇÀû _시산표0111(클레임제외)" xfId="23480"/>
    <cellStyle name="AÞ¸¶ [0]_¼oAa½CAu _시산표0112(연말결산)-GAAD" xfId="23481"/>
    <cellStyle name="ÄÞ¸¶ [0]_¼öÃâ½ÇÀû _시산표0112(연말결산)-GAAD" xfId="23482"/>
    <cellStyle name="AÞ¸¶ [0]_¼oAa½CAu _시산표05" xfId="23483"/>
    <cellStyle name="ÄÞ¸¶ [0]_¼öÃâ½ÇÀû _시산표05" xfId="23484"/>
    <cellStyle name="AÞ¸¶ [0]_¼oAa½CAu _시산표07" xfId="23485"/>
    <cellStyle name="ÄÞ¸¶ [0]_¼öÃâ½ÇÀû _시산표07" xfId="23486"/>
    <cellStyle name="AÞ¸¶ [0]_¼oAa½CAu _애라07" xfId="23487"/>
    <cellStyle name="ÄÞ¸¶ [0]_¼öÃâ½ÇÀû _애라07" xfId="23488"/>
    <cellStyle name="AÞ¸¶ [0]_¼oAa½CAu _외상매입금(AP)2002" xfId="23489"/>
    <cellStyle name="ÄÞ¸¶ [0]_¼öÃâ½ÇÀû _외상매입금(AP)2002" xfId="23490"/>
    <cellStyle name="AÞ¸¶ [0]_¼oAa½CAu _외상매입금2002" xfId="23491"/>
    <cellStyle name="ÄÞ¸¶ [0]_¼öÃâ½ÇÀû _외상매입금2002" xfId="23492"/>
    <cellStyle name="AÞ¸¶ [0]_¼oAa½CAu _외화외상매입금2002" xfId="23493"/>
    <cellStyle name="ÄÞ¸¶ [0]_¼öÃâ½ÇÀû _외화외상매입금2002" xfId="23494"/>
    <cellStyle name="AÞ¸¶ [0]_¼oAa½CAu _외화외상매입금2002_1" xfId="23495"/>
    <cellStyle name="ÄÞ¸¶ [0]_¼öÃâ½ÇÀû _외화외상매입금2002_1" xfId="23496"/>
    <cellStyle name="AÞ¸¶ [0]_¼oAa½CAu _외화차입금" xfId="23497"/>
    <cellStyle name="ÄÞ¸¶ [0]_¼öÃâ½ÇÀû _외화차입금" xfId="23498"/>
    <cellStyle name="AÞ¸¶ [0]_¼oAa½CAu _외화차입금04" xfId="23499"/>
    <cellStyle name="ÄÞ¸¶ [0]_¼öÃâ½ÇÀû _외화차입금04" xfId="23500"/>
    <cellStyle name="AÞ¸¶ [0]_¼oAa½CAu _외화차입금10" xfId="23501"/>
    <cellStyle name="ÄÞ¸¶ [0]_¼öÃâ½ÇÀû _외화차입금10" xfId="23502"/>
    <cellStyle name="AÞ¸¶ [0]_¼oAa½CAu _외화환산손익07(부채)" xfId="23503"/>
    <cellStyle name="ÄÞ¸¶ [0]_¼öÃâ½ÇÀû _외화환산손익07(부채)" xfId="23504"/>
    <cellStyle name="AÞ¸¶ [0]_¼oAa½CAu _외화환산손익09(부채)A" xfId="23505"/>
    <cellStyle name="ÄÞ¸¶ [0]_¼öÃâ½ÇÀû _외화환산손익09(부채)A" xfId="23506"/>
    <cellStyle name="AÞ¸¶ [0]_¼oAa½CAu _원가명세02" xfId="23507"/>
    <cellStyle name="ÄÞ¸¶ [0]_¼öÃâ½ÇÀû _원가명세02" xfId="23508"/>
    <cellStyle name="AÞ¸¶ [0]_¼oAa½CAu _원가명세03" xfId="23509"/>
    <cellStyle name="ÄÞ¸¶ [0]_¼öÃâ½ÇÀû _원가명세03" xfId="23510"/>
    <cellStyle name="AÞ¸¶ [0]_¼oAa½CAu _원가자료(Aug.)" xfId="23511"/>
    <cellStyle name="ÄÞ¸¶ [0]_¼öÃâ½ÇÀû _원가자료(Aug.)" xfId="23512"/>
    <cellStyle name="AÞ¸¶ [0]_¼oAa½CAu _원가자료(July)" xfId="23513"/>
    <cellStyle name="ÄÞ¸¶ [0]_¼öÃâ½ÇÀû _원가자료(Oct.)" xfId="23514"/>
    <cellStyle name="AÞ¸¶ [0]_¼oAa½CAu _원가자료01" xfId="23515"/>
    <cellStyle name="ÄÞ¸¶ [0]_¼öÃâ½ÇÀû _원가자료01" xfId="23516"/>
    <cellStyle name="AÞ¸¶ [0]_¼oAa½CAu _유동성장기부채2002" xfId="23517"/>
    <cellStyle name="ÄÞ¸¶ [0]_¼öÃâ½ÇÀû _유동성장기부채2002" xfId="23518"/>
    <cellStyle name="AÞ¸¶ [0]_¼oAa½CAu _은행미지급금" xfId="23519"/>
    <cellStyle name="ÄÞ¸¶ [0]_¼öÃâ½ÇÀû _은행미지급금" xfId="23520"/>
    <cellStyle name="AÞ¸¶ [0]_¼oAa½CAu _은행미지급금2002" xfId="23521"/>
    <cellStyle name="ÄÞ¸¶ [0]_¼öÃâ½ÇÀû _은행미지급금2002" xfId="23522"/>
    <cellStyle name="AÞ¸¶ [0]_¼oAa½CAu _임대자산2002" xfId="23523"/>
    <cellStyle name="ÄÞ¸¶ [0]_¼öÃâ½ÇÀû _임대자산2002" xfId="23524"/>
    <cellStyle name="AÞ¸¶ [0]_¼oAa½CAu _자본금2002" xfId="23525"/>
    <cellStyle name="ÄÞ¸¶ [0]_¼öÃâ½ÇÀû _자본금2002" xfId="23526"/>
    <cellStyle name="AÞ¸¶ [0]_¼oAa½CAu _자본현황2002" xfId="23527"/>
    <cellStyle name="ÄÞ¸¶ [0]_¼öÃâ½ÇÀû _자본현황2002" xfId="23528"/>
    <cellStyle name="AÞ¸¶ [0]_¼oAa½CAu _장기미지급금2002" xfId="23529"/>
    <cellStyle name="ÄÞ¸¶ [0]_¼öÃâ½ÇÀû _장기미지급금2002" xfId="23530"/>
    <cellStyle name="AÞ¸¶ [0]_¼oAa½CAu _장기차입금2002" xfId="23531"/>
    <cellStyle name="ÄÞ¸¶ [0]_¼öÃâ½ÇÀû _장기차입금2002" xfId="23532"/>
    <cellStyle name="AÞ¸¶ [0]_¼oAa½CAu _종업원퇴직보험금2002" xfId="23533"/>
    <cellStyle name="ÄÞ¸¶ [0]_¼öÃâ½ÇÀû _종업원퇴직보험금2002" xfId="23534"/>
    <cellStyle name="AÞ¸¶ [0]_¼oAa½CAu _지급어음2002" xfId="23535"/>
    <cellStyle name="ÄÞ¸¶ [0]_¼öÃâ½ÇÀû _지급어음2002" xfId="23536"/>
    <cellStyle name="AÞ¸¶ [0]_¼oAa½CAu _퇴직급여충당금2002" xfId="23537"/>
    <cellStyle name="ÄÞ¸¶ [0]_¼öÃâ½ÇÀû _퇴직급여충당금2002" xfId="23538"/>
    <cellStyle name="AÞ¸¶ [0]_¼oAa½CAu _퇴직보험금2002" xfId="23539"/>
    <cellStyle name="ÄÞ¸¶ [0]_¼öÃâ½ÇÀû _퇴직보험금2002" xfId="23540"/>
    <cellStyle name="AÞ¸¶ [0]_¼oAa½CAu _퇴직전환금2002" xfId="23541"/>
    <cellStyle name="ÄÞ¸¶ [0]_¼öÃâ½ÇÀû _퇴직전환금2002" xfId="23542"/>
    <cellStyle name="AÞ¸¶ [0]_¼oAa½CAu _퇴충금0203" xfId="23543"/>
    <cellStyle name="ÄÞ¸¶ [0]_¼öÃâ½ÇÀû _퇴충금0203" xfId="23544"/>
    <cellStyle name="AÞ¸¶ [0]_¼oAa½CAu _파생상품2002" xfId="23545"/>
    <cellStyle name="ÄÞ¸¶ [0]_¼öÃâ½ÇÀû _파생상품2002" xfId="23546"/>
    <cellStyle name="AÞ¸¶ [0]_¼oAa½CAu _현금과예금03" xfId="23547"/>
    <cellStyle name="ÄÞ¸¶ [0]_¼öÃâ½ÇÀû _현금과예금03" xfId="23548"/>
    <cellStyle name="AÞ¸¶ [0]_¼oAa½CAu _혜영07" xfId="23549"/>
    <cellStyle name="ÄÞ¸¶ [0]_¼öÀÔ " xfId="23550"/>
    <cellStyle name="AÞ¸¶ [0]_¼oAO _~0001070" xfId="23551"/>
    <cellStyle name="ÄÞ¸¶ [0]_¼öÀÔ _~0001070" xfId="23552"/>
    <cellStyle name="AÞ¸¶ [0]_¼oAO _~0014230" xfId="23553"/>
    <cellStyle name="ÄÞ¸¶ [0]_¼öÀÔ _~0014230" xfId="23554"/>
    <cellStyle name="AÞ¸¶ [0]_¼oAO _~0023478" xfId="23555"/>
    <cellStyle name="ÄÞ¸¶ [0]_¼öÀÔ _~0023478" xfId="23556"/>
    <cellStyle name="AÞ¸¶ [0]_¼oAO _~0024614" xfId="23557"/>
    <cellStyle name="ÄÞ¸¶ [0]_¼öÀÔ _~0024614" xfId="23558"/>
    <cellStyle name="AÞ¸¶ [0]_¼oAO _~0024614 2" xfId="23559"/>
    <cellStyle name="ÄÞ¸¶ [0]_¼öÀÔ _~0024614 2" xfId="23560"/>
    <cellStyle name="AÞ¸¶ [0]_¼oAO _~0024614 2 2" xfId="23561"/>
    <cellStyle name="ÄÞ¸¶ [0]_¼öÀÔ _~0024614 2 2" xfId="23562"/>
    <cellStyle name="AÞ¸¶ [0]_¼oAO _~0024614 3" xfId="23563"/>
    <cellStyle name="ÄÞ¸¶ [0]_¼öÀÔ _~0024614 3" xfId="23564"/>
    <cellStyle name="AÞ¸¶ [0]_¼oAO _~0028575" xfId="23565"/>
    <cellStyle name="ÄÞ¸¶ [0]_¼öÀÔ _~0028575" xfId="23566"/>
    <cellStyle name="AÞ¸¶ [0]_¼oAO _~0041327" xfId="23567"/>
    <cellStyle name="ÄÞ¸¶ [0]_¼öÀÔ _~0041327" xfId="23568"/>
    <cellStyle name="AÞ¸¶ [0]_¼oAO _~0041748" xfId="23569"/>
    <cellStyle name="ÄÞ¸¶ [0]_¼öÀÔ _~0041748" xfId="23570"/>
    <cellStyle name="AÞ¸¶ [0]_¼oAO _~0047758" xfId="23571"/>
    <cellStyle name="ÄÞ¸¶ [0]_¼öÀÔ _~0047758" xfId="23572"/>
    <cellStyle name="AÞ¸¶ [0]_¾aC°≫c¿eCoE² " xfId="12583"/>
    <cellStyle name="Äþ¸¶ [0]_2. 은행분담금 추정 (20090930기준)_작업_2" xfId="1254"/>
    <cellStyle name="AÞ¸¶ [0]_97MBO (2)" xfId="1255"/>
    <cellStyle name="ÄÞ¸¶ [0]_97MBO (2)" xfId="1256"/>
    <cellStyle name="AÞ¸¶ [0]_97MBO (2) 10" xfId="12584"/>
    <cellStyle name="ÄÞ¸¶ [0]_97MBO (2) 2" xfId="12585"/>
    <cellStyle name="AÞ¸¶ [0]_AN°y(1.25) " xfId="12586"/>
    <cellStyle name="ÄÞ¸¶ [0]_Áõ±Ç Project" xfId="1257"/>
    <cellStyle name="AÞ¸¶ [0]_Ao±C Project 10" xfId="12587"/>
    <cellStyle name="ÄÞ¸¶ [0]_Áõ±Ç Project 2" xfId="12588"/>
    <cellStyle name="AÞ¸¶ [0]_COºI project" xfId="12589"/>
    <cellStyle name="ÄÞ¸¶ [0]_ÇÒºÎ project" xfId="1258"/>
    <cellStyle name="AÞ¸¶ [0]_COºI project 10" xfId="12590"/>
    <cellStyle name="ÄÞ¸¶ [0]_ÇÒºÎ project 2" xfId="12591"/>
    <cellStyle name="AÞ¸¶ [0]_INQUIRY ¿μ¾÷AßAø " xfId="12592"/>
    <cellStyle name="ÄÞ¸¶ [0]_L601CPT" xfId="12593"/>
    <cellStyle name="AÞ¸¶ [0]_laroux_1" xfId="1259"/>
    <cellStyle name="ÄÞ¸¶ [0]_laroux_1" xfId="1260"/>
    <cellStyle name="AÞ¸¶ [0]_laroux_2" xfId="1261"/>
    <cellStyle name="ÄÞ¸¶ [0]_laroux_2" xfId="1262"/>
    <cellStyle name="AÞ¸¶ [0]_laroux_2 10" xfId="12594"/>
    <cellStyle name="ÄÞ¸¶ [0]_laroux_2 2" xfId="12595"/>
    <cellStyle name="AÞ¸¶ [0]_laroux_3" xfId="12596"/>
    <cellStyle name="ÄÞ¸¶ [0]_laroux_3" xfId="1263"/>
    <cellStyle name="AÞ¸¶ [0]_laroux_3 2" xfId="12597"/>
    <cellStyle name="ÄÞ¸¶ [0]_laroux_3 2" xfId="12598"/>
    <cellStyle name="AÞ¸¶ [0]_MBO_0" xfId="1264"/>
    <cellStyle name="ÄÞ¸¶ [0]_MBO_0" xfId="1265"/>
    <cellStyle name="AÞ¸¶ [0]_MBO_0 10" xfId="12599"/>
    <cellStyle name="ÄÞ¸¶ [0]_MBO_0 2" xfId="12600"/>
    <cellStyle name="AÞ¸¶ [0]_MBO96_1" xfId="12601"/>
    <cellStyle name="ÄÞ¸¶ [0]_MBO96_1" xfId="1266"/>
    <cellStyle name="AÞ¸¶ [0]_MBO96_1 10" xfId="12602"/>
    <cellStyle name="ÄÞ¸¶ [0]_MBO96_1 2" xfId="12603"/>
    <cellStyle name="AÞ¸¶ [0]_º≫¼± ±æ¾i±uºI ¼o·R Ay°eC￥ " xfId="12604"/>
    <cellStyle name="ÄÞ¸¶ [0]_Sheet1" xfId="12605"/>
    <cellStyle name="ÄÞ¸¶_      " xfId="12606"/>
    <cellStyle name="AÞ¸¶_  A¾  CO  " xfId="12607"/>
    <cellStyle name="ÄÞ¸¶_(1.Åä)" xfId="12608"/>
    <cellStyle name="AÞ¸¶_(AO)AA¿μ 9703" xfId="12609"/>
    <cellStyle name="ÄÞ¸¶_´ëºñÇ¥" xfId="12610"/>
    <cellStyle name="AÞ¸¶_´eºnC￥_NC705F49" xfId="12611"/>
    <cellStyle name="ÄÞ¸¶_¸ÅÃâ" xfId="1267"/>
    <cellStyle name="AÞ¸¶_±¸¸A¿¹≫o·R " xfId="12612"/>
    <cellStyle name="ÄÞ¸¶_±âÅ¸" xfId="12613"/>
    <cellStyle name="AÞ¸¶_°eE¹_11¿a½A " xfId="12614"/>
    <cellStyle name="ÄÞ¸¶_µ¿ºÎ" xfId="12615"/>
    <cellStyle name="AÞ¸¶_¼oAa½CAu " xfId="12616"/>
    <cellStyle name="ÄÞ¸¶_¼öÀÍ¼º " xfId="12617"/>
    <cellStyle name="AÞ¸¶_¾aC°≫c¿eCoE² " xfId="12618"/>
    <cellStyle name="ÄÞ¸¶_95³âÃÑ°ý¼ö·® " xfId="12619"/>
    <cellStyle name="AÞ¸¶_95³aAN°y¼o·R " xfId="12620"/>
    <cellStyle name="ÄÞ¸¶_97MBO" xfId="1268"/>
    <cellStyle name="AÞ¸¶_97MBO (2)" xfId="1269"/>
    <cellStyle name="ÄÞ¸¶_97MBO (2)" xfId="1270"/>
    <cellStyle name="AÞ¸¶_97MBO (2) 10" xfId="12621"/>
    <cellStyle name="ÄÞ¸¶_97MBO (2) 2" xfId="12622"/>
    <cellStyle name="AÞ¸¶_A|Aa¿e" xfId="12623"/>
    <cellStyle name="ÄÞ¸¶_Á¦Ãâ¿ë" xfId="1271"/>
    <cellStyle name="AÞ¸¶_AN°y(1.25) " xfId="12624"/>
    <cellStyle name="ÄÞ¸¶_Áõ±Ç Project" xfId="1272"/>
    <cellStyle name="AÞ¸¶_Ao±C Project 10" xfId="12625"/>
    <cellStyle name="ÄÞ¸¶_Áõ±Ç Project 2" xfId="12626"/>
    <cellStyle name="AÞ¸¶_COºI project" xfId="12627"/>
    <cellStyle name="ÄÞ¸¶_ÇÒºÎ project" xfId="1273"/>
    <cellStyle name="AÞ¸¶_COºI project 10" xfId="12628"/>
    <cellStyle name="ÄÞ¸¶_ÇÒºÎ project 2" xfId="12629"/>
    <cellStyle name="AÞ¸¶_INQUIRY ¿?¾÷AßAø " xfId="12630"/>
    <cellStyle name="ÄÞ¸¶_INQUIRY ¿µ¾÷ÃßÁø " xfId="12631"/>
    <cellStyle name="AÞ¸¶_INQUIRY ¿μ¾÷AßAø " xfId="12632"/>
    <cellStyle name="ÄÞ¸¶_L601CPT" xfId="12633"/>
    <cellStyle name="AÞ¸¶_laroux_1" xfId="1274"/>
    <cellStyle name="ÄÞ¸¶_laroux_1" xfId="1275"/>
    <cellStyle name="AÞ¸¶_laroux_2" xfId="1276"/>
    <cellStyle name="ÄÞ¸¶_laroux_2" xfId="1277"/>
    <cellStyle name="AÞ¸¶_laroux_2 10" xfId="12634"/>
    <cellStyle name="ÄÞ¸¶_laroux_2 2" xfId="12635"/>
    <cellStyle name="AÞ¸¶_laroux_3" xfId="12636"/>
    <cellStyle name="ÄÞ¸¶_laroux_3" xfId="1278"/>
    <cellStyle name="AÞ¸¶_laroux_3 2" xfId="12637"/>
    <cellStyle name="ÄÞ¸¶_laroux_3 2" xfId="12638"/>
    <cellStyle name="AÞ¸¶_laroux_4" xfId="1279"/>
    <cellStyle name="ÄÞ¸¶_laroux_4" xfId="1280"/>
    <cellStyle name="AÞ¸¶_MBO_0" xfId="1281"/>
    <cellStyle name="ÄÞ¸¶_MBO_0" xfId="1282"/>
    <cellStyle name="AÞ¸¶_MBO_0 10" xfId="12639"/>
    <cellStyle name="ÄÞ¸¶_MBO_0 2" xfId="12640"/>
    <cellStyle name="AÞ¸¶_MBO96_1" xfId="12641"/>
    <cellStyle name="ÄÞ¸¶_MBO96_1" xfId="1283"/>
    <cellStyle name="AÞ¸¶_MBO96_1 10" xfId="12642"/>
    <cellStyle name="ÄÞ¸¶_MBO96_1 2" xfId="12643"/>
    <cellStyle name="AÞ¸¶_º≫¼± ±æ¾i±uºI ¼o·R Ay°eC￥ " xfId="12644"/>
    <cellStyle name="ÄÞ¸¶_Sheet1" xfId="12645"/>
    <cellStyle name="Au¸r " xfId="12646"/>
    <cellStyle name="AutoFormat Options" xfId="1284"/>
    <cellStyle name="ªꉨªŁb೐Ȭ_x0010_ÅëÈ­ [0]_M504CDT" xfId="12647"/>
    <cellStyle name="_x0001_b" xfId="1285"/>
    <cellStyle name="_x0001_b 2" xfId="12648"/>
    <cellStyle name="_x0001_b 3" xfId="12649"/>
    <cellStyle name="Bad" xfId="1286"/>
    <cellStyle name="Bad 2" xfId="1287"/>
    <cellStyle name="Bad 2 2" xfId="1288"/>
    <cellStyle name="Bad 2 2 2" xfId="1289"/>
    <cellStyle name="Bad 2 2 3" xfId="1290"/>
    <cellStyle name="Bad 2 3" xfId="1291"/>
    <cellStyle name="Bad 2 4" xfId="1292"/>
    <cellStyle name="Bad 3" xfId="1293"/>
    <cellStyle name="Bad 4" xfId="1294"/>
    <cellStyle name="Bad 5" xfId="1295"/>
    <cellStyle name="Bad 6" xfId="1296"/>
    <cellStyle name="Bad_2011-3차 매각 작업(실사팀 송부용)_0712" xfId="12650"/>
    <cellStyle name="blank" xfId="12651"/>
    <cellStyle name="blank - Style1" xfId="12652"/>
    <cellStyle name="blue$00" xfId="1297"/>
    <cellStyle name="Body" xfId="12653"/>
    <cellStyle name="BOYLGOTHIC" xfId="12654"/>
    <cellStyle name="BOYSTYLE" xfId="12655"/>
    <cellStyle name="Brand Align Left Text" xfId="1298"/>
    <cellStyle name="Brand Default" xfId="1299"/>
    <cellStyle name="Brand Default 2" xfId="12656"/>
    <cellStyle name="Brand Default 6" xfId="12657"/>
    <cellStyle name="Brand Percent" xfId="1300"/>
    <cellStyle name="Brand Source" xfId="1301"/>
    <cellStyle name="Brand Subtitle with Underline" xfId="1302"/>
    <cellStyle name="Brand Subtitle with Underline 10" xfId="12658"/>
    <cellStyle name="Brand Subtitle with Underline 10 2" xfId="12659"/>
    <cellStyle name="Brand Subtitle with Underline 10 2 2" xfId="12660"/>
    <cellStyle name="Brand Subtitle with Underline 10 2 2 2" xfId="12661"/>
    <cellStyle name="Brand Subtitle with Underline 10 2 3" xfId="12662"/>
    <cellStyle name="Brand Subtitle with Underline 10 3" xfId="12663"/>
    <cellStyle name="Brand Subtitle with Underline 10 3 2" xfId="12664"/>
    <cellStyle name="Brand Subtitle with Underline 10 3 2 2" xfId="12665"/>
    <cellStyle name="Brand Subtitle with Underline 10 3 3" xfId="12666"/>
    <cellStyle name="Brand Subtitle with Underline 10 4" xfId="12667"/>
    <cellStyle name="Brand Subtitle with Underline 10 4 2" xfId="12668"/>
    <cellStyle name="Brand Subtitle with Underline 10 4 2 2" xfId="12669"/>
    <cellStyle name="Brand Subtitle with Underline 10 4 3" xfId="12670"/>
    <cellStyle name="Brand Subtitle with Underline 10 5" xfId="12671"/>
    <cellStyle name="Brand Subtitle with Underline 10 5 2" xfId="12672"/>
    <cellStyle name="Brand Subtitle with Underline 10 6" xfId="12673"/>
    <cellStyle name="Brand Subtitle with Underline 11" xfId="12674"/>
    <cellStyle name="Brand Subtitle with Underline 11 2" xfId="12675"/>
    <cellStyle name="Brand Subtitle with Underline 11 2 2" xfId="12676"/>
    <cellStyle name="Brand Subtitle with Underline 11 2 2 2" xfId="12677"/>
    <cellStyle name="Brand Subtitle with Underline 11 2 3" xfId="12678"/>
    <cellStyle name="Brand Subtitle with Underline 11 3" xfId="12679"/>
    <cellStyle name="Brand Subtitle with Underline 11 3 2" xfId="12680"/>
    <cellStyle name="Brand Subtitle with Underline 11 3 2 2" xfId="12681"/>
    <cellStyle name="Brand Subtitle with Underline 11 3 3" xfId="12682"/>
    <cellStyle name="Brand Subtitle with Underline 11 4" xfId="12683"/>
    <cellStyle name="Brand Subtitle with Underline 11 4 2" xfId="12684"/>
    <cellStyle name="Brand Subtitle with Underline 11 4 2 2" xfId="12685"/>
    <cellStyle name="Brand Subtitle with Underline 11 4 3" xfId="12686"/>
    <cellStyle name="Brand Subtitle with Underline 11 5" xfId="12687"/>
    <cellStyle name="Brand Subtitle with Underline 11 5 2" xfId="12688"/>
    <cellStyle name="Brand Subtitle with Underline 11 6" xfId="12689"/>
    <cellStyle name="Brand Subtitle with Underline 12" xfId="12690"/>
    <cellStyle name="Brand Subtitle with Underline 12 2" xfId="12691"/>
    <cellStyle name="Brand Subtitle with Underline 13" xfId="12692"/>
    <cellStyle name="Brand Subtitle with Underline 2" xfId="12693"/>
    <cellStyle name="Brand Subtitle with Underline 2 2" xfId="12694"/>
    <cellStyle name="Brand Subtitle with Underline 2 2 2" xfId="12695"/>
    <cellStyle name="Brand Subtitle with Underline 2 2 2 2" xfId="12696"/>
    <cellStyle name="Brand Subtitle with Underline 2 2 3" xfId="12697"/>
    <cellStyle name="Brand Subtitle with Underline 2 3" xfId="12698"/>
    <cellStyle name="Brand Subtitle with Underline 2 3 2" xfId="12699"/>
    <cellStyle name="Brand Subtitle with Underline 2 3 2 2" xfId="12700"/>
    <cellStyle name="Brand Subtitle with Underline 2 3 3" xfId="12701"/>
    <cellStyle name="Brand Subtitle with Underline 2 4" xfId="12702"/>
    <cellStyle name="Brand Subtitle with Underline 2 4 2" xfId="12703"/>
    <cellStyle name="Brand Subtitle with Underline 2 4 2 2" xfId="12704"/>
    <cellStyle name="Brand Subtitle with Underline 2 4 3" xfId="12705"/>
    <cellStyle name="Brand Subtitle with Underline 2 5" xfId="12706"/>
    <cellStyle name="Brand Subtitle with Underline 2 5 2" xfId="12707"/>
    <cellStyle name="Brand Subtitle with Underline 2 6" xfId="12708"/>
    <cellStyle name="Brand Subtitle with Underline 3" xfId="12709"/>
    <cellStyle name="Brand Subtitle with Underline 3 2" xfId="12710"/>
    <cellStyle name="Brand Subtitle with Underline 3 2 2" xfId="12711"/>
    <cellStyle name="Brand Subtitle with Underline 3 2 2 2" xfId="12712"/>
    <cellStyle name="Brand Subtitle with Underline 3 2 3" xfId="12713"/>
    <cellStyle name="Brand Subtitle with Underline 3 3" xfId="12714"/>
    <cellStyle name="Brand Subtitle with Underline 3 3 2" xfId="12715"/>
    <cellStyle name="Brand Subtitle with Underline 3 3 2 2" xfId="12716"/>
    <cellStyle name="Brand Subtitle with Underline 3 3 3" xfId="12717"/>
    <cellStyle name="Brand Subtitle with Underline 3 4" xfId="12718"/>
    <cellStyle name="Brand Subtitle with Underline 3 4 2" xfId="12719"/>
    <cellStyle name="Brand Subtitle with Underline 3 4 2 2" xfId="12720"/>
    <cellStyle name="Brand Subtitle with Underline 3 4 3" xfId="12721"/>
    <cellStyle name="Brand Subtitle with Underline 3 5" xfId="12722"/>
    <cellStyle name="Brand Subtitle with Underline 3 5 2" xfId="12723"/>
    <cellStyle name="Brand Subtitle with Underline 3 6" xfId="12724"/>
    <cellStyle name="Brand Subtitle with Underline 4" xfId="12725"/>
    <cellStyle name="Brand Subtitle with Underline 4 2" xfId="12726"/>
    <cellStyle name="Brand Subtitle with Underline 4 2 2" xfId="12727"/>
    <cellStyle name="Brand Subtitle with Underline 4 2 2 2" xfId="12728"/>
    <cellStyle name="Brand Subtitle with Underline 4 2 3" xfId="12729"/>
    <cellStyle name="Brand Subtitle with Underline 4 3" xfId="12730"/>
    <cellStyle name="Brand Subtitle with Underline 4 3 2" xfId="12731"/>
    <cellStyle name="Brand Subtitle with Underline 4 3 2 2" xfId="12732"/>
    <cellStyle name="Brand Subtitle with Underline 4 3 3" xfId="12733"/>
    <cellStyle name="Brand Subtitle with Underline 4 4" xfId="12734"/>
    <cellStyle name="Brand Subtitle with Underline 4 4 2" xfId="12735"/>
    <cellStyle name="Brand Subtitle with Underline 4 4 2 2" xfId="12736"/>
    <cellStyle name="Brand Subtitle with Underline 4 4 3" xfId="12737"/>
    <cellStyle name="Brand Subtitle with Underline 4 5" xfId="12738"/>
    <cellStyle name="Brand Subtitle with Underline 4 5 2" xfId="12739"/>
    <cellStyle name="Brand Subtitle with Underline 4 6" xfId="12740"/>
    <cellStyle name="Brand Subtitle with Underline 5" xfId="12741"/>
    <cellStyle name="Brand Subtitle with Underline 5 2" xfId="12742"/>
    <cellStyle name="Brand Subtitle with Underline 5 2 2" xfId="12743"/>
    <cellStyle name="Brand Subtitle with Underline 5 2 2 2" xfId="12744"/>
    <cellStyle name="Brand Subtitle with Underline 5 2 3" xfId="12745"/>
    <cellStyle name="Brand Subtitle with Underline 5 3" xfId="12746"/>
    <cellStyle name="Brand Subtitle with Underline 5 3 2" xfId="12747"/>
    <cellStyle name="Brand Subtitle with Underline 5 3 2 2" xfId="12748"/>
    <cellStyle name="Brand Subtitle with Underline 5 3 3" xfId="12749"/>
    <cellStyle name="Brand Subtitle with Underline 5 4" xfId="12750"/>
    <cellStyle name="Brand Subtitle with Underline 5 4 2" xfId="12751"/>
    <cellStyle name="Brand Subtitle with Underline 5 4 2 2" xfId="12752"/>
    <cellStyle name="Brand Subtitle with Underline 5 4 3" xfId="12753"/>
    <cellStyle name="Brand Subtitle with Underline 5 5" xfId="12754"/>
    <cellStyle name="Brand Subtitle with Underline 5 5 2" xfId="12755"/>
    <cellStyle name="Brand Subtitle with Underline 5 6" xfId="12756"/>
    <cellStyle name="Brand Subtitle with Underline 6" xfId="12757"/>
    <cellStyle name="Brand Subtitle with Underline 6 2" xfId="12758"/>
    <cellStyle name="Brand Subtitle with Underline 6 2 2" xfId="12759"/>
    <cellStyle name="Brand Subtitle with Underline 6 2 2 2" xfId="12760"/>
    <cellStyle name="Brand Subtitle with Underline 6 2 3" xfId="12761"/>
    <cellStyle name="Brand Subtitle with Underline 6 3" xfId="12762"/>
    <cellStyle name="Brand Subtitle with Underline 6 3 2" xfId="12763"/>
    <cellStyle name="Brand Subtitle with Underline 6 3 2 2" xfId="12764"/>
    <cellStyle name="Brand Subtitle with Underline 6 3 3" xfId="12765"/>
    <cellStyle name="Brand Subtitle with Underline 6 4" xfId="12766"/>
    <cellStyle name="Brand Subtitle with Underline 6 4 2" xfId="12767"/>
    <cellStyle name="Brand Subtitle with Underline 6 4 2 2" xfId="12768"/>
    <cellStyle name="Brand Subtitle with Underline 6 4 3" xfId="12769"/>
    <cellStyle name="Brand Subtitle with Underline 6 5" xfId="12770"/>
    <cellStyle name="Brand Subtitle with Underline 6 5 2" xfId="12771"/>
    <cellStyle name="Brand Subtitle with Underline 6 6" xfId="12772"/>
    <cellStyle name="Brand Subtitle with Underline 7" xfId="12773"/>
    <cellStyle name="Brand Subtitle with Underline 7 2" xfId="12774"/>
    <cellStyle name="Brand Subtitle with Underline 7 2 2" xfId="12775"/>
    <cellStyle name="Brand Subtitle with Underline 7 2 2 2" xfId="12776"/>
    <cellStyle name="Brand Subtitle with Underline 7 2 3" xfId="12777"/>
    <cellStyle name="Brand Subtitle with Underline 7 3" xfId="12778"/>
    <cellStyle name="Brand Subtitle with Underline 7 3 2" xfId="12779"/>
    <cellStyle name="Brand Subtitle with Underline 7 3 2 2" xfId="12780"/>
    <cellStyle name="Brand Subtitle with Underline 7 3 3" xfId="12781"/>
    <cellStyle name="Brand Subtitle with Underline 7 4" xfId="12782"/>
    <cellStyle name="Brand Subtitle with Underline 7 4 2" xfId="12783"/>
    <cellStyle name="Brand Subtitle with Underline 7 4 2 2" xfId="12784"/>
    <cellStyle name="Brand Subtitle with Underline 7 4 3" xfId="12785"/>
    <cellStyle name="Brand Subtitle with Underline 7 5" xfId="12786"/>
    <cellStyle name="Brand Subtitle with Underline 7 5 2" xfId="12787"/>
    <cellStyle name="Brand Subtitle with Underline 7 6" xfId="12788"/>
    <cellStyle name="Brand Subtitle with Underline 8" xfId="12789"/>
    <cellStyle name="Brand Subtitle with Underline 8 2" xfId="12790"/>
    <cellStyle name="Brand Subtitle with Underline 8 2 2" xfId="12791"/>
    <cellStyle name="Brand Subtitle with Underline 8 2 2 2" xfId="12792"/>
    <cellStyle name="Brand Subtitle with Underline 8 2 3" xfId="12793"/>
    <cellStyle name="Brand Subtitle with Underline 8 3" xfId="12794"/>
    <cellStyle name="Brand Subtitle with Underline 8 3 2" xfId="12795"/>
    <cellStyle name="Brand Subtitle with Underline 8 3 2 2" xfId="12796"/>
    <cellStyle name="Brand Subtitle with Underline 8 3 3" xfId="12797"/>
    <cellStyle name="Brand Subtitle with Underline 8 4" xfId="12798"/>
    <cellStyle name="Brand Subtitle with Underline 8 4 2" xfId="12799"/>
    <cellStyle name="Brand Subtitle with Underline 8 4 2 2" xfId="12800"/>
    <cellStyle name="Brand Subtitle with Underline 8 4 3" xfId="12801"/>
    <cellStyle name="Brand Subtitle with Underline 8 5" xfId="12802"/>
    <cellStyle name="Brand Subtitle with Underline 8 5 2" xfId="12803"/>
    <cellStyle name="Brand Subtitle with Underline 8 6" xfId="12804"/>
    <cellStyle name="Brand Subtitle with Underline 9" xfId="12805"/>
    <cellStyle name="Brand Subtitle with Underline 9 2" xfId="12806"/>
    <cellStyle name="Brand Subtitle with Underline 9 2 2" xfId="12807"/>
    <cellStyle name="Brand Subtitle with Underline 9 2 2 2" xfId="12808"/>
    <cellStyle name="Brand Subtitle with Underline 9 2 3" xfId="12809"/>
    <cellStyle name="Brand Subtitle with Underline 9 3" xfId="12810"/>
    <cellStyle name="Brand Subtitle with Underline 9 3 2" xfId="12811"/>
    <cellStyle name="Brand Subtitle with Underline 9 3 2 2" xfId="12812"/>
    <cellStyle name="Brand Subtitle with Underline 9 3 3" xfId="12813"/>
    <cellStyle name="Brand Subtitle with Underline 9 4" xfId="12814"/>
    <cellStyle name="Brand Subtitle with Underline 9 4 2" xfId="12815"/>
    <cellStyle name="Brand Subtitle with Underline 9 4 2 2" xfId="12816"/>
    <cellStyle name="Brand Subtitle with Underline 9 4 3" xfId="12817"/>
    <cellStyle name="Brand Subtitle with Underline 9 5" xfId="12818"/>
    <cellStyle name="Brand Subtitle with Underline 9 5 2" xfId="12819"/>
    <cellStyle name="Brand Subtitle with Underline 9 6" xfId="12820"/>
    <cellStyle name="Brand Subtitle without Underline" xfId="1303"/>
    <cellStyle name="Brand Title" xfId="1304"/>
    <cellStyle name="British Pound" xfId="1305"/>
    <cellStyle name="C" xfId="12821"/>
    <cellStyle name="C?AØ_¿?¾÷CoE² " xfId="12822"/>
    <cellStyle name="C_04028적산수량집계" xfId="12823"/>
    <cellStyle name="C_BOOKCITY(전기)" xfId="12824"/>
    <cellStyle name="C_BOOKCITY(전기)_04028적산수량집계" xfId="12825"/>
    <cellStyle name="C_공설운동진입(가실행)" xfId="12826"/>
    <cellStyle name="C_공설운동진입(가실행)_04028적산수량집계" xfId="12827"/>
    <cellStyle name="C_공설운동진입(가실행)_BOOKCITY(전기)" xfId="12828"/>
    <cellStyle name="C_공설운동진입(가실행)_BOOKCITY(전기)_04028적산수량집계" xfId="12829"/>
    <cellStyle name="C_공설운동진입(가실행)_사본 - 파주 북시티(이채)" xfId="12830"/>
    <cellStyle name="C_공설운동진입(가실행)_사본 - 파주 북시티(이채)_04028적산수량집계" xfId="12831"/>
    <cellStyle name="C_공설운동진입(가실행)_파주 BOOK CITY(통보용)" xfId="12832"/>
    <cellStyle name="C_공설운동진입(가실행)_파주 BOOK CITY(통보용)_04028적산수량집계" xfId="12833"/>
    <cellStyle name="C_공설운동진입(가실행)_파주 BOOK CITY가실행내역" xfId="12834"/>
    <cellStyle name="C_공설운동진입(가실행)_파주 BOOK CITY가실행내역_04028적산수량집계" xfId="12835"/>
    <cellStyle name="C_공설운동진입(가실행)_파주 북시티(이채)제출" xfId="12836"/>
    <cellStyle name="C_공설운동진입(가실행)_파주 북시티(이채)제출_04028적산수량집계" xfId="12837"/>
    <cellStyle name="C_공설운동진입(가실행)_파주 북시티(전체)제출(변경전)" xfId="12838"/>
    <cellStyle name="C_공설운동진입(가실행)_파주 북시티(전체)제출(변경전)_04028적산수량집계" xfId="12839"/>
    <cellStyle name="C_사본 - 파주 북시티(이채)" xfId="12840"/>
    <cellStyle name="C_사본 - 파주 북시티(이채)_04028적산수량집계" xfId="12841"/>
    <cellStyle name="C_토목내역서" xfId="12842"/>
    <cellStyle name="C_토목내역서_04028적산수량집계" xfId="12843"/>
    <cellStyle name="C_토목내역서_BOOKCITY(전기)" xfId="12844"/>
    <cellStyle name="C_토목내역서_BOOKCITY(전기)_04028적산수량집계" xfId="12845"/>
    <cellStyle name="C_토목내역서_공설운동진입(가실행)" xfId="12846"/>
    <cellStyle name="C_토목내역서_공설운동진입(가실행)_04028적산수량집계" xfId="12847"/>
    <cellStyle name="C_토목내역서_공설운동진입(가실행)_BOOKCITY(전기)" xfId="12848"/>
    <cellStyle name="C_토목내역서_공설운동진입(가실행)_BOOKCITY(전기)_04028적산수량집계" xfId="12849"/>
    <cellStyle name="C_토목내역서_공설운동진입(가실행)_사본 - 파주 북시티(이채)" xfId="12850"/>
    <cellStyle name="C_토목내역서_공설운동진입(가실행)_사본 - 파주 북시티(이채)_04028적산수량집계" xfId="12851"/>
    <cellStyle name="C_토목내역서_공설운동진입(가실행)_파주 BOOK CITY(통보용)" xfId="12852"/>
    <cellStyle name="C_토목내역서_공설운동진입(가실행)_파주 BOOK CITY(통보용)_04028적산수량집계" xfId="12853"/>
    <cellStyle name="C_토목내역서_공설운동진입(가실행)_파주 BOOK CITY가실행내역" xfId="12854"/>
    <cellStyle name="C_토목내역서_공설운동진입(가실행)_파주 BOOK CITY가실행내역_04028적산수량집계" xfId="12855"/>
    <cellStyle name="C_토목내역서_공설운동진입(가실행)_파주 북시티(이채)제출" xfId="12856"/>
    <cellStyle name="C_토목내역서_공설운동진입(가실행)_파주 북시티(이채)제출_04028적산수량집계" xfId="12857"/>
    <cellStyle name="C_토목내역서_공설운동진입(가실행)_파주 북시티(전체)제출(변경전)" xfId="12858"/>
    <cellStyle name="C_토목내역서_공설운동진입(가실행)_파주 북시티(전체)제출(변경전)_04028적산수량집계" xfId="12859"/>
    <cellStyle name="C_토목내역서_사본 - 파주 북시티(이채)" xfId="12860"/>
    <cellStyle name="C_토목내역서_사본 - 파주 북시티(이채)_04028적산수량집계" xfId="12861"/>
    <cellStyle name="C_토목내역서_파주 BOOK CITY(통보용)" xfId="12862"/>
    <cellStyle name="C_토목내역서_파주 BOOK CITY(통보용)_04028적산수량집계" xfId="12863"/>
    <cellStyle name="C_토목내역서_파주 BOOK CITY가실행내역" xfId="12864"/>
    <cellStyle name="C_토목내역서_파주 BOOK CITY가실행내역_04028적산수량집계" xfId="12865"/>
    <cellStyle name="C_토목내역서_파주 북시티(이채)제출" xfId="12866"/>
    <cellStyle name="C_토목내역서_파주 북시티(이채)제출_04028적산수량집계" xfId="12867"/>
    <cellStyle name="C_토목내역서_파주 북시티(전체)제출(변경전)" xfId="12868"/>
    <cellStyle name="C_토목내역서_파주 북시티(전체)제출(변경전)_04028적산수량집계" xfId="12869"/>
    <cellStyle name="C_파주 BOOK CITY(통보용)" xfId="12870"/>
    <cellStyle name="C_파주 BOOK CITY(통보용)_04028적산수량집계" xfId="12871"/>
    <cellStyle name="C_파주 BOOK CITY가실행내역" xfId="12872"/>
    <cellStyle name="C_파주 BOOK CITY가실행내역_04028적산수량집계" xfId="12873"/>
    <cellStyle name="C_파주 북시티(이채)제출" xfId="12874"/>
    <cellStyle name="C_파주 북시티(이채)제출_04028적산수량집계" xfId="12875"/>
    <cellStyle name="C_파주 북시티(전체)제출(변경전)" xfId="12876"/>
    <cellStyle name="C_파주 북시티(전체)제출(변경전)_04028적산수량집계" xfId="12877"/>
    <cellStyle name="C¡?A¨ª_¡¾????Ubal" xfId="1306"/>
    <cellStyle name="C¡IA¨ª_ ¡Æⓒøⓒoⓒ￢" xfId="12878"/>
    <cellStyle name="C¡ÍA¨ª_¡¾©ö¢¯Ubal" xfId="1307"/>
    <cellStyle name="C¡IA¨ª_3A¡A ¨¡?¨uoCu 62¡¾ⓒo¨uO " xfId="1308"/>
    <cellStyle name="C￠RERIA¡ER￠R¡¿￠R¡×￠RI_OTHERS SYS " xfId="12879"/>
    <cellStyle name="C￠RIA¡§¨￡_#1,2" xfId="12880"/>
    <cellStyle name="Ç¥áø" xfId="1309"/>
    <cellStyle name="C￥AØ_  A¾  CO  " xfId="12881"/>
    <cellStyle name="Ç¥ÁØ_´ç¿ùÃßÁø°èÈ¹" xfId="12882"/>
    <cellStyle name="C￥AØ_´e¼OAæ´c±Y" xfId="1310"/>
    <cellStyle name="Ç¥ÁØ_´ëºñÇ¥" xfId="12883"/>
    <cellStyle name="C￥AØ_´eºnC￥ (2)_1_ºI´eAa°ø " xfId="12884"/>
    <cellStyle name="Ç¥ÁØ_´ëºñÇ¥ (2)_1_ºÎ´ëÅä°ø " xfId="1311"/>
    <cellStyle name="C￥AØ_´eºnC￥ (2)_ºI´eAa°ø" xfId="12885"/>
    <cellStyle name="Ç¥ÁØ_´ëºñÇ¥ (2)_ºÎ´ëÅä°ø " xfId="1312"/>
    <cellStyle name="C￥AØ_´eºnC￥ (2)_ºI´eAa°ø  10" xfId="12886"/>
    <cellStyle name="Ç¥ÁØ_´ëºñÇ¥ (2)_ºÎ´ëÅä°ø  10" xfId="12887"/>
    <cellStyle name="C￥AØ_´eºnC￥ (2)_ºI´eAa°ø  11" xfId="12888"/>
    <cellStyle name="Ç¥ÁØ_´ëºñÇ¥ (2)_ºÎ´ëÅä°ø  11" xfId="12889"/>
    <cellStyle name="C￥AØ_´eºnC￥ (2)_ºI´eAa°ø  2" xfId="1313"/>
    <cellStyle name="Ç¥ÁØ_´ëºñÇ¥ (2)_ºÎ´ëÅä°ø  2" xfId="12890"/>
    <cellStyle name="C￥AØ_´eºnC￥ (2)_ºI´eAa°ø  3" xfId="12891"/>
    <cellStyle name="Ç¥ÁØ_´ëºñÇ¥ (2)_ºÎ´ëÅä°ø  3" xfId="12892"/>
    <cellStyle name="C￥AØ_´eºnC￥ (2)_ºI´eAa°ø  4" xfId="12893"/>
    <cellStyle name="Ç¥ÁØ_´ëºñÇ¥ (2)_ºÎ´ëÅä°ø  4" xfId="12894"/>
    <cellStyle name="C￥AØ_´eºnC￥ (2)_ºI´eAa°ø  5" xfId="12895"/>
    <cellStyle name="Ç¥ÁØ_´ëºñÇ¥ (2)_ºÎ´ëÅä°ø  5" xfId="12896"/>
    <cellStyle name="C￥AØ_´eºnC￥ (2)_ºI´eAa°ø  6" xfId="12897"/>
    <cellStyle name="Ç¥ÁØ_´ëºñÇ¥ (2)_ºÎ´ëÅä°ø  6" xfId="12898"/>
    <cellStyle name="C￥AØ_´eºnC￥ (2)_ºI´eAa°ø  7" xfId="12899"/>
    <cellStyle name="Ç¥ÁØ_´ëºñÇ¥ (2)_ºÎ´ëÅä°ø  7" xfId="12900"/>
    <cellStyle name="C￥AØ_´eºnC￥ (2)_ºI´eAa°ø  8" xfId="12901"/>
    <cellStyle name="Ç¥ÁØ_´ëºñÇ¥ (2)_ºÎ´ëÅä°ø  8" xfId="12902"/>
    <cellStyle name="C￥AØ_´eºnC￥ (2)_ºI´eAa°ø  9" xfId="12903"/>
    <cellStyle name="Ç¥ÁØ_´ëºñÇ¥ (2)_ºÎ´ëÅä°ø  9" xfId="12904"/>
    <cellStyle name="C￥AØ_¸AAa.¼OAI " xfId="12905"/>
    <cellStyle name="Ç¥ÁØ_¸ÅÃâ¸ÅÃâ¿ø°¡ " xfId="12906"/>
    <cellStyle name="C￥AØ_¸nA÷2 " xfId="12907"/>
    <cellStyle name="Ç¥ÁØ_¿µ¾÷ÇöÈ² " xfId="1314"/>
    <cellStyle name="C￥AØ_¿u°￡¿a¾aº¸°i" xfId="1315"/>
    <cellStyle name="Ç¥ÁØ_¿ù°£¿ä¾àº¸°í" xfId="12908"/>
    <cellStyle name="C￥AØ_¿u°￡¿a¾aº¸°i_Sheet1" xfId="12909"/>
    <cellStyle name="Ç¥ÁØ_±¸¹Ì´ëÃ¥" xfId="12910"/>
    <cellStyle name="C￥AØ_±¹¿UPL" xfId="1316"/>
    <cellStyle name="Ç¥ÁØ_±¹¿ÜPL" xfId="1317"/>
    <cellStyle name="C￥AØ_±¹¿UPL 10" xfId="12911"/>
    <cellStyle name="Ç¥ÁØ_±¹¿ÜPL 10" xfId="12912"/>
    <cellStyle name="C￥AØ_±¹¿UPL 11" xfId="12913"/>
    <cellStyle name="Ç¥ÁØ_±¹¿ÜPL 11" xfId="12914"/>
    <cellStyle name="C￥AØ_±¹¿UPL 2" xfId="12915"/>
    <cellStyle name="Ç¥ÁØ_±¹¿ÜPL 2" xfId="12916"/>
    <cellStyle name="C￥AØ_±¹¿UPL 3" xfId="12917"/>
    <cellStyle name="Ç¥ÁØ_±¹¿ÜPL 3" xfId="12918"/>
    <cellStyle name="C￥AØ_±¹¿UPL 4" xfId="12919"/>
    <cellStyle name="Ç¥ÁØ_±¹¿ÜPL 4" xfId="12920"/>
    <cellStyle name="C￥AØ_±¹¿UPL 5" xfId="12921"/>
    <cellStyle name="Ç¥ÁØ_±¹¿ÜPL 5" xfId="12922"/>
    <cellStyle name="C￥AØ_±¹¿UPL 6" xfId="12923"/>
    <cellStyle name="Ç¥ÁØ_±¹¿ÜPL 6" xfId="12924"/>
    <cellStyle name="C￥AØ_±¹¿UPL 7" xfId="12925"/>
    <cellStyle name="Ç¥ÁØ_±¹¿ÜPL 7" xfId="12926"/>
    <cellStyle name="C￥AØ_±¹¿UPL 8" xfId="12927"/>
    <cellStyle name="Ç¥ÁØ_±¹¿ÜPL 8" xfId="12928"/>
    <cellStyle name="C￥AØ_±¹¿UPL 9" xfId="12929"/>
    <cellStyle name="Ç¥ÁØ_±¹¿ÜPL 9" xfId="12930"/>
    <cellStyle name="C￥AØ_≫c¾÷ºIº° AN°e " xfId="1318"/>
    <cellStyle name="Ç¥ÁØ_°èÈ¹3 " xfId="12931"/>
    <cellStyle name="C￥AØ_0N-HANDLING " xfId="12932"/>
    <cellStyle name="Ç¥ÁØ_0N-HANDLING " xfId="1319"/>
    <cellStyle name="C￥AØ_¼±AoAc°i_1_³≫ºI°eE¹´e AßA¤A÷AI " xfId="12933"/>
    <cellStyle name="Ç¥ÁØ_¼öÀÍ¼º " xfId="12934"/>
    <cellStyle name="C￥AØ_¾aC°≫c¿eCoE² " xfId="12935"/>
    <cellStyle name="Ç¥áø_2. 은행분담금 추정 (20090930기준)_작업_2" xfId="1320"/>
    <cellStyle name="C￥AØ_5-1±¤°i _2001재무제표" xfId="1321"/>
    <cellStyle name="Ç¥ÁØ_5-1±¤°í _2001재무제표" xfId="1322"/>
    <cellStyle name="C￥AØ_5-1±¤°i _2001재무제표 10" xfId="12936"/>
    <cellStyle name="Ç¥ÁØ_5-1±¤°í _2001재무제표 10" xfId="12937"/>
    <cellStyle name="C￥AØ_5-1±¤°i _2001재무제표 11" xfId="12938"/>
    <cellStyle name="Ç¥ÁØ_5-1±¤°í _2001재무제표 11" xfId="12939"/>
    <cellStyle name="C￥AØ_5-1±¤°i _2001재무제표 2" xfId="4945"/>
    <cellStyle name="Ç¥ÁØ_5-1±¤°í _2001재무제표 2" xfId="12940"/>
    <cellStyle name="C￥AØ_5-1±¤°i _2001재무제표 2 2" xfId="12941"/>
    <cellStyle name="Ç¥ÁØ_5-1±¤°í _2001재무제표 3" xfId="12942"/>
    <cellStyle name="C￥AØ_5-1±¤°i _2001재무제표 4" xfId="12943"/>
    <cellStyle name="Ç¥ÁØ_5-1±¤°í _2001재무제표 4" xfId="12944"/>
    <cellStyle name="C￥AØ_5-1±¤°i _2001재무제표 5" xfId="12945"/>
    <cellStyle name="Ç¥ÁØ_5-1±¤°í _2001재무제표 5" xfId="12946"/>
    <cellStyle name="C￥AØ_5-1±¤°i _2001재무제표 6" xfId="12947"/>
    <cellStyle name="Ç¥ÁØ_5-1±¤°í _2001재무제표 6" xfId="12948"/>
    <cellStyle name="C￥AØ_5-1±¤°i _2001재무제표 7" xfId="12949"/>
    <cellStyle name="Ç¥ÁØ_5-1±¤°í _2001재무제표 7" xfId="12950"/>
    <cellStyle name="C￥AØ_5-1±¤°i _2001재무제표 8" xfId="12951"/>
    <cellStyle name="Ç¥ÁØ_5-1±¤°í _2001재무제표 8" xfId="12952"/>
    <cellStyle name="C￥AØ_5-1±¤°i _2001재무제표 9" xfId="12953"/>
    <cellStyle name="Ç¥ÁØ_5-1±¤°í _2001재무제표 9" xfId="12954"/>
    <cellStyle name="C￥AØ_5-1±¤°i _2001재무제표_요약자료_20090831" xfId="5022"/>
    <cellStyle name="Ç¥ÁØ_5-1±¤°í _2001재무제표_요약자료_20090831" xfId="1323"/>
    <cellStyle name="C￥AØ_5-1±¤°i _2001재무제표_요약자료_20090831 10" xfId="12955"/>
    <cellStyle name="Ç¥ÁØ_5-1±¤°í _2001재무제표_요약자료_20090831 2" xfId="12956"/>
    <cellStyle name="C￥AØ_5-1±¤°i _2001재무제표_재무지원부충당금" xfId="12957"/>
    <cellStyle name="Ç¥ÁØ_5-1±¤°í _2001재무제표_재무지원부충당금" xfId="1324"/>
    <cellStyle name="C￥AØ_5-1±¤°i _2001재무제표_재무지원부충당금 10" xfId="12958"/>
    <cellStyle name="Ç¥ÁØ_5-1±¤°í _2001재무제표_재무지원부충당금 10" xfId="12959"/>
    <cellStyle name="C￥AØ_5-1±¤°i _2001재무제표_재무지원부충당금 10 10" xfId="12960"/>
    <cellStyle name="Ç¥ÁØ_5-1±¤°í _2001재무제표_재무지원부충당금 10 10" xfId="12961"/>
    <cellStyle name="C￥AØ_5-1±¤°i _2001재무제표_재무지원부충당금 10 11" xfId="12962"/>
    <cellStyle name="Ç¥ÁØ_5-1±¤°í _2001재무제표_재무지원부충당금 10 11" xfId="12963"/>
    <cellStyle name="C￥AØ_5-1±¤°i _2001재무제표_재무지원부충당금 10 2" xfId="12964"/>
    <cellStyle name="Ç¥ÁØ_5-1±¤°í _2001재무제표_재무지원부충당금 10 2" xfId="12965"/>
    <cellStyle name="C￥AØ_5-1±¤°i _2001재무제표_재무지원부충당금 10 3" xfId="12966"/>
    <cellStyle name="Ç¥ÁØ_5-1±¤°í _2001재무제표_재무지원부충당금 10 3" xfId="12967"/>
    <cellStyle name="C￥AØ_5-1±¤°i _2001재무제표_재무지원부충당금 10 4" xfId="12968"/>
    <cellStyle name="Ç¥ÁØ_5-1±¤°í _2001재무제표_재무지원부충당금 10 4" xfId="12969"/>
    <cellStyle name="C￥AØ_5-1±¤°i _2001재무제표_재무지원부충당금 10 5" xfId="12970"/>
    <cellStyle name="Ç¥ÁØ_5-1±¤°í _2001재무제표_재무지원부충당금 10 5" xfId="12971"/>
    <cellStyle name="C￥AØ_5-1±¤°i _2001재무제표_재무지원부충당금 10 6" xfId="12972"/>
    <cellStyle name="Ç¥ÁØ_5-1±¤°í _2001재무제표_재무지원부충당금 10 6" xfId="12973"/>
    <cellStyle name="C￥AØ_5-1±¤°i _2001재무제표_재무지원부충당금 10 7" xfId="12974"/>
    <cellStyle name="Ç¥ÁØ_5-1±¤°í _2001재무제표_재무지원부충당금 10 7" xfId="12975"/>
    <cellStyle name="C￥AØ_5-1±¤°i _2001재무제표_재무지원부충당금 10 8" xfId="12976"/>
    <cellStyle name="Ç¥ÁØ_5-1±¤°í _2001재무제표_재무지원부충당금 10 8" xfId="12977"/>
    <cellStyle name="C￥AØ_5-1±¤°i _2001재무제표_재무지원부충당금 10 9" xfId="12978"/>
    <cellStyle name="Ç¥ÁØ_5-1±¤°í _2001재무제표_재무지원부충당금 10 9" xfId="12979"/>
    <cellStyle name="C￥AØ_5-1±¤°i _2001재무제표_재무지원부충당금 11" xfId="12980"/>
    <cellStyle name="Ç¥ÁØ_5-1±¤°í _2001재무제표_재무지원부충당금 11" xfId="12981"/>
    <cellStyle name="C￥AØ_5-1±¤°i _2001재무제표_재무지원부충당금 12" xfId="12982"/>
    <cellStyle name="Ç¥ÁØ_5-1±¤°í _2001재무제표_재무지원부충당금 12" xfId="12983"/>
    <cellStyle name="C￥AØ_5-1±¤°i _2001재무제표_재무지원부충당금 13" xfId="12984"/>
    <cellStyle name="Ç¥ÁØ_5-1±¤°í _2001재무제표_재무지원부충당금 13" xfId="12985"/>
    <cellStyle name="C￥AØ_5-1±¤°i _2001재무제표_재무지원부충당금 14" xfId="12986"/>
    <cellStyle name="Ç¥ÁØ_5-1±¤°í _2001재무제표_재무지원부충당금 14" xfId="12987"/>
    <cellStyle name="C￥AØ_5-1±¤°i _2001재무제표_재무지원부충당금 15" xfId="12988"/>
    <cellStyle name="Ç¥ÁØ_5-1±¤°í _2001재무제표_재무지원부충당금 15" xfId="12989"/>
    <cellStyle name="C￥AØ_5-1±¤°i _2001재무제표_재무지원부충당금 16" xfId="12990"/>
    <cellStyle name="Ç¥ÁØ_5-1±¤°í _2001재무제표_재무지원부충당금 16" xfId="12991"/>
    <cellStyle name="C￥AØ_5-1±¤°i _2001재무제표_재무지원부충당금 17" xfId="12992"/>
    <cellStyle name="Ç¥ÁØ_5-1±¤°í _2001재무제표_재무지원부충당금 17" xfId="12993"/>
    <cellStyle name="C￥AØ_5-1±¤°i _2001재무제표_재무지원부충당금 18" xfId="12994"/>
    <cellStyle name="Ç¥ÁØ_5-1±¤°í _2001재무제표_재무지원부충당금 18" xfId="12995"/>
    <cellStyle name="C￥AØ_5-1±¤°i _2001재무제표_재무지원부충당금 19" xfId="12996"/>
    <cellStyle name="Ç¥ÁØ_5-1±¤°í _2001재무제표_재무지원부충당금 19" xfId="12997"/>
    <cellStyle name="C￥AØ_5-1±¤°i _2001재무제표_재무지원부충당금 2" xfId="1325"/>
    <cellStyle name="Ç¥ÁØ_5-1±¤°í _2001재무제표_재무지원부충당금 2" xfId="1326"/>
    <cellStyle name="C￥AØ_5-1±¤°i _2001재무제표_재무지원부충당금 2 10" xfId="12998"/>
    <cellStyle name="Ç¥ÁØ_5-1±¤°í _2001재무제표_재무지원부충당금 2 10" xfId="12999"/>
    <cellStyle name="C￥AØ_5-1±¤°i _2001재무제표_재무지원부충당금 2 11" xfId="13000"/>
    <cellStyle name="Ç¥ÁØ_5-1±¤°í _2001재무제표_재무지원부충당금 2 11" xfId="13001"/>
    <cellStyle name="C￥AØ_5-1±¤°i _2001재무제표_재무지원부충당금 2 2" xfId="13002"/>
    <cellStyle name="Ç¥ÁØ_5-1±¤°í _2001재무제표_재무지원부충당금 2 2" xfId="13003"/>
    <cellStyle name="C￥AØ_5-1±¤°i _2001재무제표_재무지원부충당금 2 3" xfId="13004"/>
    <cellStyle name="Ç¥ÁØ_5-1±¤°í _2001재무제표_재무지원부충당금 2 3" xfId="13005"/>
    <cellStyle name="C￥AØ_5-1±¤°i _2001재무제표_재무지원부충당금 2 4" xfId="13006"/>
    <cellStyle name="Ç¥ÁØ_5-1±¤°í _2001재무제표_재무지원부충당금 2 4" xfId="13007"/>
    <cellStyle name="C￥AØ_5-1±¤°i _2001재무제표_재무지원부충당금 2 5" xfId="13008"/>
    <cellStyle name="Ç¥ÁØ_5-1±¤°í _2001재무제표_재무지원부충당금 2 5" xfId="13009"/>
    <cellStyle name="C￥AØ_5-1±¤°i _2001재무제표_재무지원부충당금 2 6" xfId="13010"/>
    <cellStyle name="Ç¥ÁØ_5-1±¤°í _2001재무제표_재무지원부충당금 2 6" xfId="13011"/>
    <cellStyle name="C￥AØ_5-1±¤°i _2001재무제표_재무지원부충당금 2 7" xfId="13012"/>
    <cellStyle name="Ç¥ÁØ_5-1±¤°í _2001재무제표_재무지원부충당금 2 7" xfId="13013"/>
    <cellStyle name="C￥AØ_5-1±¤°i _2001재무제표_재무지원부충당금 2 8" xfId="13014"/>
    <cellStyle name="Ç¥ÁØ_5-1±¤°í _2001재무제표_재무지원부충당금 2 8" xfId="13015"/>
    <cellStyle name="C￥AØ_5-1±¤°i _2001재무제표_재무지원부충당금 2 9" xfId="13016"/>
    <cellStyle name="Ç¥ÁØ_5-1±¤°í _2001재무제표_재무지원부충당금 2 9" xfId="13017"/>
    <cellStyle name="C￥AØ_5-1±¤°i _2001재무제표_재무지원부충당금 20" xfId="13018"/>
    <cellStyle name="Ç¥ÁØ_5-1±¤°í _2001재무제표_재무지원부충당금 20" xfId="13019"/>
    <cellStyle name="C￥AØ_5-1±¤°i _2001재무제표_재무지원부충당금 3" xfId="4946"/>
    <cellStyle name="Ç¥ÁØ_5-1±¤°í _2001재무제표_재무지원부충당금 3" xfId="4947"/>
    <cellStyle name="C￥AØ_5-1±¤°i _2001재무제표_재무지원부충당금 3 10" xfId="13020"/>
    <cellStyle name="Ç¥ÁØ_5-1±¤°í _2001재무제표_재무지원부충당금 3 10" xfId="13021"/>
    <cellStyle name="C￥AØ_5-1±¤°i _2001재무제표_재무지원부충당금 3 11" xfId="13022"/>
    <cellStyle name="Ç¥ÁØ_5-1±¤°í _2001재무제표_재무지원부충당금 3 11" xfId="13023"/>
    <cellStyle name="C￥AØ_5-1±¤°i _2001재무제표_재무지원부충당금 3 2" xfId="13024"/>
    <cellStyle name="Ç¥ÁØ_5-1±¤°í _2001재무제표_재무지원부충당금 3 2" xfId="13025"/>
    <cellStyle name="C￥AØ_5-1±¤°i _2001재무제표_재무지원부충당금 3 3" xfId="13026"/>
    <cellStyle name="Ç¥ÁØ_5-1±¤°í _2001재무제표_재무지원부충당금 3 3" xfId="13027"/>
    <cellStyle name="C￥AØ_5-1±¤°i _2001재무제표_재무지원부충당금 3 4" xfId="13028"/>
    <cellStyle name="Ç¥ÁØ_5-1±¤°í _2001재무제표_재무지원부충당금 3 4" xfId="13029"/>
    <cellStyle name="C￥AØ_5-1±¤°i _2001재무제표_재무지원부충당금 3 5" xfId="13030"/>
    <cellStyle name="Ç¥ÁØ_5-1±¤°í _2001재무제표_재무지원부충당금 3 5" xfId="13031"/>
    <cellStyle name="C￥AØ_5-1±¤°i _2001재무제표_재무지원부충당금 3 6" xfId="13032"/>
    <cellStyle name="Ç¥ÁØ_5-1±¤°í _2001재무제표_재무지원부충당금 3 6" xfId="13033"/>
    <cellStyle name="C￥AØ_5-1±¤°i _2001재무제표_재무지원부충당금 3 7" xfId="13034"/>
    <cellStyle name="Ç¥ÁØ_5-1±¤°í _2001재무제표_재무지원부충당금 3 7" xfId="13035"/>
    <cellStyle name="C￥AØ_5-1±¤°i _2001재무제표_재무지원부충당금 3 8" xfId="13036"/>
    <cellStyle name="Ç¥ÁØ_5-1±¤°í _2001재무제표_재무지원부충당금 3 8" xfId="13037"/>
    <cellStyle name="C￥AØ_5-1±¤°i _2001재무제표_재무지원부충당금 3 9" xfId="13038"/>
    <cellStyle name="Ç¥ÁØ_5-1±¤°í _2001재무제표_재무지원부충당금 3 9" xfId="13039"/>
    <cellStyle name="C￥AØ_5-1±¤°i _2001재무제표_재무지원부충당금 4" xfId="4948"/>
    <cellStyle name="Ç¥ÁØ_5-1±¤°í _2001재무제표_재무지원부충당금 4" xfId="4949"/>
    <cellStyle name="C￥AØ_5-1±¤°i _2001재무제표_재무지원부충당금 4 10" xfId="13040"/>
    <cellStyle name="Ç¥ÁØ_5-1±¤°í _2001재무제표_재무지원부충당금 4 10" xfId="13041"/>
    <cellStyle name="C￥AØ_5-1±¤°i _2001재무제표_재무지원부충당금 4 11" xfId="13042"/>
    <cellStyle name="Ç¥ÁØ_5-1±¤°í _2001재무제표_재무지원부충당금 4 11" xfId="13043"/>
    <cellStyle name="C￥AØ_5-1±¤°i _2001재무제표_재무지원부충당금 4 2" xfId="13044"/>
    <cellStyle name="Ç¥ÁØ_5-1±¤°í _2001재무제표_재무지원부충당금 4 2" xfId="13045"/>
    <cellStyle name="C￥AØ_5-1±¤°i _2001재무제표_재무지원부충당금 4 3" xfId="13046"/>
    <cellStyle name="Ç¥ÁØ_5-1±¤°í _2001재무제표_재무지원부충당금 4 3" xfId="13047"/>
    <cellStyle name="C￥AØ_5-1±¤°i _2001재무제표_재무지원부충당금 4 4" xfId="13048"/>
    <cellStyle name="Ç¥ÁØ_5-1±¤°í _2001재무제표_재무지원부충당금 4 4" xfId="13049"/>
    <cellStyle name="C￥AØ_5-1±¤°i _2001재무제표_재무지원부충당금 4 5" xfId="13050"/>
    <cellStyle name="Ç¥ÁØ_5-1±¤°í _2001재무제표_재무지원부충당금 4 5" xfId="13051"/>
    <cellStyle name="C￥AØ_5-1±¤°i _2001재무제표_재무지원부충당금 4 6" xfId="13052"/>
    <cellStyle name="Ç¥ÁØ_5-1±¤°í _2001재무제표_재무지원부충당금 4 6" xfId="13053"/>
    <cellStyle name="C￥AØ_5-1±¤°i _2001재무제표_재무지원부충당금 4 7" xfId="13054"/>
    <cellStyle name="Ç¥ÁØ_5-1±¤°í _2001재무제표_재무지원부충당금 4 7" xfId="13055"/>
    <cellStyle name="C￥AØ_5-1±¤°i _2001재무제표_재무지원부충당금 4 8" xfId="13056"/>
    <cellStyle name="Ç¥ÁØ_5-1±¤°í _2001재무제표_재무지원부충당금 4 8" xfId="13057"/>
    <cellStyle name="C￥AØ_5-1±¤°i _2001재무제표_재무지원부충당금 4 9" xfId="13058"/>
    <cellStyle name="Ç¥ÁØ_5-1±¤°í _2001재무제표_재무지원부충당금 4 9" xfId="13059"/>
    <cellStyle name="C￥AØ_5-1±¤°i _2001재무제표_재무지원부충당금 5" xfId="4950"/>
    <cellStyle name="Ç¥ÁØ_5-1±¤°í _2001재무제표_재무지원부충당금 5" xfId="4951"/>
    <cellStyle name="C￥AØ_5-1±¤°i _2001재무제표_재무지원부충당금 5 10" xfId="13060"/>
    <cellStyle name="Ç¥ÁØ_5-1±¤°í _2001재무제표_재무지원부충당금 5 10" xfId="13061"/>
    <cellStyle name="C￥AØ_5-1±¤°i _2001재무제표_재무지원부충당금 5 11" xfId="13062"/>
    <cellStyle name="Ç¥ÁØ_5-1±¤°í _2001재무제표_재무지원부충당금 5 11" xfId="13063"/>
    <cellStyle name="C￥AØ_5-1±¤°i _2001재무제표_재무지원부충당금 5 2" xfId="13064"/>
    <cellStyle name="Ç¥ÁØ_5-1±¤°í _2001재무제표_재무지원부충당금 5 2" xfId="13065"/>
    <cellStyle name="C￥AØ_5-1±¤°i _2001재무제표_재무지원부충당금 5 3" xfId="13066"/>
    <cellStyle name="Ç¥ÁØ_5-1±¤°í _2001재무제표_재무지원부충당금 5 3" xfId="13067"/>
    <cellStyle name="C￥AØ_5-1±¤°i _2001재무제표_재무지원부충당금 5 4" xfId="13068"/>
    <cellStyle name="Ç¥ÁØ_5-1±¤°í _2001재무제표_재무지원부충당금 5 4" xfId="13069"/>
    <cellStyle name="C￥AØ_5-1±¤°i _2001재무제표_재무지원부충당금 5 5" xfId="13070"/>
    <cellStyle name="Ç¥ÁØ_5-1±¤°í _2001재무제표_재무지원부충당금 5 5" xfId="13071"/>
    <cellStyle name="C￥AØ_5-1±¤°i _2001재무제표_재무지원부충당금 5 6" xfId="13072"/>
    <cellStyle name="Ç¥ÁØ_5-1±¤°í _2001재무제표_재무지원부충당금 5 6" xfId="13073"/>
    <cellStyle name="C￥AØ_5-1±¤°i _2001재무제표_재무지원부충당금 5 7" xfId="13074"/>
    <cellStyle name="Ç¥ÁØ_5-1±¤°í _2001재무제표_재무지원부충당금 5 7" xfId="13075"/>
    <cellStyle name="C￥AØ_5-1±¤°i _2001재무제표_재무지원부충당금 5 8" xfId="13076"/>
    <cellStyle name="Ç¥ÁØ_5-1±¤°í _2001재무제표_재무지원부충당금 5 8" xfId="13077"/>
    <cellStyle name="C￥AØ_5-1±¤°i _2001재무제표_재무지원부충당금 5 9" xfId="13078"/>
    <cellStyle name="Ç¥ÁØ_5-1±¤°í _2001재무제표_재무지원부충당금 5 9" xfId="13079"/>
    <cellStyle name="C￥AØ_5-1±¤°i _2001재무제표_재무지원부충당금 6" xfId="4952"/>
    <cellStyle name="Ç¥ÁØ_5-1±¤°í _2001재무제표_재무지원부충당금 6" xfId="4953"/>
    <cellStyle name="C￥AØ_5-1±¤°i _2001재무제표_재무지원부충당금 6 10" xfId="13080"/>
    <cellStyle name="Ç¥ÁØ_5-1±¤°í _2001재무제표_재무지원부충당금 6 10" xfId="13081"/>
    <cellStyle name="C￥AØ_5-1±¤°i _2001재무제표_재무지원부충당금 6 11" xfId="13082"/>
    <cellStyle name="Ç¥ÁØ_5-1±¤°í _2001재무제표_재무지원부충당금 6 11" xfId="13083"/>
    <cellStyle name="C￥AØ_5-1±¤°i _2001재무제표_재무지원부충당금 6 2" xfId="13084"/>
    <cellStyle name="Ç¥ÁØ_5-1±¤°í _2001재무제표_재무지원부충당금 6 2" xfId="13085"/>
    <cellStyle name="C￥AØ_5-1±¤°i _2001재무제표_재무지원부충당금 6 3" xfId="13086"/>
    <cellStyle name="Ç¥ÁØ_5-1±¤°í _2001재무제표_재무지원부충당금 6 3" xfId="13087"/>
    <cellStyle name="C￥AØ_5-1±¤°i _2001재무제표_재무지원부충당금 6 4" xfId="13088"/>
    <cellStyle name="Ç¥ÁØ_5-1±¤°í _2001재무제표_재무지원부충당금 6 4" xfId="13089"/>
    <cellStyle name="C￥AØ_5-1±¤°i _2001재무제표_재무지원부충당금 6 5" xfId="13090"/>
    <cellStyle name="Ç¥ÁØ_5-1±¤°í _2001재무제표_재무지원부충당금 6 5" xfId="13091"/>
    <cellStyle name="C￥AØ_5-1±¤°i _2001재무제표_재무지원부충당금 6 6" xfId="13092"/>
    <cellStyle name="Ç¥ÁØ_5-1±¤°í _2001재무제표_재무지원부충당금 6 6" xfId="13093"/>
    <cellStyle name="C￥AØ_5-1±¤°i _2001재무제표_재무지원부충당금 6 7" xfId="13094"/>
    <cellStyle name="Ç¥ÁØ_5-1±¤°í _2001재무제표_재무지원부충당금 6 7" xfId="13095"/>
    <cellStyle name="C￥AØ_5-1±¤°i _2001재무제표_재무지원부충당금 6 8" xfId="13096"/>
    <cellStyle name="Ç¥ÁØ_5-1±¤°í _2001재무제표_재무지원부충당금 6 8" xfId="13097"/>
    <cellStyle name="C￥AØ_5-1±¤°i _2001재무제표_재무지원부충당금 6 9" xfId="13098"/>
    <cellStyle name="Ç¥ÁØ_5-1±¤°í _2001재무제표_재무지원부충당금 6 9" xfId="13099"/>
    <cellStyle name="C￥AØ_5-1±¤°i _2001재무제표_재무지원부충당금 7" xfId="13100"/>
    <cellStyle name="Ç¥ÁØ_5-1±¤°í _2001재무제표_재무지원부충당금 7" xfId="13101"/>
    <cellStyle name="C￥AØ_5-1±¤°i _2001재무제표_재무지원부충당금 7 10" xfId="13102"/>
    <cellStyle name="Ç¥ÁØ_5-1±¤°í _2001재무제표_재무지원부충당금 7 10" xfId="13103"/>
    <cellStyle name="C￥AØ_5-1±¤°i _2001재무제표_재무지원부충당금 7 11" xfId="13104"/>
    <cellStyle name="Ç¥ÁØ_5-1±¤°í _2001재무제표_재무지원부충당금 7 11" xfId="13105"/>
    <cellStyle name="C￥AØ_5-1±¤°i _2001재무제표_재무지원부충당금 7 2" xfId="13106"/>
    <cellStyle name="Ç¥ÁØ_5-1±¤°í _2001재무제표_재무지원부충당금 7 2" xfId="13107"/>
    <cellStyle name="C￥AØ_5-1±¤°i _2001재무제표_재무지원부충당금 7 3" xfId="13108"/>
    <cellStyle name="Ç¥ÁØ_5-1±¤°í _2001재무제표_재무지원부충당금 7 3" xfId="13109"/>
    <cellStyle name="C￥AØ_5-1±¤°i _2001재무제표_재무지원부충당금 7 4" xfId="13110"/>
    <cellStyle name="Ç¥ÁØ_5-1±¤°í _2001재무제표_재무지원부충당금 7 4" xfId="13111"/>
    <cellStyle name="C￥AØ_5-1±¤°i _2001재무제표_재무지원부충당금 7 5" xfId="13112"/>
    <cellStyle name="Ç¥ÁØ_5-1±¤°í _2001재무제표_재무지원부충당금 7 5" xfId="13113"/>
    <cellStyle name="C￥AØ_5-1±¤°i _2001재무제표_재무지원부충당금 7 6" xfId="13114"/>
    <cellStyle name="Ç¥ÁØ_5-1±¤°í _2001재무제표_재무지원부충당금 7 6" xfId="13115"/>
    <cellStyle name="C￥AØ_5-1±¤°i _2001재무제표_재무지원부충당금 7 7" xfId="13116"/>
    <cellStyle name="Ç¥ÁØ_5-1±¤°í _2001재무제표_재무지원부충당금 7 7" xfId="13117"/>
    <cellStyle name="C￥AØ_5-1±¤°i _2001재무제표_재무지원부충당금 7 8" xfId="13118"/>
    <cellStyle name="Ç¥ÁØ_5-1±¤°í _2001재무제표_재무지원부충당금 7 8" xfId="13119"/>
    <cellStyle name="C￥AØ_5-1±¤°i _2001재무제표_재무지원부충당금 7 9" xfId="13120"/>
    <cellStyle name="Ç¥ÁØ_5-1±¤°í _2001재무제표_재무지원부충당금 7 9" xfId="13121"/>
    <cellStyle name="C￥AØ_5-1±¤°i _2001재무제표_재무지원부충당금 8" xfId="13122"/>
    <cellStyle name="Ç¥ÁØ_5-1±¤°í _2001재무제표_재무지원부충당금 8" xfId="13123"/>
    <cellStyle name="C￥AØ_5-1±¤°i _2001재무제표_재무지원부충당금 8 10" xfId="13124"/>
    <cellStyle name="Ç¥ÁØ_5-1±¤°í _2001재무제표_재무지원부충당금 8 10" xfId="13125"/>
    <cellStyle name="C￥AØ_5-1±¤°i _2001재무제표_재무지원부충당금 8 11" xfId="13126"/>
    <cellStyle name="Ç¥ÁØ_5-1±¤°í _2001재무제표_재무지원부충당금 8 11" xfId="13127"/>
    <cellStyle name="C￥AØ_5-1±¤°i _2001재무제표_재무지원부충당금 8 2" xfId="13128"/>
    <cellStyle name="Ç¥ÁØ_5-1±¤°í _2001재무제표_재무지원부충당금 8 2" xfId="13129"/>
    <cellStyle name="C￥AØ_5-1±¤°i _2001재무제표_재무지원부충당금 8 3" xfId="13130"/>
    <cellStyle name="Ç¥ÁØ_5-1±¤°í _2001재무제표_재무지원부충당금 8 3" xfId="13131"/>
    <cellStyle name="C￥AØ_5-1±¤°i _2001재무제표_재무지원부충당금 8 4" xfId="13132"/>
    <cellStyle name="Ç¥ÁØ_5-1±¤°í _2001재무제표_재무지원부충당금 8 4" xfId="13133"/>
    <cellStyle name="C￥AØ_5-1±¤°i _2001재무제표_재무지원부충당금 8 5" xfId="13134"/>
    <cellStyle name="Ç¥ÁØ_5-1±¤°í _2001재무제표_재무지원부충당금 8 5" xfId="13135"/>
    <cellStyle name="C￥AØ_5-1±¤°i _2001재무제표_재무지원부충당금 8 6" xfId="13136"/>
    <cellStyle name="Ç¥ÁØ_5-1±¤°í _2001재무제표_재무지원부충당금 8 6" xfId="13137"/>
    <cellStyle name="C￥AØ_5-1±¤°i _2001재무제표_재무지원부충당금 8 7" xfId="13138"/>
    <cellStyle name="Ç¥ÁØ_5-1±¤°í _2001재무제표_재무지원부충당금 8 7" xfId="13139"/>
    <cellStyle name="C￥AØ_5-1±¤°i _2001재무제표_재무지원부충당금 8 8" xfId="13140"/>
    <cellStyle name="Ç¥ÁØ_5-1±¤°í _2001재무제표_재무지원부충당금 8 8" xfId="13141"/>
    <cellStyle name="C￥AØ_5-1±¤°i _2001재무제표_재무지원부충당금 8 9" xfId="13142"/>
    <cellStyle name="Ç¥ÁØ_5-1±¤°í _2001재무제표_재무지원부충당금 8 9" xfId="13143"/>
    <cellStyle name="C￥AØ_5-1±¤°i _2001재무제표_재무지원부충당금 9" xfId="13144"/>
    <cellStyle name="Ç¥ÁØ_5-1±¤°í _2001재무제표_재무지원부충당금 9" xfId="13145"/>
    <cellStyle name="C￥AØ_5-1±¤°i _2001재무제표_재무지원부충당금 9 10" xfId="13146"/>
    <cellStyle name="Ç¥ÁØ_5-1±¤°í _2001재무제표_재무지원부충당금 9 10" xfId="13147"/>
    <cellStyle name="C￥AØ_5-1±¤°i _2001재무제표_재무지원부충당금 9 11" xfId="13148"/>
    <cellStyle name="Ç¥ÁØ_5-1±¤°í _2001재무제표_재무지원부충당금 9 11" xfId="13149"/>
    <cellStyle name="C￥AØ_5-1±¤°i _2001재무제표_재무지원부충당금 9 2" xfId="13150"/>
    <cellStyle name="Ç¥ÁØ_5-1±¤°í _2001재무제표_재무지원부충당금 9 2" xfId="13151"/>
    <cellStyle name="C￥AØ_5-1±¤°i _2001재무제표_재무지원부충당금 9 3" xfId="13152"/>
    <cellStyle name="Ç¥ÁØ_5-1±¤°í _2001재무제표_재무지원부충당금 9 3" xfId="13153"/>
    <cellStyle name="C￥AØ_5-1±¤°i _2001재무제표_재무지원부충당금 9 4" xfId="13154"/>
    <cellStyle name="Ç¥ÁØ_5-1±¤°í _2001재무제표_재무지원부충당금 9 4" xfId="13155"/>
    <cellStyle name="C￥AØ_5-1±¤°i _2001재무제표_재무지원부충당금 9 5" xfId="13156"/>
    <cellStyle name="Ç¥ÁØ_5-1±¤°í _2001재무제표_재무지원부충당금 9 5" xfId="13157"/>
    <cellStyle name="C￥AØ_5-1±¤°i _2001재무제표_재무지원부충당금 9 6" xfId="13158"/>
    <cellStyle name="Ç¥ÁØ_5-1±¤°í _2001재무제표_재무지원부충당금 9 6" xfId="13159"/>
    <cellStyle name="C￥AØ_5-1±¤°i _2001재무제표_재무지원부충당금 9 7" xfId="13160"/>
    <cellStyle name="Ç¥ÁØ_5-1±¤°í _2001재무제표_재무지원부충당금 9 7" xfId="13161"/>
    <cellStyle name="C￥AØ_5-1±¤°i _2001재무제표_재무지원부충당금 9 8" xfId="13162"/>
    <cellStyle name="Ç¥ÁØ_5-1±¤°í _2001재무제표_재무지원부충당금 9 8" xfId="13163"/>
    <cellStyle name="C￥AØ_5-1±¤°i _2001재무제표_재무지원부충당금 9 9" xfId="13164"/>
    <cellStyle name="Ç¥ÁØ_5-1±¤°í _2001재무제표_재무지원부충당금 9 9" xfId="13165"/>
    <cellStyle name="C￥AØ_5-1±¤°i _2001재무제표_재무지원부충당금_HN,KEB(권리분석)_김영진_조세지원" xfId="13166"/>
    <cellStyle name="Ç¥ÁØ_5-1±¤°í _2001재무제표_재무지원부충당금_HN,KEB(권리분석)_김영진_조세지원" xfId="13167"/>
    <cellStyle name="C￥AØ_5-1±¤°i _2001재무제표_재무지원부충당금_HN,KEB(권리분석)_김영진_조세지원 10" xfId="13168"/>
    <cellStyle name="Ç¥ÁØ_5-1±¤°í _2001재무제표_재무지원부충당금_HN,KEB(권리분석_최종)_통합" xfId="13169"/>
    <cellStyle name="C￥AØ_5-1±¤°i _2001재무제표_재무지원부충당금_HN,KEB(권리분석_최종)_통합 10" xfId="13170"/>
    <cellStyle name="Ç¥ÁØ_5-1±¤°í _2001재무제표_재무지원부충당금_SHB_2011-3_담보sheet(더밸류_v6이교민)" xfId="13171"/>
    <cellStyle name="C￥AØ_5-1±¤°i _2001재무제표_추가충당금명세_0630_V3" xfId="1327"/>
    <cellStyle name="Ç¥ÁØ_5-1±¤°í _2001재무제표_추가충당금명세_0630_V3" xfId="1328"/>
    <cellStyle name="C￥AØ_5-1±¤°i _2001재무제표_추가충당금명세_0630_V3 10" xfId="13172"/>
    <cellStyle name="Ç¥ÁØ_5-1±¤°í _2001재무제표_추가충당금명세_0630_V3 10" xfId="13173"/>
    <cellStyle name="C￥AØ_5-1±¤°i _2001재무제표_추가충당금명세_0630_V3 10 10" xfId="13174"/>
    <cellStyle name="Ç¥ÁØ_5-1±¤°í _2001재무제표_추가충당금명세_0630_V3 10 10" xfId="13175"/>
    <cellStyle name="C￥AØ_5-1±¤°i _2001재무제표_추가충당금명세_0630_V3 10 11" xfId="13176"/>
    <cellStyle name="Ç¥ÁØ_5-1±¤°í _2001재무제표_추가충당금명세_0630_V3 10 11" xfId="13177"/>
    <cellStyle name="C￥AØ_5-1±¤°i _2001재무제표_추가충당금명세_0630_V3 10 2" xfId="13178"/>
    <cellStyle name="Ç¥ÁØ_5-1±¤°í _2001재무제표_추가충당금명세_0630_V3 10 2" xfId="13179"/>
    <cellStyle name="C￥AØ_5-1±¤°i _2001재무제표_추가충당금명세_0630_V3 10 3" xfId="13180"/>
    <cellStyle name="Ç¥ÁØ_5-1±¤°í _2001재무제표_추가충당금명세_0630_V3 10 3" xfId="13181"/>
    <cellStyle name="C￥AØ_5-1±¤°i _2001재무제표_추가충당금명세_0630_V3 10 4" xfId="13182"/>
    <cellStyle name="Ç¥ÁØ_5-1±¤°í _2001재무제표_추가충당금명세_0630_V3 10 4" xfId="13183"/>
    <cellStyle name="C￥AØ_5-1±¤°i _2001재무제표_추가충당금명세_0630_V3 10 5" xfId="13184"/>
    <cellStyle name="Ç¥ÁØ_5-1±¤°í _2001재무제표_추가충당금명세_0630_V3 10 5" xfId="13185"/>
    <cellStyle name="C￥AØ_5-1±¤°i _2001재무제표_추가충당금명세_0630_V3 10 6" xfId="13186"/>
    <cellStyle name="Ç¥ÁØ_5-1±¤°í _2001재무제표_추가충당금명세_0630_V3 10 6" xfId="13187"/>
    <cellStyle name="C￥AØ_5-1±¤°i _2001재무제표_추가충당금명세_0630_V3 10 7" xfId="13188"/>
    <cellStyle name="Ç¥ÁØ_5-1±¤°í _2001재무제표_추가충당금명세_0630_V3 10 7" xfId="13189"/>
    <cellStyle name="C￥AØ_5-1±¤°i _2001재무제표_추가충당금명세_0630_V3 10 8" xfId="13190"/>
    <cellStyle name="Ç¥ÁØ_5-1±¤°í _2001재무제표_추가충당금명세_0630_V3 10 8" xfId="13191"/>
    <cellStyle name="C￥AØ_5-1±¤°i _2001재무제표_추가충당금명세_0630_V3 10 9" xfId="13192"/>
    <cellStyle name="Ç¥ÁØ_5-1±¤°í _2001재무제표_추가충당금명세_0630_V3 10 9" xfId="13193"/>
    <cellStyle name="C￥AØ_5-1±¤°i _2001재무제표_추가충당금명세_0630_V3 11" xfId="13194"/>
    <cellStyle name="Ç¥ÁØ_5-1±¤°í _2001재무제표_추가충당금명세_0630_V3 11" xfId="13195"/>
    <cellStyle name="C￥AØ_5-1±¤°i _2001재무제표_추가충당금명세_0630_V3 12" xfId="13196"/>
    <cellStyle name="Ç¥ÁØ_5-1±¤°í _2001재무제표_추가충당금명세_0630_V3 12" xfId="13197"/>
    <cellStyle name="C￥AØ_5-1±¤°i _2001재무제표_추가충당금명세_0630_V3 13" xfId="13198"/>
    <cellStyle name="Ç¥ÁØ_5-1±¤°í _2001재무제표_추가충당금명세_0630_V3 13" xfId="13199"/>
    <cellStyle name="C￥AØ_5-1±¤°i _2001재무제표_추가충당금명세_0630_V3 14" xfId="13200"/>
    <cellStyle name="Ç¥ÁØ_5-1±¤°í _2001재무제표_추가충당금명세_0630_V3 14" xfId="13201"/>
    <cellStyle name="C￥AØ_5-1±¤°i _2001재무제표_추가충당금명세_0630_V3 15" xfId="13202"/>
    <cellStyle name="Ç¥ÁØ_5-1±¤°í _2001재무제표_추가충당금명세_0630_V3 15" xfId="13203"/>
    <cellStyle name="C￥AØ_5-1±¤°i _2001재무제표_추가충당금명세_0630_V3 16" xfId="13204"/>
    <cellStyle name="Ç¥ÁØ_5-1±¤°í _2001재무제표_추가충당금명세_0630_V3 16" xfId="13205"/>
    <cellStyle name="C￥AØ_5-1±¤°i _2001재무제표_추가충당금명세_0630_V3 17" xfId="13206"/>
    <cellStyle name="Ç¥ÁØ_5-1±¤°í _2001재무제표_추가충당금명세_0630_V3 17" xfId="13207"/>
    <cellStyle name="C￥AØ_5-1±¤°i _2001재무제표_추가충당금명세_0630_V3 18" xfId="13208"/>
    <cellStyle name="Ç¥ÁØ_5-1±¤°í _2001재무제표_추가충당금명세_0630_V3 18" xfId="13209"/>
    <cellStyle name="C￥AØ_5-1±¤°i _2001재무제표_추가충당금명세_0630_V3 19" xfId="13210"/>
    <cellStyle name="Ç¥ÁØ_5-1±¤°í _2001재무제표_추가충당금명세_0630_V3 19" xfId="13211"/>
    <cellStyle name="C￥AØ_5-1±¤°i _2001재무제표_추가충당금명세_0630_V3 2" xfId="1329"/>
    <cellStyle name="Ç¥ÁØ_5-1±¤°í _2001재무제표_추가충당금명세_0630_V3 2" xfId="1330"/>
    <cellStyle name="C￥AØ_5-1±¤°i _2001재무제표_추가충당금명세_0630_V3 2 10" xfId="13212"/>
    <cellStyle name="Ç¥ÁØ_5-1±¤°í _2001재무제표_추가충당금명세_0630_V3 2 10" xfId="13213"/>
    <cellStyle name="C￥AØ_5-1±¤°i _2001재무제표_추가충당금명세_0630_V3 2 11" xfId="13214"/>
    <cellStyle name="Ç¥ÁØ_5-1±¤°í _2001재무제표_추가충당금명세_0630_V3 2 11" xfId="13215"/>
    <cellStyle name="C￥AØ_5-1±¤°i _2001재무제표_추가충당금명세_0630_V3 2 2" xfId="13216"/>
    <cellStyle name="Ç¥ÁØ_5-1±¤°í _2001재무제표_추가충당금명세_0630_V3 2 2" xfId="13217"/>
    <cellStyle name="C￥AØ_5-1±¤°i _2001재무제표_추가충당금명세_0630_V3 2 3" xfId="13218"/>
    <cellStyle name="Ç¥ÁØ_5-1±¤°í _2001재무제표_추가충당금명세_0630_V3 2 3" xfId="13219"/>
    <cellStyle name="C￥AØ_5-1±¤°i _2001재무제표_추가충당금명세_0630_V3 2 4" xfId="13220"/>
    <cellStyle name="Ç¥ÁØ_5-1±¤°í _2001재무제표_추가충당금명세_0630_V3 2 4" xfId="13221"/>
    <cellStyle name="C￥AØ_5-1±¤°i _2001재무제표_추가충당금명세_0630_V3 2 5" xfId="13222"/>
    <cellStyle name="Ç¥ÁØ_5-1±¤°í _2001재무제표_추가충당금명세_0630_V3 2 5" xfId="13223"/>
    <cellStyle name="C￥AØ_5-1±¤°i _2001재무제표_추가충당금명세_0630_V3 2 6" xfId="13224"/>
    <cellStyle name="Ç¥ÁØ_5-1±¤°í _2001재무제표_추가충당금명세_0630_V3 2 6" xfId="13225"/>
    <cellStyle name="C￥AØ_5-1±¤°i _2001재무제표_추가충당금명세_0630_V3 2 7" xfId="13226"/>
    <cellStyle name="Ç¥ÁØ_5-1±¤°í _2001재무제표_추가충당금명세_0630_V3 2 7" xfId="13227"/>
    <cellStyle name="C￥AØ_5-1±¤°i _2001재무제표_추가충당금명세_0630_V3 2 8" xfId="13228"/>
    <cellStyle name="Ç¥ÁØ_5-1±¤°í _2001재무제표_추가충당금명세_0630_V3 2 8" xfId="13229"/>
    <cellStyle name="C￥AØ_5-1±¤°i _2001재무제표_추가충당금명세_0630_V3 2 9" xfId="13230"/>
    <cellStyle name="Ç¥ÁØ_5-1±¤°í _2001재무제표_추가충당금명세_0630_V3 2 9" xfId="13231"/>
    <cellStyle name="C￥AØ_5-1±¤°i _2001재무제표_추가충당금명세_0630_V3 20" xfId="13232"/>
    <cellStyle name="Ç¥ÁØ_5-1±¤°í _2001재무제표_추가충당금명세_0630_V3 20" xfId="13233"/>
    <cellStyle name="C￥AØ_5-1±¤°i _2001재무제표_추가충당금명세_0630_V3 3" xfId="4954"/>
    <cellStyle name="Ç¥ÁØ_5-1±¤°í _2001재무제표_추가충당금명세_0630_V3 3" xfId="4955"/>
    <cellStyle name="C￥AØ_5-1±¤°i _2001재무제표_추가충당금명세_0630_V3 3 10" xfId="13234"/>
    <cellStyle name="Ç¥ÁØ_5-1±¤°í _2001재무제표_추가충당금명세_0630_V3 3 10" xfId="13235"/>
    <cellStyle name="C￥AØ_5-1±¤°i _2001재무제표_추가충당금명세_0630_V3 3 11" xfId="13236"/>
    <cellStyle name="Ç¥ÁØ_5-1±¤°í _2001재무제표_추가충당금명세_0630_V3 3 11" xfId="13237"/>
    <cellStyle name="C￥AØ_5-1±¤°i _2001재무제표_추가충당금명세_0630_V3 3 2" xfId="13238"/>
    <cellStyle name="Ç¥ÁØ_5-1±¤°í _2001재무제표_추가충당금명세_0630_V3 3 2" xfId="13239"/>
    <cellStyle name="C￥AØ_5-1±¤°i _2001재무제표_추가충당금명세_0630_V3 3 3" xfId="13240"/>
    <cellStyle name="Ç¥ÁØ_5-1±¤°í _2001재무제표_추가충당금명세_0630_V3 3 3" xfId="13241"/>
    <cellStyle name="C￥AØ_5-1±¤°i _2001재무제표_추가충당금명세_0630_V3 3 4" xfId="13242"/>
    <cellStyle name="Ç¥ÁØ_5-1±¤°í _2001재무제표_추가충당금명세_0630_V3 3 4" xfId="13243"/>
    <cellStyle name="C￥AØ_5-1±¤°i _2001재무제표_추가충당금명세_0630_V3 3 5" xfId="13244"/>
    <cellStyle name="Ç¥ÁØ_5-1±¤°í _2001재무제표_추가충당금명세_0630_V3 3 5" xfId="13245"/>
    <cellStyle name="C￥AØ_5-1±¤°i _2001재무제표_추가충당금명세_0630_V3 3 6" xfId="13246"/>
    <cellStyle name="Ç¥ÁØ_5-1±¤°í _2001재무제표_추가충당금명세_0630_V3 3 6" xfId="13247"/>
    <cellStyle name="C￥AØ_5-1±¤°i _2001재무제표_추가충당금명세_0630_V3 3 7" xfId="13248"/>
    <cellStyle name="Ç¥ÁØ_5-1±¤°í _2001재무제표_추가충당금명세_0630_V3 3 7" xfId="13249"/>
    <cellStyle name="C￥AØ_5-1±¤°i _2001재무제표_추가충당금명세_0630_V3 3 8" xfId="13250"/>
    <cellStyle name="Ç¥ÁØ_5-1±¤°í _2001재무제표_추가충당금명세_0630_V3 3 8" xfId="13251"/>
    <cellStyle name="C￥AØ_5-1±¤°i _2001재무제표_추가충당금명세_0630_V3 3 9" xfId="13252"/>
    <cellStyle name="Ç¥ÁØ_5-1±¤°í _2001재무제표_추가충당금명세_0630_V3 3 9" xfId="13253"/>
    <cellStyle name="C￥AØ_5-1±¤°i _2001재무제표_추가충당금명세_0630_V3 4" xfId="4956"/>
    <cellStyle name="Ç¥ÁØ_5-1±¤°í _2001재무제표_추가충당금명세_0630_V3 4" xfId="4957"/>
    <cellStyle name="C￥AØ_5-1±¤°i _2001재무제표_추가충당금명세_0630_V3 4 10" xfId="13254"/>
    <cellStyle name="Ç¥ÁØ_5-1±¤°í _2001재무제표_추가충당금명세_0630_V3 4 10" xfId="13255"/>
    <cellStyle name="C￥AØ_5-1±¤°i _2001재무제표_추가충당금명세_0630_V3 4 11" xfId="13256"/>
    <cellStyle name="Ç¥ÁØ_5-1±¤°í _2001재무제표_추가충당금명세_0630_V3 4 11" xfId="13257"/>
    <cellStyle name="C￥AØ_5-1±¤°i _2001재무제표_추가충당금명세_0630_V3 4 2" xfId="13258"/>
    <cellStyle name="Ç¥ÁØ_5-1±¤°í _2001재무제표_추가충당금명세_0630_V3 4 2" xfId="13259"/>
    <cellStyle name="C￥AØ_5-1±¤°i _2001재무제표_추가충당금명세_0630_V3 4 3" xfId="13260"/>
    <cellStyle name="Ç¥ÁØ_5-1±¤°í _2001재무제표_추가충당금명세_0630_V3 4 3" xfId="13261"/>
    <cellStyle name="C￥AØ_5-1±¤°i _2001재무제표_추가충당금명세_0630_V3 4 4" xfId="13262"/>
    <cellStyle name="Ç¥ÁØ_5-1±¤°í _2001재무제표_추가충당금명세_0630_V3 4 4" xfId="13263"/>
    <cellStyle name="C￥AØ_5-1±¤°i _2001재무제표_추가충당금명세_0630_V3 4 5" xfId="13264"/>
    <cellStyle name="Ç¥ÁØ_5-1±¤°í _2001재무제표_추가충당금명세_0630_V3 4 5" xfId="13265"/>
    <cellStyle name="C￥AØ_5-1±¤°i _2001재무제표_추가충당금명세_0630_V3 4 6" xfId="13266"/>
    <cellStyle name="Ç¥ÁØ_5-1±¤°í _2001재무제표_추가충당금명세_0630_V3 4 6" xfId="13267"/>
    <cellStyle name="C￥AØ_5-1±¤°i _2001재무제표_추가충당금명세_0630_V3 4 7" xfId="13268"/>
    <cellStyle name="Ç¥ÁØ_5-1±¤°í _2001재무제표_추가충당금명세_0630_V3 4 7" xfId="13269"/>
    <cellStyle name="C￥AØ_5-1±¤°i _2001재무제표_추가충당금명세_0630_V3 4 8" xfId="13270"/>
    <cellStyle name="Ç¥ÁØ_5-1±¤°í _2001재무제표_추가충당금명세_0630_V3 4 8" xfId="13271"/>
    <cellStyle name="C￥AØ_5-1±¤°i _2001재무제표_추가충당금명세_0630_V3 4 9" xfId="13272"/>
    <cellStyle name="Ç¥ÁØ_5-1±¤°í _2001재무제표_추가충당금명세_0630_V3 4 9" xfId="13273"/>
    <cellStyle name="C￥AØ_5-1±¤°i _2001재무제표_추가충당금명세_0630_V3 5" xfId="4958"/>
    <cellStyle name="Ç¥ÁØ_5-1±¤°í _2001재무제표_추가충당금명세_0630_V3 5" xfId="4959"/>
    <cellStyle name="C￥AØ_5-1±¤°i _2001재무제표_추가충당금명세_0630_V3 5 10" xfId="13274"/>
    <cellStyle name="Ç¥ÁØ_5-1±¤°í _2001재무제표_추가충당금명세_0630_V3 5 10" xfId="13275"/>
    <cellStyle name="C￥AØ_5-1±¤°i _2001재무제표_추가충당금명세_0630_V3 5 11" xfId="13276"/>
    <cellStyle name="Ç¥ÁØ_5-1±¤°í _2001재무제표_추가충당금명세_0630_V3 5 11" xfId="13277"/>
    <cellStyle name="C￥AØ_5-1±¤°i _2001재무제표_추가충당금명세_0630_V3 5 2" xfId="13278"/>
    <cellStyle name="Ç¥ÁØ_5-1±¤°í _2001재무제표_추가충당금명세_0630_V3 5 2" xfId="13279"/>
    <cellStyle name="C￥AØ_5-1±¤°i _2001재무제표_추가충당금명세_0630_V3 5 3" xfId="13280"/>
    <cellStyle name="Ç¥ÁØ_5-1±¤°í _2001재무제표_추가충당금명세_0630_V3 5 3" xfId="13281"/>
    <cellStyle name="C￥AØ_5-1±¤°i _2001재무제표_추가충당금명세_0630_V3 5 4" xfId="13282"/>
    <cellStyle name="Ç¥ÁØ_5-1±¤°í _2001재무제표_추가충당금명세_0630_V3 5 4" xfId="13283"/>
    <cellStyle name="C￥AØ_5-1±¤°i _2001재무제표_추가충당금명세_0630_V3 5 5" xfId="13284"/>
    <cellStyle name="Ç¥ÁØ_5-1±¤°í _2001재무제표_추가충당금명세_0630_V3 5 5" xfId="13285"/>
    <cellStyle name="C￥AØ_5-1±¤°i _2001재무제표_추가충당금명세_0630_V3 5 6" xfId="13286"/>
    <cellStyle name="Ç¥ÁØ_5-1±¤°í _2001재무제표_추가충당금명세_0630_V3 5 6" xfId="13287"/>
    <cellStyle name="C￥AØ_5-1±¤°i _2001재무제표_추가충당금명세_0630_V3 5 7" xfId="13288"/>
    <cellStyle name="Ç¥ÁØ_5-1±¤°í _2001재무제표_추가충당금명세_0630_V3 5 7" xfId="13289"/>
    <cellStyle name="C￥AØ_5-1±¤°i _2001재무제표_추가충당금명세_0630_V3 5 8" xfId="13290"/>
    <cellStyle name="Ç¥ÁØ_5-1±¤°í _2001재무제표_추가충당금명세_0630_V3 5 8" xfId="13291"/>
    <cellStyle name="C￥AØ_5-1±¤°i _2001재무제표_추가충당금명세_0630_V3 5 9" xfId="13292"/>
    <cellStyle name="Ç¥ÁØ_5-1±¤°í _2001재무제표_추가충당금명세_0630_V3 5 9" xfId="13293"/>
    <cellStyle name="C￥AØ_5-1±¤°i _2001재무제표_추가충당금명세_0630_V3 6" xfId="4960"/>
    <cellStyle name="Ç¥ÁØ_5-1±¤°í _2001재무제표_추가충당금명세_0630_V3 6" xfId="4961"/>
    <cellStyle name="C￥AØ_5-1±¤°i _2001재무제표_추가충당금명세_0630_V3 6 10" xfId="13294"/>
    <cellStyle name="Ç¥ÁØ_5-1±¤°í _2001재무제표_추가충당금명세_0630_V3 6 10" xfId="13295"/>
    <cellStyle name="C￥AØ_5-1±¤°i _2001재무제표_추가충당금명세_0630_V3 6 11" xfId="13296"/>
    <cellStyle name="Ç¥ÁØ_5-1±¤°í _2001재무제표_추가충당금명세_0630_V3 6 11" xfId="13297"/>
    <cellStyle name="C￥AØ_5-1±¤°i _2001재무제표_추가충당금명세_0630_V3 6 2" xfId="13298"/>
    <cellStyle name="Ç¥ÁØ_5-1±¤°í _2001재무제표_추가충당금명세_0630_V3 6 2" xfId="13299"/>
    <cellStyle name="C￥AØ_5-1±¤°i _2001재무제표_추가충당금명세_0630_V3 6 3" xfId="13300"/>
    <cellStyle name="Ç¥ÁØ_5-1±¤°í _2001재무제표_추가충당금명세_0630_V3 6 3" xfId="13301"/>
    <cellStyle name="C￥AØ_5-1±¤°i _2001재무제표_추가충당금명세_0630_V3 6 4" xfId="13302"/>
    <cellStyle name="Ç¥ÁØ_5-1±¤°í _2001재무제표_추가충당금명세_0630_V3 6 4" xfId="13303"/>
    <cellStyle name="C￥AØ_5-1±¤°i _2001재무제표_추가충당금명세_0630_V3 6 5" xfId="13304"/>
    <cellStyle name="Ç¥ÁØ_5-1±¤°í _2001재무제표_추가충당금명세_0630_V3 6 5" xfId="13305"/>
    <cellStyle name="C￥AØ_5-1±¤°i _2001재무제표_추가충당금명세_0630_V3 6 6" xfId="13306"/>
    <cellStyle name="Ç¥ÁØ_5-1±¤°í _2001재무제표_추가충당금명세_0630_V3 6 6" xfId="13307"/>
    <cellStyle name="C￥AØ_5-1±¤°i _2001재무제표_추가충당금명세_0630_V3 6 7" xfId="13308"/>
    <cellStyle name="Ç¥ÁØ_5-1±¤°í _2001재무제표_추가충당금명세_0630_V3 6 7" xfId="13309"/>
    <cellStyle name="C￥AØ_5-1±¤°i _2001재무제표_추가충당금명세_0630_V3 6 8" xfId="13310"/>
    <cellStyle name="Ç¥ÁØ_5-1±¤°í _2001재무제표_추가충당금명세_0630_V3 6 8" xfId="13311"/>
    <cellStyle name="C￥AØ_5-1±¤°i _2001재무제표_추가충당금명세_0630_V3 6 9" xfId="13312"/>
    <cellStyle name="Ç¥ÁØ_5-1±¤°í _2001재무제표_추가충당금명세_0630_V3 6 9" xfId="13313"/>
    <cellStyle name="C￥AØ_5-1±¤°i _2001재무제표_추가충당금명세_0630_V3 7" xfId="13314"/>
    <cellStyle name="Ç¥ÁØ_5-1±¤°í _2001재무제표_추가충당금명세_0630_V3 7" xfId="13315"/>
    <cellStyle name="C￥AØ_5-1±¤°i _2001재무제표_추가충당금명세_0630_V3 7 10" xfId="13316"/>
    <cellStyle name="Ç¥ÁØ_5-1±¤°í _2001재무제표_추가충당금명세_0630_V3 7 10" xfId="13317"/>
    <cellStyle name="C￥AØ_5-1±¤°i _2001재무제표_추가충당금명세_0630_V3 7 11" xfId="13318"/>
    <cellStyle name="Ç¥ÁØ_5-1±¤°í _2001재무제표_추가충당금명세_0630_V3 7 11" xfId="13319"/>
    <cellStyle name="C￥AØ_5-1±¤°i _2001재무제표_추가충당금명세_0630_V3 7 2" xfId="13320"/>
    <cellStyle name="Ç¥ÁØ_5-1±¤°í _2001재무제표_추가충당금명세_0630_V3 7 2" xfId="13321"/>
    <cellStyle name="C￥AØ_5-1±¤°i _2001재무제표_추가충당금명세_0630_V3 7 3" xfId="13322"/>
    <cellStyle name="Ç¥ÁØ_5-1±¤°í _2001재무제표_추가충당금명세_0630_V3 7 3" xfId="13323"/>
    <cellStyle name="C￥AØ_5-1±¤°i _2001재무제표_추가충당금명세_0630_V3 7 4" xfId="13324"/>
    <cellStyle name="Ç¥ÁØ_5-1±¤°í _2001재무제표_추가충당금명세_0630_V3 7 4" xfId="13325"/>
    <cellStyle name="C￥AØ_5-1±¤°i _2001재무제표_추가충당금명세_0630_V3 7 5" xfId="13326"/>
    <cellStyle name="Ç¥ÁØ_5-1±¤°í _2001재무제표_추가충당금명세_0630_V3 7 5" xfId="13327"/>
    <cellStyle name="C￥AØ_5-1±¤°i _2001재무제표_추가충당금명세_0630_V3 7 6" xfId="13328"/>
    <cellStyle name="Ç¥ÁØ_5-1±¤°í _2001재무제표_추가충당금명세_0630_V3 7 6" xfId="13329"/>
    <cellStyle name="C￥AØ_5-1±¤°i _2001재무제표_추가충당금명세_0630_V3 7 7" xfId="13330"/>
    <cellStyle name="Ç¥ÁØ_5-1±¤°í _2001재무제표_추가충당금명세_0630_V3 7 7" xfId="13331"/>
    <cellStyle name="C￥AØ_5-1±¤°i _2001재무제표_추가충당금명세_0630_V3 7 8" xfId="13332"/>
    <cellStyle name="Ç¥ÁØ_5-1±¤°í _2001재무제표_추가충당금명세_0630_V3 7 8" xfId="13333"/>
    <cellStyle name="C￥AØ_5-1±¤°i _2001재무제표_추가충당금명세_0630_V3 7 9" xfId="13334"/>
    <cellStyle name="Ç¥ÁØ_5-1±¤°í _2001재무제표_추가충당금명세_0630_V3 7 9" xfId="13335"/>
    <cellStyle name="C￥AØ_5-1±¤°i _2001재무제표_추가충당금명세_0630_V3 8" xfId="13336"/>
    <cellStyle name="Ç¥ÁØ_5-1±¤°í _2001재무제표_추가충당금명세_0630_V3 8" xfId="13337"/>
    <cellStyle name="C￥AØ_5-1±¤°i _2001재무제표_추가충당금명세_0630_V3 8 10" xfId="13338"/>
    <cellStyle name="Ç¥ÁØ_5-1±¤°í _2001재무제표_추가충당금명세_0630_V3 8 10" xfId="13339"/>
    <cellStyle name="C￥AØ_5-1±¤°i _2001재무제표_추가충당금명세_0630_V3 8 11" xfId="13340"/>
    <cellStyle name="Ç¥ÁØ_5-1±¤°í _2001재무제표_추가충당금명세_0630_V3 8 11" xfId="13341"/>
    <cellStyle name="C￥AØ_5-1±¤°i _2001재무제표_추가충당금명세_0630_V3 8 2" xfId="13342"/>
    <cellStyle name="Ç¥ÁØ_5-1±¤°í _2001재무제표_추가충당금명세_0630_V3 8 2" xfId="13343"/>
    <cellStyle name="C￥AØ_5-1±¤°i _2001재무제표_추가충당금명세_0630_V3 8 3" xfId="13344"/>
    <cellStyle name="Ç¥ÁØ_5-1±¤°í _2001재무제표_추가충당금명세_0630_V3 8 3" xfId="13345"/>
    <cellStyle name="C￥AØ_5-1±¤°i _2001재무제표_추가충당금명세_0630_V3 8 4" xfId="13346"/>
    <cellStyle name="Ç¥ÁØ_5-1±¤°í _2001재무제표_추가충당금명세_0630_V3 8 4" xfId="13347"/>
    <cellStyle name="C￥AØ_5-1±¤°i _2001재무제표_추가충당금명세_0630_V3 8 5" xfId="13348"/>
    <cellStyle name="Ç¥ÁØ_5-1±¤°í _2001재무제표_추가충당금명세_0630_V3 8 5" xfId="13349"/>
    <cellStyle name="C￥AØ_5-1±¤°i _2001재무제표_추가충당금명세_0630_V3 8 6" xfId="13350"/>
    <cellStyle name="Ç¥ÁØ_5-1±¤°í _2001재무제표_추가충당금명세_0630_V3 8 6" xfId="13351"/>
    <cellStyle name="C￥AØ_5-1±¤°i _2001재무제표_추가충당금명세_0630_V3 8 7" xfId="13352"/>
    <cellStyle name="Ç¥ÁØ_5-1±¤°í _2001재무제표_추가충당금명세_0630_V3 8 7" xfId="13353"/>
    <cellStyle name="C￥AØ_5-1±¤°i _2001재무제표_추가충당금명세_0630_V3 8 8" xfId="13354"/>
    <cellStyle name="Ç¥ÁØ_5-1±¤°í _2001재무제표_추가충당금명세_0630_V3 8 8" xfId="13355"/>
    <cellStyle name="C￥AØ_5-1±¤°i _2001재무제표_추가충당금명세_0630_V3 8 9" xfId="13356"/>
    <cellStyle name="Ç¥ÁØ_5-1±¤°í _2001재무제표_추가충당금명세_0630_V3 8 9" xfId="13357"/>
    <cellStyle name="C￥AØ_5-1±¤°i _2001재무제표_추가충당금명세_0630_V3 9" xfId="13358"/>
    <cellStyle name="Ç¥ÁØ_5-1±¤°í _2001재무제표_추가충당금명세_0630_V3 9" xfId="13359"/>
    <cellStyle name="C￥AØ_5-1±¤°i _2001재무제표_추가충당금명세_0630_V3 9 10" xfId="13360"/>
    <cellStyle name="Ç¥ÁØ_5-1±¤°í _2001재무제표_추가충당금명세_0630_V3 9 10" xfId="13361"/>
    <cellStyle name="C￥AØ_5-1±¤°i _2001재무제표_추가충당금명세_0630_V3 9 11" xfId="13362"/>
    <cellStyle name="Ç¥ÁØ_5-1±¤°í _2001재무제표_추가충당금명세_0630_V3 9 11" xfId="13363"/>
    <cellStyle name="C￥AØ_5-1±¤°i _2001재무제표_추가충당금명세_0630_V3 9 2" xfId="13364"/>
    <cellStyle name="Ç¥ÁØ_5-1±¤°í _2001재무제표_추가충당금명세_0630_V3 9 2" xfId="13365"/>
    <cellStyle name="C￥AØ_5-1±¤°i _2001재무제표_추가충당금명세_0630_V3 9 3" xfId="13366"/>
    <cellStyle name="Ç¥ÁØ_5-1±¤°í _2001재무제표_추가충당금명세_0630_V3 9 3" xfId="13367"/>
    <cellStyle name="C￥AØ_5-1±¤°i _2001재무제표_추가충당금명세_0630_V3 9 4" xfId="13368"/>
    <cellStyle name="Ç¥ÁØ_5-1±¤°í _2001재무제표_추가충당금명세_0630_V3 9 4" xfId="13369"/>
    <cellStyle name="C￥AØ_5-1±¤°i _2001재무제표_추가충당금명세_0630_V3 9 5" xfId="13370"/>
    <cellStyle name="Ç¥ÁØ_5-1±¤°í _2001재무제표_추가충당금명세_0630_V3 9 5" xfId="13371"/>
    <cellStyle name="C￥AØ_5-1±¤°i _2001재무제표_추가충당금명세_0630_V3 9 6" xfId="13372"/>
    <cellStyle name="Ç¥ÁØ_5-1±¤°í _2001재무제표_추가충당금명세_0630_V3 9 6" xfId="13373"/>
    <cellStyle name="C￥AØ_5-1±¤°i _2001재무제표_추가충당금명세_0630_V3 9 7" xfId="13374"/>
    <cellStyle name="Ç¥ÁØ_5-1±¤°í _2001재무제표_추가충당금명세_0630_V3 9 7" xfId="13375"/>
    <cellStyle name="C￥AØ_5-1±¤°i _2001재무제표_추가충당금명세_0630_V3 9 8" xfId="13376"/>
    <cellStyle name="Ç¥ÁØ_5-1±¤°í _2001재무제표_추가충당금명세_0630_V3 9 8" xfId="13377"/>
    <cellStyle name="C￥AØ_5-1±¤°i _2001재무제표_추가충당금명세_0630_V3 9 9" xfId="13378"/>
    <cellStyle name="Ç¥ÁØ_5-1±¤°í _2001재무제표_추가충당금명세_0630_V3 9 9" xfId="13379"/>
    <cellStyle name="C￥AØ_5-1±¤°i _2001재무제표_추가충당금명세_0630_V3_1211 충당금,건전성 현황_작업" xfId="13380"/>
    <cellStyle name="Ç¥ÁØ_5-1±¤°í _2001재무제표_추가충당금명세_0630_V3_1211 충당금,건전성 현황_작업" xfId="13381"/>
    <cellStyle name="C￥AØ_5-1±¤°i _2001재무제표_추가충당금명세_0630_V3_HN,KEB(권리분석)_김영진_조세지원" xfId="13382"/>
    <cellStyle name="Ç¥ÁØ_5-1±¤°í _2001재무제표_추가충당금명세_0630_V3_HN,KEB(권리분석)_김영진_조세지원" xfId="13383"/>
    <cellStyle name="C￥AØ_5-1±¤°i _2001재무제표_추가충당금명세_0630_V3_HN,KEB(권리분석)_김영진_조세지원 10" xfId="13384"/>
    <cellStyle name="Ç¥ÁØ_5-1±¤°í _2001재무제표_추가충당금명세_0630_V3_HN,KEB(권리분석_최종)_통합" xfId="13385"/>
    <cellStyle name="C￥AØ_5-1±¤°i _2001재무제표_추가충당금명세_0630_V3_HN,KEB(권리분석_최종)_통합 10" xfId="13386"/>
    <cellStyle name="Ç¥ÁØ_5-1±¤°í _2001재무제표_추가충당금명세_0630_V3_SHB_2011-3_담보sheet(더밸류_v6이교민)" xfId="13387"/>
    <cellStyle name="C￥AØ_5-1±¤°i _2001재무제표_추가충당금명세_0630_V3_심사역Q&amp;A(20110817_확인)" xfId="13388"/>
    <cellStyle name="Ç¥ÁØ_5-1±¤°í _2001재무제표_추가충당금명세_0630_V3_심사역Q&amp;A(20110817_확인)" xfId="13389"/>
    <cellStyle name="C￥AØ_5-1±¤°i _6RCB1 " xfId="13390"/>
    <cellStyle name="Ç¥ÁØ_5-1±¤°í _건미종합건설-081215" xfId="13391"/>
    <cellStyle name="C￥AØ_96_5¹e°iºn¿e" xfId="13392"/>
    <cellStyle name="Ç¥ÁØ_96_5¹é°îºñ¿ë" xfId="13393"/>
    <cellStyle name="C￥AØ_A|Aa¿e" xfId="1331"/>
    <cellStyle name="Ç¥ÁØ_Á¦Ãâ¿ë" xfId="1332"/>
    <cellStyle name="C￥AØ_Ay°eC￥(2¿u) " xfId="1333"/>
    <cellStyle name="Ç¥ÁØ_Áý°èÇ¥(2¿ù) " xfId="1334"/>
    <cellStyle name="C￥AØ_Ay°eC￥(2¿u)  10" xfId="13394"/>
    <cellStyle name="Ç¥ÁØ_Áý°èÇ¥(2¿ù)  10" xfId="13395"/>
    <cellStyle name="C￥AØ_Ay°eC￥(2¿u)  11" xfId="13396"/>
    <cellStyle name="Ç¥ÁØ_Áý°èÇ¥(2¿ù)  11" xfId="13397"/>
    <cellStyle name="C￥AØ_Ay°eC￥(2¿u)  2" xfId="1335"/>
    <cellStyle name="Ç¥ÁØ_Áý°èÇ¥(2¿ù)  2" xfId="13398"/>
    <cellStyle name="C￥AØ_Ay°eC￥(2¿u)  2 2" xfId="13399"/>
    <cellStyle name="Ç¥ÁØ_Áý°èÇ¥(2¿ù)  3" xfId="13400"/>
    <cellStyle name="C￥AØ_Ay°eC￥(2¿u)  4" xfId="13401"/>
    <cellStyle name="Ç¥ÁØ_Áý°èÇ¥(2¿ù)  4" xfId="13402"/>
    <cellStyle name="C￥AØ_Ay°eC￥(2¿u)  5" xfId="13403"/>
    <cellStyle name="Ç¥ÁØ_Áý°èÇ¥(2¿ù)  5" xfId="13404"/>
    <cellStyle name="C￥AØ_Ay°eC￥(2¿u)  6" xfId="13405"/>
    <cellStyle name="Ç¥ÁØ_Áý°èÇ¥(2¿ù)  6" xfId="13406"/>
    <cellStyle name="C￥AØ_Ay°eC￥(2¿u)  7" xfId="13407"/>
    <cellStyle name="Ç¥ÁØ_Áý°èÇ¥(2¿ù)  7" xfId="13408"/>
    <cellStyle name="C￥AØ_Ay°eC￥(2¿u)  8" xfId="13409"/>
    <cellStyle name="Ç¥ÁØ_Áý°èÇ¥(2¿ù)  8" xfId="13410"/>
    <cellStyle name="C￥AØ_Ay°eC￥(2¿u)  9" xfId="13411"/>
    <cellStyle name="Ç¥ÁØ_Áý°èÇ¥(2¿ù)  9" xfId="13412"/>
    <cellStyle name="C￥AØ_Ay°eC￥(2¿u) _2001재무제표" xfId="13413"/>
    <cellStyle name="Ç¥ÁØ_Áý°èÇ¥(2¿ù) _2001재무제표" xfId="1336"/>
    <cellStyle name="C￥AØ_Ay°eC￥(2¿u) _2001재무제표 10" xfId="13414"/>
    <cellStyle name="Ç¥ÁØ_Áý°èÇ¥(2¿ù) _2001재무제표 2" xfId="13415"/>
    <cellStyle name="C￥AØ_Ay°eC￥(2¿u) _2001재무제표 2 2" xfId="13416"/>
    <cellStyle name="Ç¥ÁØ_Áý°èÇ¥(2¿ù) _2001재무제표 3" xfId="13417"/>
    <cellStyle name="C￥AØ_Ay°eC￥(2¿u) _2001재무제표_요약자료_20090831" xfId="13418"/>
    <cellStyle name="Ç¥ÁØ_Áý°èÇ¥(2¿ù) _2001재무제표_요약자료_20090831" xfId="1337"/>
    <cellStyle name="C￥AØ_Ay°eC￥(2¿u) _2001재무제표_요약자료_20090831 10" xfId="13419"/>
    <cellStyle name="Ç¥ÁØ_Áý°èÇ¥(2¿ù) _2001재무제표_요약자료_20090831 2" xfId="13420"/>
    <cellStyle name="C￥AØ_Ay°eC￥(2¿u) _2001재무제표_요약자료_20090831 2 2" xfId="13421"/>
    <cellStyle name="Ç¥ÁØ_Áý°èÇ¥(2¿ù) _2001재무제표_요약자료_20090831 3" xfId="13422"/>
    <cellStyle name="C￥AØ_Ay°eC￥(2¿u) _2001재무제표_재무지원부충당금" xfId="13423"/>
    <cellStyle name="Ç¥ÁØ_Áý°èÇ¥(2¿ù) _2001재무제표_재무지원부충당금" xfId="1338"/>
    <cellStyle name="C￥AØ_Ay°eC￥(2¿u) _2001재무제표_재무지원부충당금 10" xfId="13424"/>
    <cellStyle name="Ç¥ÁØ_Áý°èÇ¥(2¿ù) _2001재무제표_재무지원부충당금 10" xfId="13425"/>
    <cellStyle name="C￥AØ_Ay°eC￥(2¿u) _2001재무제표_재무지원부충당금 10 10" xfId="13426"/>
    <cellStyle name="Ç¥ÁØ_Áý°èÇ¥(2¿ù) _2001재무제표_재무지원부충당금 10 10" xfId="13427"/>
    <cellStyle name="C￥AØ_Ay°eC￥(2¿u) _2001재무제표_재무지원부충당금 10 11" xfId="13428"/>
    <cellStyle name="Ç¥ÁØ_Áý°èÇ¥(2¿ù) _2001재무제표_재무지원부충당금 10 11" xfId="13429"/>
    <cellStyle name="C￥AØ_Ay°eC￥(2¿u) _2001재무제표_재무지원부충당금 10 2" xfId="13430"/>
    <cellStyle name="Ç¥ÁØ_Áý°èÇ¥(2¿ù) _2001재무제표_재무지원부충당금 10 2" xfId="13431"/>
    <cellStyle name="C￥AØ_Ay°eC￥(2¿u) _2001재무제표_재무지원부충당금 10 3" xfId="13432"/>
    <cellStyle name="Ç¥ÁØ_Áý°èÇ¥(2¿ù) _2001재무제표_재무지원부충당금 10 3" xfId="13433"/>
    <cellStyle name="C￥AØ_Ay°eC￥(2¿u) _2001재무제표_재무지원부충당금 10 4" xfId="13434"/>
    <cellStyle name="Ç¥ÁØ_Áý°èÇ¥(2¿ù) _2001재무제표_재무지원부충당금 10 4" xfId="13435"/>
    <cellStyle name="C￥AØ_Ay°eC￥(2¿u) _2001재무제표_재무지원부충당금 10 5" xfId="13436"/>
    <cellStyle name="Ç¥ÁØ_Áý°èÇ¥(2¿ù) _2001재무제표_재무지원부충당금 10 5" xfId="13437"/>
    <cellStyle name="C￥AØ_Ay°eC￥(2¿u) _2001재무제표_재무지원부충당금 10 6" xfId="13438"/>
    <cellStyle name="Ç¥ÁØ_Áý°èÇ¥(2¿ù) _2001재무제표_재무지원부충당금 10 6" xfId="13439"/>
    <cellStyle name="C￥AØ_Ay°eC￥(2¿u) _2001재무제표_재무지원부충당금 10 7" xfId="13440"/>
    <cellStyle name="Ç¥ÁØ_Áý°èÇ¥(2¿ù) _2001재무제표_재무지원부충당금 10 7" xfId="13441"/>
    <cellStyle name="C￥AØ_Ay°eC￥(2¿u) _2001재무제표_재무지원부충당금 10 8" xfId="13442"/>
    <cellStyle name="Ç¥ÁØ_Áý°èÇ¥(2¿ù) _2001재무제표_재무지원부충당금 10 8" xfId="13443"/>
    <cellStyle name="C￥AØ_Ay°eC￥(2¿u) _2001재무제표_재무지원부충당금 10 9" xfId="13444"/>
    <cellStyle name="Ç¥ÁØ_Áý°èÇ¥(2¿ù) _2001재무제표_재무지원부충당금 10 9" xfId="13445"/>
    <cellStyle name="C￥AØ_Ay°eC￥(2¿u) _2001재무제표_재무지원부충당금 2" xfId="1339"/>
    <cellStyle name="Ç¥ÁØ_Áý°èÇ¥(2¿ù) _2001재무제표_재무지원부충당금 2" xfId="1340"/>
    <cellStyle name="C￥AØ_Ay°eC￥(2¿u) _2001재무제표_재무지원부충당금 2 10" xfId="13446"/>
    <cellStyle name="Ç¥ÁØ_Áý°èÇ¥(2¿ù) _2001재무제표_재무지원부충당금 2 10" xfId="13447"/>
    <cellStyle name="C￥AØ_Ay°eC￥(2¿u) _2001재무제표_재무지원부충당금 2 11" xfId="13448"/>
    <cellStyle name="Ç¥ÁØ_Áý°èÇ¥(2¿ù) _2001재무제표_재무지원부충당금 2 11" xfId="13449"/>
    <cellStyle name="C￥AØ_Ay°eC￥(2¿u) _2001재무제표_재무지원부충당금 2 2" xfId="13450"/>
    <cellStyle name="Ç¥ÁØ_Áý°èÇ¥(2¿ù) _2001재무제표_재무지원부충당금 2 2" xfId="13451"/>
    <cellStyle name="C￥AØ_Ay°eC￥(2¿u) _2001재무제표_재무지원부충당금 2 3" xfId="13452"/>
    <cellStyle name="Ç¥ÁØ_Áý°èÇ¥(2¿ù) _2001재무제표_재무지원부충당금 2 3" xfId="13453"/>
    <cellStyle name="C￥AØ_Ay°eC￥(2¿u) _2001재무제표_재무지원부충당금 2 4" xfId="13454"/>
    <cellStyle name="Ç¥ÁØ_Áý°èÇ¥(2¿ù) _2001재무제표_재무지원부충당금 2 4" xfId="13455"/>
    <cellStyle name="C￥AØ_Ay°eC￥(2¿u) _2001재무제표_재무지원부충당금 2 5" xfId="13456"/>
    <cellStyle name="Ç¥ÁØ_Áý°èÇ¥(2¿ù) _2001재무제표_재무지원부충당금 2 5" xfId="13457"/>
    <cellStyle name="C￥AØ_Ay°eC￥(2¿u) _2001재무제표_재무지원부충당금 2 6" xfId="13458"/>
    <cellStyle name="Ç¥ÁØ_Áý°èÇ¥(2¿ù) _2001재무제표_재무지원부충당금 2 6" xfId="13459"/>
    <cellStyle name="C￥AØ_Ay°eC￥(2¿u) _2001재무제표_재무지원부충당금 2 7" xfId="13460"/>
    <cellStyle name="Ç¥ÁØ_Áý°èÇ¥(2¿ù) _2001재무제표_재무지원부충당금 2 7" xfId="13461"/>
    <cellStyle name="C￥AØ_Ay°eC￥(2¿u) _2001재무제표_재무지원부충당금 2 8" xfId="13462"/>
    <cellStyle name="Ç¥ÁØ_Áý°èÇ¥(2¿ù) _2001재무제표_재무지원부충당금 2 8" xfId="13463"/>
    <cellStyle name="C￥AØ_Ay°eC￥(2¿u) _2001재무제표_재무지원부충당금 2 9" xfId="13464"/>
    <cellStyle name="Ç¥ÁØ_Áý°èÇ¥(2¿ù) _2001재무제표_재무지원부충당금 2 9" xfId="13465"/>
    <cellStyle name="C￥AØ_Ay°eC￥(2¿u) _2001재무제표_재무지원부충당금 3" xfId="4962"/>
    <cellStyle name="Ç¥ÁØ_Áý°èÇ¥(2¿ù) _2001재무제표_재무지원부충당금 3" xfId="4963"/>
    <cellStyle name="C￥AØ_Ay°eC￥(2¿u) _2001재무제표_재무지원부충당금 3 10" xfId="13466"/>
    <cellStyle name="Ç¥ÁØ_Áý°èÇ¥(2¿ù) _2001재무제표_재무지원부충당금 3 10" xfId="13467"/>
    <cellStyle name="C￥AØ_Ay°eC￥(2¿u) _2001재무제표_재무지원부충당금 3 11" xfId="13468"/>
    <cellStyle name="Ç¥ÁØ_Áý°èÇ¥(2¿ù) _2001재무제표_재무지원부충당금 3 11" xfId="13469"/>
    <cellStyle name="C￥AØ_Ay°eC￥(2¿u) _2001재무제표_재무지원부충당금 3 2" xfId="13470"/>
    <cellStyle name="Ç¥ÁØ_Áý°èÇ¥(2¿ù) _2001재무제표_재무지원부충당금 3 2" xfId="13471"/>
    <cellStyle name="C￥AØ_Ay°eC￥(2¿u) _2001재무제표_재무지원부충당금 3 3" xfId="13472"/>
    <cellStyle name="Ç¥ÁØ_Áý°èÇ¥(2¿ù) _2001재무제표_재무지원부충당금 3 3" xfId="13473"/>
    <cellStyle name="C￥AØ_Ay°eC￥(2¿u) _2001재무제표_재무지원부충당금 3 4" xfId="13474"/>
    <cellStyle name="Ç¥ÁØ_Áý°èÇ¥(2¿ù) _2001재무제표_재무지원부충당금 3 4" xfId="13475"/>
    <cellStyle name="C￥AØ_Ay°eC￥(2¿u) _2001재무제표_재무지원부충당금 3 5" xfId="13476"/>
    <cellStyle name="Ç¥ÁØ_Áý°èÇ¥(2¿ù) _2001재무제표_재무지원부충당금 3 5" xfId="13477"/>
    <cellStyle name="C￥AØ_Ay°eC￥(2¿u) _2001재무제표_재무지원부충당금 3 6" xfId="13478"/>
    <cellStyle name="Ç¥ÁØ_Áý°èÇ¥(2¿ù) _2001재무제표_재무지원부충당금 3 6" xfId="13479"/>
    <cellStyle name="C￥AØ_Ay°eC￥(2¿u) _2001재무제표_재무지원부충당금 3 7" xfId="13480"/>
    <cellStyle name="Ç¥ÁØ_Áý°èÇ¥(2¿ù) _2001재무제표_재무지원부충당금 3 7" xfId="13481"/>
    <cellStyle name="C￥AØ_Ay°eC￥(2¿u) _2001재무제표_재무지원부충당금 3 8" xfId="13482"/>
    <cellStyle name="Ç¥ÁØ_Áý°èÇ¥(2¿ù) _2001재무제표_재무지원부충당금 3 8" xfId="13483"/>
    <cellStyle name="C￥AØ_Ay°eC￥(2¿u) _2001재무제표_재무지원부충당금 3 9" xfId="13484"/>
    <cellStyle name="Ç¥ÁØ_Áý°èÇ¥(2¿ù) _2001재무제표_재무지원부충당금 3 9" xfId="13485"/>
    <cellStyle name="C￥AØ_Ay°eC￥(2¿u) _2001재무제표_재무지원부충당금 4" xfId="4964"/>
    <cellStyle name="Ç¥ÁØ_Áý°èÇ¥(2¿ù) _2001재무제표_재무지원부충당금 4" xfId="4965"/>
    <cellStyle name="C￥AØ_Ay°eC￥(2¿u) _2001재무제표_재무지원부충당금 4 10" xfId="13486"/>
    <cellStyle name="Ç¥ÁØ_Áý°èÇ¥(2¿ù) _2001재무제표_재무지원부충당금 4 10" xfId="13487"/>
    <cellStyle name="C￥AØ_Ay°eC￥(2¿u) _2001재무제표_재무지원부충당금 4 11" xfId="13488"/>
    <cellStyle name="Ç¥ÁØ_Áý°èÇ¥(2¿ù) _2001재무제표_재무지원부충당금 4 11" xfId="13489"/>
    <cellStyle name="C￥AØ_Ay°eC￥(2¿u) _2001재무제표_재무지원부충당금 4 2" xfId="13490"/>
    <cellStyle name="Ç¥ÁØ_Áý°èÇ¥(2¿ù) _2001재무제표_재무지원부충당금 4 2" xfId="13491"/>
    <cellStyle name="C￥AØ_Ay°eC￥(2¿u) _2001재무제표_재무지원부충당금 4 3" xfId="13492"/>
    <cellStyle name="Ç¥ÁØ_Áý°èÇ¥(2¿ù) _2001재무제표_재무지원부충당금 4 3" xfId="13493"/>
    <cellStyle name="C￥AØ_Ay°eC￥(2¿u) _2001재무제표_재무지원부충당금 4 4" xfId="13494"/>
    <cellStyle name="Ç¥ÁØ_Áý°èÇ¥(2¿ù) _2001재무제표_재무지원부충당금 4 4" xfId="13495"/>
    <cellStyle name="C￥AØ_Ay°eC￥(2¿u) _2001재무제표_재무지원부충당금 4 5" xfId="13496"/>
    <cellStyle name="Ç¥ÁØ_Áý°èÇ¥(2¿ù) _2001재무제표_재무지원부충당금 4 5" xfId="13497"/>
    <cellStyle name="C￥AØ_Ay°eC￥(2¿u) _2001재무제표_재무지원부충당금 4 6" xfId="13498"/>
    <cellStyle name="Ç¥ÁØ_Áý°èÇ¥(2¿ù) _2001재무제표_재무지원부충당금 4 6" xfId="13499"/>
    <cellStyle name="C￥AØ_Ay°eC￥(2¿u) _2001재무제표_재무지원부충당금 4 7" xfId="13500"/>
    <cellStyle name="Ç¥ÁØ_Áý°èÇ¥(2¿ù) _2001재무제표_재무지원부충당금 4 7" xfId="13501"/>
    <cellStyle name="C￥AØ_Ay°eC￥(2¿u) _2001재무제표_재무지원부충당금 4 8" xfId="13502"/>
    <cellStyle name="Ç¥ÁØ_Áý°èÇ¥(2¿ù) _2001재무제표_재무지원부충당금 4 8" xfId="13503"/>
    <cellStyle name="C￥AØ_Ay°eC￥(2¿u) _2001재무제표_재무지원부충당금 4 9" xfId="13504"/>
    <cellStyle name="Ç¥ÁØ_Áý°èÇ¥(2¿ù) _2001재무제표_재무지원부충당금 4 9" xfId="13505"/>
    <cellStyle name="C￥AØ_Ay°eC￥(2¿u) _2001재무제표_재무지원부충당금 5" xfId="4966"/>
    <cellStyle name="Ç¥ÁØ_Áý°èÇ¥(2¿ù) _2001재무제표_재무지원부충당금 5" xfId="4967"/>
    <cellStyle name="C￥AØ_Ay°eC￥(2¿u) _2001재무제표_재무지원부충당금 5 10" xfId="13506"/>
    <cellStyle name="Ç¥ÁØ_Áý°èÇ¥(2¿ù) _2001재무제표_재무지원부충당금 5 10" xfId="13507"/>
    <cellStyle name="C￥AØ_Ay°eC￥(2¿u) _2001재무제표_재무지원부충당금 5 11" xfId="13508"/>
    <cellStyle name="Ç¥ÁØ_Áý°èÇ¥(2¿ù) _2001재무제표_재무지원부충당금 5 11" xfId="13509"/>
    <cellStyle name="C￥AØ_Ay°eC￥(2¿u) _2001재무제표_재무지원부충당금 5 2" xfId="13510"/>
    <cellStyle name="Ç¥ÁØ_Áý°èÇ¥(2¿ù) _2001재무제표_재무지원부충당금 5 2" xfId="13511"/>
    <cellStyle name="C￥AØ_Ay°eC￥(2¿u) _2001재무제표_재무지원부충당금 5 3" xfId="13512"/>
    <cellStyle name="Ç¥ÁØ_Áý°èÇ¥(2¿ù) _2001재무제표_재무지원부충당금 5 3" xfId="13513"/>
    <cellStyle name="C￥AØ_Ay°eC￥(2¿u) _2001재무제표_재무지원부충당금 5 4" xfId="13514"/>
    <cellStyle name="Ç¥ÁØ_Áý°èÇ¥(2¿ù) _2001재무제표_재무지원부충당금 5 4" xfId="13515"/>
    <cellStyle name="C￥AØ_Ay°eC￥(2¿u) _2001재무제표_재무지원부충당금 5 5" xfId="13516"/>
    <cellStyle name="Ç¥ÁØ_Áý°èÇ¥(2¿ù) _2001재무제표_재무지원부충당금 5 5" xfId="13517"/>
    <cellStyle name="C￥AØ_Ay°eC￥(2¿u) _2001재무제표_재무지원부충당금 5 6" xfId="13518"/>
    <cellStyle name="Ç¥ÁØ_Áý°èÇ¥(2¿ù) _2001재무제표_재무지원부충당금 5 6" xfId="13519"/>
    <cellStyle name="C￥AØ_Ay°eC￥(2¿u) _2001재무제표_재무지원부충당금 5 7" xfId="13520"/>
    <cellStyle name="Ç¥ÁØ_Áý°èÇ¥(2¿ù) _2001재무제표_재무지원부충당금 5 7" xfId="13521"/>
    <cellStyle name="C￥AØ_Ay°eC￥(2¿u) _2001재무제표_재무지원부충당금 5 8" xfId="13522"/>
    <cellStyle name="Ç¥ÁØ_Áý°èÇ¥(2¿ù) _2001재무제표_재무지원부충당금 5 8" xfId="13523"/>
    <cellStyle name="C￥AØ_Ay°eC￥(2¿u) _2001재무제표_재무지원부충당금 5 9" xfId="13524"/>
    <cellStyle name="Ç¥ÁØ_Áý°èÇ¥(2¿ù) _2001재무제표_재무지원부충당금 5 9" xfId="13525"/>
    <cellStyle name="C￥AØ_Ay°eC￥(2¿u) _2001재무제표_재무지원부충당금 6" xfId="4968"/>
    <cellStyle name="Ç¥ÁØ_Áý°èÇ¥(2¿ù) _2001재무제표_재무지원부충당금 6" xfId="4969"/>
    <cellStyle name="C￥AØ_Ay°eC￥(2¿u) _2001재무제표_재무지원부충당금 6 10" xfId="13526"/>
    <cellStyle name="Ç¥ÁØ_Áý°èÇ¥(2¿ù) _2001재무제표_재무지원부충당금 6 10" xfId="13527"/>
    <cellStyle name="C￥AØ_Ay°eC￥(2¿u) _2001재무제표_재무지원부충당금 6 11" xfId="13528"/>
    <cellStyle name="Ç¥ÁØ_Áý°èÇ¥(2¿ù) _2001재무제표_재무지원부충당금 6 11" xfId="13529"/>
    <cellStyle name="C￥AØ_Ay°eC￥(2¿u) _2001재무제표_재무지원부충당금 6 2" xfId="13530"/>
    <cellStyle name="Ç¥ÁØ_Áý°èÇ¥(2¿ù) _2001재무제표_재무지원부충당금 6 2" xfId="13531"/>
    <cellStyle name="C￥AØ_Ay°eC￥(2¿u) _2001재무제표_재무지원부충당금 6 3" xfId="13532"/>
    <cellStyle name="Ç¥ÁØ_Áý°èÇ¥(2¿ù) _2001재무제표_재무지원부충당금 6 3" xfId="13533"/>
    <cellStyle name="C￥AØ_Ay°eC￥(2¿u) _2001재무제표_재무지원부충당금 6 4" xfId="13534"/>
    <cellStyle name="Ç¥ÁØ_Áý°èÇ¥(2¿ù) _2001재무제표_재무지원부충당금 6 4" xfId="13535"/>
    <cellStyle name="C￥AØ_Ay°eC￥(2¿u) _2001재무제표_재무지원부충당금 6 5" xfId="13536"/>
    <cellStyle name="Ç¥ÁØ_Áý°èÇ¥(2¿ù) _2001재무제표_재무지원부충당금 6 5" xfId="13537"/>
    <cellStyle name="C￥AØ_Ay°eC￥(2¿u) _2001재무제표_재무지원부충당금 6 6" xfId="13538"/>
    <cellStyle name="Ç¥ÁØ_Áý°èÇ¥(2¿ù) _2001재무제표_재무지원부충당금 6 6" xfId="13539"/>
    <cellStyle name="C￥AØ_Ay°eC￥(2¿u) _2001재무제표_재무지원부충당금 6 7" xfId="13540"/>
    <cellStyle name="Ç¥ÁØ_Áý°èÇ¥(2¿ù) _2001재무제표_재무지원부충당금 6 7" xfId="13541"/>
    <cellStyle name="C￥AØ_Ay°eC￥(2¿u) _2001재무제표_재무지원부충당금 6 8" xfId="13542"/>
    <cellStyle name="Ç¥ÁØ_Áý°èÇ¥(2¿ù) _2001재무제표_재무지원부충당금 6 8" xfId="13543"/>
    <cellStyle name="C￥AØ_Ay°eC￥(2¿u) _2001재무제표_재무지원부충당금 6 9" xfId="13544"/>
    <cellStyle name="Ç¥ÁØ_Áý°èÇ¥(2¿ù) _2001재무제표_재무지원부충당금 6 9" xfId="13545"/>
    <cellStyle name="C￥AØ_Ay°eC￥(2¿u) _2001재무제표_재무지원부충당금 7" xfId="13546"/>
    <cellStyle name="Ç¥ÁØ_Áý°èÇ¥(2¿ù) _2001재무제표_재무지원부충당금 7" xfId="13547"/>
    <cellStyle name="C￥AØ_Ay°eC￥(2¿u) _2001재무제표_재무지원부충당금 7 10" xfId="13548"/>
    <cellStyle name="Ç¥ÁØ_Áý°èÇ¥(2¿ù) _2001재무제표_재무지원부충당금 7 10" xfId="13549"/>
    <cellStyle name="C￥AØ_Ay°eC￥(2¿u) _2001재무제표_재무지원부충당금 7 11" xfId="13550"/>
    <cellStyle name="Ç¥ÁØ_Áý°èÇ¥(2¿ù) _2001재무제표_재무지원부충당금 7 11" xfId="13551"/>
    <cellStyle name="C￥AØ_Ay°eC￥(2¿u) _2001재무제표_재무지원부충당금 7 2" xfId="13552"/>
    <cellStyle name="Ç¥ÁØ_Áý°èÇ¥(2¿ù) _2001재무제표_재무지원부충당금 7 2" xfId="13553"/>
    <cellStyle name="C￥AØ_Ay°eC￥(2¿u) _2001재무제표_재무지원부충당금 7 3" xfId="13554"/>
    <cellStyle name="Ç¥ÁØ_Áý°èÇ¥(2¿ù) _2001재무제표_재무지원부충당금 7 3" xfId="13555"/>
    <cellStyle name="C￥AØ_Ay°eC￥(2¿u) _2001재무제표_재무지원부충당금 7 4" xfId="13556"/>
    <cellStyle name="Ç¥ÁØ_Áý°èÇ¥(2¿ù) _2001재무제표_재무지원부충당금 7 4" xfId="13557"/>
    <cellStyle name="C￥AØ_Ay°eC￥(2¿u) _2001재무제표_재무지원부충당금 7 5" xfId="13558"/>
    <cellStyle name="Ç¥ÁØ_Áý°èÇ¥(2¿ù) _2001재무제표_재무지원부충당금 7 5" xfId="13559"/>
    <cellStyle name="C￥AØ_Ay°eC￥(2¿u) _2001재무제표_재무지원부충당금 7 6" xfId="13560"/>
    <cellStyle name="Ç¥ÁØ_Áý°èÇ¥(2¿ù) _2001재무제표_재무지원부충당금 7 6" xfId="13561"/>
    <cellStyle name="C￥AØ_Ay°eC￥(2¿u) _2001재무제표_재무지원부충당금 7 7" xfId="13562"/>
    <cellStyle name="Ç¥ÁØ_Áý°èÇ¥(2¿ù) _2001재무제표_재무지원부충당금 7 7" xfId="13563"/>
    <cellStyle name="C￥AØ_Ay°eC￥(2¿u) _2001재무제표_재무지원부충당금 7 8" xfId="13564"/>
    <cellStyle name="Ç¥ÁØ_Áý°èÇ¥(2¿ù) _2001재무제표_재무지원부충당금 7 8" xfId="13565"/>
    <cellStyle name="C￥AØ_Ay°eC￥(2¿u) _2001재무제표_재무지원부충당금 7 9" xfId="13566"/>
    <cellStyle name="Ç¥ÁØ_Áý°èÇ¥(2¿ù) _2001재무제표_재무지원부충당금 7 9" xfId="13567"/>
    <cellStyle name="C￥AØ_Ay°eC￥(2¿u) _2001재무제표_재무지원부충당금 8" xfId="13568"/>
    <cellStyle name="Ç¥ÁØ_Áý°èÇ¥(2¿ù) _2001재무제표_재무지원부충당금 8" xfId="13569"/>
    <cellStyle name="C￥AØ_Ay°eC￥(2¿u) _2001재무제표_재무지원부충당금 8 10" xfId="13570"/>
    <cellStyle name="Ç¥ÁØ_Áý°èÇ¥(2¿ù) _2001재무제표_재무지원부충당금 8 10" xfId="13571"/>
    <cellStyle name="C￥AØ_Ay°eC￥(2¿u) _2001재무제표_재무지원부충당금 8 11" xfId="13572"/>
    <cellStyle name="Ç¥ÁØ_Áý°èÇ¥(2¿ù) _2001재무제표_재무지원부충당금 8 11" xfId="13573"/>
    <cellStyle name="C￥AØ_Ay°eC￥(2¿u) _2001재무제표_재무지원부충당금 8 2" xfId="13574"/>
    <cellStyle name="Ç¥ÁØ_Áý°èÇ¥(2¿ù) _2001재무제표_재무지원부충당금 8 2" xfId="13575"/>
    <cellStyle name="C￥AØ_Ay°eC￥(2¿u) _2001재무제표_재무지원부충당금 8 3" xfId="13576"/>
    <cellStyle name="Ç¥ÁØ_Áý°èÇ¥(2¿ù) _2001재무제표_재무지원부충당금 8 3" xfId="13577"/>
    <cellStyle name="C￥AØ_Ay°eC￥(2¿u) _2001재무제표_재무지원부충당금 8 4" xfId="13578"/>
    <cellStyle name="Ç¥ÁØ_Áý°èÇ¥(2¿ù) _2001재무제표_재무지원부충당금 8 4" xfId="13579"/>
    <cellStyle name="C￥AØ_Ay°eC￥(2¿u) _2001재무제표_재무지원부충당금 8 5" xfId="13580"/>
    <cellStyle name="Ç¥ÁØ_Áý°èÇ¥(2¿ù) _2001재무제표_재무지원부충당금 8 5" xfId="13581"/>
    <cellStyle name="C￥AØ_Ay°eC￥(2¿u) _2001재무제표_재무지원부충당금 8 6" xfId="13582"/>
    <cellStyle name="Ç¥ÁØ_Áý°èÇ¥(2¿ù) _2001재무제표_재무지원부충당금 8 6" xfId="13583"/>
    <cellStyle name="C￥AØ_Ay°eC￥(2¿u) _2001재무제표_재무지원부충당금 8 7" xfId="13584"/>
    <cellStyle name="Ç¥ÁØ_Áý°èÇ¥(2¿ù) _2001재무제표_재무지원부충당금 8 7" xfId="13585"/>
    <cellStyle name="C￥AØ_Ay°eC￥(2¿u) _2001재무제표_재무지원부충당금 8 8" xfId="13586"/>
    <cellStyle name="Ç¥ÁØ_Áý°èÇ¥(2¿ù) _2001재무제표_재무지원부충당금 8 8" xfId="13587"/>
    <cellStyle name="C￥AØ_Ay°eC￥(2¿u) _2001재무제표_재무지원부충당금 8 9" xfId="13588"/>
    <cellStyle name="Ç¥ÁØ_Áý°èÇ¥(2¿ù) _2001재무제표_재무지원부충당금 8 9" xfId="13589"/>
    <cellStyle name="C￥AØ_Ay°eC￥(2¿u) _2001재무제표_재무지원부충당금 9" xfId="13590"/>
    <cellStyle name="Ç¥ÁØ_Áý°èÇ¥(2¿ù) _2001재무제표_재무지원부충당금 9" xfId="13591"/>
    <cellStyle name="C￥AØ_Ay°eC￥(2¿u) _2001재무제표_재무지원부충당금 9 10" xfId="13592"/>
    <cellStyle name="Ç¥ÁØ_Áý°èÇ¥(2¿ù) _2001재무제표_재무지원부충당금 9 10" xfId="13593"/>
    <cellStyle name="C￥AØ_Ay°eC￥(2¿u) _2001재무제표_재무지원부충당금 9 11" xfId="13594"/>
    <cellStyle name="Ç¥ÁØ_Áý°èÇ¥(2¿ù) _2001재무제표_재무지원부충당금 9 11" xfId="13595"/>
    <cellStyle name="C￥AØ_Ay°eC￥(2¿u) _2001재무제표_재무지원부충당금 9 2" xfId="13596"/>
    <cellStyle name="Ç¥ÁØ_Áý°èÇ¥(2¿ù) _2001재무제표_재무지원부충당금 9 2" xfId="13597"/>
    <cellStyle name="C￥AØ_Ay°eC￥(2¿u) _2001재무제표_재무지원부충당금 9 3" xfId="13598"/>
    <cellStyle name="Ç¥ÁØ_Áý°èÇ¥(2¿ù) _2001재무제표_재무지원부충당금 9 3" xfId="13599"/>
    <cellStyle name="C￥AØ_Ay°eC￥(2¿u) _2001재무제표_재무지원부충당금 9 4" xfId="13600"/>
    <cellStyle name="Ç¥ÁØ_Áý°èÇ¥(2¿ù) _2001재무제표_재무지원부충당금 9 4" xfId="13601"/>
    <cellStyle name="C￥AØ_Ay°eC￥(2¿u) _2001재무제표_재무지원부충당금 9 5" xfId="13602"/>
    <cellStyle name="Ç¥ÁØ_Áý°èÇ¥(2¿ù) _2001재무제표_재무지원부충당금 9 5" xfId="13603"/>
    <cellStyle name="C￥AØ_Ay°eC￥(2¿u) _2001재무제표_재무지원부충당금 9 6" xfId="13604"/>
    <cellStyle name="Ç¥ÁØ_Áý°èÇ¥(2¿ù) _2001재무제표_재무지원부충당금 9 6" xfId="13605"/>
    <cellStyle name="C￥AØ_Ay°eC￥(2¿u) _2001재무제표_재무지원부충당금 9 7" xfId="13606"/>
    <cellStyle name="Ç¥ÁØ_Áý°èÇ¥(2¿ù) _2001재무제표_재무지원부충당금 9 7" xfId="13607"/>
    <cellStyle name="C￥AØ_Ay°eC￥(2¿u) _2001재무제표_재무지원부충당금 9 8" xfId="13608"/>
    <cellStyle name="Ç¥ÁØ_Áý°èÇ¥(2¿ù) _2001재무제표_재무지원부충당금 9 8" xfId="13609"/>
    <cellStyle name="C￥AØ_Ay°eC￥(2¿u) _2001재무제표_재무지원부충당금 9 9" xfId="13610"/>
    <cellStyle name="Ç¥ÁØ_Áý°èÇ¥(2¿ù) _2001재무제표_재무지원부충당금 9 9" xfId="13611"/>
    <cellStyle name="C￥AØ_Ay°eC￥(2¿u) _2001재무제표_재무지원부충당금_HN,KEB(권리분석)_김영진_조세지원" xfId="13612"/>
    <cellStyle name="Ç¥ÁØ_Áý°èÇ¥(2¿ù) _2001재무제표_재무지원부충당금_HN,KEB(권리분석)_김영진_조세지원" xfId="13613"/>
    <cellStyle name="C￥AØ_Ay°eC￥(2¿u) _2001재무제표_재무지원부충당금_HN,KEB(권리분석)_김영진_조세지원 10" xfId="13614"/>
    <cellStyle name="Ç¥ÁØ_Áý°èÇ¥(2¿ù) _2001재무제표_재무지원부충당금_HN,KEB(권리분석_최종)_통합" xfId="13615"/>
    <cellStyle name="C￥AØ_Ay°eC￥(2¿u) _2001재무제표_재무지원부충당금_HN,KEB(권리분석_최종)_통합 10" xfId="13616"/>
    <cellStyle name="Ç¥ÁØ_Áý°èÇ¥(2¿ù) _2001재무제표_재무지원부충당금_SHB_2011-3_담보sheet(더밸류_v6이교민)" xfId="13617"/>
    <cellStyle name="C￥AØ_Ay°eC￥(2¿u) _2001재무제표_추가충당금명세_0630_V3" xfId="1341"/>
    <cellStyle name="Ç¥ÁØ_Áý°èÇ¥(2¿ù) _2001재무제표_추가충당금명세_0630_V3" xfId="1342"/>
    <cellStyle name="C￥AØ_Ay°eC￥(2¿u) _2001재무제표_추가충당금명세_0630_V3 10" xfId="13618"/>
    <cellStyle name="Ç¥ÁØ_Áý°èÇ¥(2¿ù) _2001재무제표_추가충당금명세_0630_V3 10" xfId="13619"/>
    <cellStyle name="C￥AØ_Ay°eC￥(2¿u) _2001재무제표_추가충당금명세_0630_V3 10 10" xfId="13620"/>
    <cellStyle name="Ç¥ÁØ_Áý°èÇ¥(2¿ù) _2001재무제표_추가충당금명세_0630_V3 10 10" xfId="13621"/>
    <cellStyle name="C￥AØ_Ay°eC￥(2¿u) _2001재무제표_추가충당금명세_0630_V3 10 11" xfId="13622"/>
    <cellStyle name="Ç¥ÁØ_Áý°èÇ¥(2¿ù) _2001재무제표_추가충당금명세_0630_V3 10 11" xfId="13623"/>
    <cellStyle name="C￥AØ_Ay°eC￥(2¿u) _2001재무제표_추가충당금명세_0630_V3 10 2" xfId="13624"/>
    <cellStyle name="Ç¥ÁØ_Áý°èÇ¥(2¿ù) _2001재무제표_추가충당금명세_0630_V3 10 2" xfId="13625"/>
    <cellStyle name="C￥AØ_Ay°eC￥(2¿u) _2001재무제표_추가충당금명세_0630_V3 10 3" xfId="13626"/>
    <cellStyle name="Ç¥ÁØ_Áý°èÇ¥(2¿ù) _2001재무제표_추가충당금명세_0630_V3 10 3" xfId="13627"/>
    <cellStyle name="C￥AØ_Ay°eC￥(2¿u) _2001재무제표_추가충당금명세_0630_V3 10 4" xfId="13628"/>
    <cellStyle name="Ç¥ÁØ_Áý°èÇ¥(2¿ù) _2001재무제표_추가충당금명세_0630_V3 10 4" xfId="13629"/>
    <cellStyle name="C￥AØ_Ay°eC￥(2¿u) _2001재무제표_추가충당금명세_0630_V3 10 5" xfId="13630"/>
    <cellStyle name="Ç¥ÁØ_Áý°èÇ¥(2¿ù) _2001재무제표_추가충당금명세_0630_V3 10 5" xfId="13631"/>
    <cellStyle name="C￥AØ_Ay°eC￥(2¿u) _2001재무제표_추가충당금명세_0630_V3 10 6" xfId="13632"/>
    <cellStyle name="Ç¥ÁØ_Áý°èÇ¥(2¿ù) _2001재무제표_추가충당금명세_0630_V3 10 6" xfId="13633"/>
    <cellStyle name="C￥AØ_Ay°eC￥(2¿u) _2001재무제표_추가충당금명세_0630_V3 10 7" xfId="13634"/>
    <cellStyle name="Ç¥ÁØ_Áý°èÇ¥(2¿ù) _2001재무제표_추가충당금명세_0630_V3 10 7" xfId="13635"/>
    <cellStyle name="C￥AØ_Ay°eC￥(2¿u) _2001재무제표_추가충당금명세_0630_V3 10 8" xfId="13636"/>
    <cellStyle name="Ç¥ÁØ_Áý°èÇ¥(2¿ù) _2001재무제표_추가충당금명세_0630_V3 10 8" xfId="13637"/>
    <cellStyle name="C￥AØ_Ay°eC￥(2¿u) _2001재무제표_추가충당금명세_0630_V3 10 9" xfId="13638"/>
    <cellStyle name="Ç¥ÁØ_Áý°èÇ¥(2¿ù) _2001재무제표_추가충당금명세_0630_V3 10 9" xfId="13639"/>
    <cellStyle name="C￥AØ_Ay°eC￥(2¿u) _2001재무제표_추가충당금명세_0630_V3 11" xfId="13640"/>
    <cellStyle name="Ç¥ÁØ_Áý°èÇ¥(2¿ù) _2001재무제표_추가충당금명세_0630_V3 11" xfId="13641"/>
    <cellStyle name="C￥AØ_Ay°eC￥(2¿u) _2001재무제표_추가충당금명세_0630_V3 12" xfId="13642"/>
    <cellStyle name="Ç¥ÁØ_Áý°èÇ¥(2¿ù) _2001재무제표_추가충당금명세_0630_V3 12" xfId="13643"/>
    <cellStyle name="C￥AØ_Ay°eC￥(2¿u) _2001재무제표_추가충당금명세_0630_V3 13" xfId="13644"/>
    <cellStyle name="Ç¥ÁØ_Áý°èÇ¥(2¿ù) _2001재무제표_추가충당금명세_0630_V3 13" xfId="13645"/>
    <cellStyle name="C￥AØ_Ay°eC￥(2¿u) _2001재무제표_추가충당금명세_0630_V3 14" xfId="13646"/>
    <cellStyle name="Ç¥ÁØ_Áý°èÇ¥(2¿ù) _2001재무제표_추가충당금명세_0630_V3 14" xfId="13647"/>
    <cellStyle name="C￥AØ_Ay°eC￥(2¿u) _2001재무제표_추가충당금명세_0630_V3 15" xfId="13648"/>
    <cellStyle name="Ç¥ÁØ_Áý°èÇ¥(2¿ù) _2001재무제표_추가충당금명세_0630_V3 15" xfId="13649"/>
    <cellStyle name="C￥AØ_Ay°eC￥(2¿u) _2001재무제표_추가충당금명세_0630_V3 16" xfId="13650"/>
    <cellStyle name="Ç¥ÁØ_Áý°èÇ¥(2¿ù) _2001재무제표_추가충당금명세_0630_V3 16" xfId="13651"/>
    <cellStyle name="C￥AØ_Ay°eC￥(2¿u) _2001재무제표_추가충당금명세_0630_V3 17" xfId="13652"/>
    <cellStyle name="Ç¥ÁØ_Áý°èÇ¥(2¿ù) _2001재무제표_추가충당금명세_0630_V3 17" xfId="13653"/>
    <cellStyle name="C￥AØ_Ay°eC￥(2¿u) _2001재무제표_추가충당금명세_0630_V3 18" xfId="13654"/>
    <cellStyle name="Ç¥ÁØ_Áý°èÇ¥(2¿ù) _2001재무제표_추가충당금명세_0630_V3 18" xfId="13655"/>
    <cellStyle name="C￥AØ_Ay°eC￥(2¿u) _2001재무제표_추가충당금명세_0630_V3 19" xfId="13656"/>
    <cellStyle name="Ç¥ÁØ_Áý°èÇ¥(2¿ù) _2001재무제표_추가충당금명세_0630_V3 19" xfId="13657"/>
    <cellStyle name="C￥AØ_Ay°eC￥(2¿u) _2001재무제표_추가충당금명세_0630_V3 2" xfId="1343"/>
    <cellStyle name="Ç¥ÁØ_Áý°èÇ¥(2¿ù) _2001재무제표_추가충당금명세_0630_V3 2" xfId="1344"/>
    <cellStyle name="C￥AØ_Ay°eC￥(2¿u) _2001재무제표_추가충당금명세_0630_V3 2 10" xfId="13658"/>
    <cellStyle name="Ç¥ÁØ_Áý°èÇ¥(2¿ù) _2001재무제표_추가충당금명세_0630_V3 2 10" xfId="13659"/>
    <cellStyle name="C￥AØ_Ay°eC￥(2¿u) _2001재무제표_추가충당금명세_0630_V3 2 11" xfId="13660"/>
    <cellStyle name="Ç¥ÁØ_Áý°èÇ¥(2¿ù) _2001재무제표_추가충당금명세_0630_V3 2 11" xfId="13661"/>
    <cellStyle name="C￥AØ_Ay°eC￥(2¿u) _2001재무제표_추가충당금명세_0630_V3 2 2" xfId="13662"/>
    <cellStyle name="Ç¥ÁØ_Áý°èÇ¥(2¿ù) _2001재무제표_추가충당금명세_0630_V3 2 2" xfId="13663"/>
    <cellStyle name="C￥AØ_Ay°eC￥(2¿u) _2001재무제표_추가충당금명세_0630_V3 2 3" xfId="13664"/>
    <cellStyle name="Ç¥ÁØ_Áý°èÇ¥(2¿ù) _2001재무제표_추가충당금명세_0630_V3 2 3" xfId="13665"/>
    <cellStyle name="C￥AØ_Ay°eC￥(2¿u) _2001재무제표_추가충당금명세_0630_V3 2 4" xfId="13666"/>
    <cellStyle name="Ç¥ÁØ_Áý°èÇ¥(2¿ù) _2001재무제표_추가충당금명세_0630_V3 2 4" xfId="13667"/>
    <cellStyle name="C￥AØ_Ay°eC￥(2¿u) _2001재무제표_추가충당금명세_0630_V3 2 5" xfId="13668"/>
    <cellStyle name="Ç¥ÁØ_Áý°èÇ¥(2¿ù) _2001재무제표_추가충당금명세_0630_V3 2 5" xfId="13669"/>
    <cellStyle name="C￥AØ_Ay°eC￥(2¿u) _2001재무제표_추가충당금명세_0630_V3 2 6" xfId="13670"/>
    <cellStyle name="Ç¥ÁØ_Áý°èÇ¥(2¿ù) _2001재무제표_추가충당금명세_0630_V3 2 6" xfId="13671"/>
    <cellStyle name="C￥AØ_Ay°eC￥(2¿u) _2001재무제표_추가충당금명세_0630_V3 2 7" xfId="13672"/>
    <cellStyle name="Ç¥ÁØ_Áý°èÇ¥(2¿ù) _2001재무제표_추가충당금명세_0630_V3 2 7" xfId="13673"/>
    <cellStyle name="C￥AØ_Ay°eC￥(2¿u) _2001재무제표_추가충당금명세_0630_V3 2 8" xfId="13674"/>
    <cellStyle name="Ç¥ÁØ_Áý°èÇ¥(2¿ù) _2001재무제표_추가충당금명세_0630_V3 2 8" xfId="13675"/>
    <cellStyle name="C￥AØ_Ay°eC￥(2¿u) _2001재무제표_추가충당금명세_0630_V3 2 9" xfId="13676"/>
    <cellStyle name="Ç¥ÁØ_Áý°èÇ¥(2¿ù) _2001재무제표_추가충당금명세_0630_V3 2 9" xfId="13677"/>
    <cellStyle name="C￥AØ_Ay°eC￥(2¿u) _2001재무제표_추가충당금명세_0630_V3 20" xfId="13678"/>
    <cellStyle name="Ç¥ÁØ_Áý°èÇ¥(2¿ù) _2001재무제표_추가충당금명세_0630_V3 20" xfId="13679"/>
    <cellStyle name="C￥AØ_Ay°eC￥(2¿u) _2001재무제표_추가충당금명세_0630_V3 3" xfId="4970"/>
    <cellStyle name="Ç¥ÁØ_Áý°èÇ¥(2¿ù) _2001재무제표_추가충당금명세_0630_V3 3" xfId="4971"/>
    <cellStyle name="C￥AØ_Ay°eC￥(2¿u) _2001재무제표_추가충당금명세_0630_V3 3 10" xfId="13680"/>
    <cellStyle name="Ç¥ÁØ_Áý°èÇ¥(2¿ù) _2001재무제표_추가충당금명세_0630_V3 3 10" xfId="13681"/>
    <cellStyle name="C￥AØ_Ay°eC￥(2¿u) _2001재무제표_추가충당금명세_0630_V3 3 11" xfId="13682"/>
    <cellStyle name="Ç¥ÁØ_Áý°èÇ¥(2¿ù) _2001재무제표_추가충당금명세_0630_V3 3 11" xfId="13683"/>
    <cellStyle name="C￥AØ_Ay°eC￥(2¿u) _2001재무제표_추가충당금명세_0630_V3 3 2" xfId="13684"/>
    <cellStyle name="Ç¥ÁØ_Áý°èÇ¥(2¿ù) _2001재무제표_추가충당금명세_0630_V3 3 2" xfId="13685"/>
    <cellStyle name="C￥AØ_Ay°eC￥(2¿u) _2001재무제표_추가충당금명세_0630_V3 3 3" xfId="13686"/>
    <cellStyle name="Ç¥ÁØ_Áý°èÇ¥(2¿ù) _2001재무제표_추가충당금명세_0630_V3 3 3" xfId="13687"/>
    <cellStyle name="C￥AØ_Ay°eC￥(2¿u) _2001재무제표_추가충당금명세_0630_V3 3 4" xfId="13688"/>
    <cellStyle name="Ç¥ÁØ_Áý°èÇ¥(2¿ù) _2001재무제표_추가충당금명세_0630_V3 3 4" xfId="13689"/>
    <cellStyle name="C￥AØ_Ay°eC￥(2¿u) _2001재무제표_추가충당금명세_0630_V3 3 5" xfId="13690"/>
    <cellStyle name="Ç¥ÁØ_Áý°èÇ¥(2¿ù) _2001재무제표_추가충당금명세_0630_V3 3 5" xfId="13691"/>
    <cellStyle name="C￥AØ_Ay°eC￥(2¿u) _2001재무제표_추가충당금명세_0630_V3 3 6" xfId="13692"/>
    <cellStyle name="Ç¥ÁØ_Áý°èÇ¥(2¿ù) _2001재무제표_추가충당금명세_0630_V3 3 6" xfId="13693"/>
    <cellStyle name="C￥AØ_Ay°eC￥(2¿u) _2001재무제표_추가충당금명세_0630_V3 3 7" xfId="13694"/>
    <cellStyle name="Ç¥ÁØ_Áý°èÇ¥(2¿ù) _2001재무제표_추가충당금명세_0630_V3 3 7" xfId="13695"/>
    <cellStyle name="C￥AØ_Ay°eC￥(2¿u) _2001재무제표_추가충당금명세_0630_V3 3 8" xfId="13696"/>
    <cellStyle name="Ç¥ÁØ_Áý°èÇ¥(2¿ù) _2001재무제표_추가충당금명세_0630_V3 3 8" xfId="13697"/>
    <cellStyle name="C￥AØ_Ay°eC￥(2¿u) _2001재무제표_추가충당금명세_0630_V3 3 9" xfId="13698"/>
    <cellStyle name="Ç¥ÁØ_Áý°èÇ¥(2¿ù) _2001재무제표_추가충당금명세_0630_V3 3 9" xfId="13699"/>
    <cellStyle name="C￥AØ_Ay°eC￥(2¿u) _2001재무제표_추가충당금명세_0630_V3 4" xfId="4972"/>
    <cellStyle name="Ç¥ÁØ_Áý°èÇ¥(2¿ù) _2001재무제표_추가충당금명세_0630_V3 4" xfId="4973"/>
    <cellStyle name="C￥AØ_Ay°eC￥(2¿u) _2001재무제표_추가충당금명세_0630_V3 4 10" xfId="13700"/>
    <cellStyle name="Ç¥ÁØ_Áý°èÇ¥(2¿ù) _2001재무제표_추가충당금명세_0630_V3 4 10" xfId="13701"/>
    <cellStyle name="C￥AØ_Ay°eC￥(2¿u) _2001재무제표_추가충당금명세_0630_V3 4 11" xfId="13702"/>
    <cellStyle name="Ç¥ÁØ_Áý°èÇ¥(2¿ù) _2001재무제표_추가충당금명세_0630_V3 4 11" xfId="13703"/>
    <cellStyle name="C￥AØ_Ay°eC￥(2¿u) _2001재무제표_추가충당금명세_0630_V3 4 2" xfId="13704"/>
    <cellStyle name="Ç¥ÁØ_Áý°èÇ¥(2¿ù) _2001재무제표_추가충당금명세_0630_V3 4 2" xfId="13705"/>
    <cellStyle name="C￥AØ_Ay°eC￥(2¿u) _2001재무제표_추가충당금명세_0630_V3 4 3" xfId="13706"/>
    <cellStyle name="Ç¥ÁØ_Áý°èÇ¥(2¿ù) _2001재무제표_추가충당금명세_0630_V3 4 3" xfId="13707"/>
    <cellStyle name="C￥AØ_Ay°eC￥(2¿u) _2001재무제표_추가충당금명세_0630_V3 4 4" xfId="13708"/>
    <cellStyle name="Ç¥ÁØ_Áý°èÇ¥(2¿ù) _2001재무제표_추가충당금명세_0630_V3 4 4" xfId="13709"/>
    <cellStyle name="C￥AØ_Ay°eC￥(2¿u) _2001재무제표_추가충당금명세_0630_V3 4 5" xfId="13710"/>
    <cellStyle name="Ç¥ÁØ_Áý°èÇ¥(2¿ù) _2001재무제표_추가충당금명세_0630_V3 4 5" xfId="13711"/>
    <cellStyle name="C￥AØ_Ay°eC￥(2¿u) _2001재무제표_추가충당금명세_0630_V3 4 6" xfId="13712"/>
    <cellStyle name="Ç¥ÁØ_Áý°èÇ¥(2¿ù) _2001재무제표_추가충당금명세_0630_V3 4 6" xfId="13713"/>
    <cellStyle name="C￥AØ_Ay°eC￥(2¿u) _2001재무제표_추가충당금명세_0630_V3 4 7" xfId="13714"/>
    <cellStyle name="Ç¥ÁØ_Áý°èÇ¥(2¿ù) _2001재무제표_추가충당금명세_0630_V3 4 7" xfId="13715"/>
    <cellStyle name="C￥AØ_Ay°eC￥(2¿u) _2001재무제표_추가충당금명세_0630_V3 4 8" xfId="13716"/>
    <cellStyle name="Ç¥ÁØ_Áý°èÇ¥(2¿ù) _2001재무제표_추가충당금명세_0630_V3 4 8" xfId="13717"/>
    <cellStyle name="C￥AØ_Ay°eC￥(2¿u) _2001재무제표_추가충당금명세_0630_V3 4 9" xfId="13718"/>
    <cellStyle name="Ç¥ÁØ_Áý°èÇ¥(2¿ù) _2001재무제표_추가충당금명세_0630_V3 4 9" xfId="13719"/>
    <cellStyle name="C￥AØ_Ay°eC￥(2¿u) _2001재무제표_추가충당금명세_0630_V3 5" xfId="4974"/>
    <cellStyle name="Ç¥ÁØ_Áý°èÇ¥(2¿ù) _2001재무제표_추가충당금명세_0630_V3 5" xfId="4975"/>
    <cellStyle name="C￥AØ_Ay°eC￥(2¿u) _2001재무제표_추가충당금명세_0630_V3 5 10" xfId="13720"/>
    <cellStyle name="Ç¥ÁØ_Áý°èÇ¥(2¿ù) _2001재무제표_추가충당금명세_0630_V3 5 10" xfId="13721"/>
    <cellStyle name="C￥AØ_Ay°eC￥(2¿u) _2001재무제표_추가충당금명세_0630_V3 5 11" xfId="13722"/>
    <cellStyle name="Ç¥ÁØ_Áý°èÇ¥(2¿ù) _2001재무제표_추가충당금명세_0630_V3 5 11" xfId="13723"/>
    <cellStyle name="C￥AØ_Ay°eC￥(2¿u) _2001재무제표_추가충당금명세_0630_V3 5 2" xfId="13724"/>
    <cellStyle name="Ç¥ÁØ_Áý°èÇ¥(2¿ù) _2001재무제표_추가충당금명세_0630_V3 5 2" xfId="13725"/>
    <cellStyle name="C￥AØ_Ay°eC￥(2¿u) _2001재무제표_추가충당금명세_0630_V3 5 3" xfId="13726"/>
    <cellStyle name="Ç¥ÁØ_Áý°èÇ¥(2¿ù) _2001재무제표_추가충당금명세_0630_V3 5 3" xfId="13727"/>
    <cellStyle name="C￥AØ_Ay°eC￥(2¿u) _2001재무제표_추가충당금명세_0630_V3 5 4" xfId="13728"/>
    <cellStyle name="Ç¥ÁØ_Áý°èÇ¥(2¿ù) _2001재무제표_추가충당금명세_0630_V3 5 4" xfId="13729"/>
    <cellStyle name="C￥AØ_Ay°eC￥(2¿u) _2001재무제표_추가충당금명세_0630_V3 5 5" xfId="13730"/>
    <cellStyle name="Ç¥ÁØ_Áý°èÇ¥(2¿ù) _2001재무제표_추가충당금명세_0630_V3 5 5" xfId="13731"/>
    <cellStyle name="C￥AØ_Ay°eC￥(2¿u) _2001재무제표_추가충당금명세_0630_V3 5 6" xfId="13732"/>
    <cellStyle name="Ç¥ÁØ_Áý°èÇ¥(2¿ù) _2001재무제표_추가충당금명세_0630_V3 5 6" xfId="13733"/>
    <cellStyle name="C￥AØ_Ay°eC￥(2¿u) _2001재무제표_추가충당금명세_0630_V3 5 7" xfId="13734"/>
    <cellStyle name="Ç¥ÁØ_Áý°èÇ¥(2¿ù) _2001재무제표_추가충당금명세_0630_V3 5 7" xfId="13735"/>
    <cellStyle name="C￥AØ_Ay°eC￥(2¿u) _2001재무제표_추가충당금명세_0630_V3 5 8" xfId="13736"/>
    <cellStyle name="Ç¥ÁØ_Áý°èÇ¥(2¿ù) _2001재무제표_추가충당금명세_0630_V3 5 8" xfId="13737"/>
    <cellStyle name="C￥AØ_Ay°eC￥(2¿u) _2001재무제표_추가충당금명세_0630_V3 5 9" xfId="13738"/>
    <cellStyle name="Ç¥ÁØ_Áý°èÇ¥(2¿ù) _2001재무제표_추가충당금명세_0630_V3 5 9" xfId="13739"/>
    <cellStyle name="C￥AØ_Ay°eC￥(2¿u) _2001재무제표_추가충당금명세_0630_V3 6" xfId="4976"/>
    <cellStyle name="Ç¥ÁØ_Áý°èÇ¥(2¿ù) _2001재무제표_추가충당금명세_0630_V3 6" xfId="4977"/>
    <cellStyle name="C￥AØ_Ay°eC￥(2¿u) _2001재무제표_추가충당금명세_0630_V3 6 10" xfId="13740"/>
    <cellStyle name="Ç¥ÁØ_Áý°èÇ¥(2¿ù) _2001재무제표_추가충당금명세_0630_V3 6 10" xfId="13741"/>
    <cellStyle name="C￥AØ_Ay°eC￥(2¿u) _2001재무제표_추가충당금명세_0630_V3 6 11" xfId="13742"/>
    <cellStyle name="Ç¥ÁØ_Áý°èÇ¥(2¿ù) _2001재무제표_추가충당금명세_0630_V3 6 11" xfId="13743"/>
    <cellStyle name="C￥AØ_Ay°eC￥(2¿u) _2001재무제표_추가충당금명세_0630_V3 6 2" xfId="13744"/>
    <cellStyle name="Ç¥ÁØ_Áý°èÇ¥(2¿ù) _2001재무제표_추가충당금명세_0630_V3 6 2" xfId="13745"/>
    <cellStyle name="C￥AØ_Ay°eC￥(2¿u) _2001재무제표_추가충당금명세_0630_V3 6 3" xfId="13746"/>
    <cellStyle name="Ç¥ÁØ_Áý°èÇ¥(2¿ù) _2001재무제표_추가충당금명세_0630_V3 6 3" xfId="13747"/>
    <cellStyle name="C￥AØ_Ay°eC￥(2¿u) _2001재무제표_추가충당금명세_0630_V3 6 4" xfId="13748"/>
    <cellStyle name="Ç¥ÁØ_Áý°èÇ¥(2¿ù) _2001재무제표_추가충당금명세_0630_V3 6 4" xfId="13749"/>
    <cellStyle name="C￥AØ_Ay°eC￥(2¿u) _2001재무제표_추가충당금명세_0630_V3 6 5" xfId="13750"/>
    <cellStyle name="Ç¥ÁØ_Áý°èÇ¥(2¿ù) _2001재무제표_추가충당금명세_0630_V3 6 5" xfId="13751"/>
    <cellStyle name="C￥AØ_Ay°eC￥(2¿u) _2001재무제표_추가충당금명세_0630_V3 6 6" xfId="13752"/>
    <cellStyle name="Ç¥ÁØ_Áý°èÇ¥(2¿ù) _2001재무제표_추가충당금명세_0630_V3 6 6" xfId="13753"/>
    <cellStyle name="C￥AØ_Ay°eC￥(2¿u) _2001재무제표_추가충당금명세_0630_V3 6 7" xfId="13754"/>
    <cellStyle name="Ç¥ÁØ_Áý°èÇ¥(2¿ù) _2001재무제표_추가충당금명세_0630_V3 6 7" xfId="13755"/>
    <cellStyle name="C￥AØ_Ay°eC￥(2¿u) _2001재무제표_추가충당금명세_0630_V3 6 8" xfId="13756"/>
    <cellStyle name="Ç¥ÁØ_Áý°èÇ¥(2¿ù) _2001재무제표_추가충당금명세_0630_V3 6 8" xfId="13757"/>
    <cellStyle name="C￥AØ_Ay°eC￥(2¿u) _2001재무제표_추가충당금명세_0630_V3 6 9" xfId="13758"/>
    <cellStyle name="Ç¥ÁØ_Áý°èÇ¥(2¿ù) _2001재무제표_추가충당금명세_0630_V3 6 9" xfId="13759"/>
    <cellStyle name="C￥AØ_Ay°eC￥(2¿u) _2001재무제표_추가충당금명세_0630_V3 7" xfId="13760"/>
    <cellStyle name="Ç¥ÁØ_Áý°èÇ¥(2¿ù) _2001재무제표_추가충당금명세_0630_V3 7" xfId="13761"/>
    <cellStyle name="C￥AØ_Ay°eC￥(2¿u) _2001재무제표_추가충당금명세_0630_V3 7 10" xfId="13762"/>
    <cellStyle name="Ç¥ÁØ_Áý°èÇ¥(2¿ù) _2001재무제표_추가충당금명세_0630_V3 7 10" xfId="13763"/>
    <cellStyle name="C￥AØ_Ay°eC￥(2¿u) _2001재무제표_추가충당금명세_0630_V3 7 11" xfId="13764"/>
    <cellStyle name="Ç¥ÁØ_Áý°èÇ¥(2¿ù) _2001재무제표_추가충당금명세_0630_V3 7 11" xfId="13765"/>
    <cellStyle name="C￥AØ_Ay°eC￥(2¿u) _2001재무제표_추가충당금명세_0630_V3 7 2" xfId="13766"/>
    <cellStyle name="Ç¥ÁØ_Áý°èÇ¥(2¿ù) _2001재무제표_추가충당금명세_0630_V3 7 2" xfId="13767"/>
    <cellStyle name="C￥AØ_Ay°eC￥(2¿u) _2001재무제표_추가충당금명세_0630_V3 7 3" xfId="13768"/>
    <cellStyle name="Ç¥ÁØ_Áý°èÇ¥(2¿ù) _2001재무제표_추가충당금명세_0630_V3 7 3" xfId="13769"/>
    <cellStyle name="C￥AØ_Ay°eC￥(2¿u) _2001재무제표_추가충당금명세_0630_V3 7 4" xfId="13770"/>
    <cellStyle name="Ç¥ÁØ_Áý°èÇ¥(2¿ù) _2001재무제표_추가충당금명세_0630_V3 7 4" xfId="13771"/>
    <cellStyle name="C￥AØ_Ay°eC￥(2¿u) _2001재무제표_추가충당금명세_0630_V3 7 5" xfId="13772"/>
    <cellStyle name="Ç¥ÁØ_Áý°èÇ¥(2¿ù) _2001재무제표_추가충당금명세_0630_V3 7 5" xfId="13773"/>
    <cellStyle name="C￥AØ_Ay°eC￥(2¿u) _2001재무제표_추가충당금명세_0630_V3 7 6" xfId="13774"/>
    <cellStyle name="Ç¥ÁØ_Áý°èÇ¥(2¿ù) _2001재무제표_추가충당금명세_0630_V3 7 6" xfId="13775"/>
    <cellStyle name="C￥AØ_Ay°eC￥(2¿u) _2001재무제표_추가충당금명세_0630_V3 7 7" xfId="13776"/>
    <cellStyle name="Ç¥ÁØ_Áý°èÇ¥(2¿ù) _2001재무제표_추가충당금명세_0630_V3 7 7" xfId="13777"/>
    <cellStyle name="C￥AØ_Ay°eC￥(2¿u) _2001재무제표_추가충당금명세_0630_V3 7 8" xfId="13778"/>
    <cellStyle name="Ç¥ÁØ_Áý°èÇ¥(2¿ù) _2001재무제표_추가충당금명세_0630_V3 7 8" xfId="13779"/>
    <cellStyle name="C￥AØ_Ay°eC￥(2¿u) _2001재무제표_추가충당금명세_0630_V3 7 9" xfId="13780"/>
    <cellStyle name="Ç¥ÁØ_Áý°èÇ¥(2¿ù) _2001재무제표_추가충당금명세_0630_V3 7 9" xfId="13781"/>
    <cellStyle name="C￥AØ_Ay°eC￥(2¿u) _2001재무제표_추가충당금명세_0630_V3 8" xfId="13782"/>
    <cellStyle name="Ç¥ÁØ_Áý°èÇ¥(2¿ù) _2001재무제표_추가충당금명세_0630_V3 8" xfId="13783"/>
    <cellStyle name="C￥AØ_Ay°eC￥(2¿u) _2001재무제표_추가충당금명세_0630_V3 8 10" xfId="13784"/>
    <cellStyle name="Ç¥ÁØ_Áý°èÇ¥(2¿ù) _2001재무제표_추가충당금명세_0630_V3 8 10" xfId="13785"/>
    <cellStyle name="C￥AØ_Ay°eC￥(2¿u) _2001재무제표_추가충당금명세_0630_V3 8 11" xfId="13786"/>
    <cellStyle name="Ç¥ÁØ_Áý°èÇ¥(2¿ù) _2001재무제표_추가충당금명세_0630_V3 8 11" xfId="13787"/>
    <cellStyle name="C￥AØ_Ay°eC￥(2¿u) _2001재무제표_추가충당금명세_0630_V3 8 2" xfId="13788"/>
    <cellStyle name="Ç¥ÁØ_Áý°èÇ¥(2¿ù) _2001재무제표_추가충당금명세_0630_V3 8 2" xfId="13789"/>
    <cellStyle name="C￥AØ_Ay°eC￥(2¿u) _2001재무제표_추가충당금명세_0630_V3 8 3" xfId="13790"/>
    <cellStyle name="Ç¥ÁØ_Áý°èÇ¥(2¿ù) _2001재무제표_추가충당금명세_0630_V3 8 3" xfId="13791"/>
    <cellStyle name="C￥AØ_Ay°eC￥(2¿u) _2001재무제표_추가충당금명세_0630_V3 8 4" xfId="13792"/>
    <cellStyle name="Ç¥ÁØ_Áý°èÇ¥(2¿ù) _2001재무제표_추가충당금명세_0630_V3 8 4" xfId="13793"/>
    <cellStyle name="C￥AØ_Ay°eC￥(2¿u) _2001재무제표_추가충당금명세_0630_V3 8 5" xfId="13794"/>
    <cellStyle name="Ç¥ÁØ_Áý°èÇ¥(2¿ù) _2001재무제표_추가충당금명세_0630_V3 8 5" xfId="13795"/>
    <cellStyle name="C￥AØ_Ay°eC￥(2¿u) _2001재무제표_추가충당금명세_0630_V3 8 6" xfId="13796"/>
    <cellStyle name="Ç¥ÁØ_Áý°èÇ¥(2¿ù) _2001재무제표_추가충당금명세_0630_V3 8 6" xfId="13797"/>
    <cellStyle name="C￥AØ_Ay°eC￥(2¿u) _2001재무제표_추가충당금명세_0630_V3 8 7" xfId="13798"/>
    <cellStyle name="Ç¥ÁØ_Áý°èÇ¥(2¿ù) _2001재무제표_추가충당금명세_0630_V3 8 7" xfId="13799"/>
    <cellStyle name="C￥AØ_Ay°eC￥(2¿u) _2001재무제표_추가충당금명세_0630_V3 8 8" xfId="13800"/>
    <cellStyle name="Ç¥ÁØ_Áý°èÇ¥(2¿ù) _2001재무제표_추가충당금명세_0630_V3 8 8" xfId="13801"/>
    <cellStyle name="C￥AØ_Ay°eC￥(2¿u) _2001재무제표_추가충당금명세_0630_V3 8 9" xfId="13802"/>
    <cellStyle name="Ç¥ÁØ_Áý°èÇ¥(2¿ù) _2001재무제표_추가충당금명세_0630_V3 8 9" xfId="13803"/>
    <cellStyle name="C￥AØ_Ay°eC￥(2¿u) _2001재무제표_추가충당금명세_0630_V3 9" xfId="13804"/>
    <cellStyle name="Ç¥ÁØ_Áý°èÇ¥(2¿ù) _2001재무제표_추가충당금명세_0630_V3 9" xfId="13805"/>
    <cellStyle name="C￥AØ_Ay°eC￥(2¿u) _2001재무제표_추가충당금명세_0630_V3 9 10" xfId="13806"/>
    <cellStyle name="Ç¥ÁØ_Áý°èÇ¥(2¿ù) _2001재무제표_추가충당금명세_0630_V3 9 10" xfId="13807"/>
    <cellStyle name="C￥AØ_Ay°eC￥(2¿u) _2001재무제표_추가충당금명세_0630_V3 9 11" xfId="13808"/>
    <cellStyle name="Ç¥ÁØ_Áý°èÇ¥(2¿ù) _2001재무제표_추가충당금명세_0630_V3 9 11" xfId="13809"/>
    <cellStyle name="C￥AØ_Ay°eC￥(2¿u) _2001재무제표_추가충당금명세_0630_V3 9 2" xfId="13810"/>
    <cellStyle name="Ç¥ÁØ_Áý°èÇ¥(2¿ù) _2001재무제표_추가충당금명세_0630_V3 9 2" xfId="13811"/>
    <cellStyle name="C￥AØ_Ay°eC￥(2¿u) _2001재무제표_추가충당금명세_0630_V3 9 3" xfId="13812"/>
    <cellStyle name="Ç¥ÁØ_Áý°èÇ¥(2¿ù) _2001재무제표_추가충당금명세_0630_V3 9 3" xfId="13813"/>
    <cellStyle name="C￥AØ_Ay°eC￥(2¿u) _2001재무제표_추가충당금명세_0630_V3 9 4" xfId="13814"/>
    <cellStyle name="Ç¥ÁØ_Áý°èÇ¥(2¿ù) _2001재무제표_추가충당금명세_0630_V3 9 4" xfId="13815"/>
    <cellStyle name="C￥AØ_Ay°eC￥(2¿u) _2001재무제표_추가충당금명세_0630_V3 9 5" xfId="13816"/>
    <cellStyle name="Ç¥ÁØ_Áý°èÇ¥(2¿ù) _2001재무제표_추가충당금명세_0630_V3 9 5" xfId="13817"/>
    <cellStyle name="C￥AØ_Ay°eC￥(2¿u) _2001재무제표_추가충당금명세_0630_V3 9 6" xfId="13818"/>
    <cellStyle name="Ç¥ÁØ_Áý°èÇ¥(2¿ù) _2001재무제표_추가충당금명세_0630_V3 9 6" xfId="13819"/>
    <cellStyle name="C￥AØ_Ay°eC￥(2¿u) _2001재무제표_추가충당금명세_0630_V3 9 7" xfId="13820"/>
    <cellStyle name="Ç¥ÁØ_Áý°èÇ¥(2¿ù) _2001재무제표_추가충당금명세_0630_V3 9 7" xfId="13821"/>
    <cellStyle name="C￥AØ_Ay°eC￥(2¿u) _2001재무제표_추가충당금명세_0630_V3 9 8" xfId="13822"/>
    <cellStyle name="Ç¥ÁØ_Áý°èÇ¥(2¿ù) _2001재무제표_추가충당금명세_0630_V3 9 8" xfId="13823"/>
    <cellStyle name="C￥AØ_Ay°eC￥(2¿u) _2001재무제표_추가충당금명세_0630_V3 9 9" xfId="13824"/>
    <cellStyle name="Ç¥ÁØ_Áý°èÇ¥(2¿ù) _2001재무제표_추가충당금명세_0630_V3 9 9" xfId="13825"/>
    <cellStyle name="C￥AØ_Ay°eC￥(2¿u) _2001재무제표_추가충당금명세_0630_V3_1211 충당금,건전성 현황_작업" xfId="13826"/>
    <cellStyle name="Ç¥ÁØ_Áý°èÇ¥(2¿ù) _2001재무제표_추가충당금명세_0630_V3_1211 충당금,건전성 현황_작업" xfId="13827"/>
    <cellStyle name="C￥AØ_Ay°eC￥(2¿u) _2001재무제표_추가충당금명세_0630_V3_HN,KEB(권리분석)_김영진_조세지원" xfId="13828"/>
    <cellStyle name="Ç¥ÁØ_Áý°èÇ¥(2¿ù) _2001재무제표_추가충당금명세_0630_V3_HN,KEB(권리분석)_김영진_조세지원" xfId="13829"/>
    <cellStyle name="C￥AØ_Ay°eC￥(2¿u) _2001재무제표_추가충당금명세_0630_V3_HN,KEB(권리분석)_김영진_조세지원 10" xfId="13830"/>
    <cellStyle name="Ç¥ÁØ_Áý°èÇ¥(2¿ù) _2001재무제표_추가충당금명세_0630_V3_HN,KEB(권리분석_최종)_통합" xfId="13831"/>
    <cellStyle name="C￥AØ_Ay°eC￥(2¿u) _2001재무제표_추가충당금명세_0630_V3_HN,KEB(권리분석_최종)_통합 10" xfId="13832"/>
    <cellStyle name="Ç¥ÁØ_Áý°èÇ¥(2¿ù) _2001재무제표_추가충당금명세_0630_V3_SHB_2011-3_담보sheet(더밸류_v6이교민)" xfId="13833"/>
    <cellStyle name="C￥AØ_Ay°eC￥(2¿u) _2001재무제표_추가충당금명세_0630_V3_심사역Q&amp;A(20110817_확인)" xfId="13834"/>
    <cellStyle name="Ç¥ÁØ_Áý°èÇ¥(2¿ù) _2001재무제표_추가충당금명세_0630_V3_심사역Q&amp;A(20110817_확인)" xfId="13835"/>
    <cellStyle name="C￥AØ_CoAo¹yAI °A¾×¿ⓒ½A " xfId="1345"/>
    <cellStyle name="Ç¥ÁØ_laroux" xfId="1346"/>
    <cellStyle name="C￥AØ_laroux_1" xfId="1347"/>
    <cellStyle name="Ç¥ÁØ_laroux_1" xfId="1348"/>
    <cellStyle name="C￥AØ_laroux_1 10" xfId="13836"/>
    <cellStyle name="Ç¥ÁØ_laroux_1 10" xfId="13837"/>
    <cellStyle name="C￥AØ_laroux_1 11" xfId="13838"/>
    <cellStyle name="Ç¥ÁØ_laroux_1 11" xfId="13839"/>
    <cellStyle name="C￥AØ_laroux_1 2" xfId="13840"/>
    <cellStyle name="Ç¥ÁØ_laroux_1 2" xfId="13841"/>
    <cellStyle name="C￥AØ_laroux_1 3" xfId="13842"/>
    <cellStyle name="Ç¥ÁØ_laroux_1 3" xfId="13843"/>
    <cellStyle name="C￥AØ_laroux_1 4" xfId="13844"/>
    <cellStyle name="Ç¥ÁØ_laroux_1 4" xfId="13845"/>
    <cellStyle name="C￥AØ_laroux_1 5" xfId="13846"/>
    <cellStyle name="Ç¥ÁØ_laroux_1 5" xfId="13847"/>
    <cellStyle name="C￥AØ_laroux_1 6" xfId="13848"/>
    <cellStyle name="Ç¥ÁØ_laroux_1 6" xfId="13849"/>
    <cellStyle name="C￥AØ_laroux_1 7" xfId="13850"/>
    <cellStyle name="Ç¥ÁØ_laroux_1 7" xfId="13851"/>
    <cellStyle name="C￥AØ_laroux_1 8" xfId="13852"/>
    <cellStyle name="Ç¥ÁØ_laroux_1 8" xfId="13853"/>
    <cellStyle name="C￥AØ_laroux_1 9" xfId="13854"/>
    <cellStyle name="Ç¥ÁØ_laroux_1 9" xfId="13855"/>
    <cellStyle name="C￥AØ_laroux_2" xfId="1349"/>
    <cellStyle name="Ç¥ÁØ_laroux_2" xfId="1350"/>
    <cellStyle name="C￥AØ_laroux_3" xfId="1351"/>
    <cellStyle name="Ç¥ÁØ_laroux_3" xfId="1352"/>
    <cellStyle name="C￥AØ_laroux_3 10" xfId="13856"/>
    <cellStyle name="Ç¥ÁØ_laroux_3 10" xfId="13857"/>
    <cellStyle name="C￥AØ_laroux_3 11" xfId="13858"/>
    <cellStyle name="Ç¥ÁØ_laroux_3 11" xfId="13859"/>
    <cellStyle name="C￥AØ_laroux_3 2" xfId="13860"/>
    <cellStyle name="Ç¥ÁØ_laroux_3 2" xfId="13861"/>
    <cellStyle name="C￥AØ_laroux_3 3" xfId="13862"/>
    <cellStyle name="Ç¥ÁØ_laroux_3 3" xfId="13863"/>
    <cellStyle name="C￥AØ_laroux_3 4" xfId="13864"/>
    <cellStyle name="Ç¥ÁØ_laroux_3 4" xfId="13865"/>
    <cellStyle name="C￥AØ_laroux_3 5" xfId="13866"/>
    <cellStyle name="Ç¥ÁØ_laroux_3 5" xfId="13867"/>
    <cellStyle name="C￥AØ_laroux_3 6" xfId="13868"/>
    <cellStyle name="Ç¥ÁØ_laroux_3 6" xfId="13869"/>
    <cellStyle name="C￥AØ_laroux_3 7" xfId="13870"/>
    <cellStyle name="Ç¥ÁØ_laroux_3 7" xfId="13871"/>
    <cellStyle name="C￥AØ_laroux_3 8" xfId="13872"/>
    <cellStyle name="Ç¥ÁØ_laroux_3 8" xfId="13873"/>
    <cellStyle name="C￥AØ_laroux_3 9" xfId="13874"/>
    <cellStyle name="Ç¥ÁØ_laroux_3 9" xfId="13875"/>
    <cellStyle name="C￥AØ_laroux_4" xfId="1353"/>
    <cellStyle name="Ç¥ÁØ_laroux_4" xfId="1354"/>
    <cellStyle name="C￥AØ_laroux_4 10" xfId="13876"/>
    <cellStyle name="Ç¥ÁØ_laroux_4 10" xfId="13877"/>
    <cellStyle name="C￥AØ_laroux_4 11" xfId="13878"/>
    <cellStyle name="Ç¥ÁØ_laroux_4 11" xfId="13879"/>
    <cellStyle name="C￥AØ_laroux_4 2" xfId="13880"/>
    <cellStyle name="Ç¥ÁØ_laroux_4 2" xfId="13881"/>
    <cellStyle name="C￥AØ_laroux_4 3" xfId="13882"/>
    <cellStyle name="Ç¥ÁØ_laroux_4 3" xfId="13883"/>
    <cellStyle name="C￥AØ_laroux_4 4" xfId="13884"/>
    <cellStyle name="Ç¥ÁØ_laroux_4 4" xfId="13885"/>
    <cellStyle name="C￥AØ_laroux_4 5" xfId="13886"/>
    <cellStyle name="Ç¥ÁØ_laroux_4 5" xfId="13887"/>
    <cellStyle name="C￥AØ_laroux_4 6" xfId="13888"/>
    <cellStyle name="Ç¥ÁØ_laroux_4 6" xfId="13889"/>
    <cellStyle name="C￥AØ_laroux_4 7" xfId="13890"/>
    <cellStyle name="Ç¥ÁØ_laroux_4 7" xfId="13891"/>
    <cellStyle name="C￥AØ_laroux_4 8" xfId="13892"/>
    <cellStyle name="Ç¥ÁØ_laroux_4 8" xfId="13893"/>
    <cellStyle name="C￥AØ_laroux_4 9" xfId="13894"/>
    <cellStyle name="Ç¥ÁØ_laroux_4 9" xfId="13895"/>
    <cellStyle name="C￥AØ_laroux_5" xfId="1355"/>
    <cellStyle name="Ç¥ÁØ_laroux_5" xfId="1356"/>
    <cellStyle name="C￥AØ_laroux_5 10" xfId="13896"/>
    <cellStyle name="Ç¥ÁØ_laroux_5 10" xfId="13897"/>
    <cellStyle name="C￥AØ_laroux_5 11" xfId="13898"/>
    <cellStyle name="Ç¥ÁØ_laroux_5 11" xfId="13899"/>
    <cellStyle name="C￥AØ_laroux_5 2" xfId="13900"/>
    <cellStyle name="Ç¥ÁØ_laroux_5 2" xfId="13901"/>
    <cellStyle name="C￥AØ_laroux_5 3" xfId="13902"/>
    <cellStyle name="Ç¥ÁØ_laroux_5 3" xfId="13903"/>
    <cellStyle name="C￥AØ_laroux_5 4" xfId="13904"/>
    <cellStyle name="Ç¥ÁØ_laroux_5 4" xfId="13905"/>
    <cellStyle name="C￥AØ_laroux_5 5" xfId="13906"/>
    <cellStyle name="Ç¥ÁØ_laroux_5 5" xfId="13907"/>
    <cellStyle name="C￥AØ_laroux_5 6" xfId="13908"/>
    <cellStyle name="Ç¥ÁØ_laroux_5 6" xfId="13909"/>
    <cellStyle name="C￥AØ_laroux_5 7" xfId="13910"/>
    <cellStyle name="Ç¥ÁØ_laroux_5 7" xfId="13911"/>
    <cellStyle name="C￥AØ_laroux_5 8" xfId="13912"/>
    <cellStyle name="Ç¥ÁØ_laroux_5 8" xfId="13913"/>
    <cellStyle name="C￥AØ_laroux_5 9" xfId="13914"/>
    <cellStyle name="Ç¥ÁØ_laroux_5 9" xfId="13915"/>
    <cellStyle name="C￥AØ_PERSONAL" xfId="13916"/>
    <cellStyle name="Ç¥ÁØ_RESULTS" xfId="13917"/>
    <cellStyle name="C￥AØ_Sheet1" xfId="1357"/>
    <cellStyle name="Ç¥ÁØ_Sheet1" xfId="1358"/>
    <cellStyle name="C￥AØ_Sheet1 10" xfId="13918"/>
    <cellStyle name="Ç¥ÁØ_Sheet1 10" xfId="13919"/>
    <cellStyle name="C￥AØ_Sheet1 11" xfId="13920"/>
    <cellStyle name="Ç¥ÁØ_Sheet1 11" xfId="13921"/>
    <cellStyle name="C￥AØ_Sheet1 2" xfId="13922"/>
    <cellStyle name="Ç¥ÁØ_Sheet1 2" xfId="13923"/>
    <cellStyle name="C￥AØ_Sheet1 3" xfId="13924"/>
    <cellStyle name="Ç¥ÁØ_Sheet1 3" xfId="13925"/>
    <cellStyle name="C￥AØ_Sheet1 4" xfId="13926"/>
    <cellStyle name="Ç¥ÁØ_Sheet1 4" xfId="13927"/>
    <cellStyle name="C￥AØ_Sheet1 5" xfId="13928"/>
    <cellStyle name="Ç¥ÁØ_Sheet1 5" xfId="13929"/>
    <cellStyle name="C￥AØ_Sheet1 6" xfId="13930"/>
    <cellStyle name="Ç¥ÁØ_Sheet1 6" xfId="13931"/>
    <cellStyle name="C￥AØ_Sheet1 7" xfId="13932"/>
    <cellStyle name="Ç¥ÁØ_Sheet1 7" xfId="13933"/>
    <cellStyle name="C￥AØ_Sheet1 8" xfId="13934"/>
    <cellStyle name="Ç¥ÁØ_Sheet1 8" xfId="13935"/>
    <cellStyle name="C￥AØ_Sheet1 9" xfId="13936"/>
    <cellStyle name="Ç¥ÁØ_Sheet1 9" xfId="13937"/>
    <cellStyle name="C￥AØ_Sheet1_¿μ¾÷CoE² " xfId="1359"/>
    <cellStyle name="Ç¥ÁØ_Sheet1_0N-HANDLING " xfId="1360"/>
    <cellStyle name="C￥AØ_Sheet1_Ay°eC￥(2¿u) " xfId="1361"/>
    <cellStyle name="Ç¥ÁØ_Sheet1_Áý°èÇ¥(2¿ù) " xfId="1362"/>
    <cellStyle name="C￥AØ_Sheet1_Ay°eC￥(2¿u)  10" xfId="13938"/>
    <cellStyle name="Ç¥ÁØ_Sheet1_Áý°èÇ¥(2¿ù)  10" xfId="13939"/>
    <cellStyle name="C￥AØ_Sheet1_Ay°eC￥(2¿u)  11" xfId="13940"/>
    <cellStyle name="Ç¥ÁØ_Sheet1_Áý°èÇ¥(2¿ù)  11" xfId="13941"/>
    <cellStyle name="C￥AØ_Sheet1_Ay°eC￥(2¿u)  2" xfId="13942"/>
    <cellStyle name="Ç¥ÁØ_Sheet1_Áý°èÇ¥(2¿ù)  2" xfId="13943"/>
    <cellStyle name="C￥AØ_Sheet1_Ay°eC￥(2¿u)  3" xfId="13944"/>
    <cellStyle name="Ç¥ÁØ_Sheet1_Áý°èÇ¥(2¿ù)  3" xfId="13945"/>
    <cellStyle name="C￥AØ_Sheet1_Ay°eC￥(2¿u)  4" xfId="13946"/>
    <cellStyle name="Ç¥ÁØ_Sheet1_Áý°èÇ¥(2¿ù)  4" xfId="13947"/>
    <cellStyle name="C￥AØ_Sheet1_Ay°eC￥(2¿u)  5" xfId="13948"/>
    <cellStyle name="Ç¥ÁØ_Sheet1_Áý°èÇ¥(2¿ù)  5" xfId="13949"/>
    <cellStyle name="C￥AØ_Sheet1_Ay°eC￥(2¿u)  6" xfId="13950"/>
    <cellStyle name="Ç¥ÁØ_Sheet1_Áý°èÇ¥(2¿ù)  6" xfId="13951"/>
    <cellStyle name="C￥AØ_Sheet1_Ay°eC￥(2¿u)  7" xfId="13952"/>
    <cellStyle name="Ç¥ÁØ_Sheet1_Áý°èÇ¥(2¿ù)  7" xfId="13953"/>
    <cellStyle name="C￥AØ_Sheet1_Ay°eC￥(2¿u)  8" xfId="13954"/>
    <cellStyle name="Ç¥ÁØ_Sheet1_Áý°èÇ¥(2¿ù)  8" xfId="13955"/>
    <cellStyle name="C￥AØ_Sheet1_Ay°eC￥(2¿u)  9" xfId="13956"/>
    <cellStyle name="Ç¥ÁØ_Sheet1_Áý°èÇ¥(2¿ù)  9" xfId="13957"/>
    <cellStyle name="C￥AØ_Sheet1_Ay°eC￥(2¿u) _2001재무제표" xfId="1363"/>
    <cellStyle name="Ç¥ÁØ_Sheet1_Áý°èÇ¥(2¿ù) _2001재무제표" xfId="1364"/>
    <cellStyle name="C￥AØ_Sheet1_Ay°eC￥(2¿u) _2001재무제표 10" xfId="13958"/>
    <cellStyle name="Ç¥ÁØ_Sheet1_Áý°èÇ¥(2¿ù) _2001재무제표 10" xfId="13959"/>
    <cellStyle name="C￥AØ_Sheet1_Ay°eC￥(2¿u) _2001재무제표 11" xfId="13960"/>
    <cellStyle name="Ç¥ÁØ_Sheet1_Áý°èÇ¥(2¿ù) _2001재무제표 11" xfId="13961"/>
    <cellStyle name="C￥AØ_Sheet1_Ay°eC￥(2¿u) _2001재무제표 2" xfId="13962"/>
    <cellStyle name="Ç¥ÁØ_Sheet1_Áý°èÇ¥(2¿ù) _2001재무제표 2" xfId="13963"/>
    <cellStyle name="C￥AØ_Sheet1_Ay°eC￥(2¿u) _2001재무제표 3" xfId="13964"/>
    <cellStyle name="Ç¥ÁØ_Sheet1_Áý°èÇ¥(2¿ù) _2001재무제표 3" xfId="13965"/>
    <cellStyle name="C￥AØ_Sheet1_Ay°eC￥(2¿u) _2001재무제표 4" xfId="13966"/>
    <cellStyle name="Ç¥ÁØ_Sheet1_Áý°èÇ¥(2¿ù) _2001재무제표 4" xfId="13967"/>
    <cellStyle name="C￥AØ_Sheet1_Ay°eC￥(2¿u) _2001재무제표 5" xfId="13968"/>
    <cellStyle name="Ç¥ÁØ_Sheet1_Áý°èÇ¥(2¿ù) _2001재무제표 5" xfId="13969"/>
    <cellStyle name="C￥AØ_Sheet1_Ay°eC￥(2¿u) _2001재무제표 6" xfId="13970"/>
    <cellStyle name="Ç¥ÁØ_Sheet1_Áý°èÇ¥(2¿ù) _2001재무제표 6" xfId="13971"/>
    <cellStyle name="C￥AØ_Sheet1_Ay°eC￥(2¿u) _2001재무제표 7" xfId="13972"/>
    <cellStyle name="Ç¥ÁØ_Sheet1_Áý°èÇ¥(2¿ù) _2001재무제표 7" xfId="13973"/>
    <cellStyle name="C￥AØ_Sheet1_Ay°eC￥(2¿u) _2001재무제표 8" xfId="13974"/>
    <cellStyle name="Ç¥ÁØ_Sheet1_Áý°èÇ¥(2¿ù) _2001재무제표 8" xfId="13975"/>
    <cellStyle name="C￥AØ_Sheet1_Ay°eC￥(2¿u) _2001재무제표 9" xfId="13976"/>
    <cellStyle name="Ç¥ÁØ_Sheet1_Áý°èÇ¥(2¿ù) _2001재무제표 9" xfId="13977"/>
    <cellStyle name="C￥AØ_Sheet1_Ay°eC￥(2¿u) _2001재무제표_요약자료_20090831" xfId="1365"/>
    <cellStyle name="Ç¥ÁØ_Sheet1_Áý°èÇ¥(2¿ù) _2001재무제표_요약자료_20090831" xfId="1366"/>
    <cellStyle name="C￥AØ_Sheet1_Ay°eC￥(2¿u) _2001재무제표_요약자료_20090831 10" xfId="13978"/>
    <cellStyle name="Ç¥ÁØ_Sheet1_Áý°èÇ¥(2¿ù) _2001재무제표_요약자료_20090831 10" xfId="13979"/>
    <cellStyle name="C￥AØ_Sheet1_Ay°eC￥(2¿u) _2001재무제표_요약자료_20090831 11" xfId="13980"/>
    <cellStyle name="Ç¥ÁØ_Sheet1_Áý°èÇ¥(2¿ù) _2001재무제표_요약자료_20090831 11" xfId="13981"/>
    <cellStyle name="C￥AØ_Sheet1_Ay°eC￥(2¿u) _2001재무제표_요약자료_20090831 2" xfId="13982"/>
    <cellStyle name="Ç¥ÁØ_Sheet1_Áý°èÇ¥(2¿ù) _2001재무제표_요약자료_20090831 2" xfId="13983"/>
    <cellStyle name="C￥AØ_Sheet1_Ay°eC￥(2¿u) _2001재무제표_요약자료_20090831 3" xfId="13984"/>
    <cellStyle name="Ç¥ÁØ_Sheet1_Áý°èÇ¥(2¿ù) _2001재무제표_요약자료_20090831 3" xfId="13985"/>
    <cellStyle name="C￥AØ_Sheet1_Ay°eC￥(2¿u) _2001재무제표_요약자료_20090831 4" xfId="13986"/>
    <cellStyle name="Ç¥ÁØ_Sheet1_Áý°èÇ¥(2¿ù) _2001재무제표_요약자료_20090831 4" xfId="13987"/>
    <cellStyle name="C￥AØ_Sheet1_Ay°eC￥(2¿u) _2001재무제표_요약자료_20090831 5" xfId="13988"/>
    <cellStyle name="Ç¥ÁØ_Sheet1_Áý°èÇ¥(2¿ù) _2001재무제표_요약자료_20090831 5" xfId="13989"/>
    <cellStyle name="C￥AØ_Sheet1_Ay°eC￥(2¿u) _2001재무제표_요약자료_20090831 6" xfId="13990"/>
    <cellStyle name="Ç¥ÁØ_Sheet1_Áý°èÇ¥(2¿ù) _2001재무제표_요약자료_20090831 6" xfId="13991"/>
    <cellStyle name="C￥AØ_Sheet1_Ay°eC￥(2¿u) _2001재무제표_요약자료_20090831 7" xfId="13992"/>
    <cellStyle name="Ç¥ÁØ_Sheet1_Áý°èÇ¥(2¿ù) _2001재무제표_요약자료_20090831 7" xfId="13993"/>
    <cellStyle name="C￥AØ_Sheet1_Ay°eC￥(2¿u) _2001재무제표_요약자료_20090831 8" xfId="13994"/>
    <cellStyle name="Ç¥ÁØ_Sheet1_Áý°èÇ¥(2¿ù) _2001재무제표_요약자료_20090831 8" xfId="13995"/>
    <cellStyle name="C￥AØ_Sheet1_Ay°eC￥(2¿u) _2001재무제표_요약자료_20090831 9" xfId="13996"/>
    <cellStyle name="Ç¥ÁØ_Sheet1_Áý°èÇ¥(2¿ù) _2001재무제표_요약자료_20090831 9" xfId="13997"/>
    <cellStyle name="C￥AØ_Sheet1_Ay°eC￥(2¿u) _2001재무제표_재무지원부충당금" xfId="1367"/>
    <cellStyle name="Ç¥ÁØ_Sheet1_Áý°èÇ¥(2¿ù) _2001재무제표_재무지원부충당금" xfId="1368"/>
    <cellStyle name="C￥AØ_Sheet1_Ay°eC￥(2¿u) _2001재무제표_재무지원부충당금 10" xfId="13998"/>
    <cellStyle name="Ç¥ÁØ_Sheet1_Áý°èÇ¥(2¿ù) _2001재무제표_재무지원부충당금 10" xfId="13999"/>
    <cellStyle name="C￥AØ_Sheet1_Ay°eC￥(2¿u) _2001재무제표_재무지원부충당금 10 10" xfId="14000"/>
    <cellStyle name="Ç¥ÁØ_Sheet1_Áý°èÇ¥(2¿ù) _2001재무제표_재무지원부충당금 10 10" xfId="14001"/>
    <cellStyle name="C￥AØ_Sheet1_Ay°eC￥(2¿u) _2001재무제표_재무지원부충당금 10 11" xfId="14002"/>
    <cellStyle name="Ç¥ÁØ_Sheet1_Áý°èÇ¥(2¿ù) _2001재무제표_재무지원부충당금 10 11" xfId="14003"/>
    <cellStyle name="C￥AØ_Sheet1_Ay°eC￥(2¿u) _2001재무제표_재무지원부충당금 10 2" xfId="14004"/>
    <cellStyle name="Ç¥ÁØ_Sheet1_Áý°èÇ¥(2¿ù) _2001재무제표_재무지원부충당금 10 2" xfId="14005"/>
    <cellStyle name="C￥AØ_Sheet1_Ay°eC￥(2¿u) _2001재무제표_재무지원부충당금 10 3" xfId="14006"/>
    <cellStyle name="Ç¥ÁØ_Sheet1_Áý°èÇ¥(2¿ù) _2001재무제표_재무지원부충당금 10 3" xfId="14007"/>
    <cellStyle name="C￥AØ_Sheet1_Ay°eC￥(2¿u) _2001재무제표_재무지원부충당금 10 4" xfId="14008"/>
    <cellStyle name="Ç¥ÁØ_Sheet1_Áý°èÇ¥(2¿ù) _2001재무제표_재무지원부충당금 10 4" xfId="14009"/>
    <cellStyle name="C￥AØ_Sheet1_Ay°eC￥(2¿u) _2001재무제표_재무지원부충당금 10 5" xfId="14010"/>
    <cellStyle name="Ç¥ÁØ_Sheet1_Áý°èÇ¥(2¿ù) _2001재무제표_재무지원부충당금 10 5" xfId="14011"/>
    <cellStyle name="C￥AØ_Sheet1_Ay°eC￥(2¿u) _2001재무제표_재무지원부충당금 10 6" xfId="14012"/>
    <cellStyle name="Ç¥ÁØ_Sheet1_Áý°èÇ¥(2¿ù) _2001재무제표_재무지원부충당금 10 6" xfId="14013"/>
    <cellStyle name="C￥AØ_Sheet1_Ay°eC￥(2¿u) _2001재무제표_재무지원부충당금 10 7" xfId="14014"/>
    <cellStyle name="Ç¥ÁØ_Sheet1_Áý°èÇ¥(2¿ù) _2001재무제표_재무지원부충당금 10 7" xfId="14015"/>
    <cellStyle name="C￥AØ_Sheet1_Ay°eC￥(2¿u) _2001재무제표_재무지원부충당금 10 8" xfId="14016"/>
    <cellStyle name="Ç¥ÁØ_Sheet1_Áý°èÇ¥(2¿ù) _2001재무제표_재무지원부충당금 10 8" xfId="14017"/>
    <cellStyle name="C￥AØ_Sheet1_Ay°eC￥(2¿u) _2001재무제표_재무지원부충당금 10 9" xfId="14018"/>
    <cellStyle name="Ç¥ÁØ_Sheet1_Áý°èÇ¥(2¿ù) _2001재무제표_재무지원부충당금 10 9" xfId="14019"/>
    <cellStyle name="C￥AØ_Sheet1_Ay°eC￥(2¿u) _2001재무제표_재무지원부충당금 11" xfId="14020"/>
    <cellStyle name="Ç¥ÁØ_Sheet1_Áý°èÇ¥(2¿ù) _2001재무제표_재무지원부충당금 11" xfId="14021"/>
    <cellStyle name="C￥AØ_Sheet1_Ay°eC￥(2¿u) _2001재무제표_재무지원부충당금 12" xfId="14022"/>
    <cellStyle name="Ç¥ÁØ_Sheet1_Áý°èÇ¥(2¿ù) _2001재무제표_재무지원부충당금 12" xfId="14023"/>
    <cellStyle name="C￥AØ_Sheet1_Ay°eC￥(2¿u) _2001재무제표_재무지원부충당금 13" xfId="14024"/>
    <cellStyle name="Ç¥ÁØ_Sheet1_Áý°èÇ¥(2¿ù) _2001재무제표_재무지원부충당금 13" xfId="14025"/>
    <cellStyle name="C￥AØ_Sheet1_Ay°eC￥(2¿u) _2001재무제표_재무지원부충당금 14" xfId="14026"/>
    <cellStyle name="Ç¥ÁØ_Sheet1_Áý°èÇ¥(2¿ù) _2001재무제표_재무지원부충당금 14" xfId="14027"/>
    <cellStyle name="C￥AØ_Sheet1_Ay°eC￥(2¿u) _2001재무제표_재무지원부충당금 15" xfId="14028"/>
    <cellStyle name="Ç¥ÁØ_Sheet1_Áý°èÇ¥(2¿ù) _2001재무제표_재무지원부충당금 15" xfId="14029"/>
    <cellStyle name="C￥AØ_Sheet1_Ay°eC￥(2¿u) _2001재무제표_재무지원부충당금 16" xfId="14030"/>
    <cellStyle name="Ç¥ÁØ_Sheet1_Áý°èÇ¥(2¿ù) _2001재무제표_재무지원부충당금 16" xfId="14031"/>
    <cellStyle name="C￥AØ_Sheet1_Ay°eC￥(2¿u) _2001재무제표_재무지원부충당금 17" xfId="14032"/>
    <cellStyle name="Ç¥ÁØ_Sheet1_Áý°èÇ¥(2¿ù) _2001재무제표_재무지원부충당금 17" xfId="14033"/>
    <cellStyle name="C￥AØ_Sheet1_Ay°eC￥(2¿u) _2001재무제표_재무지원부충당금 18" xfId="14034"/>
    <cellStyle name="Ç¥ÁØ_Sheet1_Áý°èÇ¥(2¿ù) _2001재무제표_재무지원부충당금 18" xfId="14035"/>
    <cellStyle name="C￥AØ_Sheet1_Ay°eC￥(2¿u) _2001재무제표_재무지원부충당금 19" xfId="14036"/>
    <cellStyle name="Ç¥ÁØ_Sheet1_Áý°èÇ¥(2¿ù) _2001재무제표_재무지원부충당금 19" xfId="14037"/>
    <cellStyle name="C￥AØ_Sheet1_Ay°eC￥(2¿u) _2001재무제표_재무지원부충당금 2" xfId="1369"/>
    <cellStyle name="Ç¥ÁØ_Sheet1_Áý°èÇ¥(2¿ù) _2001재무제표_재무지원부충당금 2" xfId="1370"/>
    <cellStyle name="C￥AØ_Sheet1_Ay°eC￥(2¿u) _2001재무제표_재무지원부충당금 2 10" xfId="14038"/>
    <cellStyle name="Ç¥ÁØ_Sheet1_Áý°èÇ¥(2¿ù) _2001재무제표_재무지원부충당금 2 10" xfId="14039"/>
    <cellStyle name="C￥AØ_Sheet1_Ay°eC￥(2¿u) _2001재무제표_재무지원부충당금 2 11" xfId="14040"/>
    <cellStyle name="Ç¥ÁØ_Sheet1_Áý°èÇ¥(2¿ù) _2001재무제표_재무지원부충당금 2 11" xfId="14041"/>
    <cellStyle name="C￥AØ_Sheet1_Ay°eC￥(2¿u) _2001재무제표_재무지원부충당금 2 2" xfId="14042"/>
    <cellStyle name="Ç¥ÁØ_Sheet1_Áý°èÇ¥(2¿ù) _2001재무제표_재무지원부충당금 2 2" xfId="14043"/>
    <cellStyle name="C￥AØ_Sheet1_Ay°eC￥(2¿u) _2001재무제표_재무지원부충당금 2 3" xfId="14044"/>
    <cellStyle name="Ç¥ÁØ_Sheet1_Áý°èÇ¥(2¿ù) _2001재무제표_재무지원부충당금 2 3" xfId="14045"/>
    <cellStyle name="C￥AØ_Sheet1_Ay°eC￥(2¿u) _2001재무제표_재무지원부충당금 2 4" xfId="14046"/>
    <cellStyle name="Ç¥ÁØ_Sheet1_Áý°èÇ¥(2¿ù) _2001재무제표_재무지원부충당금 2 4" xfId="14047"/>
    <cellStyle name="C￥AØ_Sheet1_Ay°eC￥(2¿u) _2001재무제표_재무지원부충당금 2 5" xfId="14048"/>
    <cellStyle name="Ç¥ÁØ_Sheet1_Áý°èÇ¥(2¿ù) _2001재무제표_재무지원부충당금 2 5" xfId="14049"/>
    <cellStyle name="C￥AØ_Sheet1_Ay°eC￥(2¿u) _2001재무제표_재무지원부충당금 2 6" xfId="14050"/>
    <cellStyle name="Ç¥ÁØ_Sheet1_Áý°èÇ¥(2¿ù) _2001재무제표_재무지원부충당금 2 6" xfId="14051"/>
    <cellStyle name="C￥AØ_Sheet1_Ay°eC￥(2¿u) _2001재무제표_재무지원부충당금 2 7" xfId="14052"/>
    <cellStyle name="Ç¥ÁØ_Sheet1_Áý°èÇ¥(2¿ù) _2001재무제표_재무지원부충당금 2 7" xfId="14053"/>
    <cellStyle name="C￥AØ_Sheet1_Ay°eC￥(2¿u) _2001재무제표_재무지원부충당금 2 8" xfId="14054"/>
    <cellStyle name="Ç¥ÁØ_Sheet1_Áý°èÇ¥(2¿ù) _2001재무제표_재무지원부충당금 2 8" xfId="14055"/>
    <cellStyle name="C￥AØ_Sheet1_Ay°eC￥(2¿u) _2001재무제표_재무지원부충당금 2 9" xfId="14056"/>
    <cellStyle name="Ç¥ÁØ_Sheet1_Áý°èÇ¥(2¿ù) _2001재무제표_재무지원부충당금 2 9" xfId="14057"/>
    <cellStyle name="C￥AØ_Sheet1_Ay°eC￥(2¿u) _2001재무제표_재무지원부충당금 20" xfId="14058"/>
    <cellStyle name="Ç¥ÁØ_Sheet1_Áý°èÇ¥(2¿ù) _2001재무제표_재무지원부충당금 20" xfId="14059"/>
    <cellStyle name="C￥AØ_Sheet1_Ay°eC￥(2¿u) _2001재무제표_재무지원부충당금 3" xfId="4978"/>
    <cellStyle name="Ç¥ÁØ_Sheet1_Áý°èÇ¥(2¿ù) _2001재무제표_재무지원부충당금 3" xfId="4979"/>
    <cellStyle name="C￥AØ_Sheet1_Ay°eC￥(2¿u) _2001재무제표_재무지원부충당금 3 10" xfId="14060"/>
    <cellStyle name="Ç¥ÁØ_Sheet1_Áý°èÇ¥(2¿ù) _2001재무제표_재무지원부충당금 3 10" xfId="14061"/>
    <cellStyle name="C￥AØ_Sheet1_Ay°eC￥(2¿u) _2001재무제표_재무지원부충당금 3 11" xfId="14062"/>
    <cellStyle name="Ç¥ÁØ_Sheet1_Áý°èÇ¥(2¿ù) _2001재무제표_재무지원부충당금 3 11" xfId="14063"/>
    <cellStyle name="C￥AØ_Sheet1_Ay°eC￥(2¿u) _2001재무제표_재무지원부충당금 3 2" xfId="14064"/>
    <cellStyle name="Ç¥ÁØ_Sheet1_Áý°èÇ¥(2¿ù) _2001재무제표_재무지원부충당금 3 2" xfId="14065"/>
    <cellStyle name="C￥AØ_Sheet1_Ay°eC￥(2¿u) _2001재무제표_재무지원부충당금 3 3" xfId="14066"/>
    <cellStyle name="Ç¥ÁØ_Sheet1_Áý°èÇ¥(2¿ù) _2001재무제표_재무지원부충당금 3 3" xfId="14067"/>
    <cellStyle name="C￥AØ_Sheet1_Ay°eC￥(2¿u) _2001재무제표_재무지원부충당금 3 4" xfId="14068"/>
    <cellStyle name="Ç¥ÁØ_Sheet1_Áý°èÇ¥(2¿ù) _2001재무제표_재무지원부충당금 3 4" xfId="14069"/>
    <cellStyle name="C￥AØ_Sheet1_Ay°eC￥(2¿u) _2001재무제표_재무지원부충당금 3 5" xfId="14070"/>
    <cellStyle name="Ç¥ÁØ_Sheet1_Áý°èÇ¥(2¿ù) _2001재무제표_재무지원부충당금 3 5" xfId="14071"/>
    <cellStyle name="C￥AØ_Sheet1_Ay°eC￥(2¿u) _2001재무제표_재무지원부충당금 3 6" xfId="14072"/>
    <cellStyle name="Ç¥ÁØ_Sheet1_Áý°èÇ¥(2¿ù) _2001재무제표_재무지원부충당금 3 6" xfId="14073"/>
    <cellStyle name="C￥AØ_Sheet1_Ay°eC￥(2¿u) _2001재무제표_재무지원부충당금 3 7" xfId="14074"/>
    <cellStyle name="Ç¥ÁØ_Sheet1_Áý°èÇ¥(2¿ù) _2001재무제표_재무지원부충당금 3 7" xfId="14075"/>
    <cellStyle name="C￥AØ_Sheet1_Ay°eC￥(2¿u) _2001재무제표_재무지원부충당금 3 8" xfId="14076"/>
    <cellStyle name="Ç¥ÁØ_Sheet1_Áý°èÇ¥(2¿ù) _2001재무제표_재무지원부충당금 3 8" xfId="14077"/>
    <cellStyle name="C￥AØ_Sheet1_Ay°eC￥(2¿u) _2001재무제표_재무지원부충당금 3 9" xfId="14078"/>
    <cellStyle name="Ç¥ÁØ_Sheet1_Áý°èÇ¥(2¿ù) _2001재무제표_재무지원부충당금 3 9" xfId="14079"/>
    <cellStyle name="C￥AØ_Sheet1_Ay°eC￥(2¿u) _2001재무제표_재무지원부충당금 4" xfId="4980"/>
    <cellStyle name="Ç¥ÁØ_Sheet1_Áý°èÇ¥(2¿ù) _2001재무제표_재무지원부충당금 4" xfId="4981"/>
    <cellStyle name="C￥AØ_Sheet1_Ay°eC￥(2¿u) _2001재무제표_재무지원부충당금 4 10" xfId="14080"/>
    <cellStyle name="Ç¥ÁØ_Sheet1_Áý°èÇ¥(2¿ù) _2001재무제표_재무지원부충당금 4 10" xfId="14081"/>
    <cellStyle name="C￥AØ_Sheet1_Ay°eC￥(2¿u) _2001재무제표_재무지원부충당금 4 11" xfId="14082"/>
    <cellStyle name="Ç¥ÁØ_Sheet1_Áý°èÇ¥(2¿ù) _2001재무제표_재무지원부충당금 4 11" xfId="14083"/>
    <cellStyle name="C￥AØ_Sheet1_Ay°eC￥(2¿u) _2001재무제표_재무지원부충당금 4 2" xfId="14084"/>
    <cellStyle name="Ç¥ÁØ_Sheet1_Áý°èÇ¥(2¿ù) _2001재무제표_재무지원부충당금 4 2" xfId="14085"/>
    <cellStyle name="C￥AØ_Sheet1_Ay°eC￥(2¿u) _2001재무제표_재무지원부충당금 4 3" xfId="14086"/>
    <cellStyle name="Ç¥ÁØ_Sheet1_Áý°èÇ¥(2¿ù) _2001재무제표_재무지원부충당금 4 3" xfId="14087"/>
    <cellStyle name="C￥AØ_Sheet1_Ay°eC￥(2¿u) _2001재무제표_재무지원부충당금 4 4" xfId="14088"/>
    <cellStyle name="Ç¥ÁØ_Sheet1_Áý°èÇ¥(2¿ù) _2001재무제표_재무지원부충당금 4 4" xfId="14089"/>
    <cellStyle name="C￥AØ_Sheet1_Ay°eC￥(2¿u) _2001재무제표_재무지원부충당금 4 5" xfId="14090"/>
    <cellStyle name="Ç¥ÁØ_Sheet1_Áý°èÇ¥(2¿ù) _2001재무제표_재무지원부충당금 4 5" xfId="14091"/>
    <cellStyle name="C￥AØ_Sheet1_Ay°eC￥(2¿u) _2001재무제표_재무지원부충당금 4 6" xfId="14092"/>
    <cellStyle name="Ç¥ÁØ_Sheet1_Áý°èÇ¥(2¿ù) _2001재무제표_재무지원부충당금 4 6" xfId="14093"/>
    <cellStyle name="C￥AØ_Sheet1_Ay°eC￥(2¿u) _2001재무제표_재무지원부충당금 4 7" xfId="14094"/>
    <cellStyle name="Ç¥ÁØ_Sheet1_Áý°èÇ¥(2¿ù) _2001재무제표_재무지원부충당금 4 7" xfId="14095"/>
    <cellStyle name="C￥AØ_Sheet1_Ay°eC￥(2¿u) _2001재무제표_재무지원부충당금 4 8" xfId="14096"/>
    <cellStyle name="Ç¥ÁØ_Sheet1_Áý°èÇ¥(2¿ù) _2001재무제표_재무지원부충당금 4 8" xfId="14097"/>
    <cellStyle name="C￥AØ_Sheet1_Ay°eC￥(2¿u) _2001재무제표_재무지원부충당금 4 9" xfId="14098"/>
    <cellStyle name="Ç¥ÁØ_Sheet1_Áý°èÇ¥(2¿ù) _2001재무제표_재무지원부충당금 4 9" xfId="14099"/>
    <cellStyle name="C￥AØ_Sheet1_Ay°eC￥(2¿u) _2001재무제표_재무지원부충당금 5" xfId="4982"/>
    <cellStyle name="Ç¥ÁØ_Sheet1_Áý°èÇ¥(2¿ù) _2001재무제표_재무지원부충당금 5" xfId="4983"/>
    <cellStyle name="C￥AØ_Sheet1_Ay°eC￥(2¿u) _2001재무제표_재무지원부충당금 5 10" xfId="14100"/>
    <cellStyle name="Ç¥ÁØ_Sheet1_Áý°èÇ¥(2¿ù) _2001재무제표_재무지원부충당금 5 10" xfId="14101"/>
    <cellStyle name="C￥AØ_Sheet1_Ay°eC￥(2¿u) _2001재무제표_재무지원부충당금 5 11" xfId="14102"/>
    <cellStyle name="Ç¥ÁØ_Sheet1_Áý°èÇ¥(2¿ù) _2001재무제표_재무지원부충당금 5 11" xfId="14103"/>
    <cellStyle name="C￥AØ_Sheet1_Ay°eC￥(2¿u) _2001재무제표_재무지원부충당금 5 2" xfId="14104"/>
    <cellStyle name="Ç¥ÁØ_Sheet1_Áý°èÇ¥(2¿ù) _2001재무제표_재무지원부충당금 5 2" xfId="14105"/>
    <cellStyle name="C￥AØ_Sheet1_Ay°eC￥(2¿u) _2001재무제표_재무지원부충당금 5 3" xfId="14106"/>
    <cellStyle name="Ç¥ÁØ_Sheet1_Áý°èÇ¥(2¿ù) _2001재무제표_재무지원부충당금 5 3" xfId="14107"/>
    <cellStyle name="C￥AØ_Sheet1_Ay°eC￥(2¿u) _2001재무제표_재무지원부충당금 5 4" xfId="14108"/>
    <cellStyle name="Ç¥ÁØ_Sheet1_Áý°èÇ¥(2¿ù) _2001재무제표_재무지원부충당금 5 4" xfId="14109"/>
    <cellStyle name="C￥AØ_Sheet1_Ay°eC￥(2¿u) _2001재무제표_재무지원부충당금 5 5" xfId="14110"/>
    <cellStyle name="Ç¥ÁØ_Sheet1_Áý°èÇ¥(2¿ù) _2001재무제표_재무지원부충당금 5 5" xfId="14111"/>
    <cellStyle name="C￥AØ_Sheet1_Ay°eC￥(2¿u) _2001재무제표_재무지원부충당금 5 6" xfId="14112"/>
    <cellStyle name="Ç¥ÁØ_Sheet1_Áý°èÇ¥(2¿ù) _2001재무제표_재무지원부충당금 5 6" xfId="14113"/>
    <cellStyle name="C￥AØ_Sheet1_Ay°eC￥(2¿u) _2001재무제표_재무지원부충당금 5 7" xfId="14114"/>
    <cellStyle name="Ç¥ÁØ_Sheet1_Áý°èÇ¥(2¿ù) _2001재무제표_재무지원부충당금 5 7" xfId="14115"/>
    <cellStyle name="C￥AØ_Sheet1_Ay°eC￥(2¿u) _2001재무제표_재무지원부충당금 5 8" xfId="14116"/>
    <cellStyle name="Ç¥ÁØ_Sheet1_Áý°èÇ¥(2¿ù) _2001재무제표_재무지원부충당금 5 8" xfId="14117"/>
    <cellStyle name="C￥AØ_Sheet1_Ay°eC￥(2¿u) _2001재무제표_재무지원부충당금 5 9" xfId="14118"/>
    <cellStyle name="Ç¥ÁØ_Sheet1_Áý°èÇ¥(2¿ù) _2001재무제표_재무지원부충당금 5 9" xfId="14119"/>
    <cellStyle name="C￥AØ_Sheet1_Ay°eC￥(2¿u) _2001재무제표_재무지원부충당금 6" xfId="4984"/>
    <cellStyle name="Ç¥ÁØ_Sheet1_Áý°èÇ¥(2¿ù) _2001재무제표_재무지원부충당금 6" xfId="4985"/>
    <cellStyle name="C￥AØ_Sheet1_Ay°eC￥(2¿u) _2001재무제표_재무지원부충당금 6 10" xfId="14120"/>
    <cellStyle name="Ç¥ÁØ_Sheet1_Áý°èÇ¥(2¿ù) _2001재무제표_재무지원부충당금 6 10" xfId="14121"/>
    <cellStyle name="C￥AØ_Sheet1_Ay°eC￥(2¿u) _2001재무제표_재무지원부충당금 6 11" xfId="14122"/>
    <cellStyle name="Ç¥ÁØ_Sheet1_Áý°èÇ¥(2¿ù) _2001재무제표_재무지원부충당금 6 11" xfId="14123"/>
    <cellStyle name="C￥AØ_Sheet1_Ay°eC￥(2¿u) _2001재무제표_재무지원부충당금 6 2" xfId="14124"/>
    <cellStyle name="Ç¥ÁØ_Sheet1_Áý°èÇ¥(2¿ù) _2001재무제표_재무지원부충당금 6 2" xfId="14125"/>
    <cellStyle name="C￥AØ_Sheet1_Ay°eC￥(2¿u) _2001재무제표_재무지원부충당금 6 3" xfId="14126"/>
    <cellStyle name="Ç¥ÁØ_Sheet1_Áý°èÇ¥(2¿ù) _2001재무제표_재무지원부충당금 6 3" xfId="14127"/>
    <cellStyle name="C￥AØ_Sheet1_Ay°eC￥(2¿u) _2001재무제표_재무지원부충당금 6 4" xfId="14128"/>
    <cellStyle name="Ç¥ÁØ_Sheet1_Áý°èÇ¥(2¿ù) _2001재무제표_재무지원부충당금 6 4" xfId="14129"/>
    <cellStyle name="C￥AØ_Sheet1_Ay°eC￥(2¿u) _2001재무제표_재무지원부충당금 6 5" xfId="14130"/>
    <cellStyle name="Ç¥ÁØ_Sheet1_Áý°èÇ¥(2¿ù) _2001재무제표_재무지원부충당금 6 5" xfId="14131"/>
    <cellStyle name="C￥AØ_Sheet1_Ay°eC￥(2¿u) _2001재무제표_재무지원부충당금 6 6" xfId="14132"/>
    <cellStyle name="Ç¥ÁØ_Sheet1_Áý°èÇ¥(2¿ù) _2001재무제표_재무지원부충당금 6 6" xfId="14133"/>
    <cellStyle name="C￥AØ_Sheet1_Ay°eC￥(2¿u) _2001재무제표_재무지원부충당금 6 7" xfId="14134"/>
    <cellStyle name="Ç¥ÁØ_Sheet1_Áý°èÇ¥(2¿ù) _2001재무제표_재무지원부충당금 6 7" xfId="14135"/>
    <cellStyle name="C￥AØ_Sheet1_Ay°eC￥(2¿u) _2001재무제표_재무지원부충당금 6 8" xfId="14136"/>
    <cellStyle name="Ç¥ÁØ_Sheet1_Áý°èÇ¥(2¿ù) _2001재무제표_재무지원부충당금 6 8" xfId="14137"/>
    <cellStyle name="C￥AØ_Sheet1_Ay°eC￥(2¿u) _2001재무제표_재무지원부충당금 6 9" xfId="14138"/>
    <cellStyle name="Ç¥ÁØ_Sheet1_Áý°èÇ¥(2¿ù) _2001재무제표_재무지원부충당금 6 9" xfId="14139"/>
    <cellStyle name="C￥AØ_Sheet1_Ay°eC￥(2¿u) _2001재무제표_재무지원부충당금 7" xfId="14140"/>
    <cellStyle name="Ç¥ÁØ_Sheet1_Áý°èÇ¥(2¿ù) _2001재무제표_재무지원부충당금 7" xfId="14141"/>
    <cellStyle name="C￥AØ_Sheet1_Ay°eC￥(2¿u) _2001재무제표_재무지원부충당금 7 10" xfId="14142"/>
    <cellStyle name="Ç¥ÁØ_Sheet1_Áý°èÇ¥(2¿ù) _2001재무제표_재무지원부충당금 7 10" xfId="14143"/>
    <cellStyle name="C￥AØ_Sheet1_Ay°eC￥(2¿u) _2001재무제표_재무지원부충당금 7 11" xfId="14144"/>
    <cellStyle name="Ç¥ÁØ_Sheet1_Áý°èÇ¥(2¿ù) _2001재무제표_재무지원부충당금 7 11" xfId="14145"/>
    <cellStyle name="C￥AØ_Sheet1_Ay°eC￥(2¿u) _2001재무제표_재무지원부충당금 7 2" xfId="14146"/>
    <cellStyle name="Ç¥ÁØ_Sheet1_Áý°èÇ¥(2¿ù) _2001재무제표_재무지원부충당금 7 2" xfId="14147"/>
    <cellStyle name="C￥AØ_Sheet1_Ay°eC￥(2¿u) _2001재무제표_재무지원부충당금 7 3" xfId="14148"/>
    <cellStyle name="Ç¥ÁØ_Sheet1_Áý°èÇ¥(2¿ù) _2001재무제표_재무지원부충당금 7 3" xfId="14149"/>
    <cellStyle name="C￥AØ_Sheet1_Ay°eC￥(2¿u) _2001재무제표_재무지원부충당금 7 4" xfId="14150"/>
    <cellStyle name="Ç¥ÁØ_Sheet1_Áý°èÇ¥(2¿ù) _2001재무제표_재무지원부충당금 7 4" xfId="14151"/>
    <cellStyle name="C￥AØ_Sheet1_Ay°eC￥(2¿u) _2001재무제표_재무지원부충당금 7 5" xfId="14152"/>
    <cellStyle name="Ç¥ÁØ_Sheet1_Áý°èÇ¥(2¿ù) _2001재무제표_재무지원부충당금 7 5" xfId="14153"/>
    <cellStyle name="C￥AØ_Sheet1_Ay°eC￥(2¿u) _2001재무제표_재무지원부충당금 7 6" xfId="14154"/>
    <cellStyle name="Ç¥ÁØ_Sheet1_Áý°èÇ¥(2¿ù) _2001재무제표_재무지원부충당금 7 6" xfId="14155"/>
    <cellStyle name="C￥AØ_Sheet1_Ay°eC￥(2¿u) _2001재무제표_재무지원부충당금 7 7" xfId="14156"/>
    <cellStyle name="Ç¥ÁØ_Sheet1_Áý°èÇ¥(2¿ù) _2001재무제표_재무지원부충당금 7 7" xfId="14157"/>
    <cellStyle name="C￥AØ_Sheet1_Ay°eC￥(2¿u) _2001재무제표_재무지원부충당금 7 8" xfId="14158"/>
    <cellStyle name="Ç¥ÁØ_Sheet1_Áý°èÇ¥(2¿ù) _2001재무제표_재무지원부충당금 7 8" xfId="14159"/>
    <cellStyle name="C￥AØ_Sheet1_Ay°eC￥(2¿u) _2001재무제표_재무지원부충당금 7 9" xfId="14160"/>
    <cellStyle name="Ç¥ÁØ_Sheet1_Áý°èÇ¥(2¿ù) _2001재무제표_재무지원부충당금 7 9" xfId="14161"/>
    <cellStyle name="C￥AØ_Sheet1_Ay°eC￥(2¿u) _2001재무제표_재무지원부충당금 8" xfId="14162"/>
    <cellStyle name="Ç¥ÁØ_Sheet1_Áý°èÇ¥(2¿ù) _2001재무제표_재무지원부충당금 8" xfId="14163"/>
    <cellStyle name="C￥AØ_Sheet1_Ay°eC￥(2¿u) _2001재무제표_재무지원부충당금 8 10" xfId="14164"/>
    <cellStyle name="Ç¥ÁØ_Sheet1_Áý°èÇ¥(2¿ù) _2001재무제표_재무지원부충당금 8 10" xfId="14165"/>
    <cellStyle name="C￥AØ_Sheet1_Ay°eC￥(2¿u) _2001재무제표_재무지원부충당금 8 11" xfId="14166"/>
    <cellStyle name="Ç¥ÁØ_Sheet1_Áý°èÇ¥(2¿ù) _2001재무제표_재무지원부충당금 8 11" xfId="14167"/>
    <cellStyle name="C￥AØ_Sheet1_Ay°eC￥(2¿u) _2001재무제표_재무지원부충당금 8 2" xfId="14168"/>
    <cellStyle name="Ç¥ÁØ_Sheet1_Áý°èÇ¥(2¿ù) _2001재무제표_재무지원부충당금 8 2" xfId="14169"/>
    <cellStyle name="C￥AØ_Sheet1_Ay°eC￥(2¿u) _2001재무제표_재무지원부충당금 8 3" xfId="14170"/>
    <cellStyle name="Ç¥ÁØ_Sheet1_Áý°èÇ¥(2¿ù) _2001재무제표_재무지원부충당금 8 3" xfId="14171"/>
    <cellStyle name="C￥AØ_Sheet1_Ay°eC￥(2¿u) _2001재무제표_재무지원부충당금 8 4" xfId="14172"/>
    <cellStyle name="Ç¥ÁØ_Sheet1_Áý°èÇ¥(2¿ù) _2001재무제표_재무지원부충당금 8 4" xfId="14173"/>
    <cellStyle name="C￥AØ_Sheet1_Ay°eC￥(2¿u) _2001재무제표_재무지원부충당금 8 5" xfId="14174"/>
    <cellStyle name="Ç¥ÁØ_Sheet1_Áý°èÇ¥(2¿ù) _2001재무제표_재무지원부충당금 8 5" xfId="14175"/>
    <cellStyle name="C￥AØ_Sheet1_Ay°eC￥(2¿u) _2001재무제표_재무지원부충당금 8 6" xfId="14176"/>
    <cellStyle name="Ç¥ÁØ_Sheet1_Áý°èÇ¥(2¿ù) _2001재무제표_재무지원부충당금 8 6" xfId="14177"/>
    <cellStyle name="C￥AØ_Sheet1_Ay°eC￥(2¿u) _2001재무제표_재무지원부충당금 8 7" xfId="14178"/>
    <cellStyle name="Ç¥ÁØ_Sheet1_Áý°èÇ¥(2¿ù) _2001재무제표_재무지원부충당금 8 7" xfId="14179"/>
    <cellStyle name="C￥AØ_Sheet1_Ay°eC￥(2¿u) _2001재무제표_재무지원부충당금 8 8" xfId="14180"/>
    <cellStyle name="Ç¥ÁØ_Sheet1_Áý°èÇ¥(2¿ù) _2001재무제표_재무지원부충당금 8 8" xfId="14181"/>
    <cellStyle name="C￥AØ_Sheet1_Ay°eC￥(2¿u) _2001재무제표_재무지원부충당금 8 9" xfId="14182"/>
    <cellStyle name="Ç¥ÁØ_Sheet1_Áý°èÇ¥(2¿ù) _2001재무제표_재무지원부충당금 8 9" xfId="14183"/>
    <cellStyle name="C￥AØ_Sheet1_Ay°eC￥(2¿u) _2001재무제표_재무지원부충당금 9" xfId="14184"/>
    <cellStyle name="Ç¥ÁØ_Sheet1_Áý°èÇ¥(2¿ù) _2001재무제표_재무지원부충당금 9" xfId="14185"/>
    <cellStyle name="C￥AØ_Sheet1_Ay°eC￥(2¿u) _2001재무제표_재무지원부충당금 9 10" xfId="14186"/>
    <cellStyle name="Ç¥ÁØ_Sheet1_Áý°èÇ¥(2¿ù) _2001재무제표_재무지원부충당금 9 10" xfId="14187"/>
    <cellStyle name="C￥AØ_Sheet1_Ay°eC￥(2¿u) _2001재무제표_재무지원부충당금 9 11" xfId="14188"/>
    <cellStyle name="Ç¥ÁØ_Sheet1_Áý°èÇ¥(2¿ù) _2001재무제표_재무지원부충당금 9 11" xfId="14189"/>
    <cellStyle name="C￥AØ_Sheet1_Ay°eC￥(2¿u) _2001재무제표_재무지원부충당금 9 2" xfId="14190"/>
    <cellStyle name="Ç¥ÁØ_Sheet1_Áý°èÇ¥(2¿ù) _2001재무제표_재무지원부충당금 9 2" xfId="14191"/>
    <cellStyle name="C￥AØ_Sheet1_Ay°eC￥(2¿u) _2001재무제표_재무지원부충당금 9 3" xfId="14192"/>
    <cellStyle name="Ç¥ÁØ_Sheet1_Áý°èÇ¥(2¿ù) _2001재무제표_재무지원부충당금 9 3" xfId="14193"/>
    <cellStyle name="C￥AØ_Sheet1_Ay°eC￥(2¿u) _2001재무제표_재무지원부충당금 9 4" xfId="14194"/>
    <cellStyle name="Ç¥ÁØ_Sheet1_Áý°èÇ¥(2¿ù) _2001재무제표_재무지원부충당금 9 4" xfId="14195"/>
    <cellStyle name="C￥AØ_Sheet1_Ay°eC￥(2¿u) _2001재무제표_재무지원부충당금 9 5" xfId="14196"/>
    <cellStyle name="Ç¥ÁØ_Sheet1_Áý°èÇ¥(2¿ù) _2001재무제표_재무지원부충당금 9 5" xfId="14197"/>
    <cellStyle name="C￥AØ_Sheet1_Ay°eC￥(2¿u) _2001재무제표_재무지원부충당금 9 6" xfId="14198"/>
    <cellStyle name="Ç¥ÁØ_Sheet1_Áý°èÇ¥(2¿ù) _2001재무제표_재무지원부충당금 9 6" xfId="14199"/>
    <cellStyle name="C￥AØ_Sheet1_Ay°eC￥(2¿u) _2001재무제표_재무지원부충당금 9 7" xfId="14200"/>
    <cellStyle name="Ç¥ÁØ_Sheet1_Áý°èÇ¥(2¿ù) _2001재무제표_재무지원부충당금 9 7" xfId="14201"/>
    <cellStyle name="C￥AØ_Sheet1_Ay°eC￥(2¿u) _2001재무제표_재무지원부충당금 9 8" xfId="14202"/>
    <cellStyle name="Ç¥ÁØ_Sheet1_Áý°èÇ¥(2¿ù) _2001재무제표_재무지원부충당금 9 8" xfId="14203"/>
    <cellStyle name="C￥AØ_Sheet1_Ay°eC￥(2¿u) _2001재무제표_재무지원부충당금 9 9" xfId="14204"/>
    <cellStyle name="Ç¥ÁØ_Sheet1_Áý°èÇ¥(2¿ù) _2001재무제표_재무지원부충당금 9 9" xfId="14205"/>
    <cellStyle name="C￥AØ_Sheet1_Ay°eC￥(2¿u) _2001재무제표_재무지원부충당금_1211 충당금,건전성 현황_작업" xfId="14206"/>
    <cellStyle name="Ç¥ÁØ_Sheet1_Áý°èÇ¥(2¿ù) _2001재무제표_재무지원부충당금_1211 충당금,건전성 현황_작업" xfId="14207"/>
    <cellStyle name="C￥AØ_Sheet1_Ay°eC￥(2¿u) _2001재무제표_재무지원부충당금_HN,KEB(권리분석)_김영진_조세지원" xfId="14208"/>
    <cellStyle name="Ç¥ÁØ_Sheet1_Áý°èÇ¥(2¿ù) _2001재무제표_재무지원부충당금_HN,KEB(권리분석)_김영진_조세지원" xfId="14209"/>
    <cellStyle name="C￥AØ_Sheet1_Ay°eC￥(2¿u) _2001재무제표_재무지원부충당금_HN,KEB(권리분석_최종)_통합" xfId="14210"/>
    <cellStyle name="Ç¥ÁØ_Sheet1_Áý°èÇ¥(2¿ù) _2001재무제표_재무지원부충당금_HN,KEB(권리분석_최종)_통합" xfId="14211"/>
    <cellStyle name="C￥AØ_Sheet1_Ay°eC￥(2¿u) _2001재무제표_재무지원부충당금_SHB_2011-3_담보sheet(더밸류_v6이교민)" xfId="14212"/>
    <cellStyle name="Ç¥ÁØ_Sheet1_Áý°èÇ¥(2¿ù) _2001재무제표_재무지원부충당금_SHB_2011-3_담보sheet(더밸류_v6이교민)" xfId="14213"/>
    <cellStyle name="C￥AØ_Sheet1_Ay°eC￥(2¿u) _2001재무제표_재무지원부충당금_SHB_2011-3_담보sheet(더밸류_v6이교민)_차주명관리_20110726_v1" xfId="14214"/>
    <cellStyle name="Ç¥ÁØ_Sheet1_Áý°èÇ¥(2¿ù) _2001재무제표_재무지원부충당금_SHB_2011-3_담보sheet(더밸류_v6이교민)_차주명관리_20110726_v1" xfId="14215"/>
    <cellStyle name="C￥AØ_Sheet1_Ay°eC￥(2¿u) _2001재무제표_재무지원부충당금_심사역Q&amp;A(20110817_확인)" xfId="14216"/>
    <cellStyle name="Ç¥ÁØ_Sheet1_Áý°èÇ¥(2¿ù) _2001재무제표_재무지원부충당금_심사역Q&amp;A(20110817_확인)" xfId="14217"/>
    <cellStyle name="C￥AØ_Sheet1_Ay°eC￥(2¿u) _2001재무제표_추가충당금명세_0630_V3" xfId="1371"/>
    <cellStyle name="Ç¥ÁØ_Sheet1_Áý°èÇ¥(2¿ù) _2001재무제표_추가충당금명세_0630_V3" xfId="1372"/>
    <cellStyle name="C￥AØ_Sheet1_Ay°eC￥(2¿u) _2001재무제표_추가충당금명세_0630_V3 10" xfId="14218"/>
    <cellStyle name="Ç¥ÁØ_Sheet1_Áý°èÇ¥(2¿ù) _2001재무제표_추가충당금명세_0630_V3 10" xfId="14219"/>
    <cellStyle name="C￥AØ_Sheet1_Ay°eC￥(2¿u) _2001재무제표_추가충당금명세_0630_V3 10 10" xfId="14220"/>
    <cellStyle name="Ç¥ÁØ_Sheet1_Áý°èÇ¥(2¿ù) _2001재무제표_추가충당금명세_0630_V3 10 10" xfId="14221"/>
    <cellStyle name="C￥AØ_Sheet1_Ay°eC￥(2¿u) _2001재무제표_추가충당금명세_0630_V3 10 11" xfId="14222"/>
    <cellStyle name="Ç¥ÁØ_Sheet1_Áý°èÇ¥(2¿ù) _2001재무제표_추가충당금명세_0630_V3 10 11" xfId="14223"/>
    <cellStyle name="C￥AØ_Sheet1_Ay°eC￥(2¿u) _2001재무제표_추가충당금명세_0630_V3 10 2" xfId="14224"/>
    <cellStyle name="Ç¥ÁØ_Sheet1_Áý°èÇ¥(2¿ù) _2001재무제표_추가충당금명세_0630_V3 10 2" xfId="14225"/>
    <cellStyle name="C￥AØ_Sheet1_Ay°eC￥(2¿u) _2001재무제표_추가충당금명세_0630_V3 10 3" xfId="14226"/>
    <cellStyle name="Ç¥ÁØ_Sheet1_Áý°èÇ¥(2¿ù) _2001재무제표_추가충당금명세_0630_V3 10 3" xfId="14227"/>
    <cellStyle name="C￥AØ_Sheet1_Ay°eC￥(2¿u) _2001재무제표_추가충당금명세_0630_V3 10 4" xfId="14228"/>
    <cellStyle name="Ç¥ÁØ_Sheet1_Áý°èÇ¥(2¿ù) _2001재무제표_추가충당금명세_0630_V3 10 4" xfId="14229"/>
    <cellStyle name="C￥AØ_Sheet1_Ay°eC￥(2¿u) _2001재무제표_추가충당금명세_0630_V3 10 5" xfId="14230"/>
    <cellStyle name="Ç¥ÁØ_Sheet1_Áý°èÇ¥(2¿ù) _2001재무제표_추가충당금명세_0630_V3 10 5" xfId="14231"/>
    <cellStyle name="C￥AØ_Sheet1_Ay°eC￥(2¿u) _2001재무제표_추가충당금명세_0630_V3 10 6" xfId="14232"/>
    <cellStyle name="Ç¥ÁØ_Sheet1_Áý°èÇ¥(2¿ù) _2001재무제표_추가충당금명세_0630_V3 10 6" xfId="14233"/>
    <cellStyle name="C￥AØ_Sheet1_Ay°eC￥(2¿u) _2001재무제표_추가충당금명세_0630_V3 10 7" xfId="14234"/>
    <cellStyle name="Ç¥ÁØ_Sheet1_Áý°èÇ¥(2¿ù) _2001재무제표_추가충당금명세_0630_V3 10 7" xfId="14235"/>
    <cellStyle name="C￥AØ_Sheet1_Ay°eC￥(2¿u) _2001재무제표_추가충당금명세_0630_V3 10 8" xfId="14236"/>
    <cellStyle name="Ç¥ÁØ_Sheet1_Áý°èÇ¥(2¿ù) _2001재무제표_추가충당금명세_0630_V3 10 8" xfId="14237"/>
    <cellStyle name="C￥AØ_Sheet1_Ay°eC￥(2¿u) _2001재무제표_추가충당금명세_0630_V3 10 9" xfId="14238"/>
    <cellStyle name="Ç¥ÁØ_Sheet1_Áý°èÇ¥(2¿ù) _2001재무제표_추가충당금명세_0630_V3 10 9" xfId="14239"/>
    <cellStyle name="C￥AØ_Sheet1_Ay°eC￥(2¿u) _2001재무제표_추가충당금명세_0630_V3 11" xfId="14240"/>
    <cellStyle name="Ç¥ÁØ_Sheet1_Áý°èÇ¥(2¿ù) _2001재무제표_추가충당금명세_0630_V3 11" xfId="14241"/>
    <cellStyle name="C￥AØ_Sheet1_Ay°eC￥(2¿u) _2001재무제표_추가충당금명세_0630_V3 12" xfId="14242"/>
    <cellStyle name="Ç¥ÁØ_Sheet1_Áý°èÇ¥(2¿ù) _2001재무제표_추가충당금명세_0630_V3 12" xfId="14243"/>
    <cellStyle name="C￥AØ_Sheet1_Ay°eC￥(2¿u) _2001재무제표_추가충당금명세_0630_V3 13" xfId="14244"/>
    <cellStyle name="Ç¥ÁØ_Sheet1_Áý°èÇ¥(2¿ù) _2001재무제표_추가충당금명세_0630_V3 13" xfId="14245"/>
    <cellStyle name="C￥AØ_Sheet1_Ay°eC￥(2¿u) _2001재무제표_추가충당금명세_0630_V3 14" xfId="14246"/>
    <cellStyle name="Ç¥ÁØ_Sheet1_Áý°èÇ¥(2¿ù) _2001재무제표_추가충당금명세_0630_V3 14" xfId="14247"/>
    <cellStyle name="C￥AØ_Sheet1_Ay°eC￥(2¿u) _2001재무제표_추가충당금명세_0630_V3 15" xfId="14248"/>
    <cellStyle name="Ç¥ÁØ_Sheet1_Áý°èÇ¥(2¿ù) _2001재무제표_추가충당금명세_0630_V3 15" xfId="14249"/>
    <cellStyle name="C￥AØ_Sheet1_Ay°eC￥(2¿u) _2001재무제표_추가충당금명세_0630_V3 16" xfId="14250"/>
    <cellStyle name="Ç¥ÁØ_Sheet1_Áý°èÇ¥(2¿ù) _2001재무제표_추가충당금명세_0630_V3 16" xfId="14251"/>
    <cellStyle name="C￥AØ_Sheet1_Ay°eC￥(2¿u) _2001재무제표_추가충당금명세_0630_V3 17" xfId="14252"/>
    <cellStyle name="Ç¥ÁØ_Sheet1_Áý°èÇ¥(2¿ù) _2001재무제표_추가충당금명세_0630_V3 17" xfId="14253"/>
    <cellStyle name="C￥AØ_Sheet1_Ay°eC￥(2¿u) _2001재무제표_추가충당금명세_0630_V3 18" xfId="14254"/>
    <cellStyle name="Ç¥ÁØ_Sheet1_Áý°èÇ¥(2¿ù) _2001재무제표_추가충당금명세_0630_V3 18" xfId="14255"/>
    <cellStyle name="C￥AØ_Sheet1_Ay°eC￥(2¿u) _2001재무제표_추가충당금명세_0630_V3 19" xfId="14256"/>
    <cellStyle name="Ç¥ÁØ_Sheet1_Áý°èÇ¥(2¿ù) _2001재무제표_추가충당금명세_0630_V3 19" xfId="14257"/>
    <cellStyle name="C￥AØ_Sheet1_Ay°eC￥(2¿u) _2001재무제표_추가충당금명세_0630_V3 2" xfId="1373"/>
    <cellStyle name="Ç¥ÁØ_Sheet1_Áý°èÇ¥(2¿ù) _2001재무제표_추가충당금명세_0630_V3 2" xfId="1374"/>
    <cellStyle name="C￥AØ_Sheet1_Ay°eC￥(2¿u) _2001재무제표_추가충당금명세_0630_V3 2 10" xfId="14258"/>
    <cellStyle name="Ç¥ÁØ_Sheet1_Áý°èÇ¥(2¿ù) _2001재무제표_추가충당금명세_0630_V3 2 10" xfId="14259"/>
    <cellStyle name="C￥AØ_Sheet1_Ay°eC￥(2¿u) _2001재무제표_추가충당금명세_0630_V3 2 11" xfId="14260"/>
    <cellStyle name="Ç¥ÁØ_Sheet1_Áý°èÇ¥(2¿ù) _2001재무제표_추가충당금명세_0630_V3 2 11" xfId="14261"/>
    <cellStyle name="C￥AØ_Sheet1_Ay°eC￥(2¿u) _2001재무제표_추가충당금명세_0630_V3 2 2" xfId="14262"/>
    <cellStyle name="Ç¥ÁØ_Sheet1_Áý°èÇ¥(2¿ù) _2001재무제표_추가충당금명세_0630_V3 2 2" xfId="14263"/>
    <cellStyle name="C￥AØ_Sheet1_Ay°eC￥(2¿u) _2001재무제표_추가충당금명세_0630_V3 2 3" xfId="14264"/>
    <cellStyle name="Ç¥ÁØ_Sheet1_Áý°èÇ¥(2¿ù) _2001재무제표_추가충당금명세_0630_V3 2 3" xfId="14265"/>
    <cellStyle name="C￥AØ_Sheet1_Ay°eC￥(2¿u) _2001재무제표_추가충당금명세_0630_V3 2 4" xfId="14266"/>
    <cellStyle name="Ç¥ÁØ_Sheet1_Áý°èÇ¥(2¿ù) _2001재무제표_추가충당금명세_0630_V3 2 4" xfId="14267"/>
    <cellStyle name="C￥AØ_Sheet1_Ay°eC￥(2¿u) _2001재무제표_추가충당금명세_0630_V3 2 5" xfId="14268"/>
    <cellStyle name="Ç¥ÁØ_Sheet1_Áý°èÇ¥(2¿ù) _2001재무제표_추가충당금명세_0630_V3 2 5" xfId="14269"/>
    <cellStyle name="C￥AØ_Sheet1_Ay°eC￥(2¿u) _2001재무제표_추가충당금명세_0630_V3 2 6" xfId="14270"/>
    <cellStyle name="Ç¥ÁØ_Sheet1_Áý°èÇ¥(2¿ù) _2001재무제표_추가충당금명세_0630_V3 2 6" xfId="14271"/>
    <cellStyle name="C￥AØ_Sheet1_Ay°eC￥(2¿u) _2001재무제표_추가충당금명세_0630_V3 2 7" xfId="14272"/>
    <cellStyle name="Ç¥ÁØ_Sheet1_Áý°èÇ¥(2¿ù) _2001재무제표_추가충당금명세_0630_V3 2 7" xfId="14273"/>
    <cellStyle name="C￥AØ_Sheet1_Ay°eC￥(2¿u) _2001재무제표_추가충당금명세_0630_V3 2 8" xfId="14274"/>
    <cellStyle name="Ç¥ÁØ_Sheet1_Áý°èÇ¥(2¿ù) _2001재무제표_추가충당금명세_0630_V3 2 8" xfId="14275"/>
    <cellStyle name="C￥AØ_Sheet1_Ay°eC￥(2¿u) _2001재무제표_추가충당금명세_0630_V3 2 9" xfId="14276"/>
    <cellStyle name="Ç¥ÁØ_Sheet1_Áý°èÇ¥(2¿ù) _2001재무제표_추가충당금명세_0630_V3 2 9" xfId="14277"/>
    <cellStyle name="C￥AØ_Sheet1_Ay°eC￥(2¿u) _2001재무제표_추가충당금명세_0630_V3 20" xfId="14278"/>
    <cellStyle name="Ç¥ÁØ_Sheet1_Áý°èÇ¥(2¿ù) _2001재무제표_추가충당금명세_0630_V3 20" xfId="14279"/>
    <cellStyle name="C￥AØ_Sheet1_Ay°eC￥(2¿u) _2001재무제표_추가충당금명세_0630_V3 3" xfId="4986"/>
    <cellStyle name="Ç¥ÁØ_Sheet1_Áý°èÇ¥(2¿ù) _2001재무제표_추가충당금명세_0630_V3 3" xfId="4987"/>
    <cellStyle name="C￥AØ_Sheet1_Ay°eC￥(2¿u) _2001재무제표_추가충당금명세_0630_V3 3 10" xfId="14280"/>
    <cellStyle name="Ç¥ÁØ_Sheet1_Áý°èÇ¥(2¿ù) _2001재무제표_추가충당금명세_0630_V3 3 10" xfId="14281"/>
    <cellStyle name="C￥AØ_Sheet1_Ay°eC￥(2¿u) _2001재무제표_추가충당금명세_0630_V3 3 11" xfId="14282"/>
    <cellStyle name="Ç¥ÁØ_Sheet1_Áý°èÇ¥(2¿ù) _2001재무제표_추가충당금명세_0630_V3 3 11" xfId="14283"/>
    <cellStyle name="C￥AØ_Sheet1_Ay°eC￥(2¿u) _2001재무제표_추가충당금명세_0630_V3 3 2" xfId="14284"/>
    <cellStyle name="Ç¥ÁØ_Sheet1_Áý°èÇ¥(2¿ù) _2001재무제표_추가충당금명세_0630_V3 3 2" xfId="14285"/>
    <cellStyle name="C￥AØ_Sheet1_Ay°eC￥(2¿u) _2001재무제표_추가충당금명세_0630_V3 3 3" xfId="14286"/>
    <cellStyle name="Ç¥ÁØ_Sheet1_Áý°èÇ¥(2¿ù) _2001재무제표_추가충당금명세_0630_V3 3 3" xfId="14287"/>
    <cellStyle name="C￥AØ_Sheet1_Ay°eC￥(2¿u) _2001재무제표_추가충당금명세_0630_V3 3 4" xfId="14288"/>
    <cellStyle name="Ç¥ÁØ_Sheet1_Áý°èÇ¥(2¿ù) _2001재무제표_추가충당금명세_0630_V3 3 4" xfId="14289"/>
    <cellStyle name="C￥AØ_Sheet1_Ay°eC￥(2¿u) _2001재무제표_추가충당금명세_0630_V3 3 5" xfId="14290"/>
    <cellStyle name="Ç¥ÁØ_Sheet1_Áý°èÇ¥(2¿ù) _2001재무제표_추가충당금명세_0630_V3 3 5" xfId="14291"/>
    <cellStyle name="C￥AØ_Sheet1_Ay°eC￥(2¿u) _2001재무제표_추가충당금명세_0630_V3 3 6" xfId="14292"/>
    <cellStyle name="Ç¥ÁØ_Sheet1_Áý°èÇ¥(2¿ù) _2001재무제표_추가충당금명세_0630_V3 3 6" xfId="14293"/>
    <cellStyle name="C￥AØ_Sheet1_Ay°eC￥(2¿u) _2001재무제표_추가충당금명세_0630_V3 3 7" xfId="14294"/>
    <cellStyle name="Ç¥ÁØ_Sheet1_Áý°èÇ¥(2¿ù) _2001재무제표_추가충당금명세_0630_V3 3 7" xfId="14295"/>
    <cellStyle name="C￥AØ_Sheet1_Ay°eC￥(2¿u) _2001재무제표_추가충당금명세_0630_V3 3 8" xfId="14296"/>
    <cellStyle name="Ç¥ÁØ_Sheet1_Áý°èÇ¥(2¿ù) _2001재무제표_추가충당금명세_0630_V3 3 8" xfId="14297"/>
    <cellStyle name="C￥AØ_Sheet1_Ay°eC￥(2¿u) _2001재무제표_추가충당금명세_0630_V3 3 9" xfId="14298"/>
    <cellStyle name="Ç¥ÁØ_Sheet1_Áý°èÇ¥(2¿ù) _2001재무제표_추가충당금명세_0630_V3 3 9" xfId="14299"/>
    <cellStyle name="C￥AØ_Sheet1_Ay°eC￥(2¿u) _2001재무제표_추가충당금명세_0630_V3 4" xfId="4988"/>
    <cellStyle name="Ç¥ÁØ_Sheet1_Áý°èÇ¥(2¿ù) _2001재무제표_추가충당금명세_0630_V3 4" xfId="4989"/>
    <cellStyle name="C￥AØ_Sheet1_Ay°eC￥(2¿u) _2001재무제표_추가충당금명세_0630_V3 4 10" xfId="14300"/>
    <cellStyle name="Ç¥ÁØ_Sheet1_Áý°èÇ¥(2¿ù) _2001재무제표_추가충당금명세_0630_V3 4 10" xfId="14301"/>
    <cellStyle name="C￥AØ_Sheet1_Ay°eC￥(2¿u) _2001재무제표_추가충당금명세_0630_V3 4 11" xfId="14302"/>
    <cellStyle name="Ç¥ÁØ_Sheet1_Áý°èÇ¥(2¿ù) _2001재무제표_추가충당금명세_0630_V3 4 11" xfId="14303"/>
    <cellStyle name="C￥AØ_Sheet1_Ay°eC￥(2¿u) _2001재무제표_추가충당금명세_0630_V3 4 2" xfId="14304"/>
    <cellStyle name="Ç¥ÁØ_Sheet1_Áý°èÇ¥(2¿ù) _2001재무제표_추가충당금명세_0630_V3 4 2" xfId="14305"/>
    <cellStyle name="C￥AØ_Sheet1_Ay°eC￥(2¿u) _2001재무제표_추가충당금명세_0630_V3 4 3" xfId="14306"/>
    <cellStyle name="Ç¥ÁØ_Sheet1_Áý°èÇ¥(2¿ù) _2001재무제표_추가충당금명세_0630_V3 4 3" xfId="14307"/>
    <cellStyle name="C￥AØ_Sheet1_Ay°eC￥(2¿u) _2001재무제표_추가충당금명세_0630_V3 4 4" xfId="14308"/>
    <cellStyle name="Ç¥ÁØ_Sheet1_Áý°èÇ¥(2¿ù) _2001재무제표_추가충당금명세_0630_V3 4 4" xfId="14309"/>
    <cellStyle name="C￥AØ_Sheet1_Ay°eC￥(2¿u) _2001재무제표_추가충당금명세_0630_V3 4 5" xfId="14310"/>
    <cellStyle name="Ç¥ÁØ_Sheet1_Áý°èÇ¥(2¿ù) _2001재무제표_추가충당금명세_0630_V3 4 5" xfId="14311"/>
    <cellStyle name="C￥AØ_Sheet1_Ay°eC￥(2¿u) _2001재무제표_추가충당금명세_0630_V3 4 6" xfId="14312"/>
    <cellStyle name="Ç¥ÁØ_Sheet1_Áý°èÇ¥(2¿ù) _2001재무제표_추가충당금명세_0630_V3 4 6" xfId="14313"/>
    <cellStyle name="C￥AØ_Sheet1_Ay°eC￥(2¿u) _2001재무제표_추가충당금명세_0630_V3 4 7" xfId="14314"/>
    <cellStyle name="Ç¥ÁØ_Sheet1_Áý°èÇ¥(2¿ù) _2001재무제표_추가충당금명세_0630_V3 4 7" xfId="14315"/>
    <cellStyle name="C￥AØ_Sheet1_Ay°eC￥(2¿u) _2001재무제표_추가충당금명세_0630_V3 4 8" xfId="14316"/>
    <cellStyle name="Ç¥ÁØ_Sheet1_Áý°èÇ¥(2¿ù) _2001재무제표_추가충당금명세_0630_V3 4 8" xfId="14317"/>
    <cellStyle name="C￥AØ_Sheet1_Ay°eC￥(2¿u) _2001재무제표_추가충당금명세_0630_V3 4 9" xfId="14318"/>
    <cellStyle name="Ç¥ÁØ_Sheet1_Áý°èÇ¥(2¿ù) _2001재무제표_추가충당금명세_0630_V3 4 9" xfId="14319"/>
    <cellStyle name="C￥AØ_Sheet1_Ay°eC￥(2¿u) _2001재무제표_추가충당금명세_0630_V3 5" xfId="4990"/>
    <cellStyle name="Ç¥ÁØ_Sheet1_Áý°èÇ¥(2¿ù) _2001재무제표_추가충당금명세_0630_V3 5" xfId="4991"/>
    <cellStyle name="C￥AØ_Sheet1_Ay°eC￥(2¿u) _2001재무제표_추가충당금명세_0630_V3 5 10" xfId="14320"/>
    <cellStyle name="Ç¥ÁØ_Sheet1_Áý°èÇ¥(2¿ù) _2001재무제표_추가충당금명세_0630_V3 5 10" xfId="14321"/>
    <cellStyle name="C￥AØ_Sheet1_Ay°eC￥(2¿u) _2001재무제표_추가충당금명세_0630_V3 5 11" xfId="14322"/>
    <cellStyle name="Ç¥ÁØ_Sheet1_Áý°èÇ¥(2¿ù) _2001재무제표_추가충당금명세_0630_V3 5 11" xfId="14323"/>
    <cellStyle name="C￥AØ_Sheet1_Ay°eC￥(2¿u) _2001재무제표_추가충당금명세_0630_V3 5 2" xfId="14324"/>
    <cellStyle name="Ç¥ÁØ_Sheet1_Áý°èÇ¥(2¿ù) _2001재무제표_추가충당금명세_0630_V3 5 2" xfId="14325"/>
    <cellStyle name="C￥AØ_Sheet1_Ay°eC￥(2¿u) _2001재무제표_추가충당금명세_0630_V3 5 3" xfId="14326"/>
    <cellStyle name="Ç¥ÁØ_Sheet1_Áý°èÇ¥(2¿ù) _2001재무제표_추가충당금명세_0630_V3 5 3" xfId="14327"/>
    <cellStyle name="C￥AØ_Sheet1_Ay°eC￥(2¿u) _2001재무제표_추가충당금명세_0630_V3 5 4" xfId="14328"/>
    <cellStyle name="Ç¥ÁØ_Sheet1_Áý°èÇ¥(2¿ù) _2001재무제표_추가충당금명세_0630_V3 5 4" xfId="14329"/>
    <cellStyle name="C￥AØ_Sheet1_Ay°eC￥(2¿u) _2001재무제표_추가충당금명세_0630_V3 5 5" xfId="14330"/>
    <cellStyle name="Ç¥ÁØ_Sheet1_Áý°èÇ¥(2¿ù) _2001재무제표_추가충당금명세_0630_V3 5 5" xfId="14331"/>
    <cellStyle name="C￥AØ_Sheet1_Ay°eC￥(2¿u) _2001재무제표_추가충당금명세_0630_V3 5 6" xfId="14332"/>
    <cellStyle name="Ç¥ÁØ_Sheet1_Áý°èÇ¥(2¿ù) _2001재무제표_추가충당금명세_0630_V3 5 6" xfId="14333"/>
    <cellStyle name="C￥AØ_Sheet1_Ay°eC￥(2¿u) _2001재무제표_추가충당금명세_0630_V3 5 7" xfId="14334"/>
    <cellStyle name="Ç¥ÁØ_Sheet1_Áý°èÇ¥(2¿ù) _2001재무제표_추가충당금명세_0630_V3 5 7" xfId="14335"/>
    <cellStyle name="C￥AØ_Sheet1_Ay°eC￥(2¿u) _2001재무제표_추가충당금명세_0630_V3 5 8" xfId="14336"/>
    <cellStyle name="Ç¥ÁØ_Sheet1_Áý°èÇ¥(2¿ù) _2001재무제표_추가충당금명세_0630_V3 5 8" xfId="14337"/>
    <cellStyle name="C￥AØ_Sheet1_Ay°eC￥(2¿u) _2001재무제표_추가충당금명세_0630_V3 5 9" xfId="14338"/>
    <cellStyle name="Ç¥ÁØ_Sheet1_Áý°èÇ¥(2¿ù) _2001재무제표_추가충당금명세_0630_V3 5 9" xfId="14339"/>
    <cellStyle name="C￥AØ_Sheet1_Ay°eC￥(2¿u) _2001재무제표_추가충당금명세_0630_V3 6" xfId="4992"/>
    <cellStyle name="Ç¥ÁØ_Sheet1_Áý°èÇ¥(2¿ù) _2001재무제표_추가충당금명세_0630_V3 6" xfId="4993"/>
    <cellStyle name="C￥AØ_Sheet1_Ay°eC￥(2¿u) _2001재무제표_추가충당금명세_0630_V3 6 10" xfId="14340"/>
    <cellStyle name="Ç¥ÁØ_Sheet1_Áý°èÇ¥(2¿ù) _2001재무제표_추가충당금명세_0630_V3 6 10" xfId="14341"/>
    <cellStyle name="C￥AØ_Sheet1_Ay°eC￥(2¿u) _2001재무제표_추가충당금명세_0630_V3 6 11" xfId="14342"/>
    <cellStyle name="Ç¥ÁØ_Sheet1_Áý°èÇ¥(2¿ù) _2001재무제표_추가충당금명세_0630_V3 6 11" xfId="14343"/>
    <cellStyle name="C￥AØ_Sheet1_Ay°eC￥(2¿u) _2001재무제표_추가충당금명세_0630_V3 6 2" xfId="14344"/>
    <cellStyle name="Ç¥ÁØ_Sheet1_Áý°èÇ¥(2¿ù) _2001재무제표_추가충당금명세_0630_V3 6 2" xfId="14345"/>
    <cellStyle name="C￥AØ_Sheet1_Ay°eC￥(2¿u) _2001재무제표_추가충당금명세_0630_V3 6 3" xfId="14346"/>
    <cellStyle name="Ç¥ÁØ_Sheet1_Áý°èÇ¥(2¿ù) _2001재무제표_추가충당금명세_0630_V3 6 3" xfId="14347"/>
    <cellStyle name="C￥AØ_Sheet1_Ay°eC￥(2¿u) _2001재무제표_추가충당금명세_0630_V3 6 4" xfId="14348"/>
    <cellStyle name="Ç¥ÁØ_Sheet1_Áý°èÇ¥(2¿ù) _2001재무제표_추가충당금명세_0630_V3 6 4" xfId="14349"/>
    <cellStyle name="C￥AØ_Sheet1_Ay°eC￥(2¿u) _2001재무제표_추가충당금명세_0630_V3 6 5" xfId="14350"/>
    <cellStyle name="Ç¥ÁØ_Sheet1_Áý°èÇ¥(2¿ù) _2001재무제표_추가충당금명세_0630_V3 6 5" xfId="14351"/>
    <cellStyle name="C￥AØ_Sheet1_Ay°eC￥(2¿u) _2001재무제표_추가충당금명세_0630_V3 6 6" xfId="14352"/>
    <cellStyle name="Ç¥ÁØ_Sheet1_Áý°èÇ¥(2¿ù) _2001재무제표_추가충당금명세_0630_V3 6 6" xfId="14353"/>
    <cellStyle name="C￥AØ_Sheet1_Ay°eC￥(2¿u) _2001재무제표_추가충당금명세_0630_V3 6 7" xfId="14354"/>
    <cellStyle name="Ç¥ÁØ_Sheet1_Áý°èÇ¥(2¿ù) _2001재무제표_추가충당금명세_0630_V3 6 7" xfId="14355"/>
    <cellStyle name="C￥AØ_Sheet1_Ay°eC￥(2¿u) _2001재무제표_추가충당금명세_0630_V3 6 8" xfId="14356"/>
    <cellStyle name="Ç¥ÁØ_Sheet1_Áý°èÇ¥(2¿ù) _2001재무제표_추가충당금명세_0630_V3 6 8" xfId="14357"/>
    <cellStyle name="C￥AØ_Sheet1_Ay°eC￥(2¿u) _2001재무제표_추가충당금명세_0630_V3 6 9" xfId="14358"/>
    <cellStyle name="Ç¥ÁØ_Sheet1_Áý°èÇ¥(2¿ù) _2001재무제표_추가충당금명세_0630_V3 6 9" xfId="14359"/>
    <cellStyle name="C￥AØ_Sheet1_Ay°eC￥(2¿u) _2001재무제표_추가충당금명세_0630_V3 7" xfId="14360"/>
    <cellStyle name="Ç¥ÁØ_Sheet1_Áý°èÇ¥(2¿ù) _2001재무제표_추가충당금명세_0630_V3 7" xfId="14361"/>
    <cellStyle name="C￥AØ_Sheet1_Ay°eC￥(2¿u) _2001재무제표_추가충당금명세_0630_V3 7 10" xfId="14362"/>
    <cellStyle name="Ç¥ÁØ_Sheet1_Áý°èÇ¥(2¿ù) _2001재무제표_추가충당금명세_0630_V3 7 10" xfId="14363"/>
    <cellStyle name="C￥AØ_Sheet1_Ay°eC￥(2¿u) _2001재무제표_추가충당금명세_0630_V3 7 11" xfId="14364"/>
    <cellStyle name="Ç¥ÁØ_Sheet1_Áý°èÇ¥(2¿ù) _2001재무제표_추가충당금명세_0630_V3 7 11" xfId="14365"/>
    <cellStyle name="C￥AØ_Sheet1_Ay°eC￥(2¿u) _2001재무제표_추가충당금명세_0630_V3 7 2" xfId="14366"/>
    <cellStyle name="Ç¥ÁØ_Sheet1_Áý°èÇ¥(2¿ù) _2001재무제표_추가충당금명세_0630_V3 7 2" xfId="14367"/>
    <cellStyle name="C￥AØ_Sheet1_Ay°eC￥(2¿u) _2001재무제표_추가충당금명세_0630_V3 7 3" xfId="14368"/>
    <cellStyle name="Ç¥ÁØ_Sheet1_Áý°èÇ¥(2¿ù) _2001재무제표_추가충당금명세_0630_V3 7 3" xfId="14369"/>
    <cellStyle name="C￥AØ_Sheet1_Ay°eC￥(2¿u) _2001재무제표_추가충당금명세_0630_V3 7 4" xfId="14370"/>
    <cellStyle name="Ç¥ÁØ_Sheet1_Áý°èÇ¥(2¿ù) _2001재무제표_추가충당금명세_0630_V3 7 4" xfId="14371"/>
    <cellStyle name="C￥AØ_Sheet1_Ay°eC￥(2¿u) _2001재무제표_추가충당금명세_0630_V3 7 5" xfId="14372"/>
    <cellStyle name="Ç¥ÁØ_Sheet1_Áý°èÇ¥(2¿ù) _2001재무제표_추가충당금명세_0630_V3 7 5" xfId="14373"/>
    <cellStyle name="C￥AØ_Sheet1_Ay°eC￥(2¿u) _2001재무제표_추가충당금명세_0630_V3 7 6" xfId="14374"/>
    <cellStyle name="Ç¥ÁØ_Sheet1_Áý°èÇ¥(2¿ù) _2001재무제표_추가충당금명세_0630_V3 7 6" xfId="14375"/>
    <cellStyle name="C￥AØ_Sheet1_Ay°eC￥(2¿u) _2001재무제표_추가충당금명세_0630_V3 7 7" xfId="14376"/>
    <cellStyle name="Ç¥ÁØ_Sheet1_Áý°èÇ¥(2¿ù) _2001재무제표_추가충당금명세_0630_V3 7 7" xfId="14377"/>
    <cellStyle name="C￥AØ_Sheet1_Ay°eC￥(2¿u) _2001재무제표_추가충당금명세_0630_V3 7 8" xfId="14378"/>
    <cellStyle name="Ç¥ÁØ_Sheet1_Áý°èÇ¥(2¿ù) _2001재무제표_추가충당금명세_0630_V3 7 8" xfId="14379"/>
    <cellStyle name="C￥AØ_Sheet1_Ay°eC￥(2¿u) _2001재무제표_추가충당금명세_0630_V3 7 9" xfId="14380"/>
    <cellStyle name="Ç¥ÁØ_Sheet1_Áý°èÇ¥(2¿ù) _2001재무제표_추가충당금명세_0630_V3 7 9" xfId="14381"/>
    <cellStyle name="C￥AØ_Sheet1_Ay°eC￥(2¿u) _2001재무제표_추가충당금명세_0630_V3 8" xfId="14382"/>
    <cellStyle name="Ç¥ÁØ_Sheet1_Áý°èÇ¥(2¿ù) _2001재무제표_추가충당금명세_0630_V3 8" xfId="14383"/>
    <cellStyle name="C￥AØ_Sheet1_Ay°eC￥(2¿u) _2001재무제표_추가충당금명세_0630_V3 8 10" xfId="14384"/>
    <cellStyle name="Ç¥ÁØ_Sheet1_Áý°èÇ¥(2¿ù) _2001재무제표_추가충당금명세_0630_V3 8 10" xfId="14385"/>
    <cellStyle name="C￥AØ_Sheet1_Ay°eC￥(2¿u) _2001재무제표_추가충당금명세_0630_V3 8 11" xfId="14386"/>
    <cellStyle name="Ç¥ÁØ_Sheet1_Áý°èÇ¥(2¿ù) _2001재무제표_추가충당금명세_0630_V3 8 11" xfId="14387"/>
    <cellStyle name="C￥AØ_Sheet1_Ay°eC￥(2¿u) _2001재무제표_추가충당금명세_0630_V3 8 2" xfId="14388"/>
    <cellStyle name="Ç¥ÁØ_Sheet1_Áý°èÇ¥(2¿ù) _2001재무제표_추가충당금명세_0630_V3 8 2" xfId="14389"/>
    <cellStyle name="C￥AØ_Sheet1_Ay°eC￥(2¿u) _2001재무제표_추가충당금명세_0630_V3 8 3" xfId="14390"/>
    <cellStyle name="Ç¥ÁØ_Sheet1_Áý°èÇ¥(2¿ù) _2001재무제표_추가충당금명세_0630_V3 8 3" xfId="14391"/>
    <cellStyle name="C￥AØ_Sheet1_Ay°eC￥(2¿u) _2001재무제표_추가충당금명세_0630_V3 8 4" xfId="14392"/>
    <cellStyle name="Ç¥ÁØ_Sheet1_Áý°èÇ¥(2¿ù) _2001재무제표_추가충당금명세_0630_V3 8 4" xfId="14393"/>
    <cellStyle name="C￥AØ_Sheet1_Ay°eC￥(2¿u) _2001재무제표_추가충당금명세_0630_V3 8 5" xfId="14394"/>
    <cellStyle name="Ç¥ÁØ_Sheet1_Áý°èÇ¥(2¿ù) _2001재무제표_추가충당금명세_0630_V3 8 5" xfId="14395"/>
    <cellStyle name="C￥AØ_Sheet1_Ay°eC￥(2¿u) _2001재무제표_추가충당금명세_0630_V3 8 6" xfId="14396"/>
    <cellStyle name="Ç¥ÁØ_Sheet1_Áý°èÇ¥(2¿ù) _2001재무제표_추가충당금명세_0630_V3 8 6" xfId="14397"/>
    <cellStyle name="C￥AØ_Sheet1_Ay°eC￥(2¿u) _2001재무제표_추가충당금명세_0630_V3 8 7" xfId="14398"/>
    <cellStyle name="Ç¥ÁØ_Sheet1_Áý°èÇ¥(2¿ù) _2001재무제표_추가충당금명세_0630_V3 8 7" xfId="14399"/>
    <cellStyle name="C￥AØ_Sheet1_Ay°eC￥(2¿u) _2001재무제표_추가충당금명세_0630_V3 8 8" xfId="14400"/>
    <cellStyle name="Ç¥ÁØ_Sheet1_Áý°èÇ¥(2¿ù) _2001재무제표_추가충당금명세_0630_V3 8 8" xfId="14401"/>
    <cellStyle name="C￥AØ_Sheet1_Ay°eC￥(2¿u) _2001재무제표_추가충당금명세_0630_V3 8 9" xfId="14402"/>
    <cellStyle name="Ç¥ÁØ_Sheet1_Áý°èÇ¥(2¿ù) _2001재무제표_추가충당금명세_0630_V3 8 9" xfId="14403"/>
    <cellStyle name="C￥AØ_Sheet1_Ay°eC￥(2¿u) _2001재무제표_추가충당금명세_0630_V3 9" xfId="14404"/>
    <cellStyle name="Ç¥ÁØ_Sheet1_Áý°èÇ¥(2¿ù) _2001재무제표_추가충당금명세_0630_V3 9" xfId="14405"/>
    <cellStyle name="C￥AØ_Sheet1_Ay°eC￥(2¿u) _2001재무제표_추가충당금명세_0630_V3 9 10" xfId="14406"/>
    <cellStyle name="Ç¥ÁØ_Sheet1_Áý°èÇ¥(2¿ù) _2001재무제표_추가충당금명세_0630_V3 9 10" xfId="14407"/>
    <cellStyle name="C￥AØ_Sheet1_Ay°eC￥(2¿u) _2001재무제표_추가충당금명세_0630_V3 9 11" xfId="14408"/>
    <cellStyle name="Ç¥ÁØ_Sheet1_Áý°èÇ¥(2¿ù) _2001재무제표_추가충당금명세_0630_V3 9 11" xfId="14409"/>
    <cellStyle name="C￥AØ_Sheet1_Ay°eC￥(2¿u) _2001재무제표_추가충당금명세_0630_V3 9 2" xfId="14410"/>
    <cellStyle name="Ç¥ÁØ_Sheet1_Áý°èÇ¥(2¿ù) _2001재무제표_추가충당금명세_0630_V3 9 2" xfId="14411"/>
    <cellStyle name="C￥AØ_Sheet1_Ay°eC￥(2¿u) _2001재무제표_추가충당금명세_0630_V3 9 3" xfId="14412"/>
    <cellStyle name="Ç¥ÁØ_Sheet1_Áý°èÇ¥(2¿ù) _2001재무제표_추가충당금명세_0630_V3 9 3" xfId="14413"/>
    <cellStyle name="C￥AØ_Sheet1_Ay°eC￥(2¿u) _2001재무제표_추가충당금명세_0630_V3 9 4" xfId="14414"/>
    <cellStyle name="Ç¥ÁØ_Sheet1_Áý°èÇ¥(2¿ù) _2001재무제표_추가충당금명세_0630_V3 9 4" xfId="14415"/>
    <cellStyle name="C￥AØ_Sheet1_Ay°eC￥(2¿u) _2001재무제표_추가충당금명세_0630_V3 9 5" xfId="14416"/>
    <cellStyle name="Ç¥ÁØ_Sheet1_Áý°èÇ¥(2¿ù) _2001재무제표_추가충당금명세_0630_V3 9 5" xfId="14417"/>
    <cellStyle name="C￥AØ_Sheet1_Ay°eC￥(2¿u) _2001재무제표_추가충당금명세_0630_V3 9 6" xfId="14418"/>
    <cellStyle name="Ç¥ÁØ_Sheet1_Áý°èÇ¥(2¿ù) _2001재무제표_추가충당금명세_0630_V3 9 6" xfId="14419"/>
    <cellStyle name="C￥AØ_Sheet1_Ay°eC￥(2¿u) _2001재무제표_추가충당금명세_0630_V3 9 7" xfId="14420"/>
    <cellStyle name="Ç¥ÁØ_Sheet1_Áý°èÇ¥(2¿ù) _2001재무제표_추가충당금명세_0630_V3 9 7" xfId="14421"/>
    <cellStyle name="C￥AØ_Sheet1_Ay°eC￥(2¿u) _2001재무제표_추가충당금명세_0630_V3 9 8" xfId="14422"/>
    <cellStyle name="Ç¥ÁØ_Sheet1_Áý°èÇ¥(2¿ù) _2001재무제표_추가충당금명세_0630_V3 9 8" xfId="14423"/>
    <cellStyle name="C￥AØ_Sheet1_Ay°eC￥(2¿u) _2001재무제표_추가충당금명세_0630_V3 9 9" xfId="14424"/>
    <cellStyle name="Ç¥ÁØ_Sheet1_Áý°èÇ¥(2¿ù) _2001재무제표_추가충당금명세_0630_V3 9 9" xfId="14425"/>
    <cellStyle name="C￥AØ_Sheet1_Ay°eC￥(2¿u) _2001재무제표_추가충당금명세_0630_V3_1211 충당금,건전성 현황_작업" xfId="14426"/>
    <cellStyle name="Ç¥ÁØ_Sheet1_Áý°èÇ¥(2¿ù) _2001재무제표_추가충당금명세_0630_V3_1211 충당금,건전성 현황_작업" xfId="14427"/>
    <cellStyle name="C￥AØ_Sheet1_Ay°eC￥(2¿u) _2001재무제표_추가충당금명세_0630_V3_HN,KEB(권리분석)_김영진_조세지원" xfId="14428"/>
    <cellStyle name="Ç¥ÁØ_Sheet1_Áý°èÇ¥(2¿ù) _2001재무제표_추가충당금명세_0630_V3_HN,KEB(권리분석)_김영진_조세지원" xfId="14429"/>
    <cellStyle name="C￥AØ_Sheet1_Ay°eC￥(2¿u) _2001재무제표_추가충당금명세_0630_V3_HN,KEB(권리분석_최종)_통합" xfId="14430"/>
    <cellStyle name="Ç¥ÁØ_Sheet1_Áý°èÇ¥(2¿ù) _2001재무제표_추가충당금명세_0630_V3_HN,KEB(권리분석_최종)_통합" xfId="14431"/>
    <cellStyle name="C￥AØ_Sheet1_Ay°eC￥(2¿u) _2001재무제표_추가충당금명세_0630_V3_SHB_2011-3_담보sheet(더밸류_v6이교민)" xfId="14432"/>
    <cellStyle name="Ç¥ÁØ_Sheet1_Áý°èÇ¥(2¿ù) _2001재무제표_추가충당금명세_0630_V3_SHB_2011-3_담보sheet(더밸류_v6이교민)" xfId="14433"/>
    <cellStyle name="C￥AØ_Sheet1_Ay°eC￥(2¿u) _2001재무제표_추가충당금명세_0630_V3_SHB_2011-3_담보sheet(더밸류_v6이교민)_차주명관리_20110726_v1" xfId="14434"/>
    <cellStyle name="Ç¥ÁØ_Sheet1_Áý°èÇ¥(2¿ù) _2001재무제표_추가충당금명세_0630_V3_SHB_2011-3_담보sheet(더밸류_v6이교민)_차주명관리_20110726_v1" xfId="14435"/>
    <cellStyle name="C￥AØ_Sheet1_Ay°eC￥(2¿u) _2001재무제표_추가충당금명세_0630_V3_심사역Q&amp;A(20110817_확인)" xfId="14436"/>
    <cellStyle name="Ç¥ÁØ_Sheet1_Áý°èÇ¥(2¿ù) _2001재무제표_추가충당금명세_0630_V3_심사역Q&amp;A(20110817_확인)" xfId="14437"/>
    <cellStyle name="C￥AØ_Sheet1_Ay°eC￥(2¿u) _Sheet1" xfId="14438"/>
    <cellStyle name="C∷RIA∽¨√_∷R¨u¨IㄏǎE?∷R¨ua" xfId="14439"/>
    <cellStyle name="C⊥Aí_【a AoAUAaìn" xfId="14440"/>
    <cellStyle name="Calc C⟐rrency (0)" xfId="14441"/>
    <cellStyle name="Calc Currency (0)" xfId="1375"/>
    <cellStyle name="Calc Currency (0) 2" xfId="14442"/>
    <cellStyle name="Calc Currency (0) 3" xfId="14443"/>
    <cellStyle name="Calc Currency (2)" xfId="14444"/>
    <cellStyle name="Calc Percent (0)" xfId="14445"/>
    <cellStyle name="Calc Percent (1)" xfId="14446"/>
    <cellStyle name="Calc Percent (2)" xfId="14447"/>
    <cellStyle name="Calc Units (0)" xfId="14448"/>
    <cellStyle name="Calc Units (1)" xfId="14449"/>
    <cellStyle name="Calc Units (2)" xfId="14450"/>
    <cellStyle name="Calculation" xfId="1376"/>
    <cellStyle name="Calculation 10" xfId="14451"/>
    <cellStyle name="Calculation 10 2" xfId="14452"/>
    <cellStyle name="Calculation 10 2 2" xfId="14453"/>
    <cellStyle name="Calculation 10 2 2 2" xfId="28643"/>
    <cellStyle name="Calculation 10 2 3" xfId="28642"/>
    <cellStyle name="Calculation 10 3" xfId="14454"/>
    <cellStyle name="Calculation 10 3 2" xfId="14455"/>
    <cellStyle name="Calculation 10 3 2 2" xfId="28645"/>
    <cellStyle name="Calculation 10 3 3" xfId="28644"/>
    <cellStyle name="Calculation 10 4" xfId="14456"/>
    <cellStyle name="Calculation 10 4 2" xfId="14457"/>
    <cellStyle name="Calculation 10 4 2 2" xfId="28647"/>
    <cellStyle name="Calculation 10 4 3" xfId="28646"/>
    <cellStyle name="Calculation 10 5" xfId="14458"/>
    <cellStyle name="Calculation 10 5 2" xfId="28648"/>
    <cellStyle name="Calculation 10 6" xfId="28641"/>
    <cellStyle name="Calculation 11" xfId="14459"/>
    <cellStyle name="Calculation 11 2" xfId="14460"/>
    <cellStyle name="Calculation 11 2 2" xfId="14461"/>
    <cellStyle name="Calculation 11 2 2 2" xfId="28651"/>
    <cellStyle name="Calculation 11 2 3" xfId="28650"/>
    <cellStyle name="Calculation 11 3" xfId="14462"/>
    <cellStyle name="Calculation 11 3 2" xfId="14463"/>
    <cellStyle name="Calculation 11 3 2 2" xfId="28653"/>
    <cellStyle name="Calculation 11 3 3" xfId="28652"/>
    <cellStyle name="Calculation 11 4" xfId="14464"/>
    <cellStyle name="Calculation 11 4 2" xfId="14465"/>
    <cellStyle name="Calculation 11 4 2 2" xfId="28655"/>
    <cellStyle name="Calculation 11 4 3" xfId="28654"/>
    <cellStyle name="Calculation 11 5" xfId="14466"/>
    <cellStyle name="Calculation 11 5 2" xfId="28656"/>
    <cellStyle name="Calculation 11 6" xfId="28649"/>
    <cellStyle name="Calculation 12" xfId="14467"/>
    <cellStyle name="Calculation 12 2" xfId="14468"/>
    <cellStyle name="Calculation 12 2 2" xfId="14469"/>
    <cellStyle name="Calculation 12 2 2 2" xfId="28659"/>
    <cellStyle name="Calculation 12 2 3" xfId="28658"/>
    <cellStyle name="Calculation 12 3" xfId="14470"/>
    <cellStyle name="Calculation 12 3 2" xfId="14471"/>
    <cellStyle name="Calculation 12 3 2 2" xfId="28661"/>
    <cellStyle name="Calculation 12 3 3" xfId="28660"/>
    <cellStyle name="Calculation 12 4" xfId="14472"/>
    <cellStyle name="Calculation 12 4 2" xfId="14473"/>
    <cellStyle name="Calculation 12 4 2 2" xfId="28663"/>
    <cellStyle name="Calculation 12 4 3" xfId="28662"/>
    <cellStyle name="Calculation 12 5" xfId="14474"/>
    <cellStyle name="Calculation 12 5 2" xfId="28664"/>
    <cellStyle name="Calculation 12 6" xfId="28657"/>
    <cellStyle name="Calculation 13" xfId="14475"/>
    <cellStyle name="Calculation 13 2" xfId="14476"/>
    <cellStyle name="Calculation 13 2 2" xfId="14477"/>
    <cellStyle name="Calculation 13 2 2 2" xfId="28667"/>
    <cellStyle name="Calculation 13 2 3" xfId="28666"/>
    <cellStyle name="Calculation 13 3" xfId="14478"/>
    <cellStyle name="Calculation 13 3 2" xfId="14479"/>
    <cellStyle name="Calculation 13 3 2 2" xfId="28669"/>
    <cellStyle name="Calculation 13 3 3" xfId="28668"/>
    <cellStyle name="Calculation 13 4" xfId="14480"/>
    <cellStyle name="Calculation 13 4 2" xfId="14481"/>
    <cellStyle name="Calculation 13 4 2 2" xfId="28671"/>
    <cellStyle name="Calculation 13 4 3" xfId="28670"/>
    <cellStyle name="Calculation 13 5" xfId="14482"/>
    <cellStyle name="Calculation 13 5 2" xfId="28672"/>
    <cellStyle name="Calculation 13 6" xfId="28665"/>
    <cellStyle name="Calculation 14" xfId="14483"/>
    <cellStyle name="Calculation 14 2" xfId="14484"/>
    <cellStyle name="Calculation 14 2 2" xfId="14485"/>
    <cellStyle name="Calculation 14 2 2 2" xfId="28675"/>
    <cellStyle name="Calculation 14 2 3" xfId="28674"/>
    <cellStyle name="Calculation 14 3" xfId="14486"/>
    <cellStyle name="Calculation 14 3 2" xfId="14487"/>
    <cellStyle name="Calculation 14 3 2 2" xfId="28677"/>
    <cellStyle name="Calculation 14 3 3" xfId="28676"/>
    <cellStyle name="Calculation 14 4" xfId="14488"/>
    <cellStyle name="Calculation 14 4 2" xfId="14489"/>
    <cellStyle name="Calculation 14 4 2 2" xfId="28679"/>
    <cellStyle name="Calculation 14 4 3" xfId="28678"/>
    <cellStyle name="Calculation 14 5" xfId="14490"/>
    <cellStyle name="Calculation 14 5 2" xfId="28680"/>
    <cellStyle name="Calculation 14 6" xfId="28673"/>
    <cellStyle name="Calculation 15" xfId="14491"/>
    <cellStyle name="Calculation 15 2" xfId="14492"/>
    <cellStyle name="Calculation 15 2 2" xfId="14493"/>
    <cellStyle name="Calculation 15 2 2 2" xfId="28683"/>
    <cellStyle name="Calculation 15 2 3" xfId="28682"/>
    <cellStyle name="Calculation 15 3" xfId="14494"/>
    <cellStyle name="Calculation 15 3 2" xfId="14495"/>
    <cellStyle name="Calculation 15 3 2 2" xfId="28685"/>
    <cellStyle name="Calculation 15 3 3" xfId="28684"/>
    <cellStyle name="Calculation 15 4" xfId="14496"/>
    <cellStyle name="Calculation 15 4 2" xfId="14497"/>
    <cellStyle name="Calculation 15 4 2 2" xfId="28687"/>
    <cellStyle name="Calculation 15 4 3" xfId="28686"/>
    <cellStyle name="Calculation 15 5" xfId="14498"/>
    <cellStyle name="Calculation 15 5 2" xfId="28688"/>
    <cellStyle name="Calculation 15 6" xfId="28681"/>
    <cellStyle name="Calculation 16" xfId="14499"/>
    <cellStyle name="Calculation 16 2" xfId="14500"/>
    <cellStyle name="Calculation 16 2 2" xfId="14501"/>
    <cellStyle name="Calculation 16 2 2 2" xfId="28691"/>
    <cellStyle name="Calculation 16 2 3" xfId="28690"/>
    <cellStyle name="Calculation 16 3" xfId="14502"/>
    <cellStyle name="Calculation 16 3 2" xfId="14503"/>
    <cellStyle name="Calculation 16 3 2 2" xfId="28693"/>
    <cellStyle name="Calculation 16 3 3" xfId="28692"/>
    <cellStyle name="Calculation 16 4" xfId="14504"/>
    <cellStyle name="Calculation 16 4 2" xfId="14505"/>
    <cellStyle name="Calculation 16 4 2 2" xfId="28695"/>
    <cellStyle name="Calculation 16 4 3" xfId="28694"/>
    <cellStyle name="Calculation 16 5" xfId="14506"/>
    <cellStyle name="Calculation 16 5 2" xfId="28696"/>
    <cellStyle name="Calculation 16 6" xfId="28689"/>
    <cellStyle name="Calculation 17" xfId="14507"/>
    <cellStyle name="Calculation 17 2" xfId="14508"/>
    <cellStyle name="Calculation 17 2 2" xfId="14509"/>
    <cellStyle name="Calculation 17 2 2 2" xfId="28699"/>
    <cellStyle name="Calculation 17 2 3" xfId="28698"/>
    <cellStyle name="Calculation 17 3" xfId="14510"/>
    <cellStyle name="Calculation 17 3 2" xfId="14511"/>
    <cellStyle name="Calculation 17 3 2 2" xfId="28701"/>
    <cellStyle name="Calculation 17 3 3" xfId="28700"/>
    <cellStyle name="Calculation 17 4" xfId="14512"/>
    <cellStyle name="Calculation 17 4 2" xfId="14513"/>
    <cellStyle name="Calculation 17 4 2 2" xfId="28703"/>
    <cellStyle name="Calculation 17 4 3" xfId="28702"/>
    <cellStyle name="Calculation 17 5" xfId="14514"/>
    <cellStyle name="Calculation 17 5 2" xfId="28704"/>
    <cellStyle name="Calculation 17 6" xfId="28697"/>
    <cellStyle name="Calculation 18" xfId="14515"/>
    <cellStyle name="Calculation 18 2" xfId="14516"/>
    <cellStyle name="Calculation 18 2 2" xfId="28706"/>
    <cellStyle name="Calculation 18 3" xfId="28705"/>
    <cellStyle name="Calculation 19" xfId="14517"/>
    <cellStyle name="Calculation 19 2" xfId="14518"/>
    <cellStyle name="Calculation 19 2 2" xfId="28708"/>
    <cellStyle name="Calculation 19 3" xfId="28707"/>
    <cellStyle name="Calculation 2" xfId="1377"/>
    <cellStyle name="Calculation 2 2" xfId="1378"/>
    <cellStyle name="Calculation 2 2 2" xfId="1379"/>
    <cellStyle name="Calculation 2 2 3" xfId="1380"/>
    <cellStyle name="Calculation 2 3" xfId="1381"/>
    <cellStyle name="Calculation 2 3 2" xfId="14519"/>
    <cellStyle name="Calculation 2 3 2 2" xfId="28709"/>
    <cellStyle name="Calculation 2 3 3" xfId="27621"/>
    <cellStyle name="Calculation 2 4" xfId="1382"/>
    <cellStyle name="Calculation 2 4 2" xfId="14520"/>
    <cellStyle name="Calculation 2 4 2 2" xfId="28710"/>
    <cellStyle name="Calculation 2 5" xfId="14521"/>
    <cellStyle name="Calculation 2 5 2" xfId="28711"/>
    <cellStyle name="Calculation 20" xfId="14522"/>
    <cellStyle name="Calculation 20 2" xfId="14523"/>
    <cellStyle name="Calculation 20 2 2" xfId="28713"/>
    <cellStyle name="Calculation 20 3" xfId="28712"/>
    <cellStyle name="Calculation 21" xfId="14524"/>
    <cellStyle name="Calculation 21 2" xfId="14525"/>
    <cellStyle name="Calculation 21 2 2" xfId="28715"/>
    <cellStyle name="Calculation 21 3" xfId="28714"/>
    <cellStyle name="Calculation 22" xfId="14526"/>
    <cellStyle name="Calculation 22 2" xfId="28716"/>
    <cellStyle name="Calculation 23" xfId="27620"/>
    <cellStyle name="Calculation 3" xfId="1383"/>
    <cellStyle name="Calculation 3 2" xfId="14527"/>
    <cellStyle name="Calculation 3 2 2" xfId="14528"/>
    <cellStyle name="Calculation 3 2 2 2" xfId="28718"/>
    <cellStyle name="Calculation 3 2 3" xfId="28717"/>
    <cellStyle name="Calculation 3 3" xfId="14529"/>
    <cellStyle name="Calculation 3 3 2" xfId="14530"/>
    <cellStyle name="Calculation 3 3 2 2" xfId="28720"/>
    <cellStyle name="Calculation 3 3 3" xfId="28719"/>
    <cellStyle name="Calculation 3 4" xfId="14531"/>
    <cellStyle name="Calculation 3 4 2" xfId="14532"/>
    <cellStyle name="Calculation 3 4 2 2" xfId="28722"/>
    <cellStyle name="Calculation 3 4 3" xfId="28721"/>
    <cellStyle name="Calculation 3 5" xfId="14533"/>
    <cellStyle name="Calculation 3 5 2" xfId="28723"/>
    <cellStyle name="Calculation 3 6" xfId="27622"/>
    <cellStyle name="Calculation 4" xfId="1384"/>
    <cellStyle name="Calculation 4 2" xfId="14534"/>
    <cellStyle name="Calculation 4 2 2" xfId="14535"/>
    <cellStyle name="Calculation 4 2 2 2" xfId="28725"/>
    <cellStyle name="Calculation 4 2 3" xfId="28724"/>
    <cellStyle name="Calculation 4 3" xfId="14536"/>
    <cellStyle name="Calculation 4 3 2" xfId="14537"/>
    <cellStyle name="Calculation 4 3 2 2" xfId="28727"/>
    <cellStyle name="Calculation 4 3 3" xfId="28726"/>
    <cellStyle name="Calculation 4 4" xfId="14538"/>
    <cellStyle name="Calculation 4 4 2" xfId="14539"/>
    <cellStyle name="Calculation 4 4 2 2" xfId="28729"/>
    <cellStyle name="Calculation 4 4 3" xfId="28728"/>
    <cellStyle name="Calculation 4 5" xfId="14540"/>
    <cellStyle name="Calculation 4 5 2" xfId="28730"/>
    <cellStyle name="Calculation 4 6" xfId="27623"/>
    <cellStyle name="Calculation 5" xfId="1385"/>
    <cellStyle name="Calculation 5 2" xfId="14541"/>
    <cellStyle name="Calculation 5 2 2" xfId="14542"/>
    <cellStyle name="Calculation 5 2 2 2" xfId="28732"/>
    <cellStyle name="Calculation 5 2 3" xfId="28731"/>
    <cellStyle name="Calculation 5 3" xfId="14543"/>
    <cellStyle name="Calculation 5 3 2" xfId="14544"/>
    <cellStyle name="Calculation 5 3 2 2" xfId="28734"/>
    <cellStyle name="Calculation 5 3 3" xfId="28733"/>
    <cellStyle name="Calculation 5 4" xfId="14545"/>
    <cellStyle name="Calculation 5 4 2" xfId="14546"/>
    <cellStyle name="Calculation 5 4 2 2" xfId="28736"/>
    <cellStyle name="Calculation 5 4 3" xfId="28735"/>
    <cellStyle name="Calculation 5 5" xfId="14547"/>
    <cellStyle name="Calculation 5 5 2" xfId="28737"/>
    <cellStyle name="Calculation 5 6" xfId="27624"/>
    <cellStyle name="Calculation 6" xfId="1386"/>
    <cellStyle name="Calculation 6 2" xfId="14548"/>
    <cellStyle name="Calculation 6 2 2" xfId="14549"/>
    <cellStyle name="Calculation 6 2 2 2" xfId="28739"/>
    <cellStyle name="Calculation 6 2 3" xfId="28738"/>
    <cellStyle name="Calculation 6 3" xfId="14550"/>
    <cellStyle name="Calculation 6 3 2" xfId="14551"/>
    <cellStyle name="Calculation 6 3 2 2" xfId="28741"/>
    <cellStyle name="Calculation 6 3 3" xfId="28740"/>
    <cellStyle name="Calculation 6 4" xfId="14552"/>
    <cellStyle name="Calculation 6 4 2" xfId="14553"/>
    <cellStyle name="Calculation 6 4 2 2" xfId="28743"/>
    <cellStyle name="Calculation 6 4 3" xfId="28742"/>
    <cellStyle name="Calculation 6 5" xfId="14554"/>
    <cellStyle name="Calculation 6 5 2" xfId="28744"/>
    <cellStyle name="Calculation 6 6" xfId="27625"/>
    <cellStyle name="Calculation 7" xfId="14555"/>
    <cellStyle name="Calculation 7 2" xfId="14556"/>
    <cellStyle name="Calculation 7 2 2" xfId="14557"/>
    <cellStyle name="Calculation 7 2 2 2" xfId="28747"/>
    <cellStyle name="Calculation 7 2 3" xfId="28746"/>
    <cellStyle name="Calculation 7 3" xfId="14558"/>
    <cellStyle name="Calculation 7 3 2" xfId="14559"/>
    <cellStyle name="Calculation 7 3 2 2" xfId="28749"/>
    <cellStyle name="Calculation 7 3 3" xfId="28748"/>
    <cellStyle name="Calculation 7 4" xfId="14560"/>
    <cellStyle name="Calculation 7 4 2" xfId="14561"/>
    <cellStyle name="Calculation 7 4 2 2" xfId="28751"/>
    <cellStyle name="Calculation 7 4 3" xfId="28750"/>
    <cellStyle name="Calculation 7 5" xfId="14562"/>
    <cellStyle name="Calculation 7 5 2" xfId="28752"/>
    <cellStyle name="Calculation 7 6" xfId="28745"/>
    <cellStyle name="Calculation 8" xfId="14563"/>
    <cellStyle name="Calculation 8 2" xfId="14564"/>
    <cellStyle name="Calculation 8 2 2" xfId="14565"/>
    <cellStyle name="Calculation 8 2 2 2" xfId="28755"/>
    <cellStyle name="Calculation 8 2 3" xfId="28754"/>
    <cellStyle name="Calculation 8 3" xfId="14566"/>
    <cellStyle name="Calculation 8 3 2" xfId="14567"/>
    <cellStyle name="Calculation 8 3 2 2" xfId="28757"/>
    <cellStyle name="Calculation 8 3 3" xfId="28756"/>
    <cellStyle name="Calculation 8 4" xfId="14568"/>
    <cellStyle name="Calculation 8 4 2" xfId="14569"/>
    <cellStyle name="Calculation 8 4 2 2" xfId="28759"/>
    <cellStyle name="Calculation 8 4 3" xfId="28758"/>
    <cellStyle name="Calculation 8 5" xfId="14570"/>
    <cellStyle name="Calculation 8 5 2" xfId="28760"/>
    <cellStyle name="Calculation 8 6" xfId="28753"/>
    <cellStyle name="Calculation 9" xfId="14571"/>
    <cellStyle name="Calculation 9 2" xfId="14572"/>
    <cellStyle name="Calculation 9 2 2" xfId="14573"/>
    <cellStyle name="Calculation 9 2 2 2" xfId="28763"/>
    <cellStyle name="Calculation 9 2 3" xfId="28762"/>
    <cellStyle name="Calculation 9 3" xfId="14574"/>
    <cellStyle name="Calculation 9 3 2" xfId="14575"/>
    <cellStyle name="Calculation 9 3 2 2" xfId="28765"/>
    <cellStyle name="Calculation 9 3 3" xfId="28764"/>
    <cellStyle name="Calculation 9 4" xfId="14576"/>
    <cellStyle name="Calculation 9 4 2" xfId="14577"/>
    <cellStyle name="Calculation 9 4 2 2" xfId="28767"/>
    <cellStyle name="Calculation 9 4 3" xfId="28766"/>
    <cellStyle name="Calculation 9 5" xfId="14578"/>
    <cellStyle name="Calculation 9 5 2" xfId="28768"/>
    <cellStyle name="Calculation 9 6" xfId="28761"/>
    <cellStyle name="Calculation_2011-3차 매각 작업(실사팀 송부용)_0712" xfId="14579"/>
    <cellStyle name="Case" xfId="1387"/>
    <cellStyle name="category" xfId="1388"/>
    <cellStyle name="category 2" xfId="1389"/>
    <cellStyle name="category 3" xfId="14580"/>
    <cellStyle name="Cerrency_Sheet2_XANGDAU" xfId="14581"/>
    <cellStyle name="CHANGE" xfId="14582"/>
    <cellStyle name="Check Cell" xfId="1390"/>
    <cellStyle name="Check Cell 2" xfId="1391"/>
    <cellStyle name="Check Cell 2 2" xfId="1392"/>
    <cellStyle name="Check Cell 2 2 2" xfId="1393"/>
    <cellStyle name="Check Cell 2 2 3" xfId="1394"/>
    <cellStyle name="Check Cell 2 3" xfId="1395"/>
    <cellStyle name="Check Cell 2 4" xfId="1396"/>
    <cellStyle name="Check Cell 3" xfId="1397"/>
    <cellStyle name="Check Cell 4" xfId="1398"/>
    <cellStyle name="Check Cell 5" xfId="1399"/>
    <cellStyle name="Check Cell 6" xfId="1400"/>
    <cellStyle name="Check Cell_2011-3차 매각 작업(실사팀 송부용)_0712" xfId="14583"/>
    <cellStyle name="ⓒo" xfId="14584"/>
    <cellStyle name="Column_Title" xfId="14585"/>
    <cellStyle name="ColumnAttributeAbovePrompt" xfId="14586"/>
    <cellStyle name="ColumnAttributePrompt" xfId="14587"/>
    <cellStyle name="ColumnAttributeValue" xfId="14588"/>
    <cellStyle name="ColumnHeadingPrompt" xfId="14589"/>
    <cellStyle name="ColumnHeadingValue" xfId="14590"/>
    <cellStyle name="Comma" xfId="1401"/>
    <cellStyle name="Comma  - Style1" xfId="1402"/>
    <cellStyle name="Comma  - Style2" xfId="1403"/>
    <cellStyle name="Comma  - Style3" xfId="1404"/>
    <cellStyle name="Comma  - Style4" xfId="1405"/>
    <cellStyle name="Comma  - Style5" xfId="1406"/>
    <cellStyle name="Comma  - Style6" xfId="1407"/>
    <cellStyle name="Comma  - Style7" xfId="1408"/>
    <cellStyle name="Comma  - Style8" xfId="1409"/>
    <cellStyle name="Comma [#]" xfId="14591"/>
    <cellStyle name="Comma [0]" xfId="1410"/>
    <cellStyle name="Comma [0] 10" xfId="1411"/>
    <cellStyle name="Comma [0] 11" xfId="1412"/>
    <cellStyle name="Comma [0] 11 2" xfId="1413"/>
    <cellStyle name="Comma [0] 12" xfId="1414"/>
    <cellStyle name="Comma [0] 12 2" xfId="1415"/>
    <cellStyle name="Comma [0] 13" xfId="1416"/>
    <cellStyle name="Comma [0] 14" xfId="1417"/>
    <cellStyle name="Comma [0] 15" xfId="1418"/>
    <cellStyle name="Comma [0] 16" xfId="14592"/>
    <cellStyle name="Comma [0] 2" xfId="1419"/>
    <cellStyle name="Comma [0] 2 2" xfId="1420"/>
    <cellStyle name="Comma [0] 2 2 2" xfId="1421"/>
    <cellStyle name="Comma [0] 2 2 3" xfId="1422"/>
    <cellStyle name="Comma [0] 2 3" xfId="1423"/>
    <cellStyle name="Comma [0] 2 3 2" xfId="14593"/>
    <cellStyle name="Comma [0] 2 4" xfId="1424"/>
    <cellStyle name="Comma [0] 2 5" xfId="1425"/>
    <cellStyle name="Comma [0] 2 6" xfId="1426"/>
    <cellStyle name="Comma [0] 2 7" xfId="1427"/>
    <cellStyle name="Comma [0] 2 8" xfId="1428"/>
    <cellStyle name="Comma [0] 2 9" xfId="1429"/>
    <cellStyle name="Comma [0] 2_SHB_2011-3_담보sheet(더밸류_v6이교민)" xfId="14594"/>
    <cellStyle name="Comma [0] 3" xfId="1430"/>
    <cellStyle name="Comma [0] 3 2" xfId="1431"/>
    <cellStyle name="Comma [0] 3 2 2" xfId="14595"/>
    <cellStyle name="Comma [0] 3 2 2 2" xfId="14596"/>
    <cellStyle name="Comma [0] 3 2 2 2 2" xfId="14597"/>
    <cellStyle name="Comma [0] 3 2 2 3" xfId="14598"/>
    <cellStyle name="Comma [0] 3 2 3" xfId="14599"/>
    <cellStyle name="Comma [0] 3 2 3 2" xfId="14600"/>
    <cellStyle name="Comma [0] 3 2 4" xfId="14601"/>
    <cellStyle name="Comma [0] 3 3" xfId="1432"/>
    <cellStyle name="Comma [0] 3 3 2" xfId="14602"/>
    <cellStyle name="Comma [0] 3_Sheet1" xfId="14603"/>
    <cellStyle name="Comma [0] 4" xfId="1433"/>
    <cellStyle name="Comma [0] 4 2" xfId="4994"/>
    <cellStyle name="Comma [0] 4 3" xfId="14604"/>
    <cellStyle name="Comma [0] 5" xfId="1434"/>
    <cellStyle name="Comma [0] 5 2" xfId="1435"/>
    <cellStyle name="Comma [0] 5 2 2" xfId="1436"/>
    <cellStyle name="Comma [0] 5 2 2 2" xfId="1437"/>
    <cellStyle name="Comma [0] 5 2 3" xfId="1438"/>
    <cellStyle name="Comma [0] 5 3" xfId="1439"/>
    <cellStyle name="Comma [0] 5 3 2" xfId="1440"/>
    <cellStyle name="Comma [0] 5 4" xfId="1441"/>
    <cellStyle name="Comma [0] 6" xfId="1442"/>
    <cellStyle name="Comma [0] 6 2" xfId="1443"/>
    <cellStyle name="Comma [0] 6 2 2" xfId="1444"/>
    <cellStyle name="Comma [0] 6 2 2 2" xfId="1445"/>
    <cellStyle name="Comma [0] 6 2 3" xfId="1446"/>
    <cellStyle name="Comma [0] 6 3" xfId="1447"/>
    <cellStyle name="Comma [0] 6 3 2" xfId="1448"/>
    <cellStyle name="Comma [0] 6 4" xfId="1449"/>
    <cellStyle name="Comma [0] 7" xfId="1450"/>
    <cellStyle name="Comma [0] 7 2" xfId="1451"/>
    <cellStyle name="Comma [0] 7 2 2" xfId="1452"/>
    <cellStyle name="Comma [0] 7 3" xfId="1453"/>
    <cellStyle name="Comma [0] 8" xfId="1454"/>
    <cellStyle name="Comma [0] 8 2" xfId="1455"/>
    <cellStyle name="Comma [0] 8 3" xfId="1456"/>
    <cellStyle name="Comma [0] 9" xfId="1457"/>
    <cellStyle name="Comma [0]_ SG&amp;A Bridge " xfId="1458"/>
    <cellStyle name="Comma [00]" xfId="14605"/>
    <cellStyle name="Comma [1]" xfId="14606"/>
    <cellStyle name="Comma 0" xfId="1459"/>
    <cellStyle name="Comma 2" xfId="1460"/>
    <cellStyle name="Comma 2 2" xfId="14607"/>
    <cellStyle name="Comma 3" xfId="14608"/>
    <cellStyle name="Comma 3 2" xfId="14609"/>
    <cellStyle name="comma zerodec" xfId="1461"/>
    <cellStyle name="comma zerodec 2" xfId="1462"/>
    <cellStyle name="comma zerodec 3" xfId="14610"/>
    <cellStyle name="comma zerodec_08년 급료 미지급분" xfId="14611"/>
    <cellStyle name="Comma_ sg&amp;a br" xfId="1463"/>
    <cellStyle name="Comma0" xfId="1464"/>
    <cellStyle name="Copied" xfId="1465"/>
    <cellStyle name="Copied 2" xfId="14612"/>
    <cellStyle name="Copied 3" xfId="14613"/>
    <cellStyle name="COST1" xfId="14614"/>
    <cellStyle name="Curråncy [0]_FCST_RESULTS" xfId="14615"/>
    <cellStyle name="Curren?y [0]_회비 (2)_9월경비_1월회비내역 (2)_1" xfId="14616"/>
    <cellStyle name="Curren?_x0012_퐀_x0017_?" xfId="14617"/>
    <cellStyle name="Curren?_x0012_퐀_x0017_? 2" xfId="14618"/>
    <cellStyle name="Curren?_x0012_퐀_x0017_? 3" xfId="14619"/>
    <cellStyle name="Currency" xfId="1466"/>
    <cellStyle name="Currency [0]" xfId="1467"/>
    <cellStyle name="Currency [0]b" xfId="14620"/>
    <cellStyle name="Currency [0]ßmud plant bolted_RESULTS" xfId="14621"/>
    <cellStyle name="Currency [0}_r1" xfId="14622"/>
    <cellStyle name="Currency [00]" xfId="14623"/>
    <cellStyle name="Currency [1]" xfId="14624"/>
    <cellStyle name="Currency 0" xfId="1468"/>
    <cellStyle name="Currency 2" xfId="1469"/>
    <cellStyle name="Currency![0]_FCSt (2)" xfId="14625"/>
    <cellStyle name="currency-$" xfId="1470"/>
    <cellStyle name="currency-$ 2" xfId="14626"/>
    <cellStyle name="currency-$ 2 2" xfId="14627"/>
    <cellStyle name="currency-$ 2 2 2" xfId="14628"/>
    <cellStyle name="currency-$ 2 2 2 2" xfId="28771"/>
    <cellStyle name="currency-$ 2 2 3" xfId="28770"/>
    <cellStyle name="currency-$ 2 3" xfId="14629"/>
    <cellStyle name="currency-$ 2 3 2" xfId="14630"/>
    <cellStyle name="currency-$ 2 3 2 2" xfId="28773"/>
    <cellStyle name="currency-$ 2 3 3" xfId="28772"/>
    <cellStyle name="currency-$ 2 4" xfId="14631"/>
    <cellStyle name="currency-$ 2 4 2" xfId="14632"/>
    <cellStyle name="currency-$ 2 4 2 2" xfId="28775"/>
    <cellStyle name="currency-$ 2 4 3" xfId="28774"/>
    <cellStyle name="currency-$ 2 5" xfId="14633"/>
    <cellStyle name="currency-$ 2 5 2" xfId="28776"/>
    <cellStyle name="currency-$ 2 6" xfId="28769"/>
    <cellStyle name="currency-$ 3" xfId="14634"/>
    <cellStyle name="currency-$ 3 2" xfId="28777"/>
    <cellStyle name="currency-$ 4" xfId="14635"/>
    <cellStyle name="currency-$ 4 2" xfId="28778"/>
    <cellStyle name="currency-$ 5" xfId="14636"/>
    <cellStyle name="currency-$ 5 2" xfId="28779"/>
    <cellStyle name="currency-$ 6" xfId="14637"/>
    <cellStyle name="currency-$ 6 2" xfId="28780"/>
    <cellStyle name="currency-$ 7" xfId="27626"/>
    <cellStyle name="currency(2)" xfId="14638"/>
    <cellStyle name="Currency_ sg&amp;a" xfId="1471"/>
    <cellStyle name="Currency0" xfId="1472"/>
    <cellStyle name="Currency1" xfId="1473"/>
    <cellStyle name="Currency1 2" xfId="1474"/>
    <cellStyle name="Currency1 3" xfId="1475"/>
    <cellStyle name="Currency1 4" xfId="14639"/>
    <cellStyle name="Currency1_08년 급료 미지급분" xfId="14640"/>
    <cellStyle name="Currency-Denomination" xfId="14641"/>
    <cellStyle name="Curren堼y_9월경비_1월회비내역 (2)_1" xfId="14642"/>
    <cellStyle name="CIA¨ǎ_Aa¨〓n(ATMAOA¨u)" xfId="14643"/>
    <cellStyle name="dak" xfId="14644"/>
    <cellStyle name="dak 2" xfId="14645"/>
    <cellStyle name="Data entry" xfId="14646"/>
    <cellStyle name="Date" xfId="1476"/>
    <cellStyle name="Date Aligned" xfId="1477"/>
    <cellStyle name="Date Short" xfId="14647"/>
    <cellStyle name="Date:dd.mm.yyyy" xfId="14648"/>
    <cellStyle name="Date_06-1분기-대손충당금." xfId="1478"/>
    <cellStyle name="Datum" xfId="14649"/>
    <cellStyle name="Decimal_0dp" xfId="14650"/>
    <cellStyle name="DELTA" xfId="14651"/>
    <cellStyle name="Dezimal (4)" xfId="14652"/>
    <cellStyle name="Dezimal (6)" xfId="14653"/>
    <cellStyle name="Dezimal [0]_AFA_MJP 97-99 S'berg" xfId="14654"/>
    <cellStyle name="Dezimal_AFA_MJP 97-99 S'berg" xfId="14655"/>
    <cellStyle name="dgw" xfId="1479"/>
    <cellStyle name="Dollar (zero dec)" xfId="1480"/>
    <cellStyle name="Dollar (zero dec) 2" xfId="1481"/>
    <cellStyle name="Dollar (zero dec) 3" xfId="14656"/>
    <cellStyle name="Dollar (zero dec)_08년 급료 미지급분" xfId="14657"/>
    <cellStyle name="Dollars" xfId="14658"/>
    <cellStyle name="Dotted Line" xfId="1482"/>
    <cellStyle name="Double" xfId="14659"/>
    <cellStyle name="Double Accounting" xfId="1483"/>
    <cellStyle name="en" xfId="14660"/>
    <cellStyle name="Enter Currency (0)" xfId="14661"/>
    <cellStyle name="Enter Currency (2)" xfId="14662"/>
    <cellStyle name="Enter Units (0)" xfId="14663"/>
    <cellStyle name="Enter Units (1)" xfId="14664"/>
    <cellStyle name="Enter Units (2)" xfId="14665"/>
    <cellStyle name="Entered" xfId="1484"/>
    <cellStyle name="Entered 2" xfId="14666"/>
    <cellStyle name="Entered 3" xfId="14667"/>
    <cellStyle name="entry" xfId="14668"/>
    <cellStyle name="estimated price" xfId="14669"/>
    <cellStyle name="Euro" xfId="1485"/>
    <cellStyle name="Euro 2" xfId="1486"/>
    <cellStyle name="Euro 3" xfId="14670"/>
    <cellStyle name="Euro 4" xfId="14671"/>
    <cellStyle name="Euro_2011-3차 매각 작업(실사팀 송부용)_0712" xfId="14672"/>
    <cellStyle name="Explanatory Text" xfId="1487"/>
    <cellStyle name="Explanatory Text 2" xfId="1488"/>
    <cellStyle name="Explanatory Text 2 2" xfId="1489"/>
    <cellStyle name="Explanatory Text 2 2 2" xfId="1490"/>
    <cellStyle name="Explanatory Text 2 2 3" xfId="1491"/>
    <cellStyle name="Explanatory Text 2 3" xfId="1492"/>
    <cellStyle name="Explanatory Text 2 4" xfId="1493"/>
    <cellStyle name="Explanatory Text 3" xfId="1494"/>
    <cellStyle name="Explanatory Text 4" xfId="1495"/>
    <cellStyle name="Explanatory Text 5" xfId="1496"/>
    <cellStyle name="Explanatory Text 6" xfId="1497"/>
    <cellStyle name="Explanatory Text_2011-3차 매각 작업(실사팀 송부용)_0712" xfId="14673"/>
    <cellStyle name="F2" xfId="1498"/>
    <cellStyle name="F2 2" xfId="14674"/>
    <cellStyle name="F2 3" xfId="14675"/>
    <cellStyle name="F3" xfId="1499"/>
    <cellStyle name="F3 2" xfId="14676"/>
    <cellStyle name="F3 3" xfId="14677"/>
    <cellStyle name="F4" xfId="1500"/>
    <cellStyle name="F4 2" xfId="14678"/>
    <cellStyle name="F4 3" xfId="14679"/>
    <cellStyle name="F5" xfId="1501"/>
    <cellStyle name="F5 2" xfId="14680"/>
    <cellStyle name="F5 3" xfId="14681"/>
    <cellStyle name="F6" xfId="1502"/>
    <cellStyle name="F6 2" xfId="14682"/>
    <cellStyle name="F6 3" xfId="14683"/>
    <cellStyle name="F7" xfId="1503"/>
    <cellStyle name="F7 2" xfId="14684"/>
    <cellStyle name="F7 3" xfId="14685"/>
    <cellStyle name="F8" xfId="1504"/>
    <cellStyle name="F8 2" xfId="14686"/>
    <cellStyle name="F8 3" xfId="14687"/>
    <cellStyle name="Fixed" xfId="1505"/>
    <cellStyle name="Followed Hyperlink" xfId="1506"/>
    <cellStyle name="Followed Hyperlink 2" xfId="14688"/>
    <cellStyle name="Followed Hyperlink 3" xfId="14689"/>
    <cellStyle name="Footnote" xfId="1507"/>
    <cellStyle name="Footnote 2" xfId="14690"/>
    <cellStyle name="Footnote 3" xfId="14691"/>
    <cellStyle name="Forecast Cell Column Heading" xfId="14692"/>
    <cellStyle name="Forecast Cell Column Heading 2" xfId="14693"/>
    <cellStyle name="Forecast Cell Column Heading 2 2" xfId="14694"/>
    <cellStyle name="Forecast Cell Column Heading 2 3" xfId="14695"/>
    <cellStyle name="Forecast Cell Column Heading 3" xfId="14696"/>
    <cellStyle name="Forecast Cell Column Heading 4" xfId="14697"/>
    <cellStyle name="FS-COL" xfId="14698"/>
    <cellStyle name="FS-HEAD" xfId="14699"/>
    <cellStyle name="FS-RUNN" xfId="14700"/>
    <cellStyle name="FS-TEXT" xfId="14701"/>
    <cellStyle name="FS-TOTAL" xfId="14702"/>
    <cellStyle name="G10" xfId="14703"/>
    <cellStyle name="Good" xfId="1508"/>
    <cellStyle name="Good 2" xfId="1509"/>
    <cellStyle name="Good 2 2" xfId="1510"/>
    <cellStyle name="Good 2 2 2" xfId="1511"/>
    <cellStyle name="Good 2 2 3" xfId="1512"/>
    <cellStyle name="Good 2 3" xfId="1513"/>
    <cellStyle name="Good 2 4" xfId="1514"/>
    <cellStyle name="Good 3" xfId="1515"/>
    <cellStyle name="Good 4" xfId="1516"/>
    <cellStyle name="Good 5" xfId="1517"/>
    <cellStyle name="Good 6" xfId="1518"/>
    <cellStyle name="Good_2011-3차 매각 작업(실사팀 송부용)_0712" xfId="14704"/>
    <cellStyle name="Grey" xfId="1519"/>
    <cellStyle name="Grey 2" xfId="1520"/>
    <cellStyle name="Grey 3" xfId="1521"/>
    <cellStyle name="GROUPS" xfId="1522"/>
    <cellStyle name="GROUPS 10" xfId="14705"/>
    <cellStyle name="GROUPS 10 2" xfId="14706"/>
    <cellStyle name="GROUPS 10 2 2" xfId="14707"/>
    <cellStyle name="GROUPS 10 2 2 2" xfId="28783"/>
    <cellStyle name="GROUPS 10 2 3" xfId="28782"/>
    <cellStyle name="GROUPS 10 3" xfId="14708"/>
    <cellStyle name="GROUPS 10 3 2" xfId="14709"/>
    <cellStyle name="GROUPS 10 3 2 2" xfId="28785"/>
    <cellStyle name="GROUPS 10 3 3" xfId="28784"/>
    <cellStyle name="GROUPS 10 4" xfId="14710"/>
    <cellStyle name="GROUPS 10 4 2" xfId="14711"/>
    <cellStyle name="GROUPS 10 4 2 2" xfId="28787"/>
    <cellStyle name="GROUPS 10 4 3" xfId="28786"/>
    <cellStyle name="GROUPS 10 5" xfId="14712"/>
    <cellStyle name="GROUPS 10 5 2" xfId="28788"/>
    <cellStyle name="GROUPS 10 6" xfId="28781"/>
    <cellStyle name="GROUPS 11" xfId="14713"/>
    <cellStyle name="GROUPS 11 2" xfId="14714"/>
    <cellStyle name="GROUPS 11 2 2" xfId="14715"/>
    <cellStyle name="GROUPS 11 2 2 2" xfId="28791"/>
    <cellStyle name="GROUPS 11 2 3" xfId="28790"/>
    <cellStyle name="GROUPS 11 3" xfId="14716"/>
    <cellStyle name="GROUPS 11 3 2" xfId="14717"/>
    <cellStyle name="GROUPS 11 3 2 2" xfId="28793"/>
    <cellStyle name="GROUPS 11 3 3" xfId="28792"/>
    <cellStyle name="GROUPS 11 4" xfId="14718"/>
    <cellStyle name="GROUPS 11 4 2" xfId="14719"/>
    <cellStyle name="GROUPS 11 4 2 2" xfId="28795"/>
    <cellStyle name="GROUPS 11 4 3" xfId="28794"/>
    <cellStyle name="GROUPS 11 5" xfId="14720"/>
    <cellStyle name="GROUPS 11 5 2" xfId="28796"/>
    <cellStyle name="GROUPS 11 6" xfId="28789"/>
    <cellStyle name="GROUPS 12" xfId="14721"/>
    <cellStyle name="GROUPS 12 2" xfId="14722"/>
    <cellStyle name="GROUPS 12 2 2" xfId="14723"/>
    <cellStyle name="GROUPS 12 2 2 2" xfId="28799"/>
    <cellStyle name="GROUPS 12 2 3" xfId="28798"/>
    <cellStyle name="GROUPS 12 3" xfId="14724"/>
    <cellStyle name="GROUPS 12 3 2" xfId="14725"/>
    <cellStyle name="GROUPS 12 3 2 2" xfId="28801"/>
    <cellStyle name="GROUPS 12 3 3" xfId="28800"/>
    <cellStyle name="GROUPS 12 4" xfId="14726"/>
    <cellStyle name="GROUPS 12 4 2" xfId="14727"/>
    <cellStyle name="GROUPS 12 4 2 2" xfId="28803"/>
    <cellStyle name="GROUPS 12 4 3" xfId="28802"/>
    <cellStyle name="GROUPS 12 5" xfId="14728"/>
    <cellStyle name="GROUPS 12 5 2" xfId="28804"/>
    <cellStyle name="GROUPS 12 6" xfId="28797"/>
    <cellStyle name="GROUPS 13" xfId="14729"/>
    <cellStyle name="GROUPS 13 2" xfId="14730"/>
    <cellStyle name="GROUPS 13 2 2" xfId="14731"/>
    <cellStyle name="GROUPS 13 2 2 2" xfId="28807"/>
    <cellStyle name="GROUPS 13 2 3" xfId="28806"/>
    <cellStyle name="GROUPS 13 3" xfId="14732"/>
    <cellStyle name="GROUPS 13 3 2" xfId="14733"/>
    <cellStyle name="GROUPS 13 3 2 2" xfId="28809"/>
    <cellStyle name="GROUPS 13 3 3" xfId="28808"/>
    <cellStyle name="GROUPS 13 4" xfId="14734"/>
    <cellStyle name="GROUPS 13 4 2" xfId="14735"/>
    <cellStyle name="GROUPS 13 4 2 2" xfId="28811"/>
    <cellStyle name="GROUPS 13 4 3" xfId="28810"/>
    <cellStyle name="GROUPS 13 5" xfId="14736"/>
    <cellStyle name="GROUPS 13 5 2" xfId="28812"/>
    <cellStyle name="GROUPS 13 6" xfId="28805"/>
    <cellStyle name="GROUPS 14" xfId="14737"/>
    <cellStyle name="GROUPS 14 2" xfId="14738"/>
    <cellStyle name="GROUPS 14 2 2" xfId="14739"/>
    <cellStyle name="GROUPS 14 2 2 2" xfId="28815"/>
    <cellStyle name="GROUPS 14 2 3" xfId="28814"/>
    <cellStyle name="GROUPS 14 3" xfId="14740"/>
    <cellStyle name="GROUPS 14 3 2" xfId="14741"/>
    <cellStyle name="GROUPS 14 3 2 2" xfId="28817"/>
    <cellStyle name="GROUPS 14 3 3" xfId="28816"/>
    <cellStyle name="GROUPS 14 4" xfId="14742"/>
    <cellStyle name="GROUPS 14 4 2" xfId="14743"/>
    <cellStyle name="GROUPS 14 4 2 2" xfId="28819"/>
    <cellStyle name="GROUPS 14 4 3" xfId="28818"/>
    <cellStyle name="GROUPS 14 5" xfId="14744"/>
    <cellStyle name="GROUPS 14 5 2" xfId="28820"/>
    <cellStyle name="GROUPS 14 6" xfId="28813"/>
    <cellStyle name="GROUPS 15" xfId="14745"/>
    <cellStyle name="GROUPS 15 2" xfId="14746"/>
    <cellStyle name="GROUPS 15 2 2" xfId="14747"/>
    <cellStyle name="GROUPS 15 2 2 2" xfId="28823"/>
    <cellStyle name="GROUPS 15 2 3" xfId="28822"/>
    <cellStyle name="GROUPS 15 3" xfId="14748"/>
    <cellStyle name="GROUPS 15 3 2" xfId="14749"/>
    <cellStyle name="GROUPS 15 3 2 2" xfId="28825"/>
    <cellStyle name="GROUPS 15 3 3" xfId="28824"/>
    <cellStyle name="GROUPS 15 4" xfId="14750"/>
    <cellStyle name="GROUPS 15 4 2" xfId="14751"/>
    <cellStyle name="GROUPS 15 4 2 2" xfId="28827"/>
    <cellStyle name="GROUPS 15 4 3" xfId="28826"/>
    <cellStyle name="GROUPS 15 5" xfId="14752"/>
    <cellStyle name="GROUPS 15 5 2" xfId="28828"/>
    <cellStyle name="GROUPS 15 6" xfId="28821"/>
    <cellStyle name="GROUPS 16" xfId="14753"/>
    <cellStyle name="GROUPS 16 2" xfId="14754"/>
    <cellStyle name="GROUPS 16 2 2" xfId="14755"/>
    <cellStyle name="GROUPS 16 2 2 2" xfId="28831"/>
    <cellStyle name="GROUPS 16 2 3" xfId="28830"/>
    <cellStyle name="GROUPS 16 3" xfId="14756"/>
    <cellStyle name="GROUPS 16 3 2" xfId="14757"/>
    <cellStyle name="GROUPS 16 3 2 2" xfId="28833"/>
    <cellStyle name="GROUPS 16 3 3" xfId="28832"/>
    <cellStyle name="GROUPS 16 4" xfId="14758"/>
    <cellStyle name="GROUPS 16 4 2" xfId="14759"/>
    <cellStyle name="GROUPS 16 4 2 2" xfId="28835"/>
    <cellStyle name="GROUPS 16 4 3" xfId="28834"/>
    <cellStyle name="GROUPS 16 5" xfId="14760"/>
    <cellStyle name="GROUPS 16 5 2" xfId="28836"/>
    <cellStyle name="GROUPS 16 6" xfId="28829"/>
    <cellStyle name="GROUPS 17" xfId="14761"/>
    <cellStyle name="GROUPS 17 2" xfId="14762"/>
    <cellStyle name="GROUPS 17 2 2" xfId="14763"/>
    <cellStyle name="GROUPS 17 2 2 2" xfId="28839"/>
    <cellStyle name="GROUPS 17 2 3" xfId="28838"/>
    <cellStyle name="GROUPS 17 3" xfId="14764"/>
    <cellStyle name="GROUPS 17 3 2" xfId="14765"/>
    <cellStyle name="GROUPS 17 3 2 2" xfId="28841"/>
    <cellStyle name="GROUPS 17 3 3" xfId="28840"/>
    <cellStyle name="GROUPS 17 4" xfId="14766"/>
    <cellStyle name="GROUPS 17 4 2" xfId="14767"/>
    <cellStyle name="GROUPS 17 4 2 2" xfId="28843"/>
    <cellStyle name="GROUPS 17 4 3" xfId="28842"/>
    <cellStyle name="GROUPS 17 5" xfId="14768"/>
    <cellStyle name="GROUPS 17 5 2" xfId="28844"/>
    <cellStyle name="GROUPS 17 6" xfId="28837"/>
    <cellStyle name="GROUPS 18" xfId="14769"/>
    <cellStyle name="GROUPS 18 2" xfId="14770"/>
    <cellStyle name="GROUPS 18 2 2" xfId="28846"/>
    <cellStyle name="GROUPS 18 3" xfId="28845"/>
    <cellStyle name="GROUPS 19" xfId="14771"/>
    <cellStyle name="GROUPS 19 2" xfId="14772"/>
    <cellStyle name="GROUPS 19 2 2" xfId="28848"/>
    <cellStyle name="GROUPS 19 3" xfId="28847"/>
    <cellStyle name="GROUPS 2" xfId="14773"/>
    <cellStyle name="GROUPS 2 2" xfId="14774"/>
    <cellStyle name="GROUPS 2 2 2" xfId="14775"/>
    <cellStyle name="GROUPS 2 2 2 2" xfId="28851"/>
    <cellStyle name="GROUPS 2 2 3" xfId="28850"/>
    <cellStyle name="GROUPS 2 3" xfId="14776"/>
    <cellStyle name="GROUPS 2 3 2" xfId="14777"/>
    <cellStyle name="GROUPS 2 3 2 2" xfId="28853"/>
    <cellStyle name="GROUPS 2 3 3" xfId="28852"/>
    <cellStyle name="GROUPS 2 4" xfId="14778"/>
    <cellStyle name="GROUPS 2 4 2" xfId="14779"/>
    <cellStyle name="GROUPS 2 4 2 2" xfId="28855"/>
    <cellStyle name="GROUPS 2 4 3" xfId="28854"/>
    <cellStyle name="GROUPS 2 5" xfId="14780"/>
    <cellStyle name="GROUPS 2 5 2" xfId="28856"/>
    <cellStyle name="GROUPS 2 6" xfId="28849"/>
    <cellStyle name="GROUPS 20" xfId="14781"/>
    <cellStyle name="GROUPS 20 2" xfId="14782"/>
    <cellStyle name="GROUPS 20 2 2" xfId="28858"/>
    <cellStyle name="GROUPS 20 3" xfId="28857"/>
    <cellStyle name="GROUPS 21" xfId="14783"/>
    <cellStyle name="GROUPS 21 2" xfId="14784"/>
    <cellStyle name="GROUPS 21 2 2" xfId="28860"/>
    <cellStyle name="GROUPS 21 3" xfId="28859"/>
    <cellStyle name="GROUPS 22" xfId="14785"/>
    <cellStyle name="GROUPS 22 2" xfId="28861"/>
    <cellStyle name="GROUPS 23" xfId="27627"/>
    <cellStyle name="GROUPS 3" xfId="14786"/>
    <cellStyle name="GROUPS 3 2" xfId="14787"/>
    <cellStyle name="GROUPS 3 2 2" xfId="14788"/>
    <cellStyle name="GROUPS 3 2 2 2" xfId="28864"/>
    <cellStyle name="GROUPS 3 2 3" xfId="28863"/>
    <cellStyle name="GROUPS 3 3" xfId="14789"/>
    <cellStyle name="GROUPS 3 3 2" xfId="14790"/>
    <cellStyle name="GROUPS 3 3 2 2" xfId="28866"/>
    <cellStyle name="GROUPS 3 3 3" xfId="28865"/>
    <cellStyle name="GROUPS 3 4" xfId="14791"/>
    <cellStyle name="GROUPS 3 4 2" xfId="14792"/>
    <cellStyle name="GROUPS 3 4 2 2" xfId="28868"/>
    <cellStyle name="GROUPS 3 4 3" xfId="28867"/>
    <cellStyle name="GROUPS 3 5" xfId="14793"/>
    <cellStyle name="GROUPS 3 5 2" xfId="28869"/>
    <cellStyle name="GROUPS 3 6" xfId="28862"/>
    <cellStyle name="GROUPS 4" xfId="14794"/>
    <cellStyle name="GROUPS 4 2" xfId="14795"/>
    <cellStyle name="GROUPS 4 2 2" xfId="14796"/>
    <cellStyle name="GROUPS 4 2 2 2" xfId="28872"/>
    <cellStyle name="GROUPS 4 2 3" xfId="28871"/>
    <cellStyle name="GROUPS 4 3" xfId="14797"/>
    <cellStyle name="GROUPS 4 3 2" xfId="14798"/>
    <cellStyle name="GROUPS 4 3 2 2" xfId="28874"/>
    <cellStyle name="GROUPS 4 3 3" xfId="28873"/>
    <cellStyle name="GROUPS 4 4" xfId="14799"/>
    <cellStyle name="GROUPS 4 4 2" xfId="14800"/>
    <cellStyle name="GROUPS 4 4 2 2" xfId="28876"/>
    <cellStyle name="GROUPS 4 4 3" xfId="28875"/>
    <cellStyle name="GROUPS 4 5" xfId="14801"/>
    <cellStyle name="GROUPS 4 5 2" xfId="28877"/>
    <cellStyle name="GROUPS 4 6" xfId="28870"/>
    <cellStyle name="GROUPS 5" xfId="14802"/>
    <cellStyle name="GROUPS 5 2" xfId="14803"/>
    <cellStyle name="GROUPS 5 2 2" xfId="14804"/>
    <cellStyle name="GROUPS 5 2 2 2" xfId="28880"/>
    <cellStyle name="GROUPS 5 2 3" xfId="28879"/>
    <cellStyle name="GROUPS 5 3" xfId="14805"/>
    <cellStyle name="GROUPS 5 3 2" xfId="14806"/>
    <cellStyle name="GROUPS 5 3 2 2" xfId="28882"/>
    <cellStyle name="GROUPS 5 3 3" xfId="28881"/>
    <cellStyle name="GROUPS 5 4" xfId="14807"/>
    <cellStyle name="GROUPS 5 4 2" xfId="14808"/>
    <cellStyle name="GROUPS 5 4 2 2" xfId="28884"/>
    <cellStyle name="GROUPS 5 4 3" xfId="28883"/>
    <cellStyle name="GROUPS 5 5" xfId="14809"/>
    <cellStyle name="GROUPS 5 5 2" xfId="28885"/>
    <cellStyle name="GROUPS 5 6" xfId="28878"/>
    <cellStyle name="GROUPS 6" xfId="14810"/>
    <cellStyle name="GROUPS 6 2" xfId="14811"/>
    <cellStyle name="GROUPS 6 2 2" xfId="14812"/>
    <cellStyle name="GROUPS 6 2 2 2" xfId="28888"/>
    <cellStyle name="GROUPS 6 2 3" xfId="28887"/>
    <cellStyle name="GROUPS 6 3" xfId="14813"/>
    <cellStyle name="GROUPS 6 3 2" xfId="14814"/>
    <cellStyle name="GROUPS 6 3 2 2" xfId="28890"/>
    <cellStyle name="GROUPS 6 3 3" xfId="28889"/>
    <cellStyle name="GROUPS 6 4" xfId="14815"/>
    <cellStyle name="GROUPS 6 4 2" xfId="14816"/>
    <cellStyle name="GROUPS 6 4 2 2" xfId="28892"/>
    <cellStyle name="GROUPS 6 4 3" xfId="28891"/>
    <cellStyle name="GROUPS 6 5" xfId="14817"/>
    <cellStyle name="GROUPS 6 5 2" xfId="28893"/>
    <cellStyle name="GROUPS 6 6" xfId="28886"/>
    <cellStyle name="GROUPS 7" xfId="14818"/>
    <cellStyle name="GROUPS 7 2" xfId="14819"/>
    <cellStyle name="GROUPS 7 2 2" xfId="14820"/>
    <cellStyle name="GROUPS 7 2 2 2" xfId="28896"/>
    <cellStyle name="GROUPS 7 2 3" xfId="28895"/>
    <cellStyle name="GROUPS 7 3" xfId="14821"/>
    <cellStyle name="GROUPS 7 3 2" xfId="14822"/>
    <cellStyle name="GROUPS 7 3 2 2" xfId="28898"/>
    <cellStyle name="GROUPS 7 3 3" xfId="28897"/>
    <cellStyle name="GROUPS 7 4" xfId="14823"/>
    <cellStyle name="GROUPS 7 4 2" xfId="14824"/>
    <cellStyle name="GROUPS 7 4 2 2" xfId="28900"/>
    <cellStyle name="GROUPS 7 4 3" xfId="28899"/>
    <cellStyle name="GROUPS 7 5" xfId="14825"/>
    <cellStyle name="GROUPS 7 5 2" xfId="28901"/>
    <cellStyle name="GROUPS 7 6" xfId="28894"/>
    <cellStyle name="GROUPS 8" xfId="14826"/>
    <cellStyle name="GROUPS 8 2" xfId="14827"/>
    <cellStyle name="GROUPS 8 2 2" xfId="14828"/>
    <cellStyle name="GROUPS 8 2 2 2" xfId="28904"/>
    <cellStyle name="GROUPS 8 2 3" xfId="28903"/>
    <cellStyle name="GROUPS 8 3" xfId="14829"/>
    <cellStyle name="GROUPS 8 3 2" xfId="14830"/>
    <cellStyle name="GROUPS 8 3 2 2" xfId="28906"/>
    <cellStyle name="GROUPS 8 3 3" xfId="28905"/>
    <cellStyle name="GROUPS 8 4" xfId="14831"/>
    <cellStyle name="GROUPS 8 4 2" xfId="14832"/>
    <cellStyle name="GROUPS 8 4 2 2" xfId="28908"/>
    <cellStyle name="GROUPS 8 4 3" xfId="28907"/>
    <cellStyle name="GROUPS 8 5" xfId="14833"/>
    <cellStyle name="GROUPS 8 5 2" xfId="28909"/>
    <cellStyle name="GROUPS 8 6" xfId="28902"/>
    <cellStyle name="GROUPS 9" xfId="14834"/>
    <cellStyle name="GROUPS 9 2" xfId="14835"/>
    <cellStyle name="GROUPS 9 2 2" xfId="14836"/>
    <cellStyle name="GROUPS 9 2 2 2" xfId="28912"/>
    <cellStyle name="GROUPS 9 2 3" xfId="28911"/>
    <cellStyle name="GROUPS 9 3" xfId="14837"/>
    <cellStyle name="GROUPS 9 3 2" xfId="14838"/>
    <cellStyle name="GROUPS 9 3 2 2" xfId="28914"/>
    <cellStyle name="GROUPS 9 3 3" xfId="28913"/>
    <cellStyle name="GROUPS 9 4" xfId="14839"/>
    <cellStyle name="GROUPS 9 4 2" xfId="14840"/>
    <cellStyle name="GROUPS 9 4 2 2" xfId="28916"/>
    <cellStyle name="GROUPS 9 4 3" xfId="28915"/>
    <cellStyle name="GROUPS 9 5" xfId="14841"/>
    <cellStyle name="GROUPS 9 5 2" xfId="28917"/>
    <cellStyle name="GROUPS 9 6" xfId="28910"/>
    <cellStyle name="GROUPS_Sheet1" xfId="14842"/>
    <cellStyle name="H1" xfId="14843"/>
    <cellStyle name="H2" xfId="14844"/>
    <cellStyle name="Hard Percent" xfId="1523"/>
    <cellStyle name="HDR" xfId="14845"/>
    <cellStyle name="head1" xfId="1524"/>
    <cellStyle name="head1 2" xfId="14846"/>
    <cellStyle name="head1 3" xfId="14847"/>
    <cellStyle name="head2" xfId="1525"/>
    <cellStyle name="head2 2" xfId="14848"/>
    <cellStyle name="head2 2 2" xfId="14849"/>
    <cellStyle name="head2 3" xfId="14850"/>
    <cellStyle name="head2 3 2" xfId="14851"/>
    <cellStyle name="head2 4" xfId="14852"/>
    <cellStyle name="head3" xfId="1526"/>
    <cellStyle name="head3 2" xfId="14853"/>
    <cellStyle name="head3 3" xfId="14854"/>
    <cellStyle name="HEADER" xfId="1527"/>
    <cellStyle name="Header - Style1" xfId="14855"/>
    <cellStyle name="Header - Style1 2" xfId="28918"/>
    <cellStyle name="HEADER 2" xfId="1528"/>
    <cellStyle name="HEADER 3" xfId="14856"/>
    <cellStyle name="Header1" xfId="1529"/>
    <cellStyle name="Header1 2" xfId="1530"/>
    <cellStyle name="Header1 3" xfId="14857"/>
    <cellStyle name="Header2" xfId="1531"/>
    <cellStyle name="Header2 10" xfId="14858"/>
    <cellStyle name="Header2 10 2" xfId="14859"/>
    <cellStyle name="Header2 10 2 2" xfId="28920"/>
    <cellStyle name="Header2 10 3" xfId="28919"/>
    <cellStyle name="Header2 11" xfId="14860"/>
    <cellStyle name="Header2 11 2" xfId="14861"/>
    <cellStyle name="Header2 11 2 2" xfId="28922"/>
    <cellStyle name="Header2 11 3" xfId="28921"/>
    <cellStyle name="Header2 12" xfId="14862"/>
    <cellStyle name="Header2 12 2" xfId="14863"/>
    <cellStyle name="Header2 12 2 2" xfId="28924"/>
    <cellStyle name="Header2 12 3" xfId="28923"/>
    <cellStyle name="Header2 13" xfId="14864"/>
    <cellStyle name="Header2 13 2" xfId="28925"/>
    <cellStyle name="Header2 14" xfId="27628"/>
    <cellStyle name="Header2 2" xfId="1532"/>
    <cellStyle name="Header2 2 2" xfId="14865"/>
    <cellStyle name="Header2 2 2 2" xfId="14866"/>
    <cellStyle name="Header2 2 2 2 2" xfId="28927"/>
    <cellStyle name="Header2 2 2 3" xfId="28926"/>
    <cellStyle name="Header2 2 3" xfId="14867"/>
    <cellStyle name="Header2 2 3 2" xfId="14868"/>
    <cellStyle name="Header2 2 3 2 2" xfId="28929"/>
    <cellStyle name="Header2 2 3 3" xfId="28928"/>
    <cellStyle name="Header2 2 4" xfId="14869"/>
    <cellStyle name="Header2 2 4 2" xfId="14870"/>
    <cellStyle name="Header2 2 4 2 2" xfId="28931"/>
    <cellStyle name="Header2 2 4 3" xfId="28930"/>
    <cellStyle name="Header2 2 5" xfId="27629"/>
    <cellStyle name="Header2 3" xfId="14871"/>
    <cellStyle name="Header2 3 2" xfId="14872"/>
    <cellStyle name="Header2 3 2 2" xfId="14873"/>
    <cellStyle name="Header2 3 2 2 2" xfId="28934"/>
    <cellStyle name="Header2 3 2 3" xfId="28933"/>
    <cellStyle name="Header2 3 3" xfId="14874"/>
    <cellStyle name="Header2 3 3 2" xfId="14875"/>
    <cellStyle name="Header2 3 3 2 2" xfId="28936"/>
    <cellStyle name="Header2 3 3 3" xfId="28935"/>
    <cellStyle name="Header2 3 4" xfId="14876"/>
    <cellStyle name="Header2 3 4 2" xfId="14877"/>
    <cellStyle name="Header2 3 4 2 2" xfId="28938"/>
    <cellStyle name="Header2 3 4 3" xfId="28937"/>
    <cellStyle name="Header2 3 5" xfId="14878"/>
    <cellStyle name="Header2 3 5 2" xfId="28939"/>
    <cellStyle name="Header2 3 6" xfId="28932"/>
    <cellStyle name="Header2 4" xfId="14879"/>
    <cellStyle name="Header2 4 2" xfId="14880"/>
    <cellStyle name="Header2 4 2 2" xfId="14881"/>
    <cellStyle name="Header2 4 2 2 2" xfId="28942"/>
    <cellStyle name="Header2 4 2 3" xfId="28941"/>
    <cellStyle name="Header2 4 3" xfId="14882"/>
    <cellStyle name="Header2 4 3 2" xfId="14883"/>
    <cellStyle name="Header2 4 3 2 2" xfId="28944"/>
    <cellStyle name="Header2 4 3 3" xfId="28943"/>
    <cellStyle name="Header2 4 4" xfId="14884"/>
    <cellStyle name="Header2 4 4 2" xfId="14885"/>
    <cellStyle name="Header2 4 4 2 2" xfId="28946"/>
    <cellStyle name="Header2 4 4 3" xfId="28945"/>
    <cellStyle name="Header2 4 5" xfId="14886"/>
    <cellStyle name="Header2 4 5 2" xfId="28947"/>
    <cellStyle name="Header2 4 6" xfId="28940"/>
    <cellStyle name="Header2 5" xfId="14887"/>
    <cellStyle name="Header2 5 2" xfId="14888"/>
    <cellStyle name="Header2 5 2 2" xfId="14889"/>
    <cellStyle name="Header2 5 2 2 2" xfId="28950"/>
    <cellStyle name="Header2 5 2 3" xfId="28949"/>
    <cellStyle name="Header2 5 3" xfId="14890"/>
    <cellStyle name="Header2 5 3 2" xfId="14891"/>
    <cellStyle name="Header2 5 3 2 2" xfId="28952"/>
    <cellStyle name="Header2 5 3 3" xfId="28951"/>
    <cellStyle name="Header2 5 4" xfId="14892"/>
    <cellStyle name="Header2 5 4 2" xfId="28953"/>
    <cellStyle name="Header2 5 5" xfId="28948"/>
    <cellStyle name="Header2 6" xfId="14893"/>
    <cellStyle name="Header2 6 2" xfId="14894"/>
    <cellStyle name="Header2 6 2 2" xfId="14895"/>
    <cellStyle name="Header2 6 2 2 2" xfId="28956"/>
    <cellStyle name="Header2 6 2 3" xfId="28955"/>
    <cellStyle name="Header2 6 3" xfId="14896"/>
    <cellStyle name="Header2 6 3 2" xfId="14897"/>
    <cellStyle name="Header2 6 3 2 2" xfId="28958"/>
    <cellStyle name="Header2 6 3 3" xfId="28957"/>
    <cellStyle name="Header2 6 4" xfId="14898"/>
    <cellStyle name="Header2 6 4 2" xfId="28959"/>
    <cellStyle name="Header2 6 5" xfId="28954"/>
    <cellStyle name="Header2 7" xfId="14899"/>
    <cellStyle name="Header2 7 2" xfId="14900"/>
    <cellStyle name="Header2 7 2 2" xfId="14901"/>
    <cellStyle name="Header2 7 2 2 2" xfId="28962"/>
    <cellStyle name="Header2 7 2 3" xfId="28961"/>
    <cellStyle name="Header2 7 3" xfId="14902"/>
    <cellStyle name="Header2 7 3 2" xfId="14903"/>
    <cellStyle name="Header2 7 3 2 2" xfId="28964"/>
    <cellStyle name="Header2 7 3 3" xfId="28963"/>
    <cellStyle name="Header2 7 4" xfId="14904"/>
    <cellStyle name="Header2 7 4 2" xfId="28965"/>
    <cellStyle name="Header2 7 5" xfId="28960"/>
    <cellStyle name="Header2 8" xfId="14905"/>
    <cellStyle name="Header2 8 2" xfId="14906"/>
    <cellStyle name="Header2 8 2 2" xfId="14907"/>
    <cellStyle name="Header2 8 2 2 2" xfId="28968"/>
    <cellStyle name="Header2 8 2 3" xfId="28967"/>
    <cellStyle name="Header2 8 3" xfId="14908"/>
    <cellStyle name="Header2 8 3 2" xfId="14909"/>
    <cellStyle name="Header2 8 3 2 2" xfId="28970"/>
    <cellStyle name="Header2 8 3 3" xfId="28969"/>
    <cellStyle name="Header2 8 4" xfId="14910"/>
    <cellStyle name="Header2 8 4 2" xfId="28971"/>
    <cellStyle name="Header2 8 5" xfId="28966"/>
    <cellStyle name="Header2 9" xfId="14911"/>
    <cellStyle name="Header2 9 2" xfId="28972"/>
    <cellStyle name="Header2_Sheet1" xfId="14912"/>
    <cellStyle name="Heading" xfId="1533"/>
    <cellStyle name="Heading 1" xfId="1534"/>
    <cellStyle name="Heading 1 2" xfId="1535"/>
    <cellStyle name="Heading 1 2 2" xfId="1536"/>
    <cellStyle name="Heading 1 2 2 2" xfId="1537"/>
    <cellStyle name="Heading 1 2 2 3" xfId="1538"/>
    <cellStyle name="Heading 1 2 3" xfId="1539"/>
    <cellStyle name="Heading 1 2 4" xfId="1540"/>
    <cellStyle name="Heading 1 3" xfId="1541"/>
    <cellStyle name="Heading 1 4" xfId="1542"/>
    <cellStyle name="Heading 1 5" xfId="1543"/>
    <cellStyle name="Heading 1 6" xfId="1544"/>
    <cellStyle name="Heading 1_2011-3차 매각 작업(실사팀 송부용)_0712" xfId="14913"/>
    <cellStyle name="Heading 10" xfId="14914"/>
    <cellStyle name="Heading 10 2" xfId="14915"/>
    <cellStyle name="Heading 11" xfId="14916"/>
    <cellStyle name="Heading 11 2" xfId="14917"/>
    <cellStyle name="Heading 12" xfId="14918"/>
    <cellStyle name="Heading 12 2" xfId="14919"/>
    <cellStyle name="Heading 12 2 2" xfId="14920"/>
    <cellStyle name="Heading 12 3" xfId="14921"/>
    <cellStyle name="Heading 12 3 2" xfId="14922"/>
    <cellStyle name="Heading 12 4" xfId="14923"/>
    <cellStyle name="Heading 12 4 2" xfId="14924"/>
    <cellStyle name="Heading 12 5" xfId="14925"/>
    <cellStyle name="Heading 13" xfId="14926"/>
    <cellStyle name="Heading 13 2" xfId="14927"/>
    <cellStyle name="Heading 13 2 2" xfId="14928"/>
    <cellStyle name="Heading 13 3" xfId="14929"/>
    <cellStyle name="Heading 13 3 2" xfId="14930"/>
    <cellStyle name="Heading 13 4" xfId="14931"/>
    <cellStyle name="Heading 13 4 2" xfId="14932"/>
    <cellStyle name="Heading 13 5" xfId="14933"/>
    <cellStyle name="Heading 14" xfId="14934"/>
    <cellStyle name="Heading 14 2" xfId="14935"/>
    <cellStyle name="Heading 14 2 2" xfId="14936"/>
    <cellStyle name="Heading 14 3" xfId="14937"/>
    <cellStyle name="Heading 14 3 2" xfId="14938"/>
    <cellStyle name="Heading 14 4" xfId="14939"/>
    <cellStyle name="Heading 14 4 2" xfId="14940"/>
    <cellStyle name="Heading 14 5" xfId="14941"/>
    <cellStyle name="Heading 15" xfId="14942"/>
    <cellStyle name="Heading 2" xfId="1545"/>
    <cellStyle name="Heading 2 2" xfId="1546"/>
    <cellStyle name="Heading 2 2 2" xfId="1547"/>
    <cellStyle name="Heading 2 2 2 2" xfId="1548"/>
    <cellStyle name="Heading 2 2 2 3" xfId="1549"/>
    <cellStyle name="Heading 2 2 3" xfId="1550"/>
    <cellStyle name="Heading 2 2 4" xfId="1551"/>
    <cellStyle name="Heading 2 3" xfId="1552"/>
    <cellStyle name="Heading 2 4" xfId="1553"/>
    <cellStyle name="Heading 2 5" xfId="1554"/>
    <cellStyle name="Heading 2 6" xfId="1555"/>
    <cellStyle name="Heading 2_2011-3차 매각 작업(실사팀 송부용)_0712" xfId="14943"/>
    <cellStyle name="Heading 3" xfId="1556"/>
    <cellStyle name="Heading 3 10" xfId="14944"/>
    <cellStyle name="Heading 3 10 2" xfId="14945"/>
    <cellStyle name="Heading 3 10 2 2" xfId="14946"/>
    <cellStyle name="Heading 3 10 3" xfId="14947"/>
    <cellStyle name="Heading 3 11" xfId="14948"/>
    <cellStyle name="Heading 3 11 2" xfId="14949"/>
    <cellStyle name="Heading 3 11 2 2" xfId="14950"/>
    <cellStyle name="Heading 3 11 3" xfId="14951"/>
    <cellStyle name="Heading 3 12" xfId="14952"/>
    <cellStyle name="Heading 3 12 2" xfId="14953"/>
    <cellStyle name="Heading 3 12 2 2" xfId="14954"/>
    <cellStyle name="Heading 3 12 3" xfId="14955"/>
    <cellStyle name="Heading 3 13" xfId="14956"/>
    <cellStyle name="Heading 3 13 2" xfId="14957"/>
    <cellStyle name="Heading 3 13 2 2" xfId="14958"/>
    <cellStyle name="Heading 3 13 3" xfId="14959"/>
    <cellStyle name="Heading 3 14" xfId="14960"/>
    <cellStyle name="Heading 3 14 2" xfId="14961"/>
    <cellStyle name="Heading 3 14 2 2" xfId="14962"/>
    <cellStyle name="Heading 3 14 2 2 2" xfId="14963"/>
    <cellStyle name="Heading 3 14 2 3" xfId="14964"/>
    <cellStyle name="Heading 3 14 3" xfId="14965"/>
    <cellStyle name="Heading 3 14 3 2" xfId="14966"/>
    <cellStyle name="Heading 3 14 3 2 2" xfId="14967"/>
    <cellStyle name="Heading 3 14 3 3" xfId="14968"/>
    <cellStyle name="Heading 3 14 4" xfId="14969"/>
    <cellStyle name="Heading 3 14 4 2" xfId="14970"/>
    <cellStyle name="Heading 3 14 4 2 2" xfId="14971"/>
    <cellStyle name="Heading 3 14 4 3" xfId="14972"/>
    <cellStyle name="Heading 3 14 5" xfId="14973"/>
    <cellStyle name="Heading 3 14 5 2" xfId="14974"/>
    <cellStyle name="Heading 3 14 6" xfId="14975"/>
    <cellStyle name="Heading 3 15" xfId="14976"/>
    <cellStyle name="Heading 3 15 2" xfId="14977"/>
    <cellStyle name="Heading 3 15 2 2" xfId="14978"/>
    <cellStyle name="Heading 3 15 2 2 2" xfId="14979"/>
    <cellStyle name="Heading 3 15 2 3" xfId="14980"/>
    <cellStyle name="Heading 3 15 3" xfId="14981"/>
    <cellStyle name="Heading 3 15 3 2" xfId="14982"/>
    <cellStyle name="Heading 3 15 3 2 2" xfId="14983"/>
    <cellStyle name="Heading 3 15 3 3" xfId="14984"/>
    <cellStyle name="Heading 3 15 4" xfId="14985"/>
    <cellStyle name="Heading 3 15 4 2" xfId="14986"/>
    <cellStyle name="Heading 3 15 4 2 2" xfId="14987"/>
    <cellStyle name="Heading 3 15 4 3" xfId="14988"/>
    <cellStyle name="Heading 3 15 5" xfId="14989"/>
    <cellStyle name="Heading 3 15 5 2" xfId="14990"/>
    <cellStyle name="Heading 3 15 6" xfId="14991"/>
    <cellStyle name="Heading 3 16" xfId="14992"/>
    <cellStyle name="Heading 3 16 2" xfId="14993"/>
    <cellStyle name="Heading 3 16 2 2" xfId="14994"/>
    <cellStyle name="Heading 3 16 2 2 2" xfId="14995"/>
    <cellStyle name="Heading 3 16 2 3" xfId="14996"/>
    <cellStyle name="Heading 3 16 3" xfId="14997"/>
    <cellStyle name="Heading 3 16 3 2" xfId="14998"/>
    <cellStyle name="Heading 3 16 3 2 2" xfId="14999"/>
    <cellStyle name="Heading 3 16 3 3" xfId="15000"/>
    <cellStyle name="Heading 3 16 4" xfId="15001"/>
    <cellStyle name="Heading 3 16 4 2" xfId="15002"/>
    <cellStyle name="Heading 3 16 4 2 2" xfId="15003"/>
    <cellStyle name="Heading 3 16 4 3" xfId="15004"/>
    <cellStyle name="Heading 3 16 5" xfId="15005"/>
    <cellStyle name="Heading 3 16 5 2" xfId="15006"/>
    <cellStyle name="Heading 3 16 6" xfId="15007"/>
    <cellStyle name="Heading 3 17" xfId="15008"/>
    <cellStyle name="Heading 3 17 2" xfId="15009"/>
    <cellStyle name="Heading 3 18" xfId="15010"/>
    <cellStyle name="Heading 3 2" xfId="1557"/>
    <cellStyle name="Heading 3 2 2" xfId="1558"/>
    <cellStyle name="Heading 3 2 2 2" xfId="1559"/>
    <cellStyle name="Heading 3 2 2 3" xfId="1560"/>
    <cellStyle name="Heading 3 2 2 4" xfId="15011"/>
    <cellStyle name="Heading 3 2 3" xfId="1561"/>
    <cellStyle name="Heading 3 2 3 2" xfId="15012"/>
    <cellStyle name="Heading 3 2 4" xfId="1562"/>
    <cellStyle name="Heading 3 2 5" xfId="15013"/>
    <cellStyle name="Heading 3 3" xfId="1563"/>
    <cellStyle name="Heading 3 3 2" xfId="15014"/>
    <cellStyle name="Heading 3 3 2 2" xfId="15015"/>
    <cellStyle name="Heading 3 3 3" xfId="15016"/>
    <cellStyle name="Heading 3 4" xfId="1564"/>
    <cellStyle name="Heading 3 4 2" xfId="15017"/>
    <cellStyle name="Heading 3 4 2 2" xfId="15018"/>
    <cellStyle name="Heading 3 4 3" xfId="15019"/>
    <cellStyle name="Heading 3 5" xfId="1565"/>
    <cellStyle name="Heading 3 5 2" xfId="15020"/>
    <cellStyle name="Heading 3 5 2 2" xfId="15021"/>
    <cellStyle name="Heading 3 5 3" xfId="15022"/>
    <cellStyle name="Heading 3 6" xfId="1566"/>
    <cellStyle name="Heading 3 6 2" xfId="15023"/>
    <cellStyle name="Heading 3 6 2 2" xfId="15024"/>
    <cellStyle name="Heading 3 6 3" xfId="15025"/>
    <cellStyle name="Heading 3 7" xfId="15026"/>
    <cellStyle name="Heading 3 7 2" xfId="15027"/>
    <cellStyle name="Heading 3 7 2 2" xfId="15028"/>
    <cellStyle name="Heading 3 7 3" xfId="15029"/>
    <cellStyle name="Heading 3 8" xfId="15030"/>
    <cellStyle name="Heading 3 8 2" xfId="15031"/>
    <cellStyle name="Heading 3 8 2 2" xfId="15032"/>
    <cellStyle name="Heading 3 8 3" xfId="15033"/>
    <cellStyle name="Heading 3 9" xfId="15034"/>
    <cellStyle name="Heading 3 9 2" xfId="15035"/>
    <cellStyle name="Heading 3 9 2 2" xfId="15036"/>
    <cellStyle name="Heading 3 9 3" xfId="15037"/>
    <cellStyle name="Heading 3_2011-3차 매각 작업(실사팀 송부용)_0712" xfId="15038"/>
    <cellStyle name="Heading 4" xfId="1567"/>
    <cellStyle name="Heading 4 2" xfId="1568"/>
    <cellStyle name="Heading 4 2 2" xfId="1569"/>
    <cellStyle name="Heading 4 2 2 2" xfId="1570"/>
    <cellStyle name="Heading 4 2 2 3" xfId="1571"/>
    <cellStyle name="Heading 4 2 3" xfId="1572"/>
    <cellStyle name="Heading 4 2 4" xfId="1573"/>
    <cellStyle name="Heading 4 3" xfId="1574"/>
    <cellStyle name="Heading 4 4" xfId="1575"/>
    <cellStyle name="Heading 4 5" xfId="1576"/>
    <cellStyle name="Heading 4 6" xfId="1577"/>
    <cellStyle name="Heading 4_2011-3차 매각 작업(실사팀 송부용)_0712" xfId="15039"/>
    <cellStyle name="Heading 5" xfId="15040"/>
    <cellStyle name="Heading 5 2" xfId="15041"/>
    <cellStyle name="Heading 6" xfId="15042"/>
    <cellStyle name="Heading 6 2" xfId="15043"/>
    <cellStyle name="Heading 7" xfId="15044"/>
    <cellStyle name="Heading 7 2" xfId="15045"/>
    <cellStyle name="Heading 8" xfId="15046"/>
    <cellStyle name="Heading 8 2" xfId="15047"/>
    <cellStyle name="Heading 9" xfId="15048"/>
    <cellStyle name="Heading 9 2" xfId="15049"/>
    <cellStyle name="heading, 1,A MAJOR/BOLD" xfId="1578"/>
    <cellStyle name="heading, 1,A MAJOR/BOLD 2" xfId="1579"/>
    <cellStyle name="heading, 1,A MAJOR/BOLD 3" xfId="1580"/>
    <cellStyle name="Heading_1211 충당금,건전성 현황_작업" xfId="15050"/>
    <cellStyle name="Heading1" xfId="1581"/>
    <cellStyle name="Heading2" xfId="1582"/>
    <cellStyle name="Heading3" xfId="15051"/>
    <cellStyle name="Heading4" xfId="15052"/>
    <cellStyle name="HeadingS" xfId="1583"/>
    <cellStyle name="HeadingS 2" xfId="15053"/>
    <cellStyle name="HeadingS 3" xfId="15054"/>
    <cellStyle name="HEADINGSTOP" xfId="15055"/>
    <cellStyle name="Helv8_PFD4.XLS" xfId="15056"/>
    <cellStyle name="hong kong" xfId="15057"/>
    <cellStyle name="Hyperlink" xfId="1584"/>
    <cellStyle name="Hyperlink 2" xfId="1585"/>
    <cellStyle name="Hyperlink 3" xfId="15058"/>
    <cellStyle name="Hyperlink_NEGS" xfId="15059"/>
    <cellStyle name="ǐˇ?惃?e [0.00]_Region Orders (2)" xfId="15060"/>
    <cellStyle name="ǐˇ?惃?e_Region Orders (2)" xfId="15061"/>
    <cellStyle name="i·0" xfId="15062"/>
    <cellStyle name="iles|_x0005_h" xfId="15063"/>
    <cellStyle name="Input" xfId="1586"/>
    <cellStyle name="Input [yellow]" xfId="1587"/>
    <cellStyle name="Input [yellow] 2" xfId="1588"/>
    <cellStyle name="Input [yellow] 2 2" xfId="15064"/>
    <cellStyle name="Input [yellow] 2 2 2" xfId="15065"/>
    <cellStyle name="Input [yellow] 2 2 2 2" xfId="28974"/>
    <cellStyle name="Input [yellow] 2 2 3" xfId="28973"/>
    <cellStyle name="Input [yellow] 2 3" xfId="15066"/>
    <cellStyle name="Input [yellow] 2 3 2" xfId="15067"/>
    <cellStyle name="Input [yellow] 2 3 2 2" xfId="28976"/>
    <cellStyle name="Input [yellow] 2 3 3" xfId="28975"/>
    <cellStyle name="Input [yellow] 2 4" xfId="15068"/>
    <cellStyle name="Input [yellow] 2 4 2" xfId="15069"/>
    <cellStyle name="Input [yellow] 2 4 2 2" xfId="28978"/>
    <cellStyle name="Input [yellow] 2 4 3" xfId="28977"/>
    <cellStyle name="Input [yellow] 2 5" xfId="15070"/>
    <cellStyle name="Input [yellow] 2 5 2" xfId="28979"/>
    <cellStyle name="Input [yellow] 2 6" xfId="27632"/>
    <cellStyle name="Input [yellow] 3" xfId="1589"/>
    <cellStyle name="Input [yellow] 3 2" xfId="27633"/>
    <cellStyle name="Input [yellow] 4" xfId="27631"/>
    <cellStyle name="Input 10" xfId="1590"/>
    <cellStyle name="Input 10 2" xfId="15071"/>
    <cellStyle name="Input 10 2 2" xfId="15072"/>
    <cellStyle name="Input 10 2 2 2" xfId="28981"/>
    <cellStyle name="Input 10 2 3" xfId="28980"/>
    <cellStyle name="Input 10 3" xfId="15073"/>
    <cellStyle name="Input 10 3 2" xfId="15074"/>
    <cellStyle name="Input 10 3 2 2" xfId="28983"/>
    <cellStyle name="Input 10 3 3" xfId="28982"/>
    <cellStyle name="Input 10 4" xfId="15075"/>
    <cellStyle name="Input 10 4 2" xfId="15076"/>
    <cellStyle name="Input 10 4 2 2" xfId="28985"/>
    <cellStyle name="Input 10 4 3" xfId="28984"/>
    <cellStyle name="Input 10 5" xfId="15077"/>
    <cellStyle name="Input 10 5 2" xfId="28986"/>
    <cellStyle name="Input 10 6" xfId="27634"/>
    <cellStyle name="Input 11" xfId="1591"/>
    <cellStyle name="Input 11 2" xfId="15078"/>
    <cellStyle name="Input 11 2 2" xfId="15079"/>
    <cellStyle name="Input 11 2 2 2" xfId="28988"/>
    <cellStyle name="Input 11 2 3" xfId="28987"/>
    <cellStyle name="Input 11 3" xfId="15080"/>
    <cellStyle name="Input 11 3 2" xfId="15081"/>
    <cellStyle name="Input 11 3 2 2" xfId="28990"/>
    <cellStyle name="Input 11 3 3" xfId="28989"/>
    <cellStyle name="Input 11 4" xfId="15082"/>
    <cellStyle name="Input 11 4 2" xfId="15083"/>
    <cellStyle name="Input 11 4 2 2" xfId="28992"/>
    <cellStyle name="Input 11 4 3" xfId="28991"/>
    <cellStyle name="Input 11 5" xfId="15084"/>
    <cellStyle name="Input 11 5 2" xfId="28993"/>
    <cellStyle name="Input 11 6" xfId="27635"/>
    <cellStyle name="Input 12" xfId="1592"/>
    <cellStyle name="Input 12 2" xfId="15085"/>
    <cellStyle name="Input 12 2 2" xfId="15086"/>
    <cellStyle name="Input 12 2 2 2" xfId="28995"/>
    <cellStyle name="Input 12 2 3" xfId="28994"/>
    <cellStyle name="Input 12 3" xfId="15087"/>
    <cellStyle name="Input 12 3 2" xfId="15088"/>
    <cellStyle name="Input 12 3 2 2" xfId="28997"/>
    <cellStyle name="Input 12 3 3" xfId="28996"/>
    <cellStyle name="Input 12 4" xfId="15089"/>
    <cellStyle name="Input 12 4 2" xfId="15090"/>
    <cellStyle name="Input 12 4 2 2" xfId="28999"/>
    <cellStyle name="Input 12 4 3" xfId="28998"/>
    <cellStyle name="Input 12 5" xfId="15091"/>
    <cellStyle name="Input 12 5 2" xfId="29000"/>
    <cellStyle name="Input 12 6" xfId="27636"/>
    <cellStyle name="Input 13" xfId="1593"/>
    <cellStyle name="Input 13 2" xfId="15092"/>
    <cellStyle name="Input 13 2 2" xfId="15093"/>
    <cellStyle name="Input 13 2 2 2" xfId="29002"/>
    <cellStyle name="Input 13 2 3" xfId="29001"/>
    <cellStyle name="Input 13 3" xfId="15094"/>
    <cellStyle name="Input 13 3 2" xfId="15095"/>
    <cellStyle name="Input 13 3 2 2" xfId="29004"/>
    <cellStyle name="Input 13 3 3" xfId="29003"/>
    <cellStyle name="Input 13 4" xfId="15096"/>
    <cellStyle name="Input 13 4 2" xfId="15097"/>
    <cellStyle name="Input 13 4 2 2" xfId="29006"/>
    <cellStyle name="Input 13 4 3" xfId="29005"/>
    <cellStyle name="Input 13 5" xfId="15098"/>
    <cellStyle name="Input 13 5 2" xfId="29007"/>
    <cellStyle name="Input 13 6" xfId="27637"/>
    <cellStyle name="Input 14" xfId="1594"/>
    <cellStyle name="Input 14 2" xfId="15099"/>
    <cellStyle name="Input 14 2 2" xfId="15100"/>
    <cellStyle name="Input 14 2 2 2" xfId="29009"/>
    <cellStyle name="Input 14 2 3" xfId="29008"/>
    <cellStyle name="Input 14 3" xfId="15101"/>
    <cellStyle name="Input 14 3 2" xfId="15102"/>
    <cellStyle name="Input 14 3 2 2" xfId="29011"/>
    <cellStyle name="Input 14 3 3" xfId="29010"/>
    <cellStyle name="Input 14 4" xfId="15103"/>
    <cellStyle name="Input 14 4 2" xfId="15104"/>
    <cellStyle name="Input 14 4 2 2" xfId="29013"/>
    <cellStyle name="Input 14 4 3" xfId="29012"/>
    <cellStyle name="Input 14 5" xfId="15105"/>
    <cellStyle name="Input 14 5 2" xfId="29014"/>
    <cellStyle name="Input 14 6" xfId="27638"/>
    <cellStyle name="Input 15" xfId="1595"/>
    <cellStyle name="Input 15 2" xfId="15106"/>
    <cellStyle name="Input 15 2 2" xfId="15107"/>
    <cellStyle name="Input 15 2 2 2" xfId="29016"/>
    <cellStyle name="Input 15 2 3" xfId="29015"/>
    <cellStyle name="Input 15 3" xfId="15108"/>
    <cellStyle name="Input 15 3 2" xfId="15109"/>
    <cellStyle name="Input 15 3 2 2" xfId="29018"/>
    <cellStyle name="Input 15 3 3" xfId="29017"/>
    <cellStyle name="Input 15 4" xfId="15110"/>
    <cellStyle name="Input 15 4 2" xfId="15111"/>
    <cellStyle name="Input 15 4 2 2" xfId="29020"/>
    <cellStyle name="Input 15 4 3" xfId="29019"/>
    <cellStyle name="Input 15 5" xfId="15112"/>
    <cellStyle name="Input 15 5 2" xfId="29021"/>
    <cellStyle name="Input 15 6" xfId="27639"/>
    <cellStyle name="Input 16" xfId="1596"/>
    <cellStyle name="Input 16 2" xfId="15113"/>
    <cellStyle name="Input 16 2 2" xfId="15114"/>
    <cellStyle name="Input 16 2 2 2" xfId="29023"/>
    <cellStyle name="Input 16 2 3" xfId="29022"/>
    <cellStyle name="Input 16 3" xfId="15115"/>
    <cellStyle name="Input 16 3 2" xfId="15116"/>
    <cellStyle name="Input 16 3 2 2" xfId="29025"/>
    <cellStyle name="Input 16 3 3" xfId="29024"/>
    <cellStyle name="Input 16 4" xfId="15117"/>
    <cellStyle name="Input 16 4 2" xfId="15118"/>
    <cellStyle name="Input 16 4 2 2" xfId="29027"/>
    <cellStyle name="Input 16 4 3" xfId="29026"/>
    <cellStyle name="Input 16 5" xfId="15119"/>
    <cellStyle name="Input 16 5 2" xfId="29028"/>
    <cellStyle name="Input 16 6" xfId="27640"/>
    <cellStyle name="Input 17" xfId="1597"/>
    <cellStyle name="Input 17 2" xfId="15120"/>
    <cellStyle name="Input 17 2 2" xfId="15121"/>
    <cellStyle name="Input 17 2 2 2" xfId="29030"/>
    <cellStyle name="Input 17 2 3" xfId="29029"/>
    <cellStyle name="Input 17 3" xfId="15122"/>
    <cellStyle name="Input 17 3 2" xfId="15123"/>
    <cellStyle name="Input 17 3 2 2" xfId="29032"/>
    <cellStyle name="Input 17 3 3" xfId="29031"/>
    <cellStyle name="Input 17 4" xfId="15124"/>
    <cellStyle name="Input 17 4 2" xfId="15125"/>
    <cellStyle name="Input 17 4 2 2" xfId="29034"/>
    <cellStyle name="Input 17 4 3" xfId="29033"/>
    <cellStyle name="Input 17 5" xfId="15126"/>
    <cellStyle name="Input 17 5 2" xfId="29035"/>
    <cellStyle name="Input 17 6" xfId="27641"/>
    <cellStyle name="Input 18" xfId="1598"/>
    <cellStyle name="Input 18 2" xfId="15127"/>
    <cellStyle name="Input 18 2 2" xfId="15128"/>
    <cellStyle name="Input 18 2 2 2" xfId="29037"/>
    <cellStyle name="Input 18 2 3" xfId="29036"/>
    <cellStyle name="Input 18 3" xfId="15129"/>
    <cellStyle name="Input 18 3 2" xfId="15130"/>
    <cellStyle name="Input 18 3 2 2" xfId="29039"/>
    <cellStyle name="Input 18 3 3" xfId="29038"/>
    <cellStyle name="Input 18 4" xfId="15131"/>
    <cellStyle name="Input 18 4 2" xfId="15132"/>
    <cellStyle name="Input 18 4 2 2" xfId="29041"/>
    <cellStyle name="Input 18 4 3" xfId="29040"/>
    <cellStyle name="Input 18 5" xfId="15133"/>
    <cellStyle name="Input 18 5 2" xfId="29042"/>
    <cellStyle name="Input 18 6" xfId="27642"/>
    <cellStyle name="Input 19" xfId="1599"/>
    <cellStyle name="Input 19 2" xfId="15134"/>
    <cellStyle name="Input 19 2 2" xfId="29043"/>
    <cellStyle name="Input 19 3" xfId="27643"/>
    <cellStyle name="Input 2" xfId="1600"/>
    <cellStyle name="Input 2 2" xfId="1601"/>
    <cellStyle name="Input 2 2 2" xfId="1602"/>
    <cellStyle name="Input 2 2 3" xfId="1603"/>
    <cellStyle name="Input 2 3" xfId="1604"/>
    <cellStyle name="Input 2 3 2" xfId="15135"/>
    <cellStyle name="Input 2 3 2 2" xfId="29044"/>
    <cellStyle name="Input 2 3 3" xfId="27644"/>
    <cellStyle name="Input 2 4" xfId="1605"/>
    <cellStyle name="Input 2 4 2" xfId="15136"/>
    <cellStyle name="Input 2 4 2 2" xfId="29045"/>
    <cellStyle name="Input 2 5" xfId="15137"/>
    <cellStyle name="Input 2 5 2" xfId="29046"/>
    <cellStyle name="Input 20" xfId="1606"/>
    <cellStyle name="Input 20 2" xfId="15138"/>
    <cellStyle name="Input 20 2 2" xfId="29047"/>
    <cellStyle name="Input 20 3" xfId="27645"/>
    <cellStyle name="Input 21" xfId="1607"/>
    <cellStyle name="Input 21 2" xfId="15139"/>
    <cellStyle name="Input 21 2 2" xfId="29048"/>
    <cellStyle name="Input 21 3" xfId="27646"/>
    <cellStyle name="Input 22" xfId="1608"/>
    <cellStyle name="Input 22 2" xfId="15140"/>
    <cellStyle name="Input 22 2 2" xfId="29049"/>
    <cellStyle name="Input 22 3" xfId="27647"/>
    <cellStyle name="Input 23" xfId="1609"/>
    <cellStyle name="Input 23 2" xfId="27648"/>
    <cellStyle name="Input 24" xfId="1610"/>
    <cellStyle name="Input 24 2" xfId="27649"/>
    <cellStyle name="Input 25" xfId="1611"/>
    <cellStyle name="Input 25 2" xfId="27650"/>
    <cellStyle name="Input 26" xfId="1612"/>
    <cellStyle name="Input 26 2" xfId="27651"/>
    <cellStyle name="Input 27" xfId="1613"/>
    <cellStyle name="Input 27 2" xfId="27652"/>
    <cellStyle name="Input 28" xfId="1614"/>
    <cellStyle name="Input 28 2" xfId="27653"/>
    <cellStyle name="Input 29" xfId="1615"/>
    <cellStyle name="Input 29 2" xfId="27654"/>
    <cellStyle name="Input 3" xfId="1616"/>
    <cellStyle name="Input 3 2" xfId="1617"/>
    <cellStyle name="Input 3 2 2" xfId="15141"/>
    <cellStyle name="Input 3 2 2 2" xfId="29050"/>
    <cellStyle name="Input 3 3" xfId="1618"/>
    <cellStyle name="Input 3 3 2" xfId="15142"/>
    <cellStyle name="Input 3 3 2 2" xfId="29051"/>
    <cellStyle name="Input 3 4" xfId="15143"/>
    <cellStyle name="Input 3 4 2" xfId="15144"/>
    <cellStyle name="Input 3 4 2 2" xfId="29053"/>
    <cellStyle name="Input 3 4 3" xfId="29052"/>
    <cellStyle name="Input 3 5" xfId="15145"/>
    <cellStyle name="Input 3 5 2" xfId="29054"/>
    <cellStyle name="Input 30" xfId="1619"/>
    <cellStyle name="Input 30 2" xfId="27655"/>
    <cellStyle name="Input 31" xfId="1620"/>
    <cellStyle name="Input 31 2" xfId="27656"/>
    <cellStyle name="Input 32" xfId="1621"/>
    <cellStyle name="Input 32 2" xfId="27657"/>
    <cellStyle name="Input 33" xfId="1622"/>
    <cellStyle name="Input 33 2" xfId="27658"/>
    <cellStyle name="Input 34" xfId="1623"/>
    <cellStyle name="Input 34 2" xfId="27659"/>
    <cellStyle name="Input 35" xfId="1624"/>
    <cellStyle name="Input 35 2" xfId="27660"/>
    <cellStyle name="Input 36" xfId="1625"/>
    <cellStyle name="Input 36 2" xfId="27661"/>
    <cellStyle name="Input 37" xfId="1626"/>
    <cellStyle name="Input 37 2" xfId="27662"/>
    <cellStyle name="Input 38" xfId="1627"/>
    <cellStyle name="Input 38 2" xfId="27663"/>
    <cellStyle name="Input 39" xfId="27630"/>
    <cellStyle name="Input 4" xfId="1628"/>
    <cellStyle name="Input 4 2" xfId="1629"/>
    <cellStyle name="Input 4 2 2" xfId="15146"/>
    <cellStyle name="Input 4 2 2 2" xfId="29055"/>
    <cellStyle name="Input 4 3" xfId="1630"/>
    <cellStyle name="Input 4 3 2" xfId="15147"/>
    <cellStyle name="Input 4 3 2 2" xfId="29056"/>
    <cellStyle name="Input 4 4" xfId="15148"/>
    <cellStyle name="Input 4 4 2" xfId="15149"/>
    <cellStyle name="Input 4 4 2 2" xfId="29058"/>
    <cellStyle name="Input 4 4 3" xfId="29057"/>
    <cellStyle name="Input 4 5" xfId="15150"/>
    <cellStyle name="Input 4 5 2" xfId="29059"/>
    <cellStyle name="Input 5" xfId="1631"/>
    <cellStyle name="Input 5 2" xfId="15151"/>
    <cellStyle name="Input 5 2 2" xfId="15152"/>
    <cellStyle name="Input 5 2 2 2" xfId="29061"/>
    <cellStyle name="Input 5 2 3" xfId="29060"/>
    <cellStyle name="Input 5 3" xfId="15153"/>
    <cellStyle name="Input 5 3 2" xfId="15154"/>
    <cellStyle name="Input 5 3 2 2" xfId="29063"/>
    <cellStyle name="Input 5 3 3" xfId="29062"/>
    <cellStyle name="Input 5 4" xfId="15155"/>
    <cellStyle name="Input 5 4 2" xfId="15156"/>
    <cellStyle name="Input 5 4 2 2" xfId="29065"/>
    <cellStyle name="Input 5 4 3" xfId="29064"/>
    <cellStyle name="Input 5 5" xfId="15157"/>
    <cellStyle name="Input 5 5 2" xfId="29066"/>
    <cellStyle name="Input 6" xfId="1632"/>
    <cellStyle name="Input 6 2" xfId="1633"/>
    <cellStyle name="Input 6 2 2" xfId="15158"/>
    <cellStyle name="Input 6 2 2 2" xfId="29067"/>
    <cellStyle name="Input 6 3" xfId="15159"/>
    <cellStyle name="Input 6 3 2" xfId="15160"/>
    <cellStyle name="Input 6 3 2 2" xfId="29069"/>
    <cellStyle name="Input 6 3 3" xfId="29068"/>
    <cellStyle name="Input 6 4" xfId="15161"/>
    <cellStyle name="Input 6 4 2" xfId="15162"/>
    <cellStyle name="Input 6 4 2 2" xfId="29071"/>
    <cellStyle name="Input 6 4 3" xfId="29070"/>
    <cellStyle name="Input 6 5" xfId="15163"/>
    <cellStyle name="Input 6 5 2" xfId="29072"/>
    <cellStyle name="Input 6 6" xfId="27664"/>
    <cellStyle name="Input 7" xfId="1634"/>
    <cellStyle name="Input 7 2" xfId="15164"/>
    <cellStyle name="Input 7 2 2" xfId="15165"/>
    <cellStyle name="Input 7 2 2 2" xfId="29074"/>
    <cellStyle name="Input 7 2 3" xfId="29073"/>
    <cellStyle name="Input 7 3" xfId="15166"/>
    <cellStyle name="Input 7 3 2" xfId="15167"/>
    <cellStyle name="Input 7 3 2 2" xfId="29076"/>
    <cellStyle name="Input 7 3 3" xfId="29075"/>
    <cellStyle name="Input 7 4" xfId="15168"/>
    <cellStyle name="Input 7 4 2" xfId="15169"/>
    <cellStyle name="Input 7 4 2 2" xfId="29078"/>
    <cellStyle name="Input 7 4 3" xfId="29077"/>
    <cellStyle name="Input 7 5" xfId="15170"/>
    <cellStyle name="Input 7 5 2" xfId="29079"/>
    <cellStyle name="Input 7 6" xfId="27665"/>
    <cellStyle name="Input 8" xfId="1635"/>
    <cellStyle name="Input 8 2" xfId="15171"/>
    <cellStyle name="Input 8 2 2" xfId="15172"/>
    <cellStyle name="Input 8 2 2 2" xfId="29081"/>
    <cellStyle name="Input 8 2 3" xfId="29080"/>
    <cellStyle name="Input 8 3" xfId="15173"/>
    <cellStyle name="Input 8 3 2" xfId="15174"/>
    <cellStyle name="Input 8 3 2 2" xfId="29083"/>
    <cellStyle name="Input 8 3 3" xfId="29082"/>
    <cellStyle name="Input 8 4" xfId="15175"/>
    <cellStyle name="Input 8 4 2" xfId="15176"/>
    <cellStyle name="Input 8 4 2 2" xfId="29085"/>
    <cellStyle name="Input 8 4 3" xfId="29084"/>
    <cellStyle name="Input 8 5" xfId="15177"/>
    <cellStyle name="Input 8 5 2" xfId="29086"/>
    <cellStyle name="Input 8 6" xfId="27666"/>
    <cellStyle name="Input 9" xfId="1636"/>
    <cellStyle name="Input 9 2" xfId="15178"/>
    <cellStyle name="Input 9 2 2" xfId="15179"/>
    <cellStyle name="Input 9 2 2 2" xfId="29088"/>
    <cellStyle name="Input 9 2 3" xfId="29087"/>
    <cellStyle name="Input 9 3" xfId="15180"/>
    <cellStyle name="Input 9 3 2" xfId="15181"/>
    <cellStyle name="Input 9 3 2 2" xfId="29090"/>
    <cellStyle name="Input 9 3 3" xfId="29089"/>
    <cellStyle name="Input 9 4" xfId="15182"/>
    <cellStyle name="Input 9 4 2" xfId="15183"/>
    <cellStyle name="Input 9 4 2 2" xfId="29092"/>
    <cellStyle name="Input 9 4 3" xfId="29091"/>
    <cellStyle name="Input 9 5" xfId="15184"/>
    <cellStyle name="Input 9 5 2" xfId="29093"/>
    <cellStyle name="Input 9 6" xfId="27667"/>
    <cellStyle name="Input Cells" xfId="15185"/>
    <cellStyle name="Input_(Pool A,B)_110125" xfId="15186"/>
    <cellStyle name="InputBlueFont" xfId="1637"/>
    <cellStyle name="InputBlueFont 2" xfId="15187"/>
    <cellStyle name="InputBlueFont 3" xfId="15188"/>
    <cellStyle name="KTY" xfId="1638"/>
    <cellStyle name="KWE標準" xfId="15189"/>
    <cellStyle name="left" xfId="1639"/>
    <cellStyle name="left 2" xfId="15190"/>
    <cellStyle name="left 3" xfId="15191"/>
    <cellStyle name="les" xfId="15192"/>
    <cellStyle name="LineItemPrompt" xfId="15193"/>
    <cellStyle name="LineItemValue" xfId="15194"/>
    <cellStyle name="Link Currency (0)" xfId="15195"/>
    <cellStyle name="Link Currency (2)" xfId="15196"/>
    <cellStyle name="Link Units (0)" xfId="15197"/>
    <cellStyle name="Link Units (1)" xfId="15198"/>
    <cellStyle name="Link Units (2)" xfId="15199"/>
    <cellStyle name="Linked Cell" xfId="1640"/>
    <cellStyle name="Linked Cell 2" xfId="1641"/>
    <cellStyle name="Linked Cell 2 2" xfId="1642"/>
    <cellStyle name="Linked Cell 2 2 2" xfId="1643"/>
    <cellStyle name="Linked Cell 2 2 3" xfId="1644"/>
    <cellStyle name="Linked Cell 2 3" xfId="1645"/>
    <cellStyle name="Linked Cell 2 4" xfId="1646"/>
    <cellStyle name="Linked Cell 3" xfId="1647"/>
    <cellStyle name="Linked Cell 4" xfId="1648"/>
    <cellStyle name="Linked Cell 5" xfId="1649"/>
    <cellStyle name="Linked Cell 6" xfId="1650"/>
    <cellStyle name="Linked Cell_2011-3차 매각 작업(실사팀 송부용)_0712" xfId="15200"/>
    <cellStyle name="Linked Cells" xfId="15201"/>
    <cellStyle name="LTM Cell Column Heading" xfId="15202"/>
    <cellStyle name="LTM Cell Column Heading 2" xfId="15203"/>
    <cellStyle name="LTM Cell Column Heading 2 2" xfId="15204"/>
    <cellStyle name="LTM Cell Column Heading 2 3" xfId="15205"/>
    <cellStyle name="LTM Cell Column Heading 3" xfId="15206"/>
    <cellStyle name="LTM Cell Column Heading 4" xfId="15207"/>
    <cellStyle name="MenuHeading" xfId="1651"/>
    <cellStyle name="MGT-HEAD" xfId="15208"/>
    <cellStyle name="MGTHEAD1" xfId="15209"/>
    <cellStyle name="MGT-RUNN" xfId="15210"/>
    <cellStyle name="MGTTOTAL" xfId="15211"/>
    <cellStyle name="MGT-TXT" xfId="15212"/>
    <cellStyle name="Migliaia (0)_COUT" xfId="15213"/>
    <cellStyle name="Migliaia_COUT" xfId="15214"/>
    <cellStyle name="Millares [0]_2AV_M_M " xfId="1652"/>
    <cellStyle name="Millares_2AV_M_M " xfId="1653"/>
    <cellStyle name="Milliers [0]" xfId="15215"/>
    <cellStyle name="Milliers_A-BER-22" xfId="15216"/>
    <cellStyle name="MLHeaderSection" xfId="1654"/>
    <cellStyle name="MLHeaderSection 2" xfId="15217"/>
    <cellStyle name="MLHeaderSection 2 2" xfId="15218"/>
    <cellStyle name="MLHeaderSection 3" xfId="15219"/>
    <cellStyle name="MLHeaderSection 3 2" xfId="15220"/>
    <cellStyle name="MLHeaderSection 4" xfId="15221"/>
    <cellStyle name="MLHeaderSection 5" xfId="27668"/>
    <cellStyle name="mma_CASH &amp; DSO" xfId="15222"/>
    <cellStyle name="Model" xfId="1655"/>
    <cellStyle name="Model 10" xfId="15223"/>
    <cellStyle name="Model 10 2" xfId="15224"/>
    <cellStyle name="Model 11" xfId="15225"/>
    <cellStyle name="Model 11 2" xfId="15226"/>
    <cellStyle name="Model 12" xfId="15227"/>
    <cellStyle name="Model 12 2" xfId="15228"/>
    <cellStyle name="Model 13" xfId="15229"/>
    <cellStyle name="Model 13 2" xfId="15230"/>
    <cellStyle name="Model 14" xfId="15231"/>
    <cellStyle name="Model 14 2" xfId="15232"/>
    <cellStyle name="Model 15" xfId="15233"/>
    <cellStyle name="Model 15 2" xfId="15234"/>
    <cellStyle name="Model 15 2 2" xfId="15235"/>
    <cellStyle name="Model 15 3" xfId="15236"/>
    <cellStyle name="Model 15 3 2" xfId="15237"/>
    <cellStyle name="Model 15 4" xfId="15238"/>
    <cellStyle name="Model 15 4 2" xfId="15239"/>
    <cellStyle name="Model 15 5" xfId="15240"/>
    <cellStyle name="Model 16" xfId="15241"/>
    <cellStyle name="Model 16 2" xfId="15242"/>
    <cellStyle name="Model 16 2 2" xfId="15243"/>
    <cellStyle name="Model 16 3" xfId="15244"/>
    <cellStyle name="Model 16 3 2" xfId="15245"/>
    <cellStyle name="Model 16 4" xfId="15246"/>
    <cellStyle name="Model 16 4 2" xfId="15247"/>
    <cellStyle name="Model 16 5" xfId="15248"/>
    <cellStyle name="Model 17" xfId="15249"/>
    <cellStyle name="Model 17 2" xfId="15250"/>
    <cellStyle name="Model 17 2 2" xfId="15251"/>
    <cellStyle name="Model 17 3" xfId="15252"/>
    <cellStyle name="Model 17 3 2" xfId="15253"/>
    <cellStyle name="Model 17 4" xfId="15254"/>
    <cellStyle name="Model 17 4 2" xfId="15255"/>
    <cellStyle name="Model 17 5" xfId="15256"/>
    <cellStyle name="Model 18" xfId="15257"/>
    <cellStyle name="Model 2" xfId="1656"/>
    <cellStyle name="Model 2 2" xfId="15258"/>
    <cellStyle name="Model 2 2 2" xfId="15259"/>
    <cellStyle name="Model 2 3" xfId="15260"/>
    <cellStyle name="Model 2 3 2" xfId="15261"/>
    <cellStyle name="Model 2 4" xfId="15262"/>
    <cellStyle name="Model 2 4 2" xfId="15263"/>
    <cellStyle name="Model 2 5" xfId="15264"/>
    <cellStyle name="Model 3" xfId="15265"/>
    <cellStyle name="Model 3 2" xfId="15266"/>
    <cellStyle name="Model 4" xfId="15267"/>
    <cellStyle name="Model 4 2" xfId="15268"/>
    <cellStyle name="Model 5" xfId="15269"/>
    <cellStyle name="Model 5 2" xfId="15270"/>
    <cellStyle name="Model 6" xfId="15271"/>
    <cellStyle name="Model 6 2" xfId="15272"/>
    <cellStyle name="Model 7" xfId="15273"/>
    <cellStyle name="Model 7 2" xfId="15274"/>
    <cellStyle name="Model 8" xfId="15275"/>
    <cellStyle name="Model 8 2" xfId="15276"/>
    <cellStyle name="Model 9" xfId="15277"/>
    <cellStyle name="Model 9 2" xfId="15278"/>
    <cellStyle name="Mon?aire [0]_AR1194" xfId="15279"/>
    <cellStyle name="Mon?aire_AR1194" xfId="15280"/>
    <cellStyle name="Moneda [0]_2AV_M_M " xfId="1657"/>
    <cellStyle name="Moneda_2AV_M_M " xfId="1658"/>
    <cellStyle name="Monétaire [0]" xfId="15281"/>
    <cellStyle name="Monetaire [0]_AR1194" xfId="15282"/>
    <cellStyle name="Monétaire [0]_CTC" xfId="15283"/>
    <cellStyle name="Monetaire [0]_DIRECTIONS" xfId="15284"/>
    <cellStyle name="Monétaire [0]_DIRECTIONS" xfId="15285"/>
    <cellStyle name="Monetaire [0]_Feuil1" xfId="15286"/>
    <cellStyle name="Monétaire [0]_Feuil1" xfId="15287"/>
    <cellStyle name="Monetaire [0]_Feuil1 (2)" xfId="15288"/>
    <cellStyle name="Monétaire [0]_Feuil1 (2)" xfId="15289"/>
    <cellStyle name="Monetaire [0]_INTERC12" xfId="15290"/>
    <cellStyle name="Monétaire [0]_liste principale 1998" xfId="15291"/>
    <cellStyle name="Monetaire [0]_PREPAID" xfId="15292"/>
    <cellStyle name="Monétaire [0]_SPNEW" xfId="15293"/>
    <cellStyle name="Multiple" xfId="1659"/>
    <cellStyle name="Multiple Cell Column Heading" xfId="15294"/>
    <cellStyle name="Multiple0" xfId="1660"/>
    <cellStyle name="navbar" xfId="1661"/>
    <cellStyle name="navbar 2" xfId="15295"/>
    <cellStyle name="navbar 2 2" xfId="15296"/>
    <cellStyle name="navbar 3" xfId="15297"/>
    <cellStyle name="navbar 3 2" xfId="15298"/>
    <cellStyle name="navbar 4" xfId="15299"/>
    <cellStyle name="Neutral" xfId="1662"/>
    <cellStyle name="Neutral 2" xfId="1663"/>
    <cellStyle name="Neutral 2 2" xfId="1664"/>
    <cellStyle name="Neutral 2 2 2" xfId="1665"/>
    <cellStyle name="Neutral 2 2 3" xfId="1666"/>
    <cellStyle name="Neutral 2 3" xfId="1667"/>
    <cellStyle name="Neutral 2 4" xfId="1668"/>
    <cellStyle name="Neutral 3" xfId="1669"/>
    <cellStyle name="Neutral 4" xfId="1670"/>
    <cellStyle name="Neutral 5" xfId="1671"/>
    <cellStyle name="Neutral 6" xfId="1672"/>
    <cellStyle name="no dec" xfId="1673"/>
    <cellStyle name="Normal" xfId="1674"/>
    <cellStyle name="Normal - Style1" xfId="1675"/>
    <cellStyle name="Normal - Style1 2" xfId="1676"/>
    <cellStyle name="Normal - Style2" xfId="1677"/>
    <cellStyle name="Normal - Style2 2" xfId="15300"/>
    <cellStyle name="Normal - Style2 3" xfId="15301"/>
    <cellStyle name="Normal - Style3" xfId="1678"/>
    <cellStyle name="Normal - Style3 2" xfId="15302"/>
    <cellStyle name="Normal - Style3 3" xfId="15303"/>
    <cellStyle name="Normal - Style4" xfId="1679"/>
    <cellStyle name="Normal - Style4 2" xfId="15304"/>
    <cellStyle name="Normal - Style4 3" xfId="15305"/>
    <cellStyle name="Normal - Style5" xfId="1680"/>
    <cellStyle name="Normal - Style5 2" xfId="15306"/>
    <cellStyle name="Normal - Style5 3" xfId="15307"/>
    <cellStyle name="Normal - Style6" xfId="1681"/>
    <cellStyle name="Normal - Style6 2" xfId="15308"/>
    <cellStyle name="Normal - Style6 3" xfId="15309"/>
    <cellStyle name="Normal - Style7" xfId="1682"/>
    <cellStyle name="Normal - Style7 2" xfId="15310"/>
    <cellStyle name="Normal - Style7 3" xfId="15311"/>
    <cellStyle name="Normal - Style8" xfId="1683"/>
    <cellStyle name="Normal - Style8 2" xfId="15312"/>
    <cellStyle name="Normal - Style8 3" xfId="15313"/>
    <cellStyle name="Normal 10" xfId="1684"/>
    <cellStyle name="Normal 10 2" xfId="1685"/>
    <cellStyle name="Normal 10 2 2" xfId="1686"/>
    <cellStyle name="Normal 10 2 2 2" xfId="1687"/>
    <cellStyle name="Normal 10 2 3" xfId="1688"/>
    <cellStyle name="Normal 10 3" xfId="1689"/>
    <cellStyle name="Normal 10 3 2" xfId="1690"/>
    <cellStyle name="Normal 10 4" xfId="1691"/>
    <cellStyle name="Normal 100" xfId="1692"/>
    <cellStyle name="Normal 100 2" xfId="1693"/>
    <cellStyle name="Normal 100 2 2" xfId="1694"/>
    <cellStyle name="Normal 100 2 2 2" xfId="1695"/>
    <cellStyle name="Normal 100 2 3" xfId="1696"/>
    <cellStyle name="Normal 100 3" xfId="1697"/>
    <cellStyle name="Normal 100 3 2" xfId="1698"/>
    <cellStyle name="Normal 100 4" xfId="1699"/>
    <cellStyle name="Normal 101" xfId="1700"/>
    <cellStyle name="Normal 101 2" xfId="1701"/>
    <cellStyle name="Normal 101 2 2" xfId="1702"/>
    <cellStyle name="Normal 101 2 2 2" xfId="1703"/>
    <cellStyle name="Normal 101 2 3" xfId="1704"/>
    <cellStyle name="Normal 101 3" xfId="1705"/>
    <cellStyle name="Normal 101 3 2" xfId="1706"/>
    <cellStyle name="Normal 101 4" xfId="1707"/>
    <cellStyle name="Normal 102" xfId="1708"/>
    <cellStyle name="Normal 102 2" xfId="1709"/>
    <cellStyle name="Normal 102 2 2" xfId="1710"/>
    <cellStyle name="Normal 102 3" xfId="1711"/>
    <cellStyle name="Normal 103" xfId="1712"/>
    <cellStyle name="Normal 103 2" xfId="1713"/>
    <cellStyle name="Normal 103 2 2" xfId="1714"/>
    <cellStyle name="Normal 103 2 2 2" xfId="1715"/>
    <cellStyle name="Normal 103 2 3" xfId="1716"/>
    <cellStyle name="Normal 103 3" xfId="1717"/>
    <cellStyle name="Normal 103 3 2" xfId="1718"/>
    <cellStyle name="Normal 103 4" xfId="1719"/>
    <cellStyle name="Normal 104" xfId="1720"/>
    <cellStyle name="Normal 104 2" xfId="1721"/>
    <cellStyle name="Normal 104 2 2" xfId="1722"/>
    <cellStyle name="Normal 104 2 2 2" xfId="1723"/>
    <cellStyle name="Normal 104 2 3" xfId="1724"/>
    <cellStyle name="Normal 104 3" xfId="1725"/>
    <cellStyle name="Normal 104 3 2" xfId="1726"/>
    <cellStyle name="Normal 104 4" xfId="1727"/>
    <cellStyle name="Normal 105" xfId="1728"/>
    <cellStyle name="Normal 105 2" xfId="1729"/>
    <cellStyle name="Normal 105 2 2" xfId="1730"/>
    <cellStyle name="Normal 105 3" xfId="1731"/>
    <cellStyle name="Normal 106" xfId="1732"/>
    <cellStyle name="Normal 106 2" xfId="1733"/>
    <cellStyle name="Normal 106 2 2" xfId="1734"/>
    <cellStyle name="Normal 106 2 2 2" xfId="1735"/>
    <cellStyle name="Normal 106 2 3" xfId="1736"/>
    <cellStyle name="Normal 106 3" xfId="1737"/>
    <cellStyle name="Normal 106 3 2" xfId="1738"/>
    <cellStyle name="Normal 106 4" xfId="1739"/>
    <cellStyle name="Normal 107" xfId="1740"/>
    <cellStyle name="Normal 107 2" xfId="1741"/>
    <cellStyle name="Normal 107 2 2" xfId="1742"/>
    <cellStyle name="Normal 107 3" xfId="1743"/>
    <cellStyle name="Normal 108" xfId="1744"/>
    <cellStyle name="Normal 108 2" xfId="1745"/>
    <cellStyle name="Normal 108 2 2" xfId="1746"/>
    <cellStyle name="Normal 108 2 2 2" xfId="1747"/>
    <cellStyle name="Normal 108 2 3" xfId="1748"/>
    <cellStyle name="Normal 108 3" xfId="1749"/>
    <cellStyle name="Normal 108 3 2" xfId="1750"/>
    <cellStyle name="Normal 108 4" xfId="1751"/>
    <cellStyle name="Normal 109" xfId="1752"/>
    <cellStyle name="Normal 109 2" xfId="1753"/>
    <cellStyle name="Normal 109 2 2" xfId="1754"/>
    <cellStyle name="Normal 109 2 2 2" xfId="1755"/>
    <cellStyle name="Normal 109 2 3" xfId="1756"/>
    <cellStyle name="Normal 109 3" xfId="1757"/>
    <cellStyle name="Normal 109 3 2" xfId="1758"/>
    <cellStyle name="Normal 109 4" xfId="1759"/>
    <cellStyle name="Normal 11" xfId="1760"/>
    <cellStyle name="Normal 110" xfId="1761"/>
    <cellStyle name="Normal 110 2" xfId="1762"/>
    <cellStyle name="Normal 110 2 2" xfId="1763"/>
    <cellStyle name="Normal 110 2 2 2" xfId="1764"/>
    <cellStyle name="Normal 110 2 3" xfId="1765"/>
    <cellStyle name="Normal 110 3" xfId="1766"/>
    <cellStyle name="Normal 110 3 2" xfId="1767"/>
    <cellStyle name="Normal 110 4" xfId="1768"/>
    <cellStyle name="Normal 111" xfId="1769"/>
    <cellStyle name="Normal 111 2" xfId="1770"/>
    <cellStyle name="Normal 111 3" xfId="1771"/>
    <cellStyle name="Normal 111 4" xfId="1772"/>
    <cellStyle name="Normal 112" xfId="1773"/>
    <cellStyle name="Normal 112 2" xfId="1774"/>
    <cellStyle name="Normal 112 2 2" xfId="1775"/>
    <cellStyle name="Normal 112 2 2 2" xfId="1776"/>
    <cellStyle name="Normal 112 2 3" xfId="1777"/>
    <cellStyle name="Normal 112 3" xfId="1778"/>
    <cellStyle name="Normal 112 3 2" xfId="1779"/>
    <cellStyle name="Normal 112 4" xfId="1780"/>
    <cellStyle name="Normal 113" xfId="1781"/>
    <cellStyle name="Normal 113 2" xfId="1782"/>
    <cellStyle name="Normal 113 2 2" xfId="1783"/>
    <cellStyle name="Normal 113 2 2 2" xfId="1784"/>
    <cellStyle name="Normal 113 2 3" xfId="1785"/>
    <cellStyle name="Normal 113 3" xfId="1786"/>
    <cellStyle name="Normal 113 3 2" xfId="1787"/>
    <cellStyle name="Normal 113 4" xfId="1788"/>
    <cellStyle name="Normal 114" xfId="1789"/>
    <cellStyle name="Normal 114 2" xfId="1790"/>
    <cellStyle name="Normal 114 2 2" xfId="1791"/>
    <cellStyle name="Normal 114 3" xfId="1792"/>
    <cellStyle name="Normal 115" xfId="1793"/>
    <cellStyle name="Normal 115 2" xfId="1794"/>
    <cellStyle name="Normal 115 2 2" xfId="1795"/>
    <cellStyle name="Normal 115 2 2 2" xfId="1796"/>
    <cellStyle name="Normal 115 2 3" xfId="1797"/>
    <cellStyle name="Normal 115 3" xfId="1798"/>
    <cellStyle name="Normal 115 3 2" xfId="1799"/>
    <cellStyle name="Normal 115 4" xfId="1800"/>
    <cellStyle name="Normal 116" xfId="1801"/>
    <cellStyle name="Normal 116 2" xfId="1802"/>
    <cellStyle name="Normal 116 2 2" xfId="1803"/>
    <cellStyle name="Normal 116 2 3" xfId="1804"/>
    <cellStyle name="Normal 116 3" xfId="1805"/>
    <cellStyle name="Normal 116 4" xfId="1806"/>
    <cellStyle name="Normal 117" xfId="1807"/>
    <cellStyle name="Normal 117 2" xfId="1808"/>
    <cellStyle name="Normal 117 2 2" xfId="1809"/>
    <cellStyle name="Normal 117 2 2 2" xfId="1810"/>
    <cellStyle name="Normal 117 2 3" xfId="1811"/>
    <cellStyle name="Normal 117 3" xfId="1812"/>
    <cellStyle name="Normal 117 3 2" xfId="1813"/>
    <cellStyle name="Normal 117 4" xfId="1814"/>
    <cellStyle name="Normal 118" xfId="1815"/>
    <cellStyle name="Normal 118 2" xfId="1816"/>
    <cellStyle name="Normal 118 2 2" xfId="1817"/>
    <cellStyle name="Normal 118 2 2 2" xfId="1818"/>
    <cellStyle name="Normal 118 2 3" xfId="1819"/>
    <cellStyle name="Normal 118 3" xfId="1820"/>
    <cellStyle name="Normal 118 3 2" xfId="1821"/>
    <cellStyle name="Normal 118 4" xfId="1822"/>
    <cellStyle name="Normal 119" xfId="1823"/>
    <cellStyle name="Normal 119 2" xfId="1824"/>
    <cellStyle name="Normal 119 2 2" xfId="1825"/>
    <cellStyle name="Normal 119 2 2 2" xfId="1826"/>
    <cellStyle name="Normal 119 2 3" xfId="1827"/>
    <cellStyle name="Normal 119 3" xfId="1828"/>
    <cellStyle name="Normal 119 3 2" xfId="1829"/>
    <cellStyle name="Normal 119 4" xfId="1830"/>
    <cellStyle name="Normal 12" xfId="1831"/>
    <cellStyle name="Normal 12 2" xfId="1832"/>
    <cellStyle name="Normal 12 2 2" xfId="1833"/>
    <cellStyle name="Normal 12 2 2 2" xfId="1834"/>
    <cellStyle name="Normal 12 2 3" xfId="1835"/>
    <cellStyle name="Normal 12 3" xfId="1836"/>
    <cellStyle name="Normal 12 3 2" xfId="1837"/>
    <cellStyle name="Normal 12 4" xfId="1838"/>
    <cellStyle name="Normal 120" xfId="1839"/>
    <cellStyle name="Normal 120 2" xfId="1840"/>
    <cellStyle name="Normal 120 2 2" xfId="1841"/>
    <cellStyle name="Normal 120 2 3" xfId="1842"/>
    <cellStyle name="Normal 120 3" xfId="1843"/>
    <cellStyle name="Normal 120 4" xfId="1844"/>
    <cellStyle name="Normal 121" xfId="1845"/>
    <cellStyle name="Normal 121 2" xfId="1846"/>
    <cellStyle name="Normal 121 2 2" xfId="1847"/>
    <cellStyle name="Normal 121 2 3" xfId="1848"/>
    <cellStyle name="Normal 121 3" xfId="1849"/>
    <cellStyle name="Normal 121 4" xfId="1850"/>
    <cellStyle name="Normal 122" xfId="1851"/>
    <cellStyle name="Normal 122 2" xfId="1852"/>
    <cellStyle name="Normal 122 2 2" xfId="1853"/>
    <cellStyle name="Normal 122 2 2 2" xfId="1854"/>
    <cellStyle name="Normal 122 2 3" xfId="1855"/>
    <cellStyle name="Normal 122 3" xfId="1856"/>
    <cellStyle name="Normal 122 3 2" xfId="1857"/>
    <cellStyle name="Normal 122 4" xfId="1858"/>
    <cellStyle name="Normal 123" xfId="1859"/>
    <cellStyle name="Normal 123 2" xfId="1860"/>
    <cellStyle name="Normal 123 2 2" xfId="1861"/>
    <cellStyle name="Normal 123 2 2 2" xfId="1862"/>
    <cellStyle name="Normal 123 2 3" xfId="1863"/>
    <cellStyle name="Normal 123 3" xfId="1864"/>
    <cellStyle name="Normal 123 3 2" xfId="1865"/>
    <cellStyle name="Normal 123 4" xfId="1866"/>
    <cellStyle name="Normal 124" xfId="1867"/>
    <cellStyle name="Normal 124 2" xfId="1868"/>
    <cellStyle name="Normal 124 2 2" xfId="1869"/>
    <cellStyle name="Normal 124 2 3" xfId="1870"/>
    <cellStyle name="Normal 124 3" xfId="1871"/>
    <cellStyle name="Normal 124 4" xfId="1872"/>
    <cellStyle name="Normal 124 5" xfId="1873"/>
    <cellStyle name="Normal 125" xfId="1874"/>
    <cellStyle name="Normal 125 2" xfId="1875"/>
    <cellStyle name="Normal 125 2 2" xfId="1876"/>
    <cellStyle name="Normal 125 2 2 2" xfId="1877"/>
    <cellStyle name="Normal 125 2 3" xfId="1878"/>
    <cellStyle name="Normal 125 3" xfId="1879"/>
    <cellStyle name="Normal 125 3 2" xfId="1880"/>
    <cellStyle name="Normal 125 4" xfId="1881"/>
    <cellStyle name="Normal 126" xfId="1882"/>
    <cellStyle name="Normal 126 2" xfId="1883"/>
    <cellStyle name="Normal 126 2 2" xfId="1884"/>
    <cellStyle name="Normal 126 2 2 2" xfId="1885"/>
    <cellStyle name="Normal 126 2 3" xfId="1886"/>
    <cellStyle name="Normal 126 3" xfId="1887"/>
    <cellStyle name="Normal 126 3 2" xfId="1888"/>
    <cellStyle name="Normal 126 4" xfId="1889"/>
    <cellStyle name="Normal 127" xfId="1890"/>
    <cellStyle name="Normal 127 2" xfId="1891"/>
    <cellStyle name="Normal 127 2 2" xfId="1892"/>
    <cellStyle name="Normal 127 2 3" xfId="1893"/>
    <cellStyle name="Normal 127 3" xfId="1894"/>
    <cellStyle name="Normal 127 4" xfId="1895"/>
    <cellStyle name="Normal 127 5" xfId="1896"/>
    <cellStyle name="Normal 128" xfId="1897"/>
    <cellStyle name="Normal 128 2" xfId="1898"/>
    <cellStyle name="Normal 128 2 2" xfId="1899"/>
    <cellStyle name="Normal 128 2 2 2" xfId="1900"/>
    <cellStyle name="Normal 128 2 3" xfId="1901"/>
    <cellStyle name="Normal 128 3" xfId="1902"/>
    <cellStyle name="Normal 128 3 2" xfId="1903"/>
    <cellStyle name="Normal 128 4" xfId="1904"/>
    <cellStyle name="Normal 129" xfId="1905"/>
    <cellStyle name="Normal 129 2" xfId="1906"/>
    <cellStyle name="Normal 129 2 2" xfId="1907"/>
    <cellStyle name="Normal 129 2 2 2" xfId="1908"/>
    <cellStyle name="Normal 129 2 3" xfId="1909"/>
    <cellStyle name="Normal 129 3" xfId="1910"/>
    <cellStyle name="Normal 129 3 2" xfId="1911"/>
    <cellStyle name="Normal 129 4" xfId="1912"/>
    <cellStyle name="Normal 13" xfId="1913"/>
    <cellStyle name="Normal 130" xfId="1914"/>
    <cellStyle name="Normal 130 2" xfId="1915"/>
    <cellStyle name="Normal 130 2 2" xfId="1916"/>
    <cellStyle name="Normal 130 2 2 2" xfId="1917"/>
    <cellStyle name="Normal 130 2 3" xfId="1918"/>
    <cellStyle name="Normal 130 3" xfId="1919"/>
    <cellStyle name="Normal 130 3 2" xfId="1920"/>
    <cellStyle name="Normal 130 4" xfId="1921"/>
    <cellStyle name="Normal 131" xfId="1922"/>
    <cellStyle name="Normal 131 2" xfId="1923"/>
    <cellStyle name="Normal 131 2 2" xfId="1924"/>
    <cellStyle name="Normal 131 2 2 2" xfId="1925"/>
    <cellStyle name="Normal 131 2 3" xfId="1926"/>
    <cellStyle name="Normal 131 3" xfId="1927"/>
    <cellStyle name="Normal 131 3 2" xfId="1928"/>
    <cellStyle name="Normal 131 4" xfId="1929"/>
    <cellStyle name="Normal 132" xfId="1930"/>
    <cellStyle name="Normal 132 2" xfId="1931"/>
    <cellStyle name="Normal 132 2 2" xfId="1932"/>
    <cellStyle name="Normal 132 2 2 2" xfId="1933"/>
    <cellStyle name="Normal 132 2 3" xfId="1934"/>
    <cellStyle name="Normal 132 3" xfId="1935"/>
    <cellStyle name="Normal 132 3 2" xfId="1936"/>
    <cellStyle name="Normal 132 4" xfId="1937"/>
    <cellStyle name="Normal 133" xfId="1938"/>
    <cellStyle name="Normal 133 2" xfId="1939"/>
    <cellStyle name="Normal 133 2 2" xfId="1940"/>
    <cellStyle name="Normal 133 2 2 2" xfId="1941"/>
    <cellStyle name="Normal 133 2 3" xfId="1942"/>
    <cellStyle name="Normal 133 3" xfId="1943"/>
    <cellStyle name="Normal 133 3 2" xfId="1944"/>
    <cellStyle name="Normal 133 4" xfId="1945"/>
    <cellStyle name="Normal 134" xfId="1946"/>
    <cellStyle name="Normal 135" xfId="1947"/>
    <cellStyle name="Normal 135 2" xfId="1948"/>
    <cellStyle name="Normal 135 2 2" xfId="1949"/>
    <cellStyle name="Normal 135 2 2 2" xfId="1950"/>
    <cellStyle name="Normal 135 2 3" xfId="1951"/>
    <cellStyle name="Normal 135 3" xfId="1952"/>
    <cellStyle name="Normal 135 3 2" xfId="1953"/>
    <cellStyle name="Normal 135 4" xfId="1954"/>
    <cellStyle name="Normal 136" xfId="1955"/>
    <cellStyle name="Normal 136 2" xfId="1956"/>
    <cellStyle name="Normal 136 2 2" xfId="1957"/>
    <cellStyle name="Normal 136 2 2 2" xfId="1958"/>
    <cellStyle name="Normal 136 2 3" xfId="1959"/>
    <cellStyle name="Normal 136 3" xfId="1960"/>
    <cellStyle name="Normal 136 3 2" xfId="1961"/>
    <cellStyle name="Normal 136 4" xfId="1962"/>
    <cellStyle name="Normal 137" xfId="1963"/>
    <cellStyle name="Normal 138" xfId="1964"/>
    <cellStyle name="Normal 138 2" xfId="1965"/>
    <cellStyle name="Normal 138 2 2" xfId="1966"/>
    <cellStyle name="Normal 138 2 2 2" xfId="1967"/>
    <cellStyle name="Normal 138 2 3" xfId="1968"/>
    <cellStyle name="Normal 138 3" xfId="1969"/>
    <cellStyle name="Normal 138 3 2" xfId="1970"/>
    <cellStyle name="Normal 138 4" xfId="1971"/>
    <cellStyle name="Normal 139" xfId="1972"/>
    <cellStyle name="Normal 139 2" xfId="1973"/>
    <cellStyle name="Normal 139 2 2" xfId="1974"/>
    <cellStyle name="Normal 139 2 2 2" xfId="1975"/>
    <cellStyle name="Normal 139 2 3" xfId="1976"/>
    <cellStyle name="Normal 139 3" xfId="1977"/>
    <cellStyle name="Normal 139 3 2" xfId="1978"/>
    <cellStyle name="Normal 139 4" xfId="1979"/>
    <cellStyle name="Normal 14" xfId="1980"/>
    <cellStyle name="Normal 14 2" xfId="1981"/>
    <cellStyle name="Normal 14 2 2" xfId="1982"/>
    <cellStyle name="Normal 14 2 2 2" xfId="1983"/>
    <cellStyle name="Normal 14 2 3" xfId="1984"/>
    <cellStyle name="Normal 14 3" xfId="1985"/>
    <cellStyle name="Normal 14 3 2" xfId="1986"/>
    <cellStyle name="Normal 14 4" xfId="1987"/>
    <cellStyle name="Normal 140" xfId="1988"/>
    <cellStyle name="Normal 140 2" xfId="1989"/>
    <cellStyle name="Normal 140 2 2" xfId="1990"/>
    <cellStyle name="Normal 140 2 2 2" xfId="1991"/>
    <cellStyle name="Normal 140 2 3" xfId="1992"/>
    <cellStyle name="Normal 140 3" xfId="1993"/>
    <cellStyle name="Normal 140 3 2" xfId="1994"/>
    <cellStyle name="Normal 140 4" xfId="1995"/>
    <cellStyle name="Normal 141" xfId="1996"/>
    <cellStyle name="Normal 141 2" xfId="1997"/>
    <cellStyle name="Normal 141 2 2" xfId="1998"/>
    <cellStyle name="Normal 141 2 2 2" xfId="1999"/>
    <cellStyle name="Normal 141 2 3" xfId="2000"/>
    <cellStyle name="Normal 141 3" xfId="2001"/>
    <cellStyle name="Normal 141 3 2" xfId="2002"/>
    <cellStyle name="Normal 141 4" xfId="2003"/>
    <cellStyle name="Normal 142" xfId="2004"/>
    <cellStyle name="Normal 142 2" xfId="2005"/>
    <cellStyle name="Normal 142 2 2" xfId="2006"/>
    <cellStyle name="Normal 142 2 2 2" xfId="2007"/>
    <cellStyle name="Normal 142 2 3" xfId="2008"/>
    <cellStyle name="Normal 142 3" xfId="2009"/>
    <cellStyle name="Normal 142 3 2" xfId="2010"/>
    <cellStyle name="Normal 142 4" xfId="2011"/>
    <cellStyle name="Normal 143" xfId="2012"/>
    <cellStyle name="Normal 144" xfId="2013"/>
    <cellStyle name="Normal 144 2" xfId="2014"/>
    <cellStyle name="Normal 144 2 2" xfId="2015"/>
    <cellStyle name="Normal 144 2 2 2" xfId="2016"/>
    <cellStyle name="Normal 144 2 3" xfId="2017"/>
    <cellStyle name="Normal 144 3" xfId="2018"/>
    <cellStyle name="Normal 144 3 2" xfId="2019"/>
    <cellStyle name="Normal 144 4" xfId="2020"/>
    <cellStyle name="Normal 145" xfId="2021"/>
    <cellStyle name="Normal 145 2" xfId="2022"/>
    <cellStyle name="Normal 145 2 2" xfId="2023"/>
    <cellStyle name="Normal 145 2 2 2" xfId="2024"/>
    <cellStyle name="Normal 145 2 3" xfId="2025"/>
    <cellStyle name="Normal 145 3" xfId="2026"/>
    <cellStyle name="Normal 145 3 2" xfId="2027"/>
    <cellStyle name="Normal 145 4" xfId="2028"/>
    <cellStyle name="Normal 146" xfId="2029"/>
    <cellStyle name="Normal 146 2" xfId="2030"/>
    <cellStyle name="Normal 146 2 2" xfId="2031"/>
    <cellStyle name="Normal 146 2 2 2" xfId="2032"/>
    <cellStyle name="Normal 146 2 3" xfId="2033"/>
    <cellStyle name="Normal 146 3" xfId="2034"/>
    <cellStyle name="Normal 146 3 2" xfId="2035"/>
    <cellStyle name="Normal 146 4" xfId="2036"/>
    <cellStyle name="Normal 147" xfId="2037"/>
    <cellStyle name="Normal 147 2" xfId="2038"/>
    <cellStyle name="Normal 147 2 2" xfId="2039"/>
    <cellStyle name="Normal 147 2 2 2" xfId="2040"/>
    <cellStyle name="Normal 147 2 3" xfId="2041"/>
    <cellStyle name="Normal 147 3" xfId="2042"/>
    <cellStyle name="Normal 147 3 2" xfId="2043"/>
    <cellStyle name="Normal 147 4" xfId="2044"/>
    <cellStyle name="Normal 148" xfId="2045"/>
    <cellStyle name="Normal 148 2" xfId="2046"/>
    <cellStyle name="Normal 148 2 2" xfId="2047"/>
    <cellStyle name="Normal 148 2 2 2" xfId="2048"/>
    <cellStyle name="Normal 148 2 3" xfId="2049"/>
    <cellStyle name="Normal 148 3" xfId="2050"/>
    <cellStyle name="Normal 148 3 2" xfId="2051"/>
    <cellStyle name="Normal 148 4" xfId="2052"/>
    <cellStyle name="Normal 149" xfId="2053"/>
    <cellStyle name="Normal 149 2" xfId="2054"/>
    <cellStyle name="Normal 149 2 2" xfId="2055"/>
    <cellStyle name="Normal 149 2 2 2" xfId="2056"/>
    <cellStyle name="Normal 149 2 3" xfId="2057"/>
    <cellStyle name="Normal 149 3" xfId="2058"/>
    <cellStyle name="Normal 149 3 2" xfId="2059"/>
    <cellStyle name="Normal 149 4" xfId="2060"/>
    <cellStyle name="Normal 15" xfId="2061"/>
    <cellStyle name="Normal 15 2" xfId="2062"/>
    <cellStyle name="Normal 15 2 2" xfId="2063"/>
    <cellStyle name="Normal 15 2 2 2" xfId="2064"/>
    <cellStyle name="Normal 15 2 3" xfId="2065"/>
    <cellStyle name="Normal 15 3" xfId="2066"/>
    <cellStyle name="Normal 15 3 2" xfId="2067"/>
    <cellStyle name="Normal 15 4" xfId="2068"/>
    <cellStyle name="Normal 150" xfId="2069"/>
    <cellStyle name="Normal 151" xfId="2070"/>
    <cellStyle name="Normal 151 2" xfId="2071"/>
    <cellStyle name="Normal 151 2 2" xfId="2072"/>
    <cellStyle name="Normal 151 2 2 2" xfId="2073"/>
    <cellStyle name="Normal 151 2 3" xfId="2074"/>
    <cellStyle name="Normal 151 3" xfId="2075"/>
    <cellStyle name="Normal 151 3 2" xfId="2076"/>
    <cellStyle name="Normal 151 4" xfId="2077"/>
    <cellStyle name="Normal 152" xfId="2078"/>
    <cellStyle name="Normal 152 2" xfId="2079"/>
    <cellStyle name="Normal 152 2 2" xfId="2080"/>
    <cellStyle name="Normal 152 2 2 2" xfId="2081"/>
    <cellStyle name="Normal 152 2 3" xfId="2082"/>
    <cellStyle name="Normal 152 3" xfId="2083"/>
    <cellStyle name="Normal 152 3 2" xfId="2084"/>
    <cellStyle name="Normal 152 4" xfId="2085"/>
    <cellStyle name="Normal 153" xfId="2086"/>
    <cellStyle name="Normal 153 2" xfId="2087"/>
    <cellStyle name="Normal 153 2 2" xfId="2088"/>
    <cellStyle name="Normal 153 2 2 2" xfId="2089"/>
    <cellStyle name="Normal 153 2 3" xfId="2090"/>
    <cellStyle name="Normal 153 3" xfId="2091"/>
    <cellStyle name="Normal 153 3 2" xfId="2092"/>
    <cellStyle name="Normal 153 4" xfId="2093"/>
    <cellStyle name="Normal 154" xfId="2094"/>
    <cellStyle name="Normal 154 2" xfId="2095"/>
    <cellStyle name="Normal 154 2 2" xfId="2096"/>
    <cellStyle name="Normal 154 2 2 2" xfId="2097"/>
    <cellStyle name="Normal 154 2 3" xfId="2098"/>
    <cellStyle name="Normal 154 3" xfId="2099"/>
    <cellStyle name="Normal 154 3 2" xfId="2100"/>
    <cellStyle name="Normal 154 4" xfId="2101"/>
    <cellStyle name="Normal 155" xfId="2102"/>
    <cellStyle name="Normal 155 2" xfId="2103"/>
    <cellStyle name="Normal 155 2 2" xfId="2104"/>
    <cellStyle name="Normal 155 2 2 2" xfId="2105"/>
    <cellStyle name="Normal 155 2 3" xfId="2106"/>
    <cellStyle name="Normal 155 3" xfId="2107"/>
    <cellStyle name="Normal 155 3 2" xfId="2108"/>
    <cellStyle name="Normal 155 4" xfId="2109"/>
    <cellStyle name="Normal 156" xfId="2110"/>
    <cellStyle name="Normal 156 2" xfId="2111"/>
    <cellStyle name="Normal 156 2 2" xfId="2112"/>
    <cellStyle name="Normal 156 2 2 2" xfId="2113"/>
    <cellStyle name="Normal 156 2 3" xfId="2114"/>
    <cellStyle name="Normal 156 3" xfId="2115"/>
    <cellStyle name="Normal 156 3 2" xfId="2116"/>
    <cellStyle name="Normal 156 4" xfId="2117"/>
    <cellStyle name="Normal 157" xfId="2118"/>
    <cellStyle name="Normal 157 2" xfId="2119"/>
    <cellStyle name="Normal 157 2 2" xfId="2120"/>
    <cellStyle name="Normal 157 2 2 2" xfId="2121"/>
    <cellStyle name="Normal 157 2 3" xfId="2122"/>
    <cellStyle name="Normal 157 3" xfId="2123"/>
    <cellStyle name="Normal 157 3 2" xfId="2124"/>
    <cellStyle name="Normal 157 4" xfId="2125"/>
    <cellStyle name="Normal 158" xfId="2126"/>
    <cellStyle name="Normal 158 2" xfId="2127"/>
    <cellStyle name="Normal 158 2 2" xfId="2128"/>
    <cellStyle name="Normal 158 2 2 2" xfId="2129"/>
    <cellStyle name="Normal 158 2 3" xfId="2130"/>
    <cellStyle name="Normal 158 3" xfId="2131"/>
    <cellStyle name="Normal 158 3 2" xfId="2132"/>
    <cellStyle name="Normal 158 4" xfId="2133"/>
    <cellStyle name="Normal 159" xfId="2134"/>
    <cellStyle name="Normal 159 2" xfId="2135"/>
    <cellStyle name="Normal 159 2 2" xfId="2136"/>
    <cellStyle name="Normal 159 2 2 2" xfId="2137"/>
    <cellStyle name="Normal 159 2 3" xfId="2138"/>
    <cellStyle name="Normal 159 3" xfId="2139"/>
    <cellStyle name="Normal 159 3 2" xfId="2140"/>
    <cellStyle name="Normal 159 4" xfId="2141"/>
    <cellStyle name="Normal 16" xfId="2142"/>
    <cellStyle name="Normal 16 2" xfId="2143"/>
    <cellStyle name="Normal 16 2 2" xfId="2144"/>
    <cellStyle name="Normal 16 2 2 2" xfId="2145"/>
    <cellStyle name="Normal 16 2 3" xfId="2146"/>
    <cellStyle name="Normal 16 3" xfId="2147"/>
    <cellStyle name="Normal 16 3 2" xfId="2148"/>
    <cellStyle name="Normal 16 4" xfId="2149"/>
    <cellStyle name="Normal 160" xfId="2150"/>
    <cellStyle name="Normal 160 2" xfId="2151"/>
    <cellStyle name="Normal 160 2 2" xfId="2152"/>
    <cellStyle name="Normal 160 2 2 2" xfId="2153"/>
    <cellStyle name="Normal 160 2 3" xfId="2154"/>
    <cellStyle name="Normal 160 3" xfId="2155"/>
    <cellStyle name="Normal 160 3 2" xfId="2156"/>
    <cellStyle name="Normal 160 4" xfId="2157"/>
    <cellStyle name="Normal 161" xfId="2158"/>
    <cellStyle name="Normal 161 2" xfId="2159"/>
    <cellStyle name="Normal 161 2 2" xfId="2160"/>
    <cellStyle name="Normal 161 2 2 2" xfId="2161"/>
    <cellStyle name="Normal 161 2 3" xfId="2162"/>
    <cellStyle name="Normal 161 3" xfId="2163"/>
    <cellStyle name="Normal 161 3 2" xfId="2164"/>
    <cellStyle name="Normal 161 4" xfId="2165"/>
    <cellStyle name="Normal 162" xfId="2166"/>
    <cellStyle name="Normal 162 2" xfId="2167"/>
    <cellStyle name="Normal 162 2 2" xfId="2168"/>
    <cellStyle name="Normal 162 2 3" xfId="2169"/>
    <cellStyle name="Normal 162 3" xfId="2170"/>
    <cellStyle name="Normal 162 4" xfId="2171"/>
    <cellStyle name="Normal 162 5" xfId="2172"/>
    <cellStyle name="Normal 163" xfId="2173"/>
    <cellStyle name="Normal 163 2" xfId="2174"/>
    <cellStyle name="Normal 163 2 2" xfId="2175"/>
    <cellStyle name="Normal 163 2 2 2" xfId="2176"/>
    <cellStyle name="Normal 163 2 3" xfId="2177"/>
    <cellStyle name="Normal 163 3" xfId="2178"/>
    <cellStyle name="Normal 163 3 2" xfId="2179"/>
    <cellStyle name="Normal 163 4" xfId="2180"/>
    <cellStyle name="Normal 164" xfId="2181"/>
    <cellStyle name="Normal 164 2" xfId="2182"/>
    <cellStyle name="Normal 164 2 2" xfId="2183"/>
    <cellStyle name="Normal 164 2 2 2" xfId="2184"/>
    <cellStyle name="Normal 164 2 2 3" xfId="2185"/>
    <cellStyle name="Normal 164 2 3" xfId="2186"/>
    <cellStyle name="Normal 164 2 4" xfId="2187"/>
    <cellStyle name="Normal 164 3" xfId="2188"/>
    <cellStyle name="Normal 164 4" xfId="2189"/>
    <cellStyle name="Normal 164 4 2" xfId="2190"/>
    <cellStyle name="Normal 164 4 3" xfId="2191"/>
    <cellStyle name="Normal 164 5" xfId="2192"/>
    <cellStyle name="Normal 164 6" xfId="2193"/>
    <cellStyle name="Normal 165" xfId="2194"/>
    <cellStyle name="Normal 165 2" xfId="2195"/>
    <cellStyle name="Normal 165 2 2" xfId="2196"/>
    <cellStyle name="Normal 165 2 2 2" xfId="2197"/>
    <cellStyle name="Normal 165 2 3" xfId="2198"/>
    <cellStyle name="Normal 165 3" xfId="2199"/>
    <cellStyle name="Normal 165 3 2" xfId="2200"/>
    <cellStyle name="Normal 165 4" xfId="2201"/>
    <cellStyle name="Normal 166" xfId="2202"/>
    <cellStyle name="Normal 166 2" xfId="2203"/>
    <cellStyle name="Normal 166 2 2" xfId="2204"/>
    <cellStyle name="Normal 166 2 2 2" xfId="2205"/>
    <cellStyle name="Normal 166 2 3" xfId="2206"/>
    <cellStyle name="Normal 166 3" xfId="2207"/>
    <cellStyle name="Normal 166 3 2" xfId="2208"/>
    <cellStyle name="Normal 166 4" xfId="2209"/>
    <cellStyle name="Normal 167" xfId="2210"/>
    <cellStyle name="Normal 167 2" xfId="2211"/>
    <cellStyle name="Normal 167 2 2" xfId="2212"/>
    <cellStyle name="Normal 167 2 2 2" xfId="2213"/>
    <cellStyle name="Normal 167 2 3" xfId="2214"/>
    <cellStyle name="Normal 167 3" xfId="2215"/>
    <cellStyle name="Normal 167 3 2" xfId="2216"/>
    <cellStyle name="Normal 167 4" xfId="2217"/>
    <cellStyle name="Normal 168" xfId="2218"/>
    <cellStyle name="Normal 168 2" xfId="2219"/>
    <cellStyle name="Normal 168 2 2" xfId="2220"/>
    <cellStyle name="Normal 168 2 2 2" xfId="2221"/>
    <cellStyle name="Normal 168 2 3" xfId="2222"/>
    <cellStyle name="Normal 168 3" xfId="2223"/>
    <cellStyle name="Normal 168 3 2" xfId="2224"/>
    <cellStyle name="Normal 168 4" xfId="2225"/>
    <cellStyle name="Normal 169" xfId="2226"/>
    <cellStyle name="Normal 169 2" xfId="2227"/>
    <cellStyle name="Normal 169 2 2" xfId="2228"/>
    <cellStyle name="Normal 169 2 2 2" xfId="2229"/>
    <cellStyle name="Normal 169 2 3" xfId="2230"/>
    <cellStyle name="Normal 169 3" xfId="2231"/>
    <cellStyle name="Normal 169 3 2" xfId="2232"/>
    <cellStyle name="Normal 169 4" xfId="2233"/>
    <cellStyle name="Normal 17" xfId="2234"/>
    <cellStyle name="Normal 17 2" xfId="2235"/>
    <cellStyle name="Normal 17 2 2" xfId="2236"/>
    <cellStyle name="Normal 17 2 2 2" xfId="2237"/>
    <cellStyle name="Normal 17 2 3" xfId="2238"/>
    <cellStyle name="Normal 17 3" xfId="2239"/>
    <cellStyle name="Normal 17 3 2" xfId="2240"/>
    <cellStyle name="Normal 17 4" xfId="2241"/>
    <cellStyle name="Normal 170" xfId="2242"/>
    <cellStyle name="Normal 170 2" xfId="2243"/>
    <cellStyle name="Normal 170 2 2" xfId="2244"/>
    <cellStyle name="Normal 170 2 2 2" xfId="2245"/>
    <cellStyle name="Normal 170 2 3" xfId="2246"/>
    <cellStyle name="Normal 170 3" xfId="2247"/>
    <cellStyle name="Normal 170 3 2" xfId="2248"/>
    <cellStyle name="Normal 170 4" xfId="2249"/>
    <cellStyle name="Normal 171" xfId="2250"/>
    <cellStyle name="Normal 172" xfId="2251"/>
    <cellStyle name="Normal 172 2" xfId="2252"/>
    <cellStyle name="Normal 172 2 2" xfId="2253"/>
    <cellStyle name="Normal 172 2 2 2" xfId="2254"/>
    <cellStyle name="Normal 172 2 3" xfId="2255"/>
    <cellStyle name="Normal 172 3" xfId="2256"/>
    <cellStyle name="Normal 172 3 2" xfId="2257"/>
    <cellStyle name="Normal 172 4" xfId="2258"/>
    <cellStyle name="Normal 173" xfId="2259"/>
    <cellStyle name="Normal 173 2" xfId="2260"/>
    <cellStyle name="Normal 173 2 2" xfId="2261"/>
    <cellStyle name="Normal 173 2 2 2" xfId="2262"/>
    <cellStyle name="Normal 173 2 3" xfId="2263"/>
    <cellStyle name="Normal 173 3" xfId="2264"/>
    <cellStyle name="Normal 173 3 2" xfId="2265"/>
    <cellStyle name="Normal 173 4" xfId="2266"/>
    <cellStyle name="Normal 174" xfId="2267"/>
    <cellStyle name="Normal 175" xfId="2268"/>
    <cellStyle name="Normal 175 2" xfId="2269"/>
    <cellStyle name="Normal 175 2 2" xfId="2270"/>
    <cellStyle name="Normal 175 2 2 2" xfId="2271"/>
    <cellStyle name="Normal 175 2 3" xfId="2272"/>
    <cellStyle name="Normal 175 3" xfId="2273"/>
    <cellStyle name="Normal 175 3 2" xfId="2274"/>
    <cellStyle name="Normal 175 4" xfId="2275"/>
    <cellStyle name="Normal 176" xfId="2276"/>
    <cellStyle name="Normal 176 2" xfId="2277"/>
    <cellStyle name="Normal 176 2 2" xfId="2278"/>
    <cellStyle name="Normal 176 2 2 2" xfId="2279"/>
    <cellStyle name="Normal 176 2 3" xfId="2280"/>
    <cellStyle name="Normal 176 3" xfId="2281"/>
    <cellStyle name="Normal 176 3 2" xfId="2282"/>
    <cellStyle name="Normal 176 4" xfId="2283"/>
    <cellStyle name="Normal 177" xfId="2284"/>
    <cellStyle name="Normal 177 2" xfId="2285"/>
    <cellStyle name="Normal 177 2 2" xfId="2286"/>
    <cellStyle name="Normal 177 2 2 2" xfId="2287"/>
    <cellStyle name="Normal 177 2 3" xfId="2288"/>
    <cellStyle name="Normal 177 3" xfId="2289"/>
    <cellStyle name="Normal 177 3 2" xfId="2290"/>
    <cellStyle name="Normal 177 4" xfId="2291"/>
    <cellStyle name="Normal 178" xfId="2292"/>
    <cellStyle name="Normal 178 2" xfId="2293"/>
    <cellStyle name="Normal 178 2 2" xfId="2294"/>
    <cellStyle name="Normal 178 2 2 2" xfId="2295"/>
    <cellStyle name="Normal 178 2 3" xfId="2296"/>
    <cellStyle name="Normal 178 3" xfId="2297"/>
    <cellStyle name="Normal 178 3 2" xfId="2298"/>
    <cellStyle name="Normal 178 4" xfId="2299"/>
    <cellStyle name="Normal 179" xfId="2300"/>
    <cellStyle name="Normal 179 2" xfId="2301"/>
    <cellStyle name="Normal 179 2 2" xfId="2302"/>
    <cellStyle name="Normal 179 2 2 2" xfId="2303"/>
    <cellStyle name="Normal 179 2 3" xfId="2304"/>
    <cellStyle name="Normal 179 3" xfId="2305"/>
    <cellStyle name="Normal 179 3 2" xfId="2306"/>
    <cellStyle name="Normal 179 4" xfId="2307"/>
    <cellStyle name="Normal 18" xfId="2308"/>
    <cellStyle name="Normal 180" xfId="2309"/>
    <cellStyle name="Normal 181" xfId="2310"/>
    <cellStyle name="Normal 181 2" xfId="2311"/>
    <cellStyle name="Normal 181 2 2" xfId="2312"/>
    <cellStyle name="Normal 181 2 2 2" xfId="2313"/>
    <cellStyle name="Normal 181 2 3" xfId="2314"/>
    <cellStyle name="Normal 181 3" xfId="2315"/>
    <cellStyle name="Normal 181 3 2" xfId="2316"/>
    <cellStyle name="Normal 181 4" xfId="2317"/>
    <cellStyle name="Normal 182" xfId="2318"/>
    <cellStyle name="Normal 182 2" xfId="2319"/>
    <cellStyle name="Normal 182 2 2" xfId="2320"/>
    <cellStyle name="Normal 182 2 2 2" xfId="2321"/>
    <cellStyle name="Normal 182 2 3" xfId="2322"/>
    <cellStyle name="Normal 182 3" xfId="2323"/>
    <cellStyle name="Normal 182 3 2" xfId="2324"/>
    <cellStyle name="Normal 182 4" xfId="2325"/>
    <cellStyle name="Normal 183" xfId="2326"/>
    <cellStyle name="Normal 184" xfId="2327"/>
    <cellStyle name="Normal 185" xfId="2328"/>
    <cellStyle name="Normal 185 2" xfId="2329"/>
    <cellStyle name="Normal 185 2 2" xfId="2330"/>
    <cellStyle name="Normal 185 2 3" xfId="2331"/>
    <cellStyle name="Normal 185 3" xfId="2332"/>
    <cellStyle name="Normal 185 3 2" xfId="2333"/>
    <cellStyle name="Normal 185 3 3" xfId="2334"/>
    <cellStyle name="Normal 185 4" xfId="2335"/>
    <cellStyle name="Normal 185 5" xfId="2336"/>
    <cellStyle name="Normal 186" xfId="2337"/>
    <cellStyle name="Normal 187" xfId="2338"/>
    <cellStyle name="Normal 187 2" xfId="2339"/>
    <cellStyle name="Normal 187 2 2" xfId="2340"/>
    <cellStyle name="Normal 187 2 2 2" xfId="2341"/>
    <cellStyle name="Normal 187 2 3" xfId="2342"/>
    <cellStyle name="Normal 187 3" xfId="2343"/>
    <cellStyle name="Normal 187 3 2" xfId="2344"/>
    <cellStyle name="Normal 187 4" xfId="2345"/>
    <cellStyle name="Normal 188" xfId="2346"/>
    <cellStyle name="Normal 188 2" xfId="2347"/>
    <cellStyle name="Normal 188 3" xfId="2348"/>
    <cellStyle name="Normal 189" xfId="2349"/>
    <cellStyle name="Normal 189 2" xfId="2350"/>
    <cellStyle name="Normal 189 2 2" xfId="2351"/>
    <cellStyle name="Normal 189 2 2 2" xfId="2352"/>
    <cellStyle name="Normal 189 2 3" xfId="2353"/>
    <cellStyle name="Normal 189 3" xfId="2354"/>
    <cellStyle name="Normal 189 3 2" xfId="2355"/>
    <cellStyle name="Normal 189 4" xfId="2356"/>
    <cellStyle name="Normal 19" xfId="2357"/>
    <cellStyle name="Normal 19 2" xfId="2358"/>
    <cellStyle name="Normal 19 2 2" xfId="2359"/>
    <cellStyle name="Normal 19 2 2 2" xfId="2360"/>
    <cellStyle name="Normal 19 2 3" xfId="2361"/>
    <cellStyle name="Normal 19 3" xfId="2362"/>
    <cellStyle name="Normal 19 3 2" xfId="2363"/>
    <cellStyle name="Normal 19 4" xfId="2364"/>
    <cellStyle name="Normal 190" xfId="2365"/>
    <cellStyle name="Normal 190 2" xfId="2366"/>
    <cellStyle name="Normal 190 2 2" xfId="2367"/>
    <cellStyle name="Normal 190 2 2 2" xfId="2368"/>
    <cellStyle name="Normal 190 2 3" xfId="2369"/>
    <cellStyle name="Normal 190 3" xfId="2370"/>
    <cellStyle name="Normal 190 3 2" xfId="2371"/>
    <cellStyle name="Normal 190 4" xfId="2372"/>
    <cellStyle name="Normal 191" xfId="2373"/>
    <cellStyle name="Normal 191 2" xfId="2374"/>
    <cellStyle name="Normal 191 2 2" xfId="2375"/>
    <cellStyle name="Normal 191 2 2 2" xfId="2376"/>
    <cellStyle name="Normal 191 2 3" xfId="2377"/>
    <cellStyle name="Normal 191 3" xfId="2378"/>
    <cellStyle name="Normal 191 3 2" xfId="2379"/>
    <cellStyle name="Normal 191 4" xfId="2380"/>
    <cellStyle name="Normal 192" xfId="2381"/>
    <cellStyle name="Normal 192 2" xfId="2382"/>
    <cellStyle name="Normal 192 2 2" xfId="2383"/>
    <cellStyle name="Normal 192 2 2 2" xfId="2384"/>
    <cellStyle name="Normal 192 2 3" xfId="2385"/>
    <cellStyle name="Normal 192 3" xfId="2386"/>
    <cellStyle name="Normal 192 3 2" xfId="2387"/>
    <cellStyle name="Normal 192 4" xfId="2388"/>
    <cellStyle name="Normal 193" xfId="2389"/>
    <cellStyle name="Normal 193 2" xfId="2390"/>
    <cellStyle name="Normal 193 3" xfId="2391"/>
    <cellStyle name="Normal 193 4" xfId="2392"/>
    <cellStyle name="Normal 194" xfId="2393"/>
    <cellStyle name="Normal 195" xfId="2394"/>
    <cellStyle name="Normal 195 2" xfId="2395"/>
    <cellStyle name="Normal 195 2 2" xfId="2396"/>
    <cellStyle name="Normal 195 2 2 2" xfId="2397"/>
    <cellStyle name="Normal 195 2 3" xfId="2398"/>
    <cellStyle name="Normal 195 3" xfId="2399"/>
    <cellStyle name="Normal 195 3 2" xfId="2400"/>
    <cellStyle name="Normal 195 4" xfId="2401"/>
    <cellStyle name="Normal 196" xfId="2402"/>
    <cellStyle name="Normal 196 2" xfId="2403"/>
    <cellStyle name="Normal 196 2 2" xfId="2404"/>
    <cellStyle name="Normal 196 2 2 2" xfId="2405"/>
    <cellStyle name="Normal 196 2 3" xfId="2406"/>
    <cellStyle name="Normal 196 3" xfId="2407"/>
    <cellStyle name="Normal 196 3 2" xfId="2408"/>
    <cellStyle name="Normal 196 4" xfId="2409"/>
    <cellStyle name="Normal 197" xfId="2410"/>
    <cellStyle name="Normal 198" xfId="2411"/>
    <cellStyle name="Normal 199" xfId="2412"/>
    <cellStyle name="Normal 199 2" xfId="2413"/>
    <cellStyle name="Normal 2" xfId="2414"/>
    <cellStyle name="Normal 2 2" xfId="2415"/>
    <cellStyle name="Normal 2 3" xfId="2416"/>
    <cellStyle name="Normal 2 4" xfId="2417"/>
    <cellStyle name="Normal 2 4 2" xfId="2418"/>
    <cellStyle name="Normal 2 5" xfId="2419"/>
    <cellStyle name="Normal 2 6" xfId="2420"/>
    <cellStyle name="Normal 20" xfId="2421"/>
    <cellStyle name="Normal 20 2" xfId="2422"/>
    <cellStyle name="Normal 20 2 2" xfId="2423"/>
    <cellStyle name="Normal 20 2 2 2" xfId="2424"/>
    <cellStyle name="Normal 20 2 3" xfId="2425"/>
    <cellStyle name="Normal 20 3" xfId="2426"/>
    <cellStyle name="Normal 20 3 2" xfId="2427"/>
    <cellStyle name="Normal 20 4" xfId="2428"/>
    <cellStyle name="Normal 200" xfId="2429"/>
    <cellStyle name="Normal 200 2" xfId="2430"/>
    <cellStyle name="Normal 200 2 2" xfId="2431"/>
    <cellStyle name="Normal 200 2 2 2" xfId="2432"/>
    <cellStyle name="Normal 200 2 3" xfId="2433"/>
    <cellStyle name="Normal 200 3" xfId="2434"/>
    <cellStyle name="Normal 200 3 2" xfId="2435"/>
    <cellStyle name="Normal 200 4" xfId="2436"/>
    <cellStyle name="Normal 201" xfId="2437"/>
    <cellStyle name="Normal 202" xfId="2438"/>
    <cellStyle name="Normal 202 2" xfId="2439"/>
    <cellStyle name="Normal 202 2 2" xfId="2440"/>
    <cellStyle name="Normal 202 2 2 2" xfId="2441"/>
    <cellStyle name="Normal 202 2 3" xfId="2442"/>
    <cellStyle name="Normal 202 3" xfId="2443"/>
    <cellStyle name="Normal 202 3 2" xfId="2444"/>
    <cellStyle name="Normal 202 4" xfId="2445"/>
    <cellStyle name="Normal 203" xfId="2446"/>
    <cellStyle name="Normal 204" xfId="2447"/>
    <cellStyle name="Normal 204 2" xfId="2448"/>
    <cellStyle name="Normal 204 2 2" xfId="2449"/>
    <cellStyle name="Normal 204 2 2 2" xfId="2450"/>
    <cellStyle name="Normal 204 2 3" xfId="2451"/>
    <cellStyle name="Normal 204 3" xfId="2452"/>
    <cellStyle name="Normal 204 3 2" xfId="2453"/>
    <cellStyle name="Normal 204 4" xfId="2454"/>
    <cellStyle name="Normal 205" xfId="2455"/>
    <cellStyle name="Normal 205 2" xfId="2456"/>
    <cellStyle name="Normal 205 2 2" xfId="2457"/>
    <cellStyle name="Normal 205 2 2 2" xfId="2458"/>
    <cellStyle name="Normal 205 2 3" xfId="2459"/>
    <cellStyle name="Normal 205 3" xfId="2460"/>
    <cellStyle name="Normal 205 3 2" xfId="2461"/>
    <cellStyle name="Normal 205 4" xfId="2462"/>
    <cellStyle name="Normal 206" xfId="2463"/>
    <cellStyle name="Normal 206 2" xfId="2464"/>
    <cellStyle name="Normal 206 2 2" xfId="2465"/>
    <cellStyle name="Normal 206 2 2 2" xfId="2466"/>
    <cellStyle name="Normal 206 2 3" xfId="2467"/>
    <cellStyle name="Normal 206 3" xfId="2468"/>
    <cellStyle name="Normal 206 3 2" xfId="2469"/>
    <cellStyle name="Normal 206 4" xfId="2470"/>
    <cellStyle name="Normal 207" xfId="2471"/>
    <cellStyle name="Normal 207 2" xfId="2472"/>
    <cellStyle name="Normal 207 2 2" xfId="2473"/>
    <cellStyle name="Normal 207 2 2 2" xfId="2474"/>
    <cellStyle name="Normal 207 2 3" xfId="2475"/>
    <cellStyle name="Normal 207 3" xfId="2476"/>
    <cellStyle name="Normal 207 3 2" xfId="2477"/>
    <cellStyle name="Normal 207 4" xfId="2478"/>
    <cellStyle name="Normal 208" xfId="2479"/>
    <cellStyle name="Normal 208 2" xfId="2480"/>
    <cellStyle name="Normal 208 2 2" xfId="2481"/>
    <cellStyle name="Normal 208 3" xfId="2482"/>
    <cellStyle name="Normal 209" xfId="2483"/>
    <cellStyle name="Normal 209 2" xfId="2484"/>
    <cellStyle name="Normal 209 2 2" xfId="2485"/>
    <cellStyle name="Normal 209 2 2 2" xfId="2486"/>
    <cellStyle name="Normal 209 2 3" xfId="2487"/>
    <cellStyle name="Normal 209 3" xfId="2488"/>
    <cellStyle name="Normal 209 3 2" xfId="2489"/>
    <cellStyle name="Normal 209 4" xfId="2490"/>
    <cellStyle name="Normal 21" xfId="2491"/>
    <cellStyle name="Normal 210" xfId="2492"/>
    <cellStyle name="Normal 210 2" xfId="2493"/>
    <cellStyle name="Normal 210 2 2" xfId="2494"/>
    <cellStyle name="Normal 210 2 2 2" xfId="2495"/>
    <cellStyle name="Normal 210 2 3" xfId="2496"/>
    <cellStyle name="Normal 210 3" xfId="2497"/>
    <cellStyle name="Normal 210 3 2" xfId="2498"/>
    <cellStyle name="Normal 210 4" xfId="2499"/>
    <cellStyle name="Normal 211" xfId="2500"/>
    <cellStyle name="Normal 211 2" xfId="2501"/>
    <cellStyle name="Normal 211 2 2" xfId="2502"/>
    <cellStyle name="Normal 211 2 2 2" xfId="2503"/>
    <cellStyle name="Normal 211 2 3" xfId="2504"/>
    <cellStyle name="Normal 211 3" xfId="2505"/>
    <cellStyle name="Normal 211 3 2" xfId="2506"/>
    <cellStyle name="Normal 211 4" xfId="2507"/>
    <cellStyle name="Normal 212" xfId="2508"/>
    <cellStyle name="Normal 212 2" xfId="2509"/>
    <cellStyle name="Normal 212 2 2" xfId="2510"/>
    <cellStyle name="Normal 212 2 2 2" xfId="2511"/>
    <cellStyle name="Normal 212 2 3" xfId="2512"/>
    <cellStyle name="Normal 212 3" xfId="2513"/>
    <cellStyle name="Normal 212 3 2" xfId="2514"/>
    <cellStyle name="Normal 212 4" xfId="2515"/>
    <cellStyle name="Normal 213" xfId="2516"/>
    <cellStyle name="Normal 213 2" xfId="2517"/>
    <cellStyle name="Normal 214" xfId="2518"/>
    <cellStyle name="Normal 215" xfId="2519"/>
    <cellStyle name="Normal 215 2" xfId="2520"/>
    <cellStyle name="Normal 215 2 2" xfId="2521"/>
    <cellStyle name="Normal 215 2 2 2" xfId="2522"/>
    <cellStyle name="Normal 215 2 3" xfId="2523"/>
    <cellStyle name="Normal 215 3" xfId="2524"/>
    <cellStyle name="Normal 215 3 2" xfId="2525"/>
    <cellStyle name="Normal 215 4" xfId="2526"/>
    <cellStyle name="Normal 216" xfId="2527"/>
    <cellStyle name="Normal 216 2" xfId="2528"/>
    <cellStyle name="Normal 216 2 2" xfId="2529"/>
    <cellStyle name="Normal 216 2 2 2" xfId="2530"/>
    <cellStyle name="Normal 216 2 3" xfId="2531"/>
    <cellStyle name="Normal 216 3" xfId="2532"/>
    <cellStyle name="Normal 216 3 2" xfId="2533"/>
    <cellStyle name="Normal 216 4" xfId="2534"/>
    <cellStyle name="Normal 217" xfId="2535"/>
    <cellStyle name="Normal 217 2" xfId="2536"/>
    <cellStyle name="Normal 217 2 2" xfId="2537"/>
    <cellStyle name="Normal 217 2 2 2" xfId="2538"/>
    <cellStyle name="Normal 217 2 3" xfId="2539"/>
    <cellStyle name="Normal 217 3" xfId="2540"/>
    <cellStyle name="Normal 217 3 2" xfId="2541"/>
    <cellStyle name="Normal 217 4" xfId="2542"/>
    <cellStyle name="Normal 218" xfId="2543"/>
    <cellStyle name="Normal 219" xfId="2544"/>
    <cellStyle name="Normal 219 2" xfId="2545"/>
    <cellStyle name="Normal 22" xfId="2546"/>
    <cellStyle name="Normal 220" xfId="2547"/>
    <cellStyle name="Normal 221" xfId="2548"/>
    <cellStyle name="Normal 222" xfId="2549"/>
    <cellStyle name="Normal 223" xfId="2550"/>
    <cellStyle name="Normal 224" xfId="2551"/>
    <cellStyle name="Normal 225" xfId="2552"/>
    <cellStyle name="Normal 226" xfId="2553"/>
    <cellStyle name="Normal 227" xfId="2554"/>
    <cellStyle name="Normal 228" xfId="2555"/>
    <cellStyle name="Normal 229" xfId="2556"/>
    <cellStyle name="Normal 23" xfId="2557"/>
    <cellStyle name="Normal 230" xfId="2558"/>
    <cellStyle name="Normal 231" xfId="2559"/>
    <cellStyle name="Normal 232" xfId="2560"/>
    <cellStyle name="Normal 233" xfId="2561"/>
    <cellStyle name="Normal 234" xfId="2562"/>
    <cellStyle name="Normal 235" xfId="2563"/>
    <cellStyle name="Normal 236" xfId="2564"/>
    <cellStyle name="Normal 237" xfId="2565"/>
    <cellStyle name="Normal 238" xfId="2566"/>
    <cellStyle name="Normal 239" xfId="2567"/>
    <cellStyle name="Normal 24" xfId="2568"/>
    <cellStyle name="Normal 24 2" xfId="2569"/>
    <cellStyle name="Normal 24 2 2" xfId="2570"/>
    <cellStyle name="Normal 24 2 2 2" xfId="2571"/>
    <cellStyle name="Normal 24 2 3" xfId="2572"/>
    <cellStyle name="Normal 24 3" xfId="2573"/>
    <cellStyle name="Normal 24 3 2" xfId="2574"/>
    <cellStyle name="Normal 24 4" xfId="2575"/>
    <cellStyle name="Normal 240" xfId="2576"/>
    <cellStyle name="Normal 241" xfId="2577"/>
    <cellStyle name="Normal 242" xfId="2578"/>
    <cellStyle name="Normal 243" xfId="2579"/>
    <cellStyle name="Normal 244" xfId="2580"/>
    <cellStyle name="Normal 245" xfId="2581"/>
    <cellStyle name="Normal 246" xfId="2582"/>
    <cellStyle name="Normal 247" xfId="2583"/>
    <cellStyle name="Normal 248" xfId="2584"/>
    <cellStyle name="Normal 249" xfId="2585"/>
    <cellStyle name="Normal 25" xfId="2586"/>
    <cellStyle name="Normal 25 2" xfId="2587"/>
    <cellStyle name="Normal 25 2 2" xfId="2588"/>
    <cellStyle name="Normal 25 2 2 2" xfId="2589"/>
    <cellStyle name="Normal 25 2 3" xfId="2590"/>
    <cellStyle name="Normal 25 3" xfId="2591"/>
    <cellStyle name="Normal 25 3 2" xfId="2592"/>
    <cellStyle name="Normal 25 4" xfId="2593"/>
    <cellStyle name="Normal 250" xfId="2594"/>
    <cellStyle name="Normal 251" xfId="2595"/>
    <cellStyle name="Normal 252" xfId="2596"/>
    <cellStyle name="Normal 253" xfId="2597"/>
    <cellStyle name="Normal 254" xfId="2598"/>
    <cellStyle name="Normal 255" xfId="2599"/>
    <cellStyle name="Normal 256" xfId="2600"/>
    <cellStyle name="Normal 257" xfId="2601"/>
    <cellStyle name="Normal 258" xfId="2602"/>
    <cellStyle name="Normal 259" xfId="2603"/>
    <cellStyle name="Normal 26" xfId="2604"/>
    <cellStyle name="Normal 26 2" xfId="2605"/>
    <cellStyle name="Normal 26 2 2" xfId="2606"/>
    <cellStyle name="Normal 26 2 2 2" xfId="2607"/>
    <cellStyle name="Normal 26 2 3" xfId="2608"/>
    <cellStyle name="Normal 26 3" xfId="2609"/>
    <cellStyle name="Normal 26 3 2" xfId="2610"/>
    <cellStyle name="Normal 26 4" xfId="2611"/>
    <cellStyle name="Normal 260" xfId="2612"/>
    <cellStyle name="Normal 261" xfId="2613"/>
    <cellStyle name="Normal 262" xfId="2614"/>
    <cellStyle name="Normal 263" xfId="2615"/>
    <cellStyle name="Normal 264" xfId="2616"/>
    <cellStyle name="Normal 265" xfId="2617"/>
    <cellStyle name="Normal 266" xfId="2618"/>
    <cellStyle name="Normal 267" xfId="2619"/>
    <cellStyle name="Normal 268" xfId="2620"/>
    <cellStyle name="Normal 27" xfId="2621"/>
    <cellStyle name="Normal 27 2" xfId="2622"/>
    <cellStyle name="Normal 27 2 2" xfId="2623"/>
    <cellStyle name="Normal 27 2 2 2" xfId="2624"/>
    <cellStyle name="Normal 27 2 3" xfId="2625"/>
    <cellStyle name="Normal 27 3" xfId="2626"/>
    <cellStyle name="Normal 27 3 2" xfId="2627"/>
    <cellStyle name="Normal 27 4" xfId="2628"/>
    <cellStyle name="Normal 28" xfId="2629"/>
    <cellStyle name="Normal 29" xfId="2630"/>
    <cellStyle name="Normal 29 2" xfId="2631"/>
    <cellStyle name="Normal 29 2 2" xfId="2632"/>
    <cellStyle name="Normal 29 2 2 2" xfId="2633"/>
    <cellStyle name="Normal 29 2 3" xfId="2634"/>
    <cellStyle name="Normal 29 3" xfId="2635"/>
    <cellStyle name="Normal 29 3 2" xfId="2636"/>
    <cellStyle name="Normal 29 4" xfId="2637"/>
    <cellStyle name="Normal 3" xfId="2638"/>
    <cellStyle name="Normal 3 2" xfId="2639"/>
    <cellStyle name="Normal 3 2 2" xfId="2640"/>
    <cellStyle name="Normal 3 2 3" xfId="2641"/>
    <cellStyle name="Normal 3 3" xfId="2642"/>
    <cellStyle name="Normal 3 4" xfId="2643"/>
    <cellStyle name="Normal 30" xfId="2644"/>
    <cellStyle name="Normal 309" xfId="2645"/>
    <cellStyle name="Normal 31" xfId="2646"/>
    <cellStyle name="Normal 31 2" xfId="2647"/>
    <cellStyle name="Normal 31 2 2" xfId="2648"/>
    <cellStyle name="Normal 31 2 2 2" xfId="2649"/>
    <cellStyle name="Normal 31 2 3" xfId="2650"/>
    <cellStyle name="Normal 31 3" xfId="2651"/>
    <cellStyle name="Normal 31 3 2" xfId="2652"/>
    <cellStyle name="Normal 31 4" xfId="2653"/>
    <cellStyle name="Normal 310" xfId="2654"/>
    <cellStyle name="Normal 313" xfId="2655"/>
    <cellStyle name="Normal 314" xfId="2656"/>
    <cellStyle name="Normal 316" xfId="2657"/>
    <cellStyle name="Normal 318" xfId="2658"/>
    <cellStyle name="Normal 319" xfId="2659"/>
    <cellStyle name="Normal 32" xfId="2660"/>
    <cellStyle name="Normal 320" xfId="2661"/>
    <cellStyle name="Normal 321" xfId="2662"/>
    <cellStyle name="Normal 324" xfId="2663"/>
    <cellStyle name="Normal 325" xfId="2664"/>
    <cellStyle name="Normal 326" xfId="2665"/>
    <cellStyle name="Normal 327" xfId="2666"/>
    <cellStyle name="Normal 328" xfId="2667"/>
    <cellStyle name="Normal 33" xfId="2668"/>
    <cellStyle name="Normal 331" xfId="2669"/>
    <cellStyle name="Normal 332" xfId="2670"/>
    <cellStyle name="Normal 334" xfId="2671"/>
    <cellStyle name="Normal 335" xfId="2672"/>
    <cellStyle name="Normal 336" xfId="2673"/>
    <cellStyle name="Normal 337" xfId="2674"/>
    <cellStyle name="Normal 338" xfId="2675"/>
    <cellStyle name="Normal 339" xfId="2676"/>
    <cellStyle name="Normal 34" xfId="2677"/>
    <cellStyle name="Normal 34 2" xfId="2678"/>
    <cellStyle name="Normal 34 2 2" xfId="2679"/>
    <cellStyle name="Normal 34 2 2 2" xfId="2680"/>
    <cellStyle name="Normal 34 2 3" xfId="2681"/>
    <cellStyle name="Normal 34 3" xfId="2682"/>
    <cellStyle name="Normal 34 3 2" xfId="2683"/>
    <cellStyle name="Normal 34 4" xfId="2684"/>
    <cellStyle name="Normal 341" xfId="2685"/>
    <cellStyle name="Normal 35" xfId="2686"/>
    <cellStyle name="Normal 35 2" xfId="2687"/>
    <cellStyle name="Normal 35 2 2" xfId="2688"/>
    <cellStyle name="Normal 35 2 2 2" xfId="2689"/>
    <cellStyle name="Normal 35 2 3" xfId="2690"/>
    <cellStyle name="Normal 35 3" xfId="2691"/>
    <cellStyle name="Normal 35 3 2" xfId="2692"/>
    <cellStyle name="Normal 35 4" xfId="2693"/>
    <cellStyle name="Normal 36" xfId="2694"/>
    <cellStyle name="Normal 36 2" xfId="2695"/>
    <cellStyle name="Normal 36 2 2" xfId="2696"/>
    <cellStyle name="Normal 36 2 2 2" xfId="2697"/>
    <cellStyle name="Normal 36 2 3" xfId="2698"/>
    <cellStyle name="Normal 36 3" xfId="2699"/>
    <cellStyle name="Normal 36 3 2" xfId="2700"/>
    <cellStyle name="Normal 36 4" xfId="2701"/>
    <cellStyle name="Normal 37" xfId="2702"/>
    <cellStyle name="Normal 38" xfId="2703"/>
    <cellStyle name="Normal 38 2" xfId="2704"/>
    <cellStyle name="Normal 38 2 2" xfId="2705"/>
    <cellStyle name="Normal 38 2 2 2" xfId="2706"/>
    <cellStyle name="Normal 38 2 3" xfId="2707"/>
    <cellStyle name="Normal 38 3" xfId="2708"/>
    <cellStyle name="Normal 38 3 2" xfId="2709"/>
    <cellStyle name="Normal 38 4" xfId="2710"/>
    <cellStyle name="Normal 39" xfId="2711"/>
    <cellStyle name="Normal 39 2" xfId="2712"/>
    <cellStyle name="Normal 39 2 2" xfId="2713"/>
    <cellStyle name="Normal 39 2 2 2" xfId="2714"/>
    <cellStyle name="Normal 39 2 3" xfId="2715"/>
    <cellStyle name="Normal 39 3" xfId="2716"/>
    <cellStyle name="Normal 39 3 2" xfId="2717"/>
    <cellStyle name="Normal 39 4" xfId="2718"/>
    <cellStyle name="Normal 4" xfId="2719"/>
    <cellStyle name="Normal 4 2" xfId="2720"/>
    <cellStyle name="Normal 4 2 2" xfId="2721"/>
    <cellStyle name="Normal 4 2 2 2" xfId="2722"/>
    <cellStyle name="Normal 4 2 3" xfId="2723"/>
    <cellStyle name="Normal 4 3" xfId="2724"/>
    <cellStyle name="Normal 4 3 2" xfId="2725"/>
    <cellStyle name="Normal 4 3 3" xfId="2726"/>
    <cellStyle name="Normal 4 4" xfId="2727"/>
    <cellStyle name="Normal 4 5" xfId="2728"/>
    <cellStyle name="Normal 4 5 2" xfId="2729"/>
    <cellStyle name="Normal 4 6" xfId="2730"/>
    <cellStyle name="Normal 40" xfId="2731"/>
    <cellStyle name="Normal 41" xfId="2732"/>
    <cellStyle name="Normal 42" xfId="2733"/>
    <cellStyle name="Normal 42 2" xfId="2734"/>
    <cellStyle name="Normal 42 2 2" xfId="2735"/>
    <cellStyle name="Normal 42 2 2 2" xfId="2736"/>
    <cellStyle name="Normal 42 2 3" xfId="2737"/>
    <cellStyle name="Normal 42 3" xfId="2738"/>
    <cellStyle name="Normal 42 3 2" xfId="2739"/>
    <cellStyle name="Normal 42 4" xfId="2740"/>
    <cellStyle name="Normal 43" xfId="2741"/>
    <cellStyle name="Normal 43 2" xfId="2742"/>
    <cellStyle name="Normal 43 2 2" xfId="2743"/>
    <cellStyle name="Normal 43 2 2 2" xfId="2744"/>
    <cellStyle name="Normal 43 2 3" xfId="2745"/>
    <cellStyle name="Normal 43 3" xfId="2746"/>
    <cellStyle name="Normal 43 3 2" xfId="2747"/>
    <cellStyle name="Normal 43 4" xfId="2748"/>
    <cellStyle name="Normal 44" xfId="2749"/>
    <cellStyle name="Normal 44 2" xfId="2750"/>
    <cellStyle name="Normal 44 2 2" xfId="2751"/>
    <cellStyle name="Normal 44 2 2 2" xfId="2752"/>
    <cellStyle name="Normal 44 2 3" xfId="2753"/>
    <cellStyle name="Normal 44 3" xfId="2754"/>
    <cellStyle name="Normal 44 3 2" xfId="2755"/>
    <cellStyle name="Normal 44 4" xfId="2756"/>
    <cellStyle name="Normal 45" xfId="2757"/>
    <cellStyle name="Normal 45 2" xfId="2758"/>
    <cellStyle name="Normal 45 2 2" xfId="2759"/>
    <cellStyle name="Normal 45 2 2 2" xfId="2760"/>
    <cellStyle name="Normal 45 2 3" xfId="2761"/>
    <cellStyle name="Normal 45 3" xfId="2762"/>
    <cellStyle name="Normal 45 3 2" xfId="2763"/>
    <cellStyle name="Normal 45 4" xfId="2764"/>
    <cellStyle name="Normal 46" xfId="2765"/>
    <cellStyle name="Normal 46 2" xfId="2766"/>
    <cellStyle name="Normal 46 2 2" xfId="2767"/>
    <cellStyle name="Normal 46 2 2 2" xfId="2768"/>
    <cellStyle name="Normal 46 2 3" xfId="2769"/>
    <cellStyle name="Normal 46 3" xfId="2770"/>
    <cellStyle name="Normal 46 3 2" xfId="2771"/>
    <cellStyle name="Normal 46 4" xfId="2772"/>
    <cellStyle name="Normal 47" xfId="2773"/>
    <cellStyle name="Normal 47 2" xfId="2774"/>
    <cellStyle name="Normal 47 2 2" xfId="2775"/>
    <cellStyle name="Normal 47 2 2 2" xfId="2776"/>
    <cellStyle name="Normal 47 2 3" xfId="2777"/>
    <cellStyle name="Normal 47 3" xfId="2778"/>
    <cellStyle name="Normal 47 3 2" xfId="2779"/>
    <cellStyle name="Normal 47 4" xfId="2780"/>
    <cellStyle name="Normal 48" xfId="2781"/>
    <cellStyle name="Normal 48 2" xfId="2782"/>
    <cellStyle name="Normal 48 2 2" xfId="2783"/>
    <cellStyle name="Normal 48 2 2 2" xfId="2784"/>
    <cellStyle name="Normal 48 2 3" xfId="2785"/>
    <cellStyle name="Normal 48 3" xfId="2786"/>
    <cellStyle name="Normal 48 3 2" xfId="2787"/>
    <cellStyle name="Normal 48 4" xfId="2788"/>
    <cellStyle name="Normal 49" xfId="2789"/>
    <cellStyle name="Normal 49 2" xfId="2790"/>
    <cellStyle name="Normal 49 2 2" xfId="2791"/>
    <cellStyle name="Normal 49 2 2 2" xfId="2792"/>
    <cellStyle name="Normal 49 2 3" xfId="2793"/>
    <cellStyle name="Normal 49 3" xfId="2794"/>
    <cellStyle name="Normal 49 3 2" xfId="2795"/>
    <cellStyle name="Normal 49 4" xfId="2796"/>
    <cellStyle name="Normal 5" xfId="2797"/>
    <cellStyle name="Normal 5 2" xfId="2798"/>
    <cellStyle name="Normal 5 2 2" xfId="2799"/>
    <cellStyle name="Normal 5 2 2 2" xfId="2800"/>
    <cellStyle name="Normal 5 2 3" xfId="2801"/>
    <cellStyle name="Normal 5 3" xfId="2802"/>
    <cellStyle name="Normal 5 3 2" xfId="2803"/>
    <cellStyle name="Normal 5 4" xfId="2804"/>
    <cellStyle name="Normal 50" xfId="2805"/>
    <cellStyle name="Normal 50 2" xfId="2806"/>
    <cellStyle name="Normal 50 2 2" xfId="2807"/>
    <cellStyle name="Normal 50 2 2 2" xfId="2808"/>
    <cellStyle name="Normal 50 2 3" xfId="2809"/>
    <cellStyle name="Normal 50 3" xfId="2810"/>
    <cellStyle name="Normal 50 3 2" xfId="2811"/>
    <cellStyle name="Normal 50 4" xfId="2812"/>
    <cellStyle name="Normal 51" xfId="2813"/>
    <cellStyle name="Normal 51 2" xfId="2814"/>
    <cellStyle name="Normal 51 2 2" xfId="2815"/>
    <cellStyle name="Normal 51 2 2 2" xfId="2816"/>
    <cellStyle name="Normal 51 2 3" xfId="2817"/>
    <cellStyle name="Normal 51 3" xfId="2818"/>
    <cellStyle name="Normal 51 3 2" xfId="2819"/>
    <cellStyle name="Normal 51 4" xfId="2820"/>
    <cellStyle name="Normal 52" xfId="2821"/>
    <cellStyle name="Normal 52 2" xfId="2822"/>
    <cellStyle name="Normal 52 2 2" xfId="2823"/>
    <cellStyle name="Normal 52 2 2 2" xfId="2824"/>
    <cellStyle name="Normal 52 2 3" xfId="2825"/>
    <cellStyle name="Normal 52 3" xfId="2826"/>
    <cellStyle name="Normal 52 3 2" xfId="2827"/>
    <cellStyle name="Normal 52 4" xfId="2828"/>
    <cellStyle name="Normal 53" xfId="2829"/>
    <cellStyle name="Normal 53 2" xfId="2830"/>
    <cellStyle name="Normal 53 2 2" xfId="2831"/>
    <cellStyle name="Normal 53 2 2 2" xfId="2832"/>
    <cellStyle name="Normal 53 2 3" xfId="2833"/>
    <cellStyle name="Normal 53 3" xfId="2834"/>
    <cellStyle name="Normal 53 3 2" xfId="2835"/>
    <cellStyle name="Normal 53 4" xfId="2836"/>
    <cellStyle name="Normal 54" xfId="2837"/>
    <cellStyle name="Normal 54 2" xfId="2838"/>
    <cellStyle name="Normal 54 2 2" xfId="2839"/>
    <cellStyle name="Normal 54 2 2 2" xfId="2840"/>
    <cellStyle name="Normal 54 2 3" xfId="2841"/>
    <cellStyle name="Normal 54 3" xfId="2842"/>
    <cellStyle name="Normal 54 3 2" xfId="2843"/>
    <cellStyle name="Normal 54 4" xfId="2844"/>
    <cellStyle name="Normal 55" xfId="2845"/>
    <cellStyle name="Normal 55 2" xfId="2846"/>
    <cellStyle name="Normal 55 2 2" xfId="2847"/>
    <cellStyle name="Normal 55 2 2 2" xfId="2848"/>
    <cellStyle name="Normal 55 2 3" xfId="2849"/>
    <cellStyle name="Normal 55 3" xfId="2850"/>
    <cellStyle name="Normal 55 3 2" xfId="2851"/>
    <cellStyle name="Normal 55 4" xfId="2852"/>
    <cellStyle name="Normal 56" xfId="2853"/>
    <cellStyle name="Normal 56 2" xfId="2854"/>
    <cellStyle name="Normal 56 2 2" xfId="2855"/>
    <cellStyle name="Normal 56 2 2 2" xfId="2856"/>
    <cellStyle name="Normal 56 2 3" xfId="2857"/>
    <cellStyle name="Normal 56 3" xfId="2858"/>
    <cellStyle name="Normal 56 3 2" xfId="2859"/>
    <cellStyle name="Normal 56 4" xfId="2860"/>
    <cellStyle name="Normal 57" xfId="2861"/>
    <cellStyle name="Normal 57 2" xfId="2862"/>
    <cellStyle name="Normal 57 2 2" xfId="2863"/>
    <cellStyle name="Normal 57 2 2 2" xfId="2864"/>
    <cellStyle name="Normal 57 2 3" xfId="2865"/>
    <cellStyle name="Normal 57 3" xfId="2866"/>
    <cellStyle name="Normal 57 3 2" xfId="2867"/>
    <cellStyle name="Normal 57 4" xfId="2868"/>
    <cellStyle name="Normal 58" xfId="2869"/>
    <cellStyle name="Normal 58 2" xfId="2870"/>
    <cellStyle name="Normal 58 2 2" xfId="2871"/>
    <cellStyle name="Normal 58 2 2 2" xfId="2872"/>
    <cellStyle name="Normal 58 2 3" xfId="2873"/>
    <cellStyle name="Normal 58 3" xfId="2874"/>
    <cellStyle name="Normal 58 4" xfId="2875"/>
    <cellStyle name="Normal 58 4 2" xfId="2876"/>
    <cellStyle name="Normal 58 5" xfId="2877"/>
    <cellStyle name="Normal 59" xfId="2878"/>
    <cellStyle name="Normal 59 2" xfId="2879"/>
    <cellStyle name="Normal 59 2 2" xfId="2880"/>
    <cellStyle name="Normal 59 2 2 2" xfId="2881"/>
    <cellStyle name="Normal 59 2 3" xfId="2882"/>
    <cellStyle name="Normal 59 3" xfId="2883"/>
    <cellStyle name="Normal 59 3 2" xfId="2884"/>
    <cellStyle name="Normal 59 4" xfId="2885"/>
    <cellStyle name="Normal 6" xfId="2886"/>
    <cellStyle name="Normal 60" xfId="2887"/>
    <cellStyle name="Normal 60 2" xfId="2888"/>
    <cellStyle name="Normal 60 2 2" xfId="2889"/>
    <cellStyle name="Normal 60 2 2 2" xfId="2890"/>
    <cellStyle name="Normal 60 2 3" xfId="2891"/>
    <cellStyle name="Normal 60 3" xfId="2892"/>
    <cellStyle name="Normal 60 3 2" xfId="2893"/>
    <cellStyle name="Normal 60 4" xfId="2894"/>
    <cellStyle name="Normal 61" xfId="2895"/>
    <cellStyle name="Normal 61 2" xfId="2896"/>
    <cellStyle name="Normal 61 2 2" xfId="2897"/>
    <cellStyle name="Normal 61 2 2 2" xfId="2898"/>
    <cellStyle name="Normal 61 2 3" xfId="2899"/>
    <cellStyle name="Normal 61 3" xfId="2900"/>
    <cellStyle name="Normal 61 3 2" xfId="2901"/>
    <cellStyle name="Normal 61 4" xfId="2902"/>
    <cellStyle name="Normal 62" xfId="2903"/>
    <cellStyle name="Normal 62 2" xfId="2904"/>
    <cellStyle name="Normal 62 2 2" xfId="2905"/>
    <cellStyle name="Normal 62 2 2 2" xfId="2906"/>
    <cellStyle name="Normal 62 2 3" xfId="2907"/>
    <cellStyle name="Normal 62 3" xfId="2908"/>
    <cellStyle name="Normal 62 4" xfId="2909"/>
    <cellStyle name="Normal 62 4 2" xfId="2910"/>
    <cellStyle name="Normal 62 5" xfId="2911"/>
    <cellStyle name="Normal 63" xfId="2912"/>
    <cellStyle name="Normal 63 2" xfId="2913"/>
    <cellStyle name="Normal 63 2 2" xfId="2914"/>
    <cellStyle name="Normal 63 2 2 2" xfId="2915"/>
    <cellStyle name="Normal 63 2 3" xfId="2916"/>
    <cellStyle name="Normal 63 3" xfId="2917"/>
    <cellStyle name="Normal 63 3 2" xfId="2918"/>
    <cellStyle name="Normal 63 4" xfId="2919"/>
    <cellStyle name="Normal 64" xfId="2920"/>
    <cellStyle name="Normal 64 2" xfId="2921"/>
    <cellStyle name="Normal 64 2 2" xfId="2922"/>
    <cellStyle name="Normal 64 2 2 2" xfId="2923"/>
    <cellStyle name="Normal 64 2 3" xfId="2924"/>
    <cellStyle name="Normal 64 3" xfId="2925"/>
    <cellStyle name="Normal 64 3 2" xfId="2926"/>
    <cellStyle name="Normal 64 4" xfId="2927"/>
    <cellStyle name="Normal 65" xfId="2928"/>
    <cellStyle name="Normal 65 2" xfId="2929"/>
    <cellStyle name="Normal 65 2 2" xfId="2930"/>
    <cellStyle name="Normal 65 2 2 2" xfId="2931"/>
    <cellStyle name="Normal 65 2 3" xfId="2932"/>
    <cellStyle name="Normal 65 3" xfId="2933"/>
    <cellStyle name="Normal 65 3 2" xfId="2934"/>
    <cellStyle name="Normal 65 4" xfId="2935"/>
    <cellStyle name="Normal 66" xfId="2936"/>
    <cellStyle name="Normal 66 2" xfId="2937"/>
    <cellStyle name="Normal 66 2 2" xfId="2938"/>
    <cellStyle name="Normal 66 2 2 2" xfId="2939"/>
    <cellStyle name="Normal 66 2 3" xfId="2940"/>
    <cellStyle name="Normal 66 3" xfId="2941"/>
    <cellStyle name="Normal 66 3 2" xfId="2942"/>
    <cellStyle name="Normal 66 4" xfId="2943"/>
    <cellStyle name="Normal 67" xfId="2944"/>
    <cellStyle name="Normal 67 2" xfId="2945"/>
    <cellStyle name="Normal 67 2 2" xfId="2946"/>
    <cellStyle name="Normal 67 2 2 2" xfId="2947"/>
    <cellStyle name="Normal 67 2 3" xfId="2948"/>
    <cellStyle name="Normal 67 3" xfId="2949"/>
    <cellStyle name="Normal 67 3 2" xfId="2950"/>
    <cellStyle name="Normal 67 4" xfId="2951"/>
    <cellStyle name="Normal 68" xfId="2952"/>
    <cellStyle name="Normal 68 2" xfId="2953"/>
    <cellStyle name="Normal 68 2 2" xfId="2954"/>
    <cellStyle name="Normal 68 2 2 2" xfId="2955"/>
    <cellStyle name="Normal 68 2 3" xfId="2956"/>
    <cellStyle name="Normal 68 3" xfId="2957"/>
    <cellStyle name="Normal 68 3 2" xfId="2958"/>
    <cellStyle name="Normal 68 4" xfId="2959"/>
    <cellStyle name="Normal 69" xfId="2960"/>
    <cellStyle name="Normal 69 2" xfId="2961"/>
    <cellStyle name="Normal 69 2 2" xfId="2962"/>
    <cellStyle name="Normal 69 2 2 2" xfId="2963"/>
    <cellStyle name="Normal 69 2 3" xfId="2964"/>
    <cellStyle name="Normal 69 3" xfId="2965"/>
    <cellStyle name="Normal 69 3 2" xfId="2966"/>
    <cellStyle name="Normal 69 4" xfId="2967"/>
    <cellStyle name="Normal 7" xfId="2968"/>
    <cellStyle name="Normal 7 2" xfId="4995"/>
    <cellStyle name="Normal 70" xfId="2969"/>
    <cellStyle name="Normal 70 2" xfId="2970"/>
    <cellStyle name="Normal 70 2 2" xfId="2971"/>
    <cellStyle name="Normal 70 2 2 2" xfId="2972"/>
    <cellStyle name="Normal 70 2 3" xfId="2973"/>
    <cellStyle name="Normal 70 3" xfId="2974"/>
    <cellStyle name="Normal 70 3 2" xfId="2975"/>
    <cellStyle name="Normal 70 4" xfId="2976"/>
    <cellStyle name="Normal 71" xfId="2977"/>
    <cellStyle name="Normal 71 2" xfId="2978"/>
    <cellStyle name="Normal 71 2 2" xfId="2979"/>
    <cellStyle name="Normal 71 2 2 2" xfId="2980"/>
    <cellStyle name="Normal 71 2 3" xfId="2981"/>
    <cellStyle name="Normal 71 3" xfId="2982"/>
    <cellStyle name="Normal 71 3 2" xfId="2983"/>
    <cellStyle name="Normal 71 4" xfId="2984"/>
    <cellStyle name="Normal 72" xfId="2985"/>
    <cellStyle name="Normal 73" xfId="2986"/>
    <cellStyle name="Normal 73 2" xfId="2987"/>
    <cellStyle name="Normal 73 2 2" xfId="2988"/>
    <cellStyle name="Normal 73 2 2 2" xfId="2989"/>
    <cellStyle name="Normal 73 2 3" xfId="2990"/>
    <cellStyle name="Normal 73 3" xfId="2991"/>
    <cellStyle name="Normal 73 4" xfId="2992"/>
    <cellStyle name="Normal 73 4 2" xfId="2993"/>
    <cellStyle name="Normal 73 5" xfId="2994"/>
    <cellStyle name="Normal 74" xfId="2995"/>
    <cellStyle name="Normal 74 2" xfId="2996"/>
    <cellStyle name="Normal 74 2 2" xfId="2997"/>
    <cellStyle name="Normal 74 2 2 2" xfId="2998"/>
    <cellStyle name="Normal 74 2 3" xfId="2999"/>
    <cellStyle name="Normal 74 3" xfId="3000"/>
    <cellStyle name="Normal 74 4" xfId="3001"/>
    <cellStyle name="Normal 74 4 2" xfId="3002"/>
    <cellStyle name="Normal 74 5" xfId="3003"/>
    <cellStyle name="Normal 75" xfId="3004"/>
    <cellStyle name="Normal 75 2" xfId="3005"/>
    <cellStyle name="Normal 75 2 2" xfId="3006"/>
    <cellStyle name="Normal 75 2 2 2" xfId="3007"/>
    <cellStyle name="Normal 75 2 3" xfId="3008"/>
    <cellStyle name="Normal 75 3" xfId="3009"/>
    <cellStyle name="Normal 75 4" xfId="3010"/>
    <cellStyle name="Normal 75 4 2" xfId="3011"/>
    <cellStyle name="Normal 75 5" xfId="3012"/>
    <cellStyle name="Normal 76" xfId="3013"/>
    <cellStyle name="Normal 76 2" xfId="3014"/>
    <cellStyle name="Normal 76 2 2" xfId="3015"/>
    <cellStyle name="Normal 76 2 2 2" xfId="3016"/>
    <cellStyle name="Normal 76 2 3" xfId="3017"/>
    <cellStyle name="Normal 76 3" xfId="3018"/>
    <cellStyle name="Normal 76 4" xfId="3019"/>
    <cellStyle name="Normal 76 4 2" xfId="3020"/>
    <cellStyle name="Normal 76 5" xfId="3021"/>
    <cellStyle name="Normal 77" xfId="3022"/>
    <cellStyle name="Normal 78" xfId="3023"/>
    <cellStyle name="Normal 79" xfId="3024"/>
    <cellStyle name="Normal 8" xfId="3025"/>
    <cellStyle name="Normal 8 2" xfId="3026"/>
    <cellStyle name="Normal 8 2 2" xfId="3027"/>
    <cellStyle name="Normal 8 2 2 2" xfId="3028"/>
    <cellStyle name="Normal 8 2 3" xfId="3029"/>
    <cellStyle name="Normal 8 3" xfId="3030"/>
    <cellStyle name="Normal 8 3 2" xfId="3031"/>
    <cellStyle name="Normal 8 4" xfId="3032"/>
    <cellStyle name="Normal 80" xfId="3033"/>
    <cellStyle name="Normal 81" xfId="3034"/>
    <cellStyle name="Normal 82" xfId="3035"/>
    <cellStyle name="Normal 83" xfId="3036"/>
    <cellStyle name="Normal 84" xfId="3037"/>
    <cellStyle name="Normal 85" xfId="3038"/>
    <cellStyle name="Normal 86" xfId="3039"/>
    <cellStyle name="Normal 87" xfId="3040"/>
    <cellStyle name="Normal 88" xfId="3041"/>
    <cellStyle name="Normal 89" xfId="3042"/>
    <cellStyle name="Normal 9" xfId="3043"/>
    <cellStyle name="Normal 9 2" xfId="3044"/>
    <cellStyle name="Normal 9 2 2" xfId="3045"/>
    <cellStyle name="Normal 9 2 2 2" xfId="3046"/>
    <cellStyle name="Normal 9 2 3" xfId="3047"/>
    <cellStyle name="Normal 9 3" xfId="3048"/>
    <cellStyle name="Normal 9 3 2" xfId="3049"/>
    <cellStyle name="Normal 9 4" xfId="3050"/>
    <cellStyle name="Normal 90" xfId="3051"/>
    <cellStyle name="Normal 91" xfId="3052"/>
    <cellStyle name="Normal 92" xfId="3053"/>
    <cellStyle name="Normal 93" xfId="3054"/>
    <cellStyle name="Normal 94" xfId="3055"/>
    <cellStyle name="Normal 95" xfId="3056"/>
    <cellStyle name="Normal 96" xfId="3057"/>
    <cellStyle name="Normal 97" xfId="3058"/>
    <cellStyle name="Normal 97 2" xfId="3059"/>
    <cellStyle name="Normal 97 2 2" xfId="3060"/>
    <cellStyle name="Normal 97 2 2 2" xfId="3061"/>
    <cellStyle name="Normal 97 2 3" xfId="3062"/>
    <cellStyle name="Normal 97 3" xfId="3063"/>
    <cellStyle name="Normal 97 3 2" xfId="3064"/>
    <cellStyle name="Normal 97 4" xfId="3065"/>
    <cellStyle name="Normal 98" xfId="3066"/>
    <cellStyle name="Normal 98 2" xfId="3067"/>
    <cellStyle name="Normal 98 2 2" xfId="3068"/>
    <cellStyle name="Normal 98 2 2 2" xfId="3069"/>
    <cellStyle name="Normal 98 2 3" xfId="3070"/>
    <cellStyle name="Normal 98 3" xfId="3071"/>
    <cellStyle name="Normal 98 3 2" xfId="3072"/>
    <cellStyle name="Normal 98 4" xfId="3073"/>
    <cellStyle name="Normal 99" xfId="3074"/>
    <cellStyle name="Normal 99 2" xfId="3075"/>
    <cellStyle name="Normal 99 2 2" xfId="3076"/>
    <cellStyle name="Normal 99 2 2 2" xfId="3077"/>
    <cellStyle name="Normal 99 2 3" xfId="3078"/>
    <cellStyle name="Normal 99 3" xfId="3079"/>
    <cellStyle name="Normal 99 3 2" xfId="3080"/>
    <cellStyle name="Normal 99 4" xfId="3081"/>
    <cellStyle name="Normal_ sg&amp;a b" xfId="3082"/>
    <cellStyle name="Normal1" xfId="3083"/>
    <cellStyle name="Normal1 2" xfId="3084"/>
    <cellStyle name="Normal1 2 2" xfId="15314"/>
    <cellStyle name="Normal1 2 3" xfId="15315"/>
    <cellStyle name="Normal1 3" xfId="3085"/>
    <cellStyle name="Normal1 4" xfId="15316"/>
    <cellStyle name="Normal2" xfId="3086"/>
    <cellStyle name="Normal2 2" xfId="15317"/>
    <cellStyle name="Normal2 3" xfId="15318"/>
    <cellStyle name="Normal3" xfId="3087"/>
    <cellStyle name="Normal3 2" xfId="15319"/>
    <cellStyle name="Normal3 3" xfId="15320"/>
    <cellStyle name="Normal4" xfId="3088"/>
    <cellStyle name="Normal4 2" xfId="15321"/>
    <cellStyle name="Normal4 3" xfId="15322"/>
    <cellStyle name="Normale_FS1.XLS" xfId="3089"/>
    <cellStyle name="Note" xfId="3090"/>
    <cellStyle name="Note 10" xfId="15323"/>
    <cellStyle name="Note 10 2" xfId="15324"/>
    <cellStyle name="Note 10 2 2" xfId="15325"/>
    <cellStyle name="Note 10 2 2 2" xfId="29096"/>
    <cellStyle name="Note 10 2 3" xfId="29095"/>
    <cellStyle name="Note 10 3" xfId="15326"/>
    <cellStyle name="Note 10 3 2" xfId="15327"/>
    <cellStyle name="Note 10 3 2 2" xfId="29098"/>
    <cellStyle name="Note 10 3 3" xfId="29097"/>
    <cellStyle name="Note 10 4" xfId="15328"/>
    <cellStyle name="Note 10 4 2" xfId="15329"/>
    <cellStyle name="Note 10 4 2 2" xfId="29100"/>
    <cellStyle name="Note 10 4 3" xfId="29099"/>
    <cellStyle name="Note 10 5" xfId="15330"/>
    <cellStyle name="Note 10 5 2" xfId="29101"/>
    <cellStyle name="Note 10 6" xfId="29094"/>
    <cellStyle name="Note 11" xfId="15331"/>
    <cellStyle name="Note 11 2" xfId="15332"/>
    <cellStyle name="Note 11 2 2" xfId="15333"/>
    <cellStyle name="Note 11 2 2 2" xfId="29104"/>
    <cellStyle name="Note 11 2 3" xfId="29103"/>
    <cellStyle name="Note 11 3" xfId="15334"/>
    <cellStyle name="Note 11 3 2" xfId="15335"/>
    <cellStyle name="Note 11 3 2 2" xfId="29106"/>
    <cellStyle name="Note 11 3 3" xfId="29105"/>
    <cellStyle name="Note 11 4" xfId="15336"/>
    <cellStyle name="Note 11 4 2" xfId="15337"/>
    <cellStyle name="Note 11 4 2 2" xfId="29108"/>
    <cellStyle name="Note 11 4 3" xfId="29107"/>
    <cellStyle name="Note 11 5" xfId="15338"/>
    <cellStyle name="Note 11 5 2" xfId="29109"/>
    <cellStyle name="Note 11 6" xfId="29102"/>
    <cellStyle name="Note 12" xfId="15339"/>
    <cellStyle name="Note 12 2" xfId="15340"/>
    <cellStyle name="Note 12 2 2" xfId="15341"/>
    <cellStyle name="Note 12 2 2 2" xfId="29112"/>
    <cellStyle name="Note 12 2 3" xfId="29111"/>
    <cellStyle name="Note 12 3" xfId="15342"/>
    <cellStyle name="Note 12 3 2" xfId="15343"/>
    <cellStyle name="Note 12 3 2 2" xfId="29114"/>
    <cellStyle name="Note 12 3 3" xfId="29113"/>
    <cellStyle name="Note 12 4" xfId="15344"/>
    <cellStyle name="Note 12 4 2" xfId="15345"/>
    <cellStyle name="Note 12 4 2 2" xfId="29116"/>
    <cellStyle name="Note 12 4 3" xfId="29115"/>
    <cellStyle name="Note 12 5" xfId="15346"/>
    <cellStyle name="Note 12 5 2" xfId="29117"/>
    <cellStyle name="Note 12 6" xfId="29110"/>
    <cellStyle name="Note 13" xfId="15347"/>
    <cellStyle name="Note 13 2" xfId="15348"/>
    <cellStyle name="Note 13 2 2" xfId="15349"/>
    <cellStyle name="Note 13 2 2 2" xfId="29120"/>
    <cellStyle name="Note 13 2 3" xfId="29119"/>
    <cellStyle name="Note 13 3" xfId="15350"/>
    <cellStyle name="Note 13 3 2" xfId="15351"/>
    <cellStyle name="Note 13 3 2 2" xfId="29122"/>
    <cellStyle name="Note 13 3 3" xfId="29121"/>
    <cellStyle name="Note 13 4" xfId="15352"/>
    <cellStyle name="Note 13 4 2" xfId="15353"/>
    <cellStyle name="Note 13 4 2 2" xfId="29124"/>
    <cellStyle name="Note 13 4 3" xfId="29123"/>
    <cellStyle name="Note 13 5" xfId="15354"/>
    <cellStyle name="Note 13 5 2" xfId="29125"/>
    <cellStyle name="Note 13 6" xfId="29118"/>
    <cellStyle name="Note 14" xfId="15355"/>
    <cellStyle name="Note 14 2" xfId="15356"/>
    <cellStyle name="Note 14 2 2" xfId="15357"/>
    <cellStyle name="Note 14 2 2 2" xfId="29128"/>
    <cellStyle name="Note 14 2 3" xfId="29127"/>
    <cellStyle name="Note 14 3" xfId="15358"/>
    <cellStyle name="Note 14 3 2" xfId="15359"/>
    <cellStyle name="Note 14 3 2 2" xfId="29130"/>
    <cellStyle name="Note 14 3 3" xfId="29129"/>
    <cellStyle name="Note 14 4" xfId="15360"/>
    <cellStyle name="Note 14 4 2" xfId="15361"/>
    <cellStyle name="Note 14 4 2 2" xfId="29132"/>
    <cellStyle name="Note 14 4 3" xfId="29131"/>
    <cellStyle name="Note 14 5" xfId="15362"/>
    <cellStyle name="Note 14 5 2" xfId="29133"/>
    <cellStyle name="Note 14 6" xfId="29126"/>
    <cellStyle name="Note 15" xfId="15363"/>
    <cellStyle name="Note 15 2" xfId="15364"/>
    <cellStyle name="Note 15 2 2" xfId="15365"/>
    <cellStyle name="Note 15 2 2 2" xfId="29136"/>
    <cellStyle name="Note 15 2 3" xfId="29135"/>
    <cellStyle name="Note 15 3" xfId="15366"/>
    <cellStyle name="Note 15 3 2" xfId="15367"/>
    <cellStyle name="Note 15 3 2 2" xfId="29138"/>
    <cellStyle name="Note 15 3 3" xfId="29137"/>
    <cellStyle name="Note 15 4" xfId="15368"/>
    <cellStyle name="Note 15 4 2" xfId="15369"/>
    <cellStyle name="Note 15 4 2 2" xfId="29140"/>
    <cellStyle name="Note 15 4 3" xfId="29139"/>
    <cellStyle name="Note 15 5" xfId="15370"/>
    <cellStyle name="Note 15 5 2" xfId="29141"/>
    <cellStyle name="Note 15 6" xfId="29134"/>
    <cellStyle name="Note 16" xfId="15371"/>
    <cellStyle name="Note 16 2" xfId="15372"/>
    <cellStyle name="Note 16 2 2" xfId="15373"/>
    <cellStyle name="Note 16 2 2 2" xfId="29144"/>
    <cellStyle name="Note 16 2 3" xfId="29143"/>
    <cellStyle name="Note 16 3" xfId="15374"/>
    <cellStyle name="Note 16 3 2" xfId="15375"/>
    <cellStyle name="Note 16 3 2 2" xfId="29146"/>
    <cellStyle name="Note 16 3 3" xfId="29145"/>
    <cellStyle name="Note 16 4" xfId="15376"/>
    <cellStyle name="Note 16 4 2" xfId="15377"/>
    <cellStyle name="Note 16 4 2 2" xfId="29148"/>
    <cellStyle name="Note 16 4 3" xfId="29147"/>
    <cellStyle name="Note 16 5" xfId="15378"/>
    <cellStyle name="Note 16 5 2" xfId="29149"/>
    <cellStyle name="Note 16 6" xfId="29142"/>
    <cellStyle name="Note 17" xfId="15379"/>
    <cellStyle name="Note 17 2" xfId="15380"/>
    <cellStyle name="Note 17 2 2" xfId="15381"/>
    <cellStyle name="Note 17 2 2 2" xfId="29152"/>
    <cellStyle name="Note 17 2 3" xfId="29151"/>
    <cellStyle name="Note 17 3" xfId="15382"/>
    <cellStyle name="Note 17 3 2" xfId="15383"/>
    <cellStyle name="Note 17 3 2 2" xfId="29154"/>
    <cellStyle name="Note 17 3 3" xfId="29153"/>
    <cellStyle name="Note 17 4" xfId="15384"/>
    <cellStyle name="Note 17 4 2" xfId="15385"/>
    <cellStyle name="Note 17 4 2 2" xfId="29156"/>
    <cellStyle name="Note 17 4 3" xfId="29155"/>
    <cellStyle name="Note 17 5" xfId="15386"/>
    <cellStyle name="Note 17 5 2" xfId="29157"/>
    <cellStyle name="Note 17 6" xfId="29150"/>
    <cellStyle name="Note 18" xfId="15387"/>
    <cellStyle name="Note 18 2" xfId="15388"/>
    <cellStyle name="Note 18 2 2" xfId="29159"/>
    <cellStyle name="Note 18 3" xfId="29158"/>
    <cellStyle name="Note 19" xfId="15389"/>
    <cellStyle name="Note 19 2" xfId="15390"/>
    <cellStyle name="Note 19 2 2" xfId="29161"/>
    <cellStyle name="Note 19 3" xfId="29160"/>
    <cellStyle name="Note 2" xfId="3091"/>
    <cellStyle name="Note 2 2" xfId="3092"/>
    <cellStyle name="Note 2 2 2" xfId="3093"/>
    <cellStyle name="Note 2 2 3" xfId="3094"/>
    <cellStyle name="Note 2 3" xfId="3095"/>
    <cellStyle name="Note 2 3 2" xfId="15391"/>
    <cellStyle name="Note 2 3 2 2" xfId="29162"/>
    <cellStyle name="Note 2 3 3" xfId="27670"/>
    <cellStyle name="Note 2 4" xfId="3096"/>
    <cellStyle name="Note 2 4 2" xfId="15392"/>
    <cellStyle name="Note 2 4 2 2" xfId="29163"/>
    <cellStyle name="Note 2 5" xfId="15393"/>
    <cellStyle name="Note 2 5 2" xfId="29164"/>
    <cellStyle name="Note 20" xfId="15394"/>
    <cellStyle name="Note 20 2" xfId="15395"/>
    <cellStyle name="Note 20 2 2" xfId="29166"/>
    <cellStyle name="Note 20 3" xfId="29165"/>
    <cellStyle name="Note 21" xfId="15396"/>
    <cellStyle name="Note 21 2" xfId="15397"/>
    <cellStyle name="Note 21 2 2" xfId="29168"/>
    <cellStyle name="Note 21 3" xfId="29167"/>
    <cellStyle name="Note 22" xfId="15398"/>
    <cellStyle name="Note 22 2" xfId="29169"/>
    <cellStyle name="Note 23" xfId="27669"/>
    <cellStyle name="Note 3" xfId="3097"/>
    <cellStyle name="Note 3 2" xfId="15399"/>
    <cellStyle name="Note 3 2 2" xfId="15400"/>
    <cellStyle name="Note 3 2 2 2" xfId="29171"/>
    <cellStyle name="Note 3 2 3" xfId="29170"/>
    <cellStyle name="Note 3 3" xfId="15401"/>
    <cellStyle name="Note 3 3 2" xfId="15402"/>
    <cellStyle name="Note 3 3 2 2" xfId="29173"/>
    <cellStyle name="Note 3 3 3" xfId="29172"/>
    <cellStyle name="Note 3 4" xfId="15403"/>
    <cellStyle name="Note 3 4 2" xfId="15404"/>
    <cellStyle name="Note 3 4 2 2" xfId="29175"/>
    <cellStyle name="Note 3 4 3" xfId="29174"/>
    <cellStyle name="Note 3 5" xfId="15405"/>
    <cellStyle name="Note 3 5 2" xfId="29176"/>
    <cellStyle name="Note 3 6" xfId="27671"/>
    <cellStyle name="Note 4" xfId="3098"/>
    <cellStyle name="Note 4 2" xfId="15406"/>
    <cellStyle name="Note 4 2 2" xfId="15407"/>
    <cellStyle name="Note 4 2 2 2" xfId="29178"/>
    <cellStyle name="Note 4 2 3" xfId="29177"/>
    <cellStyle name="Note 4 3" xfId="15408"/>
    <cellStyle name="Note 4 3 2" xfId="15409"/>
    <cellStyle name="Note 4 3 2 2" xfId="29180"/>
    <cellStyle name="Note 4 3 3" xfId="29179"/>
    <cellStyle name="Note 4 4" xfId="15410"/>
    <cellStyle name="Note 4 4 2" xfId="15411"/>
    <cellStyle name="Note 4 4 2 2" xfId="29182"/>
    <cellStyle name="Note 4 4 3" xfId="29181"/>
    <cellStyle name="Note 4 5" xfId="15412"/>
    <cellStyle name="Note 4 5 2" xfId="29183"/>
    <cellStyle name="Note 4 6" xfId="27672"/>
    <cellStyle name="Note 5" xfId="3099"/>
    <cellStyle name="Note 5 2" xfId="15413"/>
    <cellStyle name="Note 5 2 2" xfId="15414"/>
    <cellStyle name="Note 5 2 2 2" xfId="29185"/>
    <cellStyle name="Note 5 2 3" xfId="29184"/>
    <cellStyle name="Note 5 3" xfId="15415"/>
    <cellStyle name="Note 5 3 2" xfId="15416"/>
    <cellStyle name="Note 5 3 2 2" xfId="29187"/>
    <cellStyle name="Note 5 3 3" xfId="29186"/>
    <cellStyle name="Note 5 4" xfId="15417"/>
    <cellStyle name="Note 5 4 2" xfId="15418"/>
    <cellStyle name="Note 5 4 2 2" xfId="29189"/>
    <cellStyle name="Note 5 4 3" xfId="29188"/>
    <cellStyle name="Note 5 5" xfId="15419"/>
    <cellStyle name="Note 5 5 2" xfId="29190"/>
    <cellStyle name="Note 5 6" xfId="27673"/>
    <cellStyle name="Note 6" xfId="3100"/>
    <cellStyle name="Note 6 2" xfId="15420"/>
    <cellStyle name="Note 6 2 2" xfId="15421"/>
    <cellStyle name="Note 6 2 2 2" xfId="29192"/>
    <cellStyle name="Note 6 2 3" xfId="29191"/>
    <cellStyle name="Note 6 3" xfId="15422"/>
    <cellStyle name="Note 6 3 2" xfId="15423"/>
    <cellStyle name="Note 6 3 2 2" xfId="29194"/>
    <cellStyle name="Note 6 3 3" xfId="29193"/>
    <cellStyle name="Note 6 4" xfId="15424"/>
    <cellStyle name="Note 6 4 2" xfId="15425"/>
    <cellStyle name="Note 6 4 2 2" xfId="29196"/>
    <cellStyle name="Note 6 4 3" xfId="29195"/>
    <cellStyle name="Note 6 5" xfId="15426"/>
    <cellStyle name="Note 6 5 2" xfId="29197"/>
    <cellStyle name="Note 6 6" xfId="27674"/>
    <cellStyle name="Note 7" xfId="15427"/>
    <cellStyle name="Note 7 2" xfId="15428"/>
    <cellStyle name="Note 7 2 2" xfId="15429"/>
    <cellStyle name="Note 7 2 2 2" xfId="29200"/>
    <cellStyle name="Note 7 2 3" xfId="29199"/>
    <cellStyle name="Note 7 3" xfId="15430"/>
    <cellStyle name="Note 7 3 2" xfId="15431"/>
    <cellStyle name="Note 7 3 2 2" xfId="29202"/>
    <cellStyle name="Note 7 3 3" xfId="29201"/>
    <cellStyle name="Note 7 4" xfId="15432"/>
    <cellStyle name="Note 7 4 2" xfId="15433"/>
    <cellStyle name="Note 7 4 2 2" xfId="29204"/>
    <cellStyle name="Note 7 4 3" xfId="29203"/>
    <cellStyle name="Note 7 5" xfId="15434"/>
    <cellStyle name="Note 7 5 2" xfId="29205"/>
    <cellStyle name="Note 7 6" xfId="29198"/>
    <cellStyle name="Note 8" xfId="15435"/>
    <cellStyle name="Note 8 2" xfId="15436"/>
    <cellStyle name="Note 8 2 2" xfId="15437"/>
    <cellStyle name="Note 8 2 2 2" xfId="29208"/>
    <cellStyle name="Note 8 2 3" xfId="29207"/>
    <cellStyle name="Note 8 3" xfId="15438"/>
    <cellStyle name="Note 8 3 2" xfId="15439"/>
    <cellStyle name="Note 8 3 2 2" xfId="29210"/>
    <cellStyle name="Note 8 3 3" xfId="29209"/>
    <cellStyle name="Note 8 4" xfId="15440"/>
    <cellStyle name="Note 8 4 2" xfId="15441"/>
    <cellStyle name="Note 8 4 2 2" xfId="29212"/>
    <cellStyle name="Note 8 4 3" xfId="29211"/>
    <cellStyle name="Note 8 5" xfId="15442"/>
    <cellStyle name="Note 8 5 2" xfId="29213"/>
    <cellStyle name="Note 8 6" xfId="29206"/>
    <cellStyle name="Note 9" xfId="15443"/>
    <cellStyle name="Note 9 2" xfId="15444"/>
    <cellStyle name="Note 9 2 2" xfId="15445"/>
    <cellStyle name="Note 9 2 2 2" xfId="29216"/>
    <cellStyle name="Note 9 2 3" xfId="29215"/>
    <cellStyle name="Note 9 3" xfId="15446"/>
    <cellStyle name="Note 9 3 2" xfId="15447"/>
    <cellStyle name="Note 9 3 2 2" xfId="29218"/>
    <cellStyle name="Note 9 3 3" xfId="29217"/>
    <cellStyle name="Note 9 4" xfId="15448"/>
    <cellStyle name="Note 9 4 2" xfId="15449"/>
    <cellStyle name="Note 9 4 2 2" xfId="29220"/>
    <cellStyle name="Note 9 4 3" xfId="29219"/>
    <cellStyle name="Note 9 5" xfId="15450"/>
    <cellStyle name="Note 9 5 2" xfId="29221"/>
    <cellStyle name="Note 9 6" xfId="29214"/>
    <cellStyle name="Note2" xfId="3101"/>
    <cellStyle name="Note2 2" xfId="15451"/>
    <cellStyle name="Note2 3" xfId="15452"/>
    <cellStyle name="Notes_multi" xfId="15453"/>
    <cellStyle name="Œ…?æ맖?? [0.00]_PRODUCT DETAIL Q1" xfId="3102"/>
    <cellStyle name="Œ…?æ맖??_PRODUCT DETAIL Q1" xfId="3103"/>
    <cellStyle name="Œ…?æ맖?e [0.00]_laroux" xfId="3104"/>
    <cellStyle name="Œ…?æ맖?e_laroux" xfId="3105"/>
    <cellStyle name="Œ…‹æØ‚è [0.00]_PRODUCT DETAIL Q1" xfId="3106"/>
    <cellStyle name="Œ…‹æØ‚è_PRODUCT DETAIL Q1" xfId="3107"/>
    <cellStyle name="oft Excel]_x000d__x000a_Comment=The open=/f lines load custom functions into the Paste Function list._x000d__x000a_Maximized=3_x000d__x000a_AutoFormat=" xfId="3108"/>
    <cellStyle name="oft Excel]_x000d__x000a_Comment=The open=/f lines load custom functions into the Paste Function list._x000d__x000a_Maximized=3_x000d__x000a_AutoFormat= 2" xfId="15454"/>
    <cellStyle name="oft Excel]_x000d__x000a_Comment=The open=/f lines load custom functions into the Paste Function list._x000d__x000a_Maximized=3_x000d__x000a_AutoFormat= 3" xfId="15455"/>
    <cellStyle name="Output" xfId="3109"/>
    <cellStyle name="Output 10" xfId="15456"/>
    <cellStyle name="Output 10 2" xfId="15457"/>
    <cellStyle name="Output 10 2 2" xfId="15458"/>
    <cellStyle name="Output 10 2 2 2" xfId="29224"/>
    <cellStyle name="Output 10 2 3" xfId="29223"/>
    <cellStyle name="Output 10 3" xfId="15459"/>
    <cellStyle name="Output 10 3 2" xfId="15460"/>
    <cellStyle name="Output 10 3 2 2" xfId="29226"/>
    <cellStyle name="Output 10 3 3" xfId="29225"/>
    <cellStyle name="Output 10 4" xfId="15461"/>
    <cellStyle name="Output 10 4 2" xfId="15462"/>
    <cellStyle name="Output 10 4 2 2" xfId="29228"/>
    <cellStyle name="Output 10 4 3" xfId="29227"/>
    <cellStyle name="Output 10 5" xfId="15463"/>
    <cellStyle name="Output 10 5 2" xfId="29229"/>
    <cellStyle name="Output 10 6" xfId="29222"/>
    <cellStyle name="Output 11" xfId="15464"/>
    <cellStyle name="Output 11 2" xfId="15465"/>
    <cellStyle name="Output 11 2 2" xfId="15466"/>
    <cellStyle name="Output 11 2 2 2" xfId="29232"/>
    <cellStyle name="Output 11 2 3" xfId="29231"/>
    <cellStyle name="Output 11 3" xfId="15467"/>
    <cellStyle name="Output 11 3 2" xfId="15468"/>
    <cellStyle name="Output 11 3 2 2" xfId="29234"/>
    <cellStyle name="Output 11 3 3" xfId="29233"/>
    <cellStyle name="Output 11 4" xfId="15469"/>
    <cellStyle name="Output 11 4 2" xfId="15470"/>
    <cellStyle name="Output 11 4 2 2" xfId="29236"/>
    <cellStyle name="Output 11 4 3" xfId="29235"/>
    <cellStyle name="Output 11 5" xfId="15471"/>
    <cellStyle name="Output 11 5 2" xfId="29237"/>
    <cellStyle name="Output 11 6" xfId="29230"/>
    <cellStyle name="Output 12" xfId="15472"/>
    <cellStyle name="Output 12 2" xfId="15473"/>
    <cellStyle name="Output 12 2 2" xfId="15474"/>
    <cellStyle name="Output 12 2 2 2" xfId="29240"/>
    <cellStyle name="Output 12 2 3" xfId="29239"/>
    <cellStyle name="Output 12 3" xfId="15475"/>
    <cellStyle name="Output 12 3 2" xfId="15476"/>
    <cellStyle name="Output 12 3 2 2" xfId="29242"/>
    <cellStyle name="Output 12 3 3" xfId="29241"/>
    <cellStyle name="Output 12 4" xfId="15477"/>
    <cellStyle name="Output 12 4 2" xfId="15478"/>
    <cellStyle name="Output 12 4 2 2" xfId="29244"/>
    <cellStyle name="Output 12 4 3" xfId="29243"/>
    <cellStyle name="Output 12 5" xfId="15479"/>
    <cellStyle name="Output 12 5 2" xfId="29245"/>
    <cellStyle name="Output 12 6" xfId="29238"/>
    <cellStyle name="Output 13" xfId="15480"/>
    <cellStyle name="Output 13 2" xfId="15481"/>
    <cellStyle name="Output 13 2 2" xfId="15482"/>
    <cellStyle name="Output 13 2 2 2" xfId="29248"/>
    <cellStyle name="Output 13 2 3" xfId="29247"/>
    <cellStyle name="Output 13 3" xfId="15483"/>
    <cellStyle name="Output 13 3 2" xfId="15484"/>
    <cellStyle name="Output 13 3 2 2" xfId="29250"/>
    <cellStyle name="Output 13 3 3" xfId="29249"/>
    <cellStyle name="Output 13 4" xfId="15485"/>
    <cellStyle name="Output 13 4 2" xfId="15486"/>
    <cellStyle name="Output 13 4 2 2" xfId="29252"/>
    <cellStyle name="Output 13 4 3" xfId="29251"/>
    <cellStyle name="Output 13 5" xfId="15487"/>
    <cellStyle name="Output 13 5 2" xfId="29253"/>
    <cellStyle name="Output 13 6" xfId="29246"/>
    <cellStyle name="Output 14" xfId="15488"/>
    <cellStyle name="Output 14 2" xfId="15489"/>
    <cellStyle name="Output 14 2 2" xfId="15490"/>
    <cellStyle name="Output 14 2 2 2" xfId="29256"/>
    <cellStyle name="Output 14 2 3" xfId="29255"/>
    <cellStyle name="Output 14 3" xfId="15491"/>
    <cellStyle name="Output 14 3 2" xfId="15492"/>
    <cellStyle name="Output 14 3 2 2" xfId="29258"/>
    <cellStyle name="Output 14 3 3" xfId="29257"/>
    <cellStyle name="Output 14 4" xfId="15493"/>
    <cellStyle name="Output 14 4 2" xfId="15494"/>
    <cellStyle name="Output 14 4 2 2" xfId="29260"/>
    <cellStyle name="Output 14 4 3" xfId="29259"/>
    <cellStyle name="Output 14 5" xfId="15495"/>
    <cellStyle name="Output 14 5 2" xfId="29261"/>
    <cellStyle name="Output 14 6" xfId="29254"/>
    <cellStyle name="Output 15" xfId="15496"/>
    <cellStyle name="Output 15 2" xfId="15497"/>
    <cellStyle name="Output 15 2 2" xfId="15498"/>
    <cellStyle name="Output 15 2 2 2" xfId="29264"/>
    <cellStyle name="Output 15 2 3" xfId="29263"/>
    <cellStyle name="Output 15 3" xfId="15499"/>
    <cellStyle name="Output 15 3 2" xfId="15500"/>
    <cellStyle name="Output 15 3 2 2" xfId="29266"/>
    <cellStyle name="Output 15 3 3" xfId="29265"/>
    <cellStyle name="Output 15 4" xfId="15501"/>
    <cellStyle name="Output 15 4 2" xfId="15502"/>
    <cellStyle name="Output 15 4 2 2" xfId="29268"/>
    <cellStyle name="Output 15 4 3" xfId="29267"/>
    <cellStyle name="Output 15 5" xfId="15503"/>
    <cellStyle name="Output 15 5 2" xfId="29269"/>
    <cellStyle name="Output 15 6" xfId="29262"/>
    <cellStyle name="Output 16" xfId="15504"/>
    <cellStyle name="Output 16 2" xfId="15505"/>
    <cellStyle name="Output 16 2 2" xfId="15506"/>
    <cellStyle name="Output 16 2 2 2" xfId="29272"/>
    <cellStyle name="Output 16 2 3" xfId="29271"/>
    <cellStyle name="Output 16 3" xfId="15507"/>
    <cellStyle name="Output 16 3 2" xfId="15508"/>
    <cellStyle name="Output 16 3 2 2" xfId="29274"/>
    <cellStyle name="Output 16 3 3" xfId="29273"/>
    <cellStyle name="Output 16 4" xfId="15509"/>
    <cellStyle name="Output 16 4 2" xfId="15510"/>
    <cellStyle name="Output 16 4 2 2" xfId="29276"/>
    <cellStyle name="Output 16 4 3" xfId="29275"/>
    <cellStyle name="Output 16 5" xfId="15511"/>
    <cellStyle name="Output 16 5 2" xfId="29277"/>
    <cellStyle name="Output 16 6" xfId="29270"/>
    <cellStyle name="Output 17" xfId="15512"/>
    <cellStyle name="Output 17 2" xfId="15513"/>
    <cellStyle name="Output 17 2 2" xfId="15514"/>
    <cellStyle name="Output 17 2 2 2" xfId="29280"/>
    <cellStyle name="Output 17 2 3" xfId="29279"/>
    <cellStyle name="Output 17 3" xfId="15515"/>
    <cellStyle name="Output 17 3 2" xfId="15516"/>
    <cellStyle name="Output 17 3 2 2" xfId="29282"/>
    <cellStyle name="Output 17 3 3" xfId="29281"/>
    <cellStyle name="Output 17 4" xfId="15517"/>
    <cellStyle name="Output 17 4 2" xfId="15518"/>
    <cellStyle name="Output 17 4 2 2" xfId="29284"/>
    <cellStyle name="Output 17 4 3" xfId="29283"/>
    <cellStyle name="Output 17 5" xfId="15519"/>
    <cellStyle name="Output 17 5 2" xfId="29285"/>
    <cellStyle name="Output 17 6" xfId="29278"/>
    <cellStyle name="Output 18" xfId="15520"/>
    <cellStyle name="Output 18 2" xfId="15521"/>
    <cellStyle name="Output 18 2 2" xfId="29287"/>
    <cellStyle name="Output 18 3" xfId="29286"/>
    <cellStyle name="Output 19" xfId="15522"/>
    <cellStyle name="Output 19 2" xfId="15523"/>
    <cellStyle name="Output 19 2 2" xfId="29289"/>
    <cellStyle name="Output 19 3" xfId="29288"/>
    <cellStyle name="Output 2" xfId="3110"/>
    <cellStyle name="Output 2 2" xfId="3111"/>
    <cellStyle name="Output 2 2 2" xfId="3112"/>
    <cellStyle name="Output 2 2 3" xfId="3113"/>
    <cellStyle name="Output 2 3" xfId="3114"/>
    <cellStyle name="Output 2 3 2" xfId="15524"/>
    <cellStyle name="Output 2 3 2 2" xfId="29290"/>
    <cellStyle name="Output 2 3 3" xfId="27676"/>
    <cellStyle name="Output 2 4" xfId="3115"/>
    <cellStyle name="Output 2 4 2" xfId="15525"/>
    <cellStyle name="Output 2 4 2 2" xfId="29291"/>
    <cellStyle name="Output 2 5" xfId="15526"/>
    <cellStyle name="Output 2 5 2" xfId="29292"/>
    <cellStyle name="Output 20" xfId="15527"/>
    <cellStyle name="Output 20 2" xfId="15528"/>
    <cellStyle name="Output 20 2 2" xfId="29294"/>
    <cellStyle name="Output 20 3" xfId="29293"/>
    <cellStyle name="Output 21" xfId="15529"/>
    <cellStyle name="Output 21 2" xfId="15530"/>
    <cellStyle name="Output 21 2 2" xfId="29296"/>
    <cellStyle name="Output 21 3" xfId="29295"/>
    <cellStyle name="Output 22" xfId="15531"/>
    <cellStyle name="Output 22 2" xfId="29297"/>
    <cellStyle name="Output 23" xfId="27675"/>
    <cellStyle name="Output 3" xfId="3116"/>
    <cellStyle name="Output 3 2" xfId="15532"/>
    <cellStyle name="Output 3 2 2" xfId="15533"/>
    <cellStyle name="Output 3 2 2 2" xfId="29299"/>
    <cellStyle name="Output 3 2 3" xfId="29298"/>
    <cellStyle name="Output 3 3" xfId="15534"/>
    <cellStyle name="Output 3 3 2" xfId="15535"/>
    <cellStyle name="Output 3 3 2 2" xfId="29301"/>
    <cellStyle name="Output 3 3 3" xfId="29300"/>
    <cellStyle name="Output 3 4" xfId="15536"/>
    <cellStyle name="Output 3 4 2" xfId="15537"/>
    <cellStyle name="Output 3 4 2 2" xfId="29303"/>
    <cellStyle name="Output 3 4 3" xfId="29302"/>
    <cellStyle name="Output 3 5" xfId="15538"/>
    <cellStyle name="Output 3 5 2" xfId="29304"/>
    <cellStyle name="Output 3 6" xfId="27677"/>
    <cellStyle name="Output 4" xfId="3117"/>
    <cellStyle name="Output 4 2" xfId="15539"/>
    <cellStyle name="Output 4 2 2" xfId="15540"/>
    <cellStyle name="Output 4 2 2 2" xfId="29306"/>
    <cellStyle name="Output 4 2 3" xfId="29305"/>
    <cellStyle name="Output 4 3" xfId="15541"/>
    <cellStyle name="Output 4 3 2" xfId="15542"/>
    <cellStyle name="Output 4 3 2 2" xfId="29308"/>
    <cellStyle name="Output 4 3 3" xfId="29307"/>
    <cellStyle name="Output 4 4" xfId="15543"/>
    <cellStyle name="Output 4 4 2" xfId="15544"/>
    <cellStyle name="Output 4 4 2 2" xfId="29310"/>
    <cellStyle name="Output 4 4 3" xfId="29309"/>
    <cellStyle name="Output 4 5" xfId="15545"/>
    <cellStyle name="Output 4 5 2" xfId="29311"/>
    <cellStyle name="Output 4 6" xfId="27678"/>
    <cellStyle name="Output 5" xfId="3118"/>
    <cellStyle name="Output 5 2" xfId="15546"/>
    <cellStyle name="Output 5 2 2" xfId="15547"/>
    <cellStyle name="Output 5 2 2 2" xfId="29313"/>
    <cellStyle name="Output 5 2 3" xfId="29312"/>
    <cellStyle name="Output 5 3" xfId="15548"/>
    <cellStyle name="Output 5 3 2" xfId="15549"/>
    <cellStyle name="Output 5 3 2 2" xfId="29315"/>
    <cellStyle name="Output 5 3 3" xfId="29314"/>
    <cellStyle name="Output 5 4" xfId="15550"/>
    <cellStyle name="Output 5 4 2" xfId="15551"/>
    <cellStyle name="Output 5 4 2 2" xfId="29317"/>
    <cellStyle name="Output 5 4 3" xfId="29316"/>
    <cellStyle name="Output 5 5" xfId="15552"/>
    <cellStyle name="Output 5 5 2" xfId="29318"/>
    <cellStyle name="Output 5 6" xfId="27679"/>
    <cellStyle name="Output 6" xfId="3119"/>
    <cellStyle name="Output 6 2" xfId="15553"/>
    <cellStyle name="Output 6 2 2" xfId="15554"/>
    <cellStyle name="Output 6 2 2 2" xfId="29320"/>
    <cellStyle name="Output 6 2 3" xfId="29319"/>
    <cellStyle name="Output 6 3" xfId="15555"/>
    <cellStyle name="Output 6 3 2" xfId="15556"/>
    <cellStyle name="Output 6 3 2 2" xfId="29322"/>
    <cellStyle name="Output 6 3 3" xfId="29321"/>
    <cellStyle name="Output 6 4" xfId="15557"/>
    <cellStyle name="Output 6 4 2" xfId="15558"/>
    <cellStyle name="Output 6 4 2 2" xfId="29324"/>
    <cellStyle name="Output 6 4 3" xfId="29323"/>
    <cellStyle name="Output 6 5" xfId="15559"/>
    <cellStyle name="Output 6 5 2" xfId="29325"/>
    <cellStyle name="Output 6 6" xfId="27680"/>
    <cellStyle name="Output 7" xfId="15560"/>
    <cellStyle name="Output 7 2" xfId="15561"/>
    <cellStyle name="Output 7 2 2" xfId="15562"/>
    <cellStyle name="Output 7 2 2 2" xfId="29328"/>
    <cellStyle name="Output 7 2 3" xfId="29327"/>
    <cellStyle name="Output 7 3" xfId="15563"/>
    <cellStyle name="Output 7 3 2" xfId="15564"/>
    <cellStyle name="Output 7 3 2 2" xfId="29330"/>
    <cellStyle name="Output 7 3 3" xfId="29329"/>
    <cellStyle name="Output 7 4" xfId="15565"/>
    <cellStyle name="Output 7 4 2" xfId="15566"/>
    <cellStyle name="Output 7 4 2 2" xfId="29332"/>
    <cellStyle name="Output 7 4 3" xfId="29331"/>
    <cellStyle name="Output 7 5" xfId="15567"/>
    <cellStyle name="Output 7 5 2" xfId="29333"/>
    <cellStyle name="Output 7 6" xfId="29326"/>
    <cellStyle name="Output 8" xfId="15568"/>
    <cellStyle name="Output 8 2" xfId="15569"/>
    <cellStyle name="Output 8 2 2" xfId="15570"/>
    <cellStyle name="Output 8 2 2 2" xfId="29336"/>
    <cellStyle name="Output 8 2 3" xfId="29335"/>
    <cellStyle name="Output 8 3" xfId="15571"/>
    <cellStyle name="Output 8 3 2" xfId="15572"/>
    <cellStyle name="Output 8 3 2 2" xfId="29338"/>
    <cellStyle name="Output 8 3 3" xfId="29337"/>
    <cellStyle name="Output 8 4" xfId="15573"/>
    <cellStyle name="Output 8 4 2" xfId="15574"/>
    <cellStyle name="Output 8 4 2 2" xfId="29340"/>
    <cellStyle name="Output 8 4 3" xfId="29339"/>
    <cellStyle name="Output 8 5" xfId="15575"/>
    <cellStyle name="Output 8 5 2" xfId="29341"/>
    <cellStyle name="Output 8 6" xfId="29334"/>
    <cellStyle name="Output 9" xfId="15576"/>
    <cellStyle name="Output 9 2" xfId="15577"/>
    <cellStyle name="Output 9 2 2" xfId="15578"/>
    <cellStyle name="Output 9 2 2 2" xfId="29344"/>
    <cellStyle name="Output 9 2 3" xfId="29343"/>
    <cellStyle name="Output 9 3" xfId="15579"/>
    <cellStyle name="Output 9 3 2" xfId="15580"/>
    <cellStyle name="Output 9 3 2 2" xfId="29346"/>
    <cellStyle name="Output 9 3 3" xfId="29345"/>
    <cellStyle name="Output 9 4" xfId="15581"/>
    <cellStyle name="Output 9 4 2" xfId="15582"/>
    <cellStyle name="Output 9 4 2 2" xfId="29348"/>
    <cellStyle name="Output 9 4 3" xfId="29347"/>
    <cellStyle name="Output 9 5" xfId="15583"/>
    <cellStyle name="Output 9 5 2" xfId="29349"/>
    <cellStyle name="Output 9 6" xfId="29342"/>
    <cellStyle name="Output Amounts" xfId="3120"/>
    <cellStyle name="Output Column Headings" xfId="3121"/>
    <cellStyle name="Output Column Headings 2" xfId="15584"/>
    <cellStyle name="Output Column Headings 2 2" xfId="15585"/>
    <cellStyle name="Output Column Headings 2 3" xfId="15586"/>
    <cellStyle name="Output Column Headings 3" xfId="15587"/>
    <cellStyle name="Output Column Headings 4" xfId="15588"/>
    <cellStyle name="Output Line Items" xfId="3122"/>
    <cellStyle name="Output Line Items 2" xfId="15589"/>
    <cellStyle name="Output Line Items 2 2" xfId="15590"/>
    <cellStyle name="Output Line Items 2 3" xfId="15591"/>
    <cellStyle name="Output Line Items 3" xfId="15592"/>
    <cellStyle name="Output Line Items 4" xfId="15593"/>
    <cellStyle name="Output Report Heading" xfId="3123"/>
    <cellStyle name="Output Report Heading 2" xfId="15594"/>
    <cellStyle name="Output Report Heading 2 2" xfId="15595"/>
    <cellStyle name="Output Report Heading 2 3" xfId="15596"/>
    <cellStyle name="Output Report Heading 3" xfId="15597"/>
    <cellStyle name="Output Report Heading 4" xfId="15598"/>
    <cellStyle name="Output Report Title" xfId="3124"/>
    <cellStyle name="Output Report Title 2" xfId="15599"/>
    <cellStyle name="Output Report Title 2 2" xfId="15600"/>
    <cellStyle name="Output Report Title 2 3" xfId="15601"/>
    <cellStyle name="Output Report Title 3" xfId="15602"/>
    <cellStyle name="Output Report Title 4" xfId="15603"/>
    <cellStyle name="Output_2010-3 매각대상차주(총괄_최부_20101021)" xfId="3125"/>
    <cellStyle name="Page Number" xfId="3126"/>
    <cellStyle name="PageSubtitle" xfId="3127"/>
    <cellStyle name="PageSubtitle 2" xfId="15604"/>
    <cellStyle name="PageSubtitle 3" xfId="15605"/>
    <cellStyle name="PageTitle" xfId="3128"/>
    <cellStyle name="PageTitle 10" xfId="15606"/>
    <cellStyle name="PageTitle 10 2" xfId="15607"/>
    <cellStyle name="PageTitle 11" xfId="15608"/>
    <cellStyle name="PageTitle 11 2" xfId="15609"/>
    <cellStyle name="PageTitle 12" xfId="15610"/>
    <cellStyle name="PageTitle 12 2" xfId="15611"/>
    <cellStyle name="PageTitle 13" xfId="15612"/>
    <cellStyle name="PageTitle 13 2" xfId="15613"/>
    <cellStyle name="PageTitle 14" xfId="15614"/>
    <cellStyle name="PageTitle 14 2" xfId="15615"/>
    <cellStyle name="PageTitle 15" xfId="15616"/>
    <cellStyle name="PageTitle 15 2" xfId="15617"/>
    <cellStyle name="PageTitle 15 2 2" xfId="15618"/>
    <cellStyle name="PageTitle 15 3" xfId="15619"/>
    <cellStyle name="PageTitle 15 3 2" xfId="15620"/>
    <cellStyle name="PageTitle 15 4" xfId="15621"/>
    <cellStyle name="PageTitle 15 4 2" xfId="15622"/>
    <cellStyle name="PageTitle 15 5" xfId="15623"/>
    <cellStyle name="PageTitle 16" xfId="15624"/>
    <cellStyle name="PageTitle 16 2" xfId="15625"/>
    <cellStyle name="PageTitle 16 2 2" xfId="15626"/>
    <cellStyle name="PageTitle 16 3" xfId="15627"/>
    <cellStyle name="PageTitle 16 3 2" xfId="15628"/>
    <cellStyle name="PageTitle 16 4" xfId="15629"/>
    <cellStyle name="PageTitle 16 4 2" xfId="15630"/>
    <cellStyle name="PageTitle 16 5" xfId="15631"/>
    <cellStyle name="PageTitle 17" xfId="15632"/>
    <cellStyle name="PageTitle 17 2" xfId="15633"/>
    <cellStyle name="PageTitle 17 2 2" xfId="15634"/>
    <cellStyle name="PageTitle 17 3" xfId="15635"/>
    <cellStyle name="PageTitle 17 3 2" xfId="15636"/>
    <cellStyle name="PageTitle 17 4" xfId="15637"/>
    <cellStyle name="PageTitle 17 4 2" xfId="15638"/>
    <cellStyle name="PageTitle 17 5" xfId="15639"/>
    <cellStyle name="PageTitle 18" xfId="15640"/>
    <cellStyle name="PageTitle 2" xfId="15641"/>
    <cellStyle name="PageTitle 2 2" xfId="15642"/>
    <cellStyle name="PageTitle 2 2 2" xfId="15643"/>
    <cellStyle name="PageTitle 2 3" xfId="15644"/>
    <cellStyle name="PageTitle 2 3 2" xfId="15645"/>
    <cellStyle name="PageTitle 2 4" xfId="15646"/>
    <cellStyle name="PageTitle 2 4 2" xfId="15647"/>
    <cellStyle name="PageTitle 2 5" xfId="15648"/>
    <cellStyle name="PageTitle 3" xfId="15649"/>
    <cellStyle name="PageTitle 3 2" xfId="15650"/>
    <cellStyle name="PageTitle 4" xfId="15651"/>
    <cellStyle name="PageTitle 4 2" xfId="15652"/>
    <cellStyle name="PageTitle 5" xfId="15653"/>
    <cellStyle name="PageTitle 5 2" xfId="15654"/>
    <cellStyle name="PageTitle 6" xfId="15655"/>
    <cellStyle name="PageTitle 6 2" xfId="15656"/>
    <cellStyle name="PageTitle 7" xfId="15657"/>
    <cellStyle name="PageTitle 7 2" xfId="15658"/>
    <cellStyle name="PageTitle 8" xfId="15659"/>
    <cellStyle name="PageTitle 8 2" xfId="15660"/>
    <cellStyle name="PageTitle 9" xfId="15661"/>
    <cellStyle name="PageTitle 9 2" xfId="15662"/>
    <cellStyle name="PARK" xfId="3129"/>
    <cellStyle name="Percent" xfId="3130"/>
    <cellStyle name="Percent (0)" xfId="3131"/>
    <cellStyle name="Percent [2]" xfId="3132"/>
    <cellStyle name="Percent [2] 2" xfId="3133"/>
    <cellStyle name="Percent [2] 3" xfId="3134"/>
    <cellStyle name="Percent 10" xfId="3135"/>
    <cellStyle name="Percent 11" xfId="3136"/>
    <cellStyle name="Percent 12" xfId="3137"/>
    <cellStyle name="Percent 13" xfId="3138"/>
    <cellStyle name="Percent 14" xfId="3139"/>
    <cellStyle name="Percent 15" xfId="3140"/>
    <cellStyle name="Percent 16" xfId="3141"/>
    <cellStyle name="Percent 17" xfId="3142"/>
    <cellStyle name="Percent 18" xfId="3143"/>
    <cellStyle name="Percent 19" xfId="3144"/>
    <cellStyle name="Percent 2" xfId="3145"/>
    <cellStyle name="Percent 2 2" xfId="3146"/>
    <cellStyle name="Percent 2 2 2" xfId="15663"/>
    <cellStyle name="Percent 2 2 2 2" xfId="15664"/>
    <cellStyle name="Percent 2 2 3" xfId="15665"/>
    <cellStyle name="Percent 2 3" xfId="3147"/>
    <cellStyle name="Percent 2 3 2" xfId="15666"/>
    <cellStyle name="Percent 2 4" xfId="3148"/>
    <cellStyle name="Percent 2 5" xfId="3149"/>
    <cellStyle name="Percent 2 6" xfId="3150"/>
    <cellStyle name="Percent 2 7" xfId="3151"/>
    <cellStyle name="Percent 2 8" xfId="15667"/>
    <cellStyle name="Percent 20" xfId="3152"/>
    <cellStyle name="Percent 21" xfId="3153"/>
    <cellStyle name="Percent 22" xfId="3154"/>
    <cellStyle name="Percent 23" xfId="3155"/>
    <cellStyle name="Percent 24" xfId="3156"/>
    <cellStyle name="Percent 25" xfId="3157"/>
    <cellStyle name="Percent 26" xfId="3158"/>
    <cellStyle name="Percent 27" xfId="3159"/>
    <cellStyle name="Percent 28" xfId="3160"/>
    <cellStyle name="Percent 29" xfId="3161"/>
    <cellStyle name="Percent 3" xfId="3162"/>
    <cellStyle name="Percent 3 2" xfId="3163"/>
    <cellStyle name="Percent 3 2 2" xfId="3164"/>
    <cellStyle name="Percent 3 2 2 2" xfId="3165"/>
    <cellStyle name="Percent 3 2 3" xfId="3166"/>
    <cellStyle name="Percent 3 3" xfId="3167"/>
    <cellStyle name="Percent 3 4" xfId="3168"/>
    <cellStyle name="Percent 3 4 2" xfId="3169"/>
    <cellStyle name="Percent 3 5" xfId="3170"/>
    <cellStyle name="Percent 3 6" xfId="3171"/>
    <cellStyle name="Percent 30" xfId="3172"/>
    <cellStyle name="Percent 30 2" xfId="3173"/>
    <cellStyle name="Percent 30 3" xfId="3174"/>
    <cellStyle name="Percent 31" xfId="3175"/>
    <cellStyle name="Percent 31 2" xfId="3176"/>
    <cellStyle name="Percent 31 3" xfId="3177"/>
    <cellStyle name="Percent 32" xfId="3178"/>
    <cellStyle name="Percent 32 2" xfId="3179"/>
    <cellStyle name="Percent 32 3" xfId="3180"/>
    <cellStyle name="Percent 33" xfId="3181"/>
    <cellStyle name="Percent 34" xfId="3182"/>
    <cellStyle name="Percent 35" xfId="3183"/>
    <cellStyle name="Percent 36" xfId="3184"/>
    <cellStyle name="Percent 36 2" xfId="3185"/>
    <cellStyle name="Percent 36 3" xfId="3186"/>
    <cellStyle name="Percent 37" xfId="3187"/>
    <cellStyle name="Percent 37 2" xfId="3188"/>
    <cellStyle name="Percent 37 3" xfId="3189"/>
    <cellStyle name="Percent 37 4" xfId="3190"/>
    <cellStyle name="Percent 38" xfId="3191"/>
    <cellStyle name="Percent 39" xfId="3192"/>
    <cellStyle name="Percent 4" xfId="3193"/>
    <cellStyle name="Percent 4 2" xfId="3194"/>
    <cellStyle name="Percent 4 2 2" xfId="3195"/>
    <cellStyle name="Percent 4 2 2 2" xfId="3196"/>
    <cellStyle name="Percent 4 2 3" xfId="3197"/>
    <cellStyle name="Percent 4 3" xfId="3198"/>
    <cellStyle name="Percent 4 4" xfId="3199"/>
    <cellStyle name="Percent 4 4 2" xfId="3200"/>
    <cellStyle name="Percent 4 5" xfId="3201"/>
    <cellStyle name="Percent 40" xfId="3202"/>
    <cellStyle name="Percent 41" xfId="3203"/>
    <cellStyle name="Percent 41 2" xfId="3204"/>
    <cellStyle name="Percent 42" xfId="3205"/>
    <cellStyle name="Percent 43" xfId="3206"/>
    <cellStyle name="Percent 44" xfId="3207"/>
    <cellStyle name="Percent 45" xfId="3208"/>
    <cellStyle name="Percent 46" xfId="3209"/>
    <cellStyle name="Percent 47" xfId="3210"/>
    <cellStyle name="Percent 48" xfId="3211"/>
    <cellStyle name="Percent 49" xfId="3212"/>
    <cellStyle name="Percent 5" xfId="3213"/>
    <cellStyle name="Percent 50" xfId="3214"/>
    <cellStyle name="Percent 51" xfId="3215"/>
    <cellStyle name="Percent 52" xfId="3216"/>
    <cellStyle name="Percent 53" xfId="3217"/>
    <cellStyle name="Percent 54" xfId="3218"/>
    <cellStyle name="Percent 55" xfId="3219"/>
    <cellStyle name="Percent 56" xfId="3220"/>
    <cellStyle name="Percent 57" xfId="3221"/>
    <cellStyle name="Percent 58" xfId="3222"/>
    <cellStyle name="Percent 59" xfId="3223"/>
    <cellStyle name="Percent 6" xfId="3224"/>
    <cellStyle name="Percent 6 2" xfId="3225"/>
    <cellStyle name="Percent 6 2 2" xfId="3226"/>
    <cellStyle name="Percent 6 2 2 2" xfId="3227"/>
    <cellStyle name="Percent 6 2 3" xfId="3228"/>
    <cellStyle name="Percent 6 3" xfId="3229"/>
    <cellStyle name="Percent 6 4" xfId="3230"/>
    <cellStyle name="Percent 6 4 2" xfId="3231"/>
    <cellStyle name="Percent 6 5" xfId="3232"/>
    <cellStyle name="Percent 60" xfId="3233"/>
    <cellStyle name="Percent 61" xfId="3234"/>
    <cellStyle name="Percent 62" xfId="3235"/>
    <cellStyle name="Percent 63" xfId="3236"/>
    <cellStyle name="Percent 64" xfId="3237"/>
    <cellStyle name="Percent 65" xfId="3238"/>
    <cellStyle name="Percent 66" xfId="3239"/>
    <cellStyle name="Percent 67" xfId="3240"/>
    <cellStyle name="Percent 68" xfId="3241"/>
    <cellStyle name="Percent 69" xfId="3242"/>
    <cellStyle name="Percent 7" xfId="3243"/>
    <cellStyle name="Percent 70" xfId="3244"/>
    <cellStyle name="Percent 71" xfId="3245"/>
    <cellStyle name="Percent 72" xfId="3246"/>
    <cellStyle name="Percent 73" xfId="3247"/>
    <cellStyle name="Percent 74" xfId="3248"/>
    <cellStyle name="Percent 75" xfId="3249"/>
    <cellStyle name="Percent 76" xfId="3250"/>
    <cellStyle name="Percent 77" xfId="3251"/>
    <cellStyle name="Percent 78" xfId="3252"/>
    <cellStyle name="Percent 79" xfId="3253"/>
    <cellStyle name="Percent 8" xfId="3254"/>
    <cellStyle name="Percent 80" xfId="3255"/>
    <cellStyle name="Percent 81" xfId="3256"/>
    <cellStyle name="Percent 82" xfId="3257"/>
    <cellStyle name="Percent 83" xfId="3258"/>
    <cellStyle name="Percent 84" xfId="3259"/>
    <cellStyle name="Percent 85" xfId="3260"/>
    <cellStyle name="Percent 87" xfId="3261"/>
    <cellStyle name="Percent 9" xfId="3262"/>
    <cellStyle name="Percent_02엘지카드(최종)" xfId="3263"/>
    <cellStyle name="Percent0" xfId="3264"/>
    <cellStyle name="Percent2" xfId="15668"/>
    <cellStyle name="process_applicable" xfId="3265"/>
    <cellStyle name="PSChar" xfId="3266"/>
    <cellStyle name="PSChar 2" xfId="15669"/>
    <cellStyle name="PSChar 3" xfId="15670"/>
    <cellStyle name="RevList" xfId="3267"/>
    <cellStyle name="s]_x000d__x000a_run=c:\Hedgehog\app31.exe_x000d__x000a_spooler=yes_x000d__x000a_load=_x000d__x000a_run=_x000d__x000a_Beep=yes_x000d__x000a_NullPort=None_x000d__x000a_BorderWidth=3_x000d__x000a_CursorBlinkRate=530_x000d__x000a_D" xfId="3268"/>
    <cellStyle name="s]_x000d__x000a_run=c:\Hedgehog\app31.exe_x000d__x000a_spooler=yes_x000d__x000a_load=_x000d__x000a_run=_x000d__x000a_Beep=yes_x000d__x000a_NullPort=None_x000d__x000a_BorderWidth=3_x000d__x000a_CursorBlinkRate=530_x000d__x000a_D 2" xfId="15671"/>
    <cellStyle name="s]_x000d__x000a_run=c:\Hedgehog\app31.exe_x000d__x000a_spooler=yes_x000d__x000a_load=_x000d__x000a_run=_x000d__x000a_Beep=yes_x000d__x000a_NullPort=None_x000d__x000a_BorderWidth=3_x000d__x000a_CursorBlinkRate=530_x000d__x000a_D 3" xfId="15672"/>
    <cellStyle name="s]_x000d__x000a_spooler=yes_x000d__x000a_load=_x000d__x000a_run=d:\secrets2\plugin\plugin.exe_x000d__x000a_Beep=yes_x000d__x000a_NullPort=None_x000d__x000a_BorderWidth=3_x000d__x000a_CursorBlinkRate=530_x000d_" xfId="3269"/>
    <cellStyle name="s]_x000d__x000a_spooler=yes_x000d__x000a_load=_x000d__x000a_run=d:\secrets2\plugin\plugin.exe_x000d__x000a_Beep=yes_x000d__x000a_NullPort=None_x000d__x000a_BorderWidth=3_x000d__x000a_CursorBlinkRate=530_x000d_ 2" xfId="15673"/>
    <cellStyle name="s]_x000d__x000a_spooler=yes_x000d__x000a_load=_x000d__x000a_run=d:\secrets2\plugin\plugin.exe_x000d__x000a_Beep=yes_x000d__x000a_NullPort=None_x000d__x000a_BorderWidth=3_x000d__x000a_CursorBlinkRate=530_x000d_ 3" xfId="15674"/>
    <cellStyle name="single" xfId="15675"/>
    <cellStyle name="Single Accounting" xfId="3270"/>
    <cellStyle name="Single Cell Column Heading" xfId="15676"/>
    <cellStyle name="Single Cell Column Heading 2" xfId="15677"/>
    <cellStyle name="Single Cell Column Heading 3" xfId="15678"/>
    <cellStyle name="Standard" xfId="3271"/>
    <cellStyle name="step" xfId="3272"/>
    <cellStyle name="step 10" xfId="15679"/>
    <cellStyle name="step 10 2" xfId="15680"/>
    <cellStyle name="step 10 2 2" xfId="15681"/>
    <cellStyle name="step 10 2 2 2" xfId="29352"/>
    <cellStyle name="step 10 2 3" xfId="29351"/>
    <cellStyle name="step 10 3" xfId="15682"/>
    <cellStyle name="step 10 3 2" xfId="15683"/>
    <cellStyle name="step 10 3 2 2" xfId="29354"/>
    <cellStyle name="step 10 3 3" xfId="29353"/>
    <cellStyle name="step 10 4" xfId="15684"/>
    <cellStyle name="step 10 4 2" xfId="15685"/>
    <cellStyle name="step 10 4 2 2" xfId="29356"/>
    <cellStyle name="step 10 4 3" xfId="29355"/>
    <cellStyle name="step 10 5" xfId="15686"/>
    <cellStyle name="step 10 5 2" xfId="29357"/>
    <cellStyle name="step 10 6" xfId="29350"/>
    <cellStyle name="step 11" xfId="15687"/>
    <cellStyle name="step 11 2" xfId="15688"/>
    <cellStyle name="step 11 2 2" xfId="15689"/>
    <cellStyle name="step 11 2 2 2" xfId="29360"/>
    <cellStyle name="step 11 2 3" xfId="29359"/>
    <cellStyle name="step 11 3" xfId="15690"/>
    <cellStyle name="step 11 3 2" xfId="15691"/>
    <cellStyle name="step 11 3 2 2" xfId="29362"/>
    <cellStyle name="step 11 3 3" xfId="29361"/>
    <cellStyle name="step 11 4" xfId="15692"/>
    <cellStyle name="step 11 4 2" xfId="15693"/>
    <cellStyle name="step 11 4 2 2" xfId="29364"/>
    <cellStyle name="step 11 4 3" xfId="29363"/>
    <cellStyle name="step 11 5" xfId="15694"/>
    <cellStyle name="step 11 5 2" xfId="29365"/>
    <cellStyle name="step 11 6" xfId="29358"/>
    <cellStyle name="step 12" xfId="15695"/>
    <cellStyle name="step 12 2" xfId="15696"/>
    <cellStyle name="step 12 2 2" xfId="15697"/>
    <cellStyle name="step 12 2 2 2" xfId="29368"/>
    <cellStyle name="step 12 2 3" xfId="29367"/>
    <cellStyle name="step 12 3" xfId="15698"/>
    <cellStyle name="step 12 3 2" xfId="15699"/>
    <cellStyle name="step 12 3 2 2" xfId="29370"/>
    <cellStyle name="step 12 3 3" xfId="29369"/>
    <cellStyle name="step 12 4" xfId="15700"/>
    <cellStyle name="step 12 4 2" xfId="15701"/>
    <cellStyle name="step 12 4 2 2" xfId="29372"/>
    <cellStyle name="step 12 4 3" xfId="29371"/>
    <cellStyle name="step 12 5" xfId="15702"/>
    <cellStyle name="step 12 5 2" xfId="29373"/>
    <cellStyle name="step 12 6" xfId="29366"/>
    <cellStyle name="step 13" xfId="15703"/>
    <cellStyle name="step 13 2" xfId="15704"/>
    <cellStyle name="step 13 2 2" xfId="15705"/>
    <cellStyle name="step 13 2 2 2" xfId="29376"/>
    <cellStyle name="step 13 2 3" xfId="29375"/>
    <cellStyle name="step 13 3" xfId="15706"/>
    <cellStyle name="step 13 3 2" xfId="15707"/>
    <cellStyle name="step 13 3 2 2" xfId="29378"/>
    <cellStyle name="step 13 3 3" xfId="29377"/>
    <cellStyle name="step 13 4" xfId="15708"/>
    <cellStyle name="step 13 4 2" xfId="15709"/>
    <cellStyle name="step 13 4 2 2" xfId="29380"/>
    <cellStyle name="step 13 4 3" xfId="29379"/>
    <cellStyle name="step 13 5" xfId="15710"/>
    <cellStyle name="step 13 5 2" xfId="29381"/>
    <cellStyle name="step 13 6" xfId="29374"/>
    <cellStyle name="step 14" xfId="15711"/>
    <cellStyle name="step 14 2" xfId="15712"/>
    <cellStyle name="step 14 2 2" xfId="15713"/>
    <cellStyle name="step 14 2 2 2" xfId="29384"/>
    <cellStyle name="step 14 2 3" xfId="29383"/>
    <cellStyle name="step 14 3" xfId="15714"/>
    <cellStyle name="step 14 3 2" xfId="15715"/>
    <cellStyle name="step 14 3 2 2" xfId="29386"/>
    <cellStyle name="step 14 3 3" xfId="29385"/>
    <cellStyle name="step 14 4" xfId="15716"/>
    <cellStyle name="step 14 4 2" xfId="15717"/>
    <cellStyle name="step 14 4 2 2" xfId="29388"/>
    <cellStyle name="step 14 4 3" xfId="29387"/>
    <cellStyle name="step 14 5" xfId="15718"/>
    <cellStyle name="step 14 5 2" xfId="29389"/>
    <cellStyle name="step 14 6" xfId="29382"/>
    <cellStyle name="step 15" xfId="15719"/>
    <cellStyle name="step 15 2" xfId="15720"/>
    <cellStyle name="step 15 2 2" xfId="15721"/>
    <cellStyle name="step 15 2 2 2" xfId="29392"/>
    <cellStyle name="step 15 2 3" xfId="29391"/>
    <cellStyle name="step 15 3" xfId="15722"/>
    <cellStyle name="step 15 3 2" xfId="15723"/>
    <cellStyle name="step 15 3 2 2" xfId="29394"/>
    <cellStyle name="step 15 3 3" xfId="29393"/>
    <cellStyle name="step 15 4" xfId="15724"/>
    <cellStyle name="step 15 4 2" xfId="15725"/>
    <cellStyle name="step 15 4 2 2" xfId="29396"/>
    <cellStyle name="step 15 4 3" xfId="29395"/>
    <cellStyle name="step 15 5" xfId="15726"/>
    <cellStyle name="step 15 5 2" xfId="29397"/>
    <cellStyle name="step 15 6" xfId="29390"/>
    <cellStyle name="step 16" xfId="15727"/>
    <cellStyle name="step 16 2" xfId="15728"/>
    <cellStyle name="step 16 2 2" xfId="15729"/>
    <cellStyle name="step 16 2 2 2" xfId="29400"/>
    <cellStyle name="step 16 2 3" xfId="29399"/>
    <cellStyle name="step 16 3" xfId="15730"/>
    <cellStyle name="step 16 3 2" xfId="15731"/>
    <cellStyle name="step 16 3 2 2" xfId="29402"/>
    <cellStyle name="step 16 3 3" xfId="29401"/>
    <cellStyle name="step 16 4" xfId="15732"/>
    <cellStyle name="step 16 4 2" xfId="15733"/>
    <cellStyle name="step 16 4 2 2" xfId="29404"/>
    <cellStyle name="step 16 4 3" xfId="29403"/>
    <cellStyle name="step 16 5" xfId="15734"/>
    <cellStyle name="step 16 5 2" xfId="29405"/>
    <cellStyle name="step 16 6" xfId="29398"/>
    <cellStyle name="step 17" xfId="15735"/>
    <cellStyle name="step 17 2" xfId="15736"/>
    <cellStyle name="step 17 2 2" xfId="15737"/>
    <cellStyle name="step 17 2 2 2" xfId="29408"/>
    <cellStyle name="step 17 2 3" xfId="29407"/>
    <cellStyle name="step 17 3" xfId="15738"/>
    <cellStyle name="step 17 3 2" xfId="15739"/>
    <cellStyle name="step 17 3 2 2" xfId="29410"/>
    <cellStyle name="step 17 3 3" xfId="29409"/>
    <cellStyle name="step 17 4" xfId="15740"/>
    <cellStyle name="step 17 4 2" xfId="15741"/>
    <cellStyle name="step 17 4 2 2" xfId="29412"/>
    <cellStyle name="step 17 4 3" xfId="29411"/>
    <cellStyle name="step 17 5" xfId="15742"/>
    <cellStyle name="step 17 5 2" xfId="29413"/>
    <cellStyle name="step 17 6" xfId="29406"/>
    <cellStyle name="step 18" xfId="15743"/>
    <cellStyle name="step 18 2" xfId="15744"/>
    <cellStyle name="step 18 2 2" xfId="29415"/>
    <cellStyle name="step 18 3" xfId="29414"/>
    <cellStyle name="step 19" xfId="15745"/>
    <cellStyle name="step 19 2" xfId="15746"/>
    <cellStyle name="step 19 2 2" xfId="29417"/>
    <cellStyle name="step 19 3" xfId="29416"/>
    <cellStyle name="step 2" xfId="15747"/>
    <cellStyle name="step 2 2" xfId="15748"/>
    <cellStyle name="step 2 2 2" xfId="15749"/>
    <cellStyle name="step 2 2 2 2" xfId="29420"/>
    <cellStyle name="step 2 2 3" xfId="29419"/>
    <cellStyle name="step 2 3" xfId="15750"/>
    <cellStyle name="step 2 3 2" xfId="15751"/>
    <cellStyle name="step 2 3 2 2" xfId="29422"/>
    <cellStyle name="step 2 3 3" xfId="29421"/>
    <cellStyle name="step 2 4" xfId="15752"/>
    <cellStyle name="step 2 4 2" xfId="15753"/>
    <cellStyle name="step 2 4 2 2" xfId="29424"/>
    <cellStyle name="step 2 4 3" xfId="29423"/>
    <cellStyle name="step 2 5" xfId="15754"/>
    <cellStyle name="step 2 5 2" xfId="29425"/>
    <cellStyle name="step 2 6" xfId="29418"/>
    <cellStyle name="step 20" xfId="15755"/>
    <cellStyle name="step 20 2" xfId="15756"/>
    <cellStyle name="step 20 2 2" xfId="29427"/>
    <cellStyle name="step 20 3" xfId="29426"/>
    <cellStyle name="step 21" xfId="15757"/>
    <cellStyle name="step 21 2" xfId="15758"/>
    <cellStyle name="step 21 2 2" xfId="29429"/>
    <cellStyle name="step 21 3" xfId="29428"/>
    <cellStyle name="step 22" xfId="15759"/>
    <cellStyle name="step 22 2" xfId="29430"/>
    <cellStyle name="step 23" xfId="27681"/>
    <cellStyle name="step 3" xfId="15760"/>
    <cellStyle name="step 3 2" xfId="15761"/>
    <cellStyle name="step 3 2 2" xfId="15762"/>
    <cellStyle name="step 3 2 2 2" xfId="29433"/>
    <cellStyle name="step 3 2 3" xfId="29432"/>
    <cellStyle name="step 3 3" xfId="15763"/>
    <cellStyle name="step 3 3 2" xfId="15764"/>
    <cellStyle name="step 3 3 2 2" xfId="29435"/>
    <cellStyle name="step 3 3 3" xfId="29434"/>
    <cellStyle name="step 3 4" xfId="15765"/>
    <cellStyle name="step 3 4 2" xfId="15766"/>
    <cellStyle name="step 3 4 2 2" xfId="29437"/>
    <cellStyle name="step 3 4 3" xfId="29436"/>
    <cellStyle name="step 3 5" xfId="15767"/>
    <cellStyle name="step 3 5 2" xfId="29438"/>
    <cellStyle name="step 3 6" xfId="29431"/>
    <cellStyle name="step 4" xfId="15768"/>
    <cellStyle name="step 4 2" xfId="15769"/>
    <cellStyle name="step 4 2 2" xfId="15770"/>
    <cellStyle name="step 4 2 2 2" xfId="29441"/>
    <cellStyle name="step 4 2 3" xfId="29440"/>
    <cellStyle name="step 4 3" xfId="15771"/>
    <cellStyle name="step 4 3 2" xfId="15772"/>
    <cellStyle name="step 4 3 2 2" xfId="29443"/>
    <cellStyle name="step 4 3 3" xfId="29442"/>
    <cellStyle name="step 4 4" xfId="15773"/>
    <cellStyle name="step 4 4 2" xfId="15774"/>
    <cellStyle name="step 4 4 2 2" xfId="29445"/>
    <cellStyle name="step 4 4 3" xfId="29444"/>
    <cellStyle name="step 4 5" xfId="15775"/>
    <cellStyle name="step 4 5 2" xfId="29446"/>
    <cellStyle name="step 4 6" xfId="29439"/>
    <cellStyle name="step 5" xfId="15776"/>
    <cellStyle name="step 5 2" xfId="15777"/>
    <cellStyle name="step 5 2 2" xfId="15778"/>
    <cellStyle name="step 5 2 2 2" xfId="29449"/>
    <cellStyle name="step 5 2 3" xfId="29448"/>
    <cellStyle name="step 5 3" xfId="15779"/>
    <cellStyle name="step 5 3 2" xfId="15780"/>
    <cellStyle name="step 5 3 2 2" xfId="29451"/>
    <cellStyle name="step 5 3 3" xfId="29450"/>
    <cellStyle name="step 5 4" xfId="15781"/>
    <cellStyle name="step 5 4 2" xfId="15782"/>
    <cellStyle name="step 5 4 2 2" xfId="29453"/>
    <cellStyle name="step 5 4 3" xfId="29452"/>
    <cellStyle name="step 5 5" xfId="15783"/>
    <cellStyle name="step 5 5 2" xfId="29454"/>
    <cellStyle name="step 5 6" xfId="29447"/>
    <cellStyle name="step 6" xfId="15784"/>
    <cellStyle name="step 6 2" xfId="15785"/>
    <cellStyle name="step 6 2 2" xfId="15786"/>
    <cellStyle name="step 6 2 2 2" xfId="29457"/>
    <cellStyle name="step 6 2 3" xfId="29456"/>
    <cellStyle name="step 6 3" xfId="15787"/>
    <cellStyle name="step 6 3 2" xfId="15788"/>
    <cellStyle name="step 6 3 2 2" xfId="29459"/>
    <cellStyle name="step 6 3 3" xfId="29458"/>
    <cellStyle name="step 6 4" xfId="15789"/>
    <cellStyle name="step 6 4 2" xfId="15790"/>
    <cellStyle name="step 6 4 2 2" xfId="29461"/>
    <cellStyle name="step 6 4 3" xfId="29460"/>
    <cellStyle name="step 6 5" xfId="15791"/>
    <cellStyle name="step 6 5 2" xfId="29462"/>
    <cellStyle name="step 6 6" xfId="29455"/>
    <cellStyle name="step 7" xfId="15792"/>
    <cellStyle name="step 7 2" xfId="15793"/>
    <cellStyle name="step 7 2 2" xfId="15794"/>
    <cellStyle name="step 7 2 2 2" xfId="29465"/>
    <cellStyle name="step 7 2 3" xfId="29464"/>
    <cellStyle name="step 7 3" xfId="15795"/>
    <cellStyle name="step 7 3 2" xfId="15796"/>
    <cellStyle name="step 7 3 2 2" xfId="29467"/>
    <cellStyle name="step 7 3 3" xfId="29466"/>
    <cellStyle name="step 7 4" xfId="15797"/>
    <cellStyle name="step 7 4 2" xfId="15798"/>
    <cellStyle name="step 7 4 2 2" xfId="29469"/>
    <cellStyle name="step 7 4 3" xfId="29468"/>
    <cellStyle name="step 7 5" xfId="15799"/>
    <cellStyle name="step 7 5 2" xfId="29470"/>
    <cellStyle name="step 7 6" xfId="29463"/>
    <cellStyle name="step 8" xfId="15800"/>
    <cellStyle name="step 8 2" xfId="15801"/>
    <cellStyle name="step 8 2 2" xfId="15802"/>
    <cellStyle name="step 8 2 2 2" xfId="29473"/>
    <cellStyle name="step 8 2 3" xfId="29472"/>
    <cellStyle name="step 8 3" xfId="15803"/>
    <cellStyle name="step 8 3 2" xfId="15804"/>
    <cellStyle name="step 8 3 2 2" xfId="29475"/>
    <cellStyle name="step 8 3 3" xfId="29474"/>
    <cellStyle name="step 8 4" xfId="15805"/>
    <cellStyle name="step 8 4 2" xfId="15806"/>
    <cellStyle name="step 8 4 2 2" xfId="29477"/>
    <cellStyle name="step 8 4 3" xfId="29476"/>
    <cellStyle name="step 8 5" xfId="15807"/>
    <cellStyle name="step 8 5 2" xfId="29478"/>
    <cellStyle name="step 8 6" xfId="29471"/>
    <cellStyle name="step 9" xfId="15808"/>
    <cellStyle name="step 9 2" xfId="15809"/>
    <cellStyle name="step 9 2 2" xfId="15810"/>
    <cellStyle name="step 9 2 2 2" xfId="29481"/>
    <cellStyle name="step 9 2 3" xfId="29480"/>
    <cellStyle name="step 9 3" xfId="15811"/>
    <cellStyle name="step 9 3 2" xfId="15812"/>
    <cellStyle name="step 9 3 2 2" xfId="29483"/>
    <cellStyle name="step 9 3 3" xfId="29482"/>
    <cellStyle name="step 9 4" xfId="15813"/>
    <cellStyle name="step 9 4 2" xfId="15814"/>
    <cellStyle name="step 9 4 2 2" xfId="29485"/>
    <cellStyle name="step 9 4 3" xfId="29484"/>
    <cellStyle name="step 9 5" xfId="15815"/>
    <cellStyle name="step 9 5 2" xfId="29486"/>
    <cellStyle name="step 9 6" xfId="29479"/>
    <cellStyle name="steps_link" xfId="3273"/>
    <cellStyle name="Style 1" xfId="3274"/>
    <cellStyle name="Style 1 2" xfId="3275"/>
    <cellStyle name="Style 1 3" xfId="3276"/>
    <cellStyle name="Style 2" xfId="3277"/>
    <cellStyle name="Style 3" xfId="3278"/>
    <cellStyle name="Style 4" xfId="3279"/>
    <cellStyle name="Style 5" xfId="3280"/>
    <cellStyle name="Style 6" xfId="3281"/>
    <cellStyle name="Style 7" xfId="3282"/>
    <cellStyle name="Style 8" xfId="3283"/>
    <cellStyle name="Style 9" xfId="3284"/>
    <cellStyle name="subhead" xfId="3285"/>
    <cellStyle name="subhead 2" xfId="3286"/>
    <cellStyle name="subhead 3" xfId="15816"/>
    <cellStyle name="Subtotal" xfId="3287"/>
    <cellStyle name="Table Head" xfId="3288"/>
    <cellStyle name="Table Head 2" xfId="15817"/>
    <cellStyle name="Table Head 3" xfId="15818"/>
    <cellStyle name="Table Head Aligned" xfId="3289"/>
    <cellStyle name="Table Head Aligned 2" xfId="15819"/>
    <cellStyle name="Table Head Blue" xfId="3290"/>
    <cellStyle name="Table Head Blue 2" xfId="15820"/>
    <cellStyle name="Table Head Blue 3" xfId="15821"/>
    <cellStyle name="Table Head Green" xfId="3291"/>
    <cellStyle name="Table Head Green 2" xfId="15822"/>
    <cellStyle name="Table Head Green 2 2" xfId="15823"/>
    <cellStyle name="Table Head Green 3" xfId="15824"/>
    <cellStyle name="Table Head Green 3 2" xfId="15825"/>
    <cellStyle name="Table Head Green 4" xfId="15826"/>
    <cellStyle name="Table Title" xfId="3292"/>
    <cellStyle name="Table Title 2" xfId="15827"/>
    <cellStyle name="Table Title 3" xfId="15828"/>
    <cellStyle name="Table Units" xfId="3293"/>
    <cellStyle name="Table Units 2" xfId="15829"/>
    <cellStyle name="Table Units 2 2" xfId="29487"/>
    <cellStyle name="Table Units 3" xfId="15830"/>
    <cellStyle name="Table Units 3 2" xfId="29488"/>
    <cellStyle name="Table Units 4" xfId="15831"/>
    <cellStyle name="Table Units 4 2" xfId="29489"/>
    <cellStyle name="Table Units 5" xfId="15832"/>
    <cellStyle name="Table Units 5 2" xfId="29490"/>
    <cellStyle name="Table Units 6" xfId="15833"/>
    <cellStyle name="Table Units 6 2" xfId="29491"/>
    <cellStyle name="Table Units 7" xfId="27682"/>
    <cellStyle name="table_head1" xfId="3294"/>
    <cellStyle name="Text Level 1" xfId="15834"/>
    <cellStyle name="Text Level 1 2" xfId="15835"/>
    <cellStyle name="Text Level 1 3" xfId="15836"/>
    <cellStyle name="Text Level 2" xfId="15837"/>
    <cellStyle name="Text Level 2 2" xfId="15838"/>
    <cellStyle name="Text Level 2 3" xfId="15839"/>
    <cellStyle name="Text Level 3" xfId="15840"/>
    <cellStyle name="Text Level 3 2" xfId="15841"/>
    <cellStyle name="Text Level 3 3" xfId="15842"/>
    <cellStyle name="Text Level 4" xfId="15843"/>
    <cellStyle name="Text Level 4 2" xfId="15844"/>
    <cellStyle name="Text Level 4 3" xfId="15845"/>
    <cellStyle name="þ_x001d_ð'&amp;Oy?Hy9_x0008__x000f__x0007_æ_x0007__x0007__x0001__x0001_" xfId="3295"/>
    <cellStyle name="þ_x001d_ð'&amp;Oy?Hy9_x0008__x000f__x0007_æ_x0007__x0007__x0001__x0001_ 2" xfId="3296"/>
    <cellStyle name="þ_x001d_ð'&amp;Oy?Hy9_x0008__x000f__x0007_æ_x0007__x0007__x0001__x0001_ 2 2" xfId="15846"/>
    <cellStyle name="þ_x001d_ð'&amp;Oy?Hy9_x0008__x000f__x0007_æ_x0007__x0007__x0001__x0001_ 2 3" xfId="15847"/>
    <cellStyle name="þ_x001d_ð'&amp;Oy?Hy9_x0008__x000f__x0007_æ_x0007__x0007__x0001__x0001_ 3" xfId="15848"/>
    <cellStyle name="þ_x001d_ð'&amp;Oy?Hy9_x0008__x000f__x0007_æ_x0007__x0007__x0001__x0001_ 4" xfId="15849"/>
    <cellStyle name="Thousands" xfId="3297"/>
    <cellStyle name="Tickmark" xfId="3298"/>
    <cellStyle name="Tickmark 2" xfId="15850"/>
    <cellStyle name="Tickmark 3" xfId="15851"/>
    <cellStyle name="Times 10" xfId="3299"/>
    <cellStyle name="Times 10 2" xfId="15852"/>
    <cellStyle name="Times 10 3" xfId="15853"/>
    <cellStyle name="Times 12" xfId="3300"/>
    <cellStyle name="Times 12 2" xfId="15854"/>
    <cellStyle name="Times 12 3" xfId="15855"/>
    <cellStyle name="Times New Roman" xfId="3301"/>
    <cellStyle name="Title" xfId="3302"/>
    <cellStyle name="Title 2" xfId="3303"/>
    <cellStyle name="Title 2 2" xfId="3304"/>
    <cellStyle name="Title 2 3" xfId="3305"/>
    <cellStyle name="Title 3" xfId="3306"/>
    <cellStyle name="Title 3 2" xfId="3307"/>
    <cellStyle name="Title 4" xfId="3308"/>
    <cellStyle name="Title 5" xfId="3309"/>
    <cellStyle name="Title 6" xfId="3310"/>
    <cellStyle name="Title 7" xfId="3311"/>
    <cellStyle name="Total" xfId="3312"/>
    <cellStyle name="Total 10" xfId="15856"/>
    <cellStyle name="Total 10 2" xfId="15857"/>
    <cellStyle name="Total 10 2 2" xfId="15858"/>
    <cellStyle name="Total 10 2 2 2" xfId="29494"/>
    <cellStyle name="Total 10 2 3" xfId="29493"/>
    <cellStyle name="Total 10 3" xfId="15859"/>
    <cellStyle name="Total 10 3 2" xfId="15860"/>
    <cellStyle name="Total 10 3 2 2" xfId="29496"/>
    <cellStyle name="Total 10 3 3" xfId="29495"/>
    <cellStyle name="Total 10 4" xfId="15861"/>
    <cellStyle name="Total 10 4 2" xfId="15862"/>
    <cellStyle name="Total 10 4 2 2" xfId="29498"/>
    <cellStyle name="Total 10 4 3" xfId="29497"/>
    <cellStyle name="Total 10 5" xfId="15863"/>
    <cellStyle name="Total 10 5 2" xfId="29499"/>
    <cellStyle name="Total 10 6" xfId="29492"/>
    <cellStyle name="Total 11" xfId="15864"/>
    <cellStyle name="Total 11 2" xfId="15865"/>
    <cellStyle name="Total 11 2 2" xfId="15866"/>
    <cellStyle name="Total 11 2 2 2" xfId="29502"/>
    <cellStyle name="Total 11 2 3" xfId="29501"/>
    <cellStyle name="Total 11 3" xfId="15867"/>
    <cellStyle name="Total 11 3 2" xfId="15868"/>
    <cellStyle name="Total 11 3 2 2" xfId="29504"/>
    <cellStyle name="Total 11 3 3" xfId="29503"/>
    <cellStyle name="Total 11 4" xfId="15869"/>
    <cellStyle name="Total 11 4 2" xfId="15870"/>
    <cellStyle name="Total 11 4 2 2" xfId="29506"/>
    <cellStyle name="Total 11 4 3" xfId="29505"/>
    <cellStyle name="Total 11 5" xfId="15871"/>
    <cellStyle name="Total 11 5 2" xfId="29507"/>
    <cellStyle name="Total 11 6" xfId="29500"/>
    <cellStyle name="Total 12" xfId="15872"/>
    <cellStyle name="Total 12 2" xfId="15873"/>
    <cellStyle name="Total 12 2 2" xfId="15874"/>
    <cellStyle name="Total 12 2 2 2" xfId="29510"/>
    <cellStyle name="Total 12 2 3" xfId="29509"/>
    <cellStyle name="Total 12 3" xfId="15875"/>
    <cellStyle name="Total 12 3 2" xfId="15876"/>
    <cellStyle name="Total 12 3 2 2" xfId="29512"/>
    <cellStyle name="Total 12 3 3" xfId="29511"/>
    <cellStyle name="Total 12 4" xfId="15877"/>
    <cellStyle name="Total 12 4 2" xfId="15878"/>
    <cellStyle name="Total 12 4 2 2" xfId="29514"/>
    <cellStyle name="Total 12 4 3" xfId="29513"/>
    <cellStyle name="Total 12 5" xfId="15879"/>
    <cellStyle name="Total 12 5 2" xfId="29515"/>
    <cellStyle name="Total 12 6" xfId="29508"/>
    <cellStyle name="Total 13" xfId="15880"/>
    <cellStyle name="Total 13 2" xfId="15881"/>
    <cellStyle name="Total 13 2 2" xfId="15882"/>
    <cellStyle name="Total 13 2 2 2" xfId="29518"/>
    <cellStyle name="Total 13 2 3" xfId="29517"/>
    <cellStyle name="Total 13 3" xfId="15883"/>
    <cellStyle name="Total 13 3 2" xfId="15884"/>
    <cellStyle name="Total 13 3 2 2" xfId="29520"/>
    <cellStyle name="Total 13 3 3" xfId="29519"/>
    <cellStyle name="Total 13 4" xfId="15885"/>
    <cellStyle name="Total 13 4 2" xfId="15886"/>
    <cellStyle name="Total 13 4 2 2" xfId="29522"/>
    <cellStyle name="Total 13 4 3" xfId="29521"/>
    <cellStyle name="Total 13 5" xfId="15887"/>
    <cellStyle name="Total 13 5 2" xfId="29523"/>
    <cellStyle name="Total 13 6" xfId="29516"/>
    <cellStyle name="Total 14" xfId="15888"/>
    <cellStyle name="Total 14 2" xfId="15889"/>
    <cellStyle name="Total 14 2 2" xfId="15890"/>
    <cellStyle name="Total 14 2 2 2" xfId="29526"/>
    <cellStyle name="Total 14 2 3" xfId="29525"/>
    <cellStyle name="Total 14 3" xfId="15891"/>
    <cellStyle name="Total 14 3 2" xfId="15892"/>
    <cellStyle name="Total 14 3 2 2" xfId="29528"/>
    <cellStyle name="Total 14 3 3" xfId="29527"/>
    <cellStyle name="Total 14 4" xfId="15893"/>
    <cellStyle name="Total 14 4 2" xfId="15894"/>
    <cellStyle name="Total 14 4 2 2" xfId="29530"/>
    <cellStyle name="Total 14 4 3" xfId="29529"/>
    <cellStyle name="Total 14 5" xfId="15895"/>
    <cellStyle name="Total 14 5 2" xfId="29531"/>
    <cellStyle name="Total 14 6" xfId="29524"/>
    <cellStyle name="Total 15" xfId="15896"/>
    <cellStyle name="Total 15 2" xfId="15897"/>
    <cellStyle name="Total 15 2 2" xfId="15898"/>
    <cellStyle name="Total 15 2 2 2" xfId="29534"/>
    <cellStyle name="Total 15 2 3" xfId="29533"/>
    <cellStyle name="Total 15 3" xfId="15899"/>
    <cellStyle name="Total 15 3 2" xfId="15900"/>
    <cellStyle name="Total 15 3 2 2" xfId="29536"/>
    <cellStyle name="Total 15 3 3" xfId="29535"/>
    <cellStyle name="Total 15 4" xfId="15901"/>
    <cellStyle name="Total 15 4 2" xfId="15902"/>
    <cellStyle name="Total 15 4 2 2" xfId="29538"/>
    <cellStyle name="Total 15 4 3" xfId="29537"/>
    <cellStyle name="Total 15 5" xfId="15903"/>
    <cellStyle name="Total 15 5 2" xfId="29539"/>
    <cellStyle name="Total 15 6" xfId="29532"/>
    <cellStyle name="Total 16" xfId="15904"/>
    <cellStyle name="Total 16 2" xfId="15905"/>
    <cellStyle name="Total 16 2 2" xfId="15906"/>
    <cellStyle name="Total 16 2 2 2" xfId="29542"/>
    <cellStyle name="Total 16 2 3" xfId="29541"/>
    <cellStyle name="Total 16 3" xfId="15907"/>
    <cellStyle name="Total 16 3 2" xfId="15908"/>
    <cellStyle name="Total 16 3 2 2" xfId="29544"/>
    <cellStyle name="Total 16 3 3" xfId="29543"/>
    <cellStyle name="Total 16 4" xfId="15909"/>
    <cellStyle name="Total 16 4 2" xfId="15910"/>
    <cellStyle name="Total 16 4 2 2" xfId="29546"/>
    <cellStyle name="Total 16 4 3" xfId="29545"/>
    <cellStyle name="Total 16 5" xfId="15911"/>
    <cellStyle name="Total 16 5 2" xfId="29547"/>
    <cellStyle name="Total 16 6" xfId="29540"/>
    <cellStyle name="Total 17" xfId="15912"/>
    <cellStyle name="Total 17 2" xfId="15913"/>
    <cellStyle name="Total 17 2 2" xfId="15914"/>
    <cellStyle name="Total 17 2 2 2" xfId="29550"/>
    <cellStyle name="Total 17 2 3" xfId="29549"/>
    <cellStyle name="Total 17 3" xfId="15915"/>
    <cellStyle name="Total 17 3 2" xfId="15916"/>
    <cellStyle name="Total 17 3 2 2" xfId="29552"/>
    <cellStyle name="Total 17 3 3" xfId="29551"/>
    <cellStyle name="Total 17 4" xfId="15917"/>
    <cellStyle name="Total 17 4 2" xfId="15918"/>
    <cellStyle name="Total 17 4 2 2" xfId="29554"/>
    <cellStyle name="Total 17 4 3" xfId="29553"/>
    <cellStyle name="Total 17 5" xfId="15919"/>
    <cellStyle name="Total 17 5 2" xfId="29555"/>
    <cellStyle name="Total 17 6" xfId="29548"/>
    <cellStyle name="Total 18" xfId="15920"/>
    <cellStyle name="Total 18 2" xfId="15921"/>
    <cellStyle name="Total 18 2 2" xfId="29557"/>
    <cellStyle name="Total 18 3" xfId="29556"/>
    <cellStyle name="Total 19" xfId="15922"/>
    <cellStyle name="Total 19 2" xfId="15923"/>
    <cellStyle name="Total 19 2 2" xfId="29559"/>
    <cellStyle name="Total 19 3" xfId="29558"/>
    <cellStyle name="Total 2" xfId="3313"/>
    <cellStyle name="Total 2 2" xfId="3314"/>
    <cellStyle name="Total 2 2 2" xfId="3315"/>
    <cellStyle name="Total 2 2 3" xfId="3316"/>
    <cellStyle name="Total 2 3" xfId="3317"/>
    <cellStyle name="Total 2 3 2" xfId="15924"/>
    <cellStyle name="Total 2 3 2 2" xfId="29560"/>
    <cellStyle name="Total 2 3 3" xfId="27684"/>
    <cellStyle name="Total 2 4" xfId="3318"/>
    <cellStyle name="Total 2 4 2" xfId="15925"/>
    <cellStyle name="Total 2 4 2 2" xfId="29561"/>
    <cellStyle name="Total 2 5" xfId="15926"/>
    <cellStyle name="Total 2 5 2" xfId="29562"/>
    <cellStyle name="Total 20" xfId="15927"/>
    <cellStyle name="Total 20 2" xfId="15928"/>
    <cellStyle name="Total 20 2 2" xfId="29564"/>
    <cellStyle name="Total 20 3" xfId="29563"/>
    <cellStyle name="Total 21" xfId="15929"/>
    <cellStyle name="Total 21 2" xfId="15930"/>
    <cellStyle name="Total 21 2 2" xfId="29566"/>
    <cellStyle name="Total 21 3" xfId="29565"/>
    <cellStyle name="Total 22" xfId="15931"/>
    <cellStyle name="Total 22 2" xfId="29567"/>
    <cellStyle name="Total 23" xfId="27683"/>
    <cellStyle name="Total 3" xfId="3319"/>
    <cellStyle name="Total 3 2" xfId="15932"/>
    <cellStyle name="Total 3 2 2" xfId="15933"/>
    <cellStyle name="Total 3 2 2 2" xfId="29569"/>
    <cellStyle name="Total 3 2 3" xfId="29568"/>
    <cellStyle name="Total 3 3" xfId="15934"/>
    <cellStyle name="Total 3 3 2" xfId="15935"/>
    <cellStyle name="Total 3 3 2 2" xfId="29571"/>
    <cellStyle name="Total 3 3 3" xfId="29570"/>
    <cellStyle name="Total 3 4" xfId="15936"/>
    <cellStyle name="Total 3 4 2" xfId="15937"/>
    <cellStyle name="Total 3 4 2 2" xfId="29573"/>
    <cellStyle name="Total 3 4 3" xfId="29572"/>
    <cellStyle name="Total 3 5" xfId="15938"/>
    <cellStyle name="Total 3 5 2" xfId="29574"/>
    <cellStyle name="Total 3 6" xfId="27685"/>
    <cellStyle name="Total 4" xfId="3320"/>
    <cellStyle name="Total 4 2" xfId="15939"/>
    <cellStyle name="Total 4 2 2" xfId="15940"/>
    <cellStyle name="Total 4 2 2 2" xfId="29576"/>
    <cellStyle name="Total 4 2 3" xfId="29575"/>
    <cellStyle name="Total 4 3" xfId="15941"/>
    <cellStyle name="Total 4 3 2" xfId="15942"/>
    <cellStyle name="Total 4 3 2 2" xfId="29578"/>
    <cellStyle name="Total 4 3 3" xfId="29577"/>
    <cellStyle name="Total 4 4" xfId="15943"/>
    <cellStyle name="Total 4 4 2" xfId="15944"/>
    <cellStyle name="Total 4 4 2 2" xfId="29580"/>
    <cellStyle name="Total 4 4 3" xfId="29579"/>
    <cellStyle name="Total 4 5" xfId="15945"/>
    <cellStyle name="Total 4 5 2" xfId="29581"/>
    <cellStyle name="Total 4 6" xfId="27686"/>
    <cellStyle name="Total 5" xfId="3321"/>
    <cellStyle name="Total 5 2" xfId="15946"/>
    <cellStyle name="Total 5 2 2" xfId="15947"/>
    <cellStyle name="Total 5 2 2 2" xfId="29583"/>
    <cellStyle name="Total 5 2 3" xfId="29582"/>
    <cellStyle name="Total 5 3" xfId="15948"/>
    <cellStyle name="Total 5 3 2" xfId="15949"/>
    <cellStyle name="Total 5 3 2 2" xfId="29585"/>
    <cellStyle name="Total 5 3 3" xfId="29584"/>
    <cellStyle name="Total 5 4" xfId="15950"/>
    <cellStyle name="Total 5 4 2" xfId="15951"/>
    <cellStyle name="Total 5 4 2 2" xfId="29587"/>
    <cellStyle name="Total 5 4 3" xfId="29586"/>
    <cellStyle name="Total 5 5" xfId="15952"/>
    <cellStyle name="Total 5 5 2" xfId="29588"/>
    <cellStyle name="Total 5 6" xfId="27687"/>
    <cellStyle name="Total 6" xfId="3322"/>
    <cellStyle name="Total 6 2" xfId="15953"/>
    <cellStyle name="Total 6 2 2" xfId="15954"/>
    <cellStyle name="Total 6 2 2 2" xfId="29590"/>
    <cellStyle name="Total 6 2 3" xfId="29589"/>
    <cellStyle name="Total 6 3" xfId="15955"/>
    <cellStyle name="Total 6 3 2" xfId="15956"/>
    <cellStyle name="Total 6 3 2 2" xfId="29592"/>
    <cellStyle name="Total 6 3 3" xfId="29591"/>
    <cellStyle name="Total 6 4" xfId="15957"/>
    <cellStyle name="Total 6 4 2" xfId="15958"/>
    <cellStyle name="Total 6 4 2 2" xfId="29594"/>
    <cellStyle name="Total 6 4 3" xfId="29593"/>
    <cellStyle name="Total 6 5" xfId="15959"/>
    <cellStyle name="Total 6 5 2" xfId="29595"/>
    <cellStyle name="Total 6 6" xfId="27688"/>
    <cellStyle name="Total 7" xfId="15960"/>
    <cellStyle name="Total 7 2" xfId="15961"/>
    <cellStyle name="Total 7 2 2" xfId="15962"/>
    <cellStyle name="Total 7 2 2 2" xfId="29598"/>
    <cellStyle name="Total 7 2 3" xfId="29597"/>
    <cellStyle name="Total 7 3" xfId="15963"/>
    <cellStyle name="Total 7 3 2" xfId="15964"/>
    <cellStyle name="Total 7 3 2 2" xfId="29600"/>
    <cellStyle name="Total 7 3 3" xfId="29599"/>
    <cellStyle name="Total 7 4" xfId="15965"/>
    <cellStyle name="Total 7 4 2" xfId="15966"/>
    <cellStyle name="Total 7 4 2 2" xfId="29602"/>
    <cellStyle name="Total 7 4 3" xfId="29601"/>
    <cellStyle name="Total 7 5" xfId="15967"/>
    <cellStyle name="Total 7 5 2" xfId="29603"/>
    <cellStyle name="Total 7 6" xfId="29596"/>
    <cellStyle name="Total 8" xfId="15968"/>
    <cellStyle name="Total 8 2" xfId="15969"/>
    <cellStyle name="Total 8 2 2" xfId="15970"/>
    <cellStyle name="Total 8 2 2 2" xfId="29606"/>
    <cellStyle name="Total 8 2 3" xfId="29605"/>
    <cellStyle name="Total 8 3" xfId="15971"/>
    <cellStyle name="Total 8 3 2" xfId="15972"/>
    <cellStyle name="Total 8 3 2 2" xfId="29608"/>
    <cellStyle name="Total 8 3 3" xfId="29607"/>
    <cellStyle name="Total 8 4" xfId="15973"/>
    <cellStyle name="Total 8 4 2" xfId="15974"/>
    <cellStyle name="Total 8 4 2 2" xfId="29610"/>
    <cellStyle name="Total 8 4 3" xfId="29609"/>
    <cellStyle name="Total 8 5" xfId="15975"/>
    <cellStyle name="Total 8 5 2" xfId="29611"/>
    <cellStyle name="Total 8 6" xfId="29604"/>
    <cellStyle name="Total 9" xfId="15976"/>
    <cellStyle name="Total 9 2" xfId="15977"/>
    <cellStyle name="Total 9 2 2" xfId="15978"/>
    <cellStyle name="Total 9 2 2 2" xfId="29614"/>
    <cellStyle name="Total 9 2 3" xfId="29613"/>
    <cellStyle name="Total 9 3" xfId="15979"/>
    <cellStyle name="Total 9 3 2" xfId="15980"/>
    <cellStyle name="Total 9 3 2 2" xfId="29616"/>
    <cellStyle name="Total 9 3 3" xfId="29615"/>
    <cellStyle name="Total 9 4" xfId="15981"/>
    <cellStyle name="Total 9 4 2" xfId="15982"/>
    <cellStyle name="Total 9 4 2 2" xfId="29618"/>
    <cellStyle name="Total 9 4 3" xfId="29617"/>
    <cellStyle name="Total 9 5" xfId="15983"/>
    <cellStyle name="Total 9 5 2" xfId="29619"/>
    <cellStyle name="Total 9 6" xfId="29612"/>
    <cellStyle name="Underline_Double" xfId="3323"/>
    <cellStyle name="Unprotect" xfId="3324"/>
    <cellStyle name="W?rung [0]_Aktenbewertung 1994" xfId="3325"/>
    <cellStyle name="W?rung_Aktenbewertung 1994" xfId="3326"/>
    <cellStyle name="Warning Text" xfId="3327"/>
    <cellStyle name="Warning Text 2" xfId="3328"/>
    <cellStyle name="Warning Text 2 2" xfId="3329"/>
    <cellStyle name="Warning Text 2 2 2" xfId="3330"/>
    <cellStyle name="Warning Text 2 2 3" xfId="3331"/>
    <cellStyle name="Warning Text 2 3" xfId="3332"/>
    <cellStyle name="Warning Text 2 4" xfId="3333"/>
    <cellStyle name="Warning Text 3" xfId="3334"/>
    <cellStyle name="Warning Text 4" xfId="3335"/>
    <cellStyle name="Warning Text 5" xfId="3336"/>
    <cellStyle name="Warning Text 6" xfId="3337"/>
    <cellStyle name="wrap" xfId="3338"/>
    <cellStyle name="wrap 2" xfId="15984"/>
    <cellStyle name="wrap 3" xfId="15985"/>
    <cellStyle name="Yen" xfId="3339"/>
    <cellStyle name="ﾇ･ﾁﾘ_ｱｹｿﾜbal" xfId="3340"/>
    <cellStyle name="강조색1 2" xfId="3341"/>
    <cellStyle name="강조색1 2 2" xfId="3342"/>
    <cellStyle name="강조색1 2 2 2" xfId="3343"/>
    <cellStyle name="강조색1 2 3" xfId="3344"/>
    <cellStyle name="강조색1 2 4" xfId="3345"/>
    <cellStyle name="강조색1 3" xfId="3346"/>
    <cellStyle name="강조색1 4" xfId="3347"/>
    <cellStyle name="강조색1 5" xfId="3348"/>
    <cellStyle name="강조색1 6" xfId="3349"/>
    <cellStyle name="강조색2 2" xfId="3350"/>
    <cellStyle name="강조색2 2 2" xfId="3351"/>
    <cellStyle name="강조색2 2 2 2" xfId="3352"/>
    <cellStyle name="강조색2 2 3" xfId="3353"/>
    <cellStyle name="강조색2 2 4" xfId="3354"/>
    <cellStyle name="강조색2 3" xfId="3355"/>
    <cellStyle name="강조색2 4" xfId="3356"/>
    <cellStyle name="강조색2 5" xfId="3357"/>
    <cellStyle name="강조색2 6" xfId="3358"/>
    <cellStyle name="강조색3 2" xfId="3359"/>
    <cellStyle name="강조색3 2 2" xfId="3360"/>
    <cellStyle name="강조색3 2 2 2" xfId="3361"/>
    <cellStyle name="강조색3 2 3" xfId="3362"/>
    <cellStyle name="강조색3 2 4" xfId="3363"/>
    <cellStyle name="강조색3 3" xfId="3364"/>
    <cellStyle name="강조색3 4" xfId="3365"/>
    <cellStyle name="강조색3 5" xfId="3366"/>
    <cellStyle name="강조색3 6" xfId="3367"/>
    <cellStyle name="강조색4 2" xfId="3368"/>
    <cellStyle name="강조색4 2 2" xfId="3369"/>
    <cellStyle name="강조색4 2 2 2" xfId="3370"/>
    <cellStyle name="강조색4 2 3" xfId="3371"/>
    <cellStyle name="강조색4 2 4" xfId="3372"/>
    <cellStyle name="강조색4 3" xfId="3373"/>
    <cellStyle name="강조색4 4" xfId="3374"/>
    <cellStyle name="강조색4 5" xfId="3375"/>
    <cellStyle name="강조색4 6" xfId="3376"/>
    <cellStyle name="강조색5 2" xfId="3377"/>
    <cellStyle name="강조색5 2 2" xfId="3378"/>
    <cellStyle name="강조색5 2 2 2" xfId="3379"/>
    <cellStyle name="강조색5 2 3" xfId="3380"/>
    <cellStyle name="강조색5 2 4" xfId="3381"/>
    <cellStyle name="강조색5 3" xfId="3382"/>
    <cellStyle name="강조색5 4" xfId="3383"/>
    <cellStyle name="강조색5 5" xfId="3384"/>
    <cellStyle name="강조색5 6" xfId="3385"/>
    <cellStyle name="강조색6 2" xfId="3386"/>
    <cellStyle name="강조색6 2 2" xfId="3387"/>
    <cellStyle name="강조색6 2 2 2" xfId="3388"/>
    <cellStyle name="강조색6 2 3" xfId="3389"/>
    <cellStyle name="강조색6 2 4" xfId="3390"/>
    <cellStyle name="강조색6 3" xfId="3391"/>
    <cellStyle name="강조색6 4" xfId="3392"/>
    <cellStyle name="강조색6 5" xfId="3393"/>
    <cellStyle name="강조색6 6" xfId="3394"/>
    <cellStyle name="검증" xfId="3395"/>
    <cellStyle name="경고문 2" xfId="3396"/>
    <cellStyle name="경고문 2 2" xfId="3397"/>
    <cellStyle name="경고문 2 2 2" xfId="3398"/>
    <cellStyle name="경고문 2 3" xfId="3399"/>
    <cellStyle name="경고문 2 4" xfId="3400"/>
    <cellStyle name="경고문 3" xfId="3401"/>
    <cellStyle name="경고문 4" xfId="3402"/>
    <cellStyle name="경고문 5" xfId="3403"/>
    <cellStyle name="경고문 6" xfId="3404"/>
    <cellStyle name="계산 2" xfId="3405"/>
    <cellStyle name="계산 2 10" xfId="15986"/>
    <cellStyle name="계산 2 10 2" xfId="15987"/>
    <cellStyle name="계산 2 10 2 2" xfId="15988"/>
    <cellStyle name="계산 2 10 2 2 2" xfId="29622"/>
    <cellStyle name="계산 2 10 2 3" xfId="29621"/>
    <cellStyle name="계산 2 10 3" xfId="15989"/>
    <cellStyle name="계산 2 10 3 2" xfId="15990"/>
    <cellStyle name="계산 2 10 3 2 2" xfId="29624"/>
    <cellStyle name="계산 2 10 3 3" xfId="29623"/>
    <cellStyle name="계산 2 10 4" xfId="15991"/>
    <cellStyle name="계산 2 10 4 2" xfId="15992"/>
    <cellStyle name="계산 2 10 4 2 2" xfId="29626"/>
    <cellStyle name="계산 2 10 4 3" xfId="29625"/>
    <cellStyle name="계산 2 10 5" xfId="15993"/>
    <cellStyle name="계산 2 10 5 2" xfId="29627"/>
    <cellStyle name="계산 2 10 6" xfId="29620"/>
    <cellStyle name="계산 2 11" xfId="15994"/>
    <cellStyle name="계산 2 11 2" xfId="15995"/>
    <cellStyle name="계산 2 11 2 2" xfId="15996"/>
    <cellStyle name="계산 2 11 2 2 2" xfId="29630"/>
    <cellStyle name="계산 2 11 2 3" xfId="29629"/>
    <cellStyle name="계산 2 11 3" xfId="15997"/>
    <cellStyle name="계산 2 11 3 2" xfId="15998"/>
    <cellStyle name="계산 2 11 3 2 2" xfId="29632"/>
    <cellStyle name="계산 2 11 3 3" xfId="29631"/>
    <cellStyle name="계산 2 11 4" xfId="15999"/>
    <cellStyle name="계산 2 11 4 2" xfId="16000"/>
    <cellStyle name="계산 2 11 4 2 2" xfId="29634"/>
    <cellStyle name="계산 2 11 4 3" xfId="29633"/>
    <cellStyle name="계산 2 11 5" xfId="16001"/>
    <cellStyle name="계산 2 11 5 2" xfId="29635"/>
    <cellStyle name="계산 2 11 6" xfId="29628"/>
    <cellStyle name="계산 2 12" xfId="16002"/>
    <cellStyle name="계산 2 12 2" xfId="16003"/>
    <cellStyle name="계산 2 12 2 2" xfId="16004"/>
    <cellStyle name="계산 2 12 2 2 2" xfId="29638"/>
    <cellStyle name="계산 2 12 2 3" xfId="29637"/>
    <cellStyle name="계산 2 12 3" xfId="16005"/>
    <cellStyle name="계산 2 12 3 2" xfId="16006"/>
    <cellStyle name="계산 2 12 3 2 2" xfId="29640"/>
    <cellStyle name="계산 2 12 3 3" xfId="29639"/>
    <cellStyle name="계산 2 12 4" xfId="16007"/>
    <cellStyle name="계산 2 12 4 2" xfId="16008"/>
    <cellStyle name="계산 2 12 4 2 2" xfId="29642"/>
    <cellStyle name="계산 2 12 4 3" xfId="29641"/>
    <cellStyle name="계산 2 12 5" xfId="16009"/>
    <cellStyle name="계산 2 12 5 2" xfId="29643"/>
    <cellStyle name="계산 2 12 6" xfId="29636"/>
    <cellStyle name="계산 2 13" xfId="16010"/>
    <cellStyle name="계산 2 13 2" xfId="16011"/>
    <cellStyle name="계산 2 13 2 2" xfId="16012"/>
    <cellStyle name="계산 2 13 2 2 2" xfId="29646"/>
    <cellStyle name="계산 2 13 2 3" xfId="29645"/>
    <cellStyle name="계산 2 13 3" xfId="16013"/>
    <cellStyle name="계산 2 13 3 2" xfId="16014"/>
    <cellStyle name="계산 2 13 3 2 2" xfId="29648"/>
    <cellStyle name="계산 2 13 3 3" xfId="29647"/>
    <cellStyle name="계산 2 13 4" xfId="16015"/>
    <cellStyle name="계산 2 13 4 2" xfId="16016"/>
    <cellStyle name="계산 2 13 4 2 2" xfId="29650"/>
    <cellStyle name="계산 2 13 4 3" xfId="29649"/>
    <cellStyle name="계산 2 13 5" xfId="16017"/>
    <cellStyle name="계산 2 13 5 2" xfId="29651"/>
    <cellStyle name="계산 2 13 6" xfId="29644"/>
    <cellStyle name="계산 2 14" xfId="16018"/>
    <cellStyle name="계산 2 14 2" xfId="16019"/>
    <cellStyle name="계산 2 14 2 2" xfId="16020"/>
    <cellStyle name="계산 2 14 2 2 2" xfId="29654"/>
    <cellStyle name="계산 2 14 2 3" xfId="29653"/>
    <cellStyle name="계산 2 14 3" xfId="16021"/>
    <cellStyle name="계산 2 14 3 2" xfId="16022"/>
    <cellStyle name="계산 2 14 3 2 2" xfId="29656"/>
    <cellStyle name="계산 2 14 3 3" xfId="29655"/>
    <cellStyle name="계산 2 14 4" xfId="16023"/>
    <cellStyle name="계산 2 14 4 2" xfId="16024"/>
    <cellStyle name="계산 2 14 4 2 2" xfId="29658"/>
    <cellStyle name="계산 2 14 4 3" xfId="29657"/>
    <cellStyle name="계산 2 14 5" xfId="16025"/>
    <cellStyle name="계산 2 14 5 2" xfId="29659"/>
    <cellStyle name="계산 2 14 6" xfId="29652"/>
    <cellStyle name="계산 2 15" xfId="16026"/>
    <cellStyle name="계산 2 15 2" xfId="16027"/>
    <cellStyle name="계산 2 15 2 2" xfId="16028"/>
    <cellStyle name="계산 2 15 2 2 2" xfId="29662"/>
    <cellStyle name="계산 2 15 2 3" xfId="29661"/>
    <cellStyle name="계산 2 15 3" xfId="16029"/>
    <cellStyle name="계산 2 15 3 2" xfId="16030"/>
    <cellStyle name="계산 2 15 3 2 2" xfId="29664"/>
    <cellStyle name="계산 2 15 3 3" xfId="29663"/>
    <cellStyle name="계산 2 15 4" xfId="16031"/>
    <cellStyle name="계산 2 15 4 2" xfId="16032"/>
    <cellStyle name="계산 2 15 4 2 2" xfId="29666"/>
    <cellStyle name="계산 2 15 4 3" xfId="29665"/>
    <cellStyle name="계산 2 15 5" xfId="16033"/>
    <cellStyle name="계산 2 15 5 2" xfId="29667"/>
    <cellStyle name="계산 2 15 6" xfId="29660"/>
    <cellStyle name="계산 2 16" xfId="16034"/>
    <cellStyle name="계산 2 16 2" xfId="16035"/>
    <cellStyle name="계산 2 16 2 2" xfId="16036"/>
    <cellStyle name="계산 2 16 2 2 2" xfId="29670"/>
    <cellStyle name="계산 2 16 2 3" xfId="29669"/>
    <cellStyle name="계산 2 16 3" xfId="16037"/>
    <cellStyle name="계산 2 16 3 2" xfId="16038"/>
    <cellStyle name="계산 2 16 3 2 2" xfId="29672"/>
    <cellStyle name="계산 2 16 3 3" xfId="29671"/>
    <cellStyle name="계산 2 16 4" xfId="16039"/>
    <cellStyle name="계산 2 16 4 2" xfId="16040"/>
    <cellStyle name="계산 2 16 4 2 2" xfId="29674"/>
    <cellStyle name="계산 2 16 4 3" xfId="29673"/>
    <cellStyle name="계산 2 16 5" xfId="16041"/>
    <cellStyle name="계산 2 16 5 2" xfId="29675"/>
    <cellStyle name="계산 2 16 6" xfId="29668"/>
    <cellStyle name="계산 2 17" xfId="16042"/>
    <cellStyle name="계산 2 17 2" xfId="16043"/>
    <cellStyle name="계산 2 17 2 2" xfId="16044"/>
    <cellStyle name="계산 2 17 2 2 2" xfId="29678"/>
    <cellStyle name="계산 2 17 2 3" xfId="29677"/>
    <cellStyle name="계산 2 17 3" xfId="16045"/>
    <cellStyle name="계산 2 17 3 2" xfId="16046"/>
    <cellStyle name="계산 2 17 3 2 2" xfId="29680"/>
    <cellStyle name="계산 2 17 3 3" xfId="29679"/>
    <cellStyle name="계산 2 17 4" xfId="16047"/>
    <cellStyle name="계산 2 17 4 2" xfId="16048"/>
    <cellStyle name="계산 2 17 4 2 2" xfId="29682"/>
    <cellStyle name="계산 2 17 4 3" xfId="29681"/>
    <cellStyle name="계산 2 17 5" xfId="16049"/>
    <cellStyle name="계산 2 17 5 2" xfId="29683"/>
    <cellStyle name="계산 2 17 6" xfId="29676"/>
    <cellStyle name="계산 2 18" xfId="16050"/>
    <cellStyle name="계산 2 18 2" xfId="16051"/>
    <cellStyle name="계산 2 18 2 2" xfId="29685"/>
    <cellStyle name="계산 2 18 3" xfId="29684"/>
    <cellStyle name="계산 2 19" xfId="16052"/>
    <cellStyle name="계산 2 19 2" xfId="16053"/>
    <cellStyle name="계산 2 19 2 2" xfId="29687"/>
    <cellStyle name="계산 2 19 3" xfId="29686"/>
    <cellStyle name="계산 2 2" xfId="3406"/>
    <cellStyle name="계산 2 2 2" xfId="3407"/>
    <cellStyle name="계산 2 2 2 2" xfId="16054"/>
    <cellStyle name="계산 2 2 2 2 2" xfId="29688"/>
    <cellStyle name="계산 2 2 2 3" xfId="27691"/>
    <cellStyle name="계산 2 2 3" xfId="16055"/>
    <cellStyle name="계산 2 2 3 2" xfId="16056"/>
    <cellStyle name="계산 2 2 3 2 2" xfId="29690"/>
    <cellStyle name="계산 2 2 3 3" xfId="29689"/>
    <cellStyle name="계산 2 2 4" xfId="16057"/>
    <cellStyle name="계산 2 2 4 2" xfId="16058"/>
    <cellStyle name="계산 2 2 4 2 2" xfId="29692"/>
    <cellStyle name="계산 2 2 4 3" xfId="29691"/>
    <cellStyle name="계산 2 2 5" xfId="16059"/>
    <cellStyle name="계산 2 2 5 2" xfId="29693"/>
    <cellStyle name="계산 2 2 6" xfId="27690"/>
    <cellStyle name="계산 2 20" xfId="16060"/>
    <cellStyle name="계산 2 20 2" xfId="16061"/>
    <cellStyle name="계산 2 20 2 2" xfId="29695"/>
    <cellStyle name="계산 2 20 3" xfId="29694"/>
    <cellStyle name="계산 2 21" xfId="16062"/>
    <cellStyle name="계산 2 21 2" xfId="16063"/>
    <cellStyle name="계산 2 21 2 2" xfId="29697"/>
    <cellStyle name="계산 2 21 3" xfId="29696"/>
    <cellStyle name="계산 2 22" xfId="16064"/>
    <cellStyle name="계산 2 22 2" xfId="29698"/>
    <cellStyle name="계산 2 23" xfId="27689"/>
    <cellStyle name="계산 2 3" xfId="3408"/>
    <cellStyle name="계산 2 3 2" xfId="16065"/>
    <cellStyle name="계산 2 3 2 2" xfId="16066"/>
    <cellStyle name="계산 2 3 2 2 2" xfId="29700"/>
    <cellStyle name="계산 2 3 2 3" xfId="29699"/>
    <cellStyle name="계산 2 3 3" xfId="16067"/>
    <cellStyle name="계산 2 3 3 2" xfId="16068"/>
    <cellStyle name="계산 2 3 3 2 2" xfId="29702"/>
    <cellStyle name="계산 2 3 3 3" xfId="29701"/>
    <cellStyle name="계산 2 3 4" xfId="16069"/>
    <cellStyle name="계산 2 3 4 2" xfId="16070"/>
    <cellStyle name="계산 2 3 4 2 2" xfId="29704"/>
    <cellStyle name="계산 2 3 4 3" xfId="29703"/>
    <cellStyle name="계산 2 3 5" xfId="16071"/>
    <cellStyle name="계산 2 3 5 2" xfId="29705"/>
    <cellStyle name="계산 2 3 6" xfId="27692"/>
    <cellStyle name="계산 2 4" xfId="3409"/>
    <cellStyle name="계산 2 4 2" xfId="16072"/>
    <cellStyle name="계산 2 4 2 2" xfId="16073"/>
    <cellStyle name="계산 2 4 2 2 2" xfId="29707"/>
    <cellStyle name="계산 2 4 2 3" xfId="29706"/>
    <cellStyle name="계산 2 4 3" xfId="16074"/>
    <cellStyle name="계산 2 4 3 2" xfId="16075"/>
    <cellStyle name="계산 2 4 3 2 2" xfId="29709"/>
    <cellStyle name="계산 2 4 3 3" xfId="29708"/>
    <cellStyle name="계산 2 4 4" xfId="16076"/>
    <cellStyle name="계산 2 4 4 2" xfId="16077"/>
    <cellStyle name="계산 2 4 4 2 2" xfId="29711"/>
    <cellStyle name="계산 2 4 4 3" xfId="29710"/>
    <cellStyle name="계산 2 4 5" xfId="16078"/>
    <cellStyle name="계산 2 4 5 2" xfId="29712"/>
    <cellStyle name="계산 2 4 6" xfId="27693"/>
    <cellStyle name="계산 2 5" xfId="16079"/>
    <cellStyle name="계산 2 5 2" xfId="16080"/>
    <cellStyle name="계산 2 5 2 2" xfId="16081"/>
    <cellStyle name="계산 2 5 2 2 2" xfId="29715"/>
    <cellStyle name="계산 2 5 2 3" xfId="29714"/>
    <cellStyle name="계산 2 5 3" xfId="16082"/>
    <cellStyle name="계산 2 5 3 2" xfId="16083"/>
    <cellStyle name="계산 2 5 3 2 2" xfId="29717"/>
    <cellStyle name="계산 2 5 3 3" xfId="29716"/>
    <cellStyle name="계산 2 5 4" xfId="16084"/>
    <cellStyle name="계산 2 5 4 2" xfId="16085"/>
    <cellStyle name="계산 2 5 4 2 2" xfId="29719"/>
    <cellStyle name="계산 2 5 4 3" xfId="29718"/>
    <cellStyle name="계산 2 5 5" xfId="16086"/>
    <cellStyle name="계산 2 5 5 2" xfId="29720"/>
    <cellStyle name="계산 2 5 6" xfId="29713"/>
    <cellStyle name="계산 2 6" xfId="16087"/>
    <cellStyle name="계산 2 6 2" xfId="16088"/>
    <cellStyle name="계산 2 6 2 2" xfId="16089"/>
    <cellStyle name="계산 2 6 2 2 2" xfId="29723"/>
    <cellStyle name="계산 2 6 2 3" xfId="29722"/>
    <cellStyle name="계산 2 6 3" xfId="16090"/>
    <cellStyle name="계산 2 6 3 2" xfId="16091"/>
    <cellStyle name="계산 2 6 3 2 2" xfId="29725"/>
    <cellStyle name="계산 2 6 3 3" xfId="29724"/>
    <cellStyle name="계산 2 6 4" xfId="16092"/>
    <cellStyle name="계산 2 6 4 2" xfId="16093"/>
    <cellStyle name="계산 2 6 4 2 2" xfId="29727"/>
    <cellStyle name="계산 2 6 4 3" xfId="29726"/>
    <cellStyle name="계산 2 6 5" xfId="16094"/>
    <cellStyle name="계산 2 6 5 2" xfId="29728"/>
    <cellStyle name="계산 2 6 6" xfId="29721"/>
    <cellStyle name="계산 2 7" xfId="16095"/>
    <cellStyle name="계산 2 7 2" xfId="16096"/>
    <cellStyle name="계산 2 7 2 2" xfId="16097"/>
    <cellStyle name="계산 2 7 2 2 2" xfId="29731"/>
    <cellStyle name="계산 2 7 2 3" xfId="29730"/>
    <cellStyle name="계산 2 7 3" xfId="16098"/>
    <cellStyle name="계산 2 7 3 2" xfId="16099"/>
    <cellStyle name="계산 2 7 3 2 2" xfId="29733"/>
    <cellStyle name="계산 2 7 3 3" xfId="29732"/>
    <cellStyle name="계산 2 7 4" xfId="16100"/>
    <cellStyle name="계산 2 7 4 2" xfId="16101"/>
    <cellStyle name="계산 2 7 4 2 2" xfId="29735"/>
    <cellStyle name="계산 2 7 4 3" xfId="29734"/>
    <cellStyle name="계산 2 7 5" xfId="16102"/>
    <cellStyle name="계산 2 7 5 2" xfId="29736"/>
    <cellStyle name="계산 2 7 6" xfId="29729"/>
    <cellStyle name="계산 2 8" xfId="16103"/>
    <cellStyle name="계산 2 8 2" xfId="16104"/>
    <cellStyle name="계산 2 8 2 2" xfId="16105"/>
    <cellStyle name="계산 2 8 2 2 2" xfId="29739"/>
    <cellStyle name="계산 2 8 2 3" xfId="29738"/>
    <cellStyle name="계산 2 8 3" xfId="16106"/>
    <cellStyle name="계산 2 8 3 2" xfId="16107"/>
    <cellStyle name="계산 2 8 3 2 2" xfId="29741"/>
    <cellStyle name="계산 2 8 3 3" xfId="29740"/>
    <cellStyle name="계산 2 8 4" xfId="16108"/>
    <cellStyle name="계산 2 8 4 2" xfId="16109"/>
    <cellStyle name="계산 2 8 4 2 2" xfId="29743"/>
    <cellStyle name="계산 2 8 4 3" xfId="29742"/>
    <cellStyle name="계산 2 8 5" xfId="16110"/>
    <cellStyle name="계산 2 8 5 2" xfId="29744"/>
    <cellStyle name="계산 2 8 6" xfId="29737"/>
    <cellStyle name="계산 2 9" xfId="16111"/>
    <cellStyle name="계산 2 9 2" xfId="16112"/>
    <cellStyle name="계산 2 9 2 2" xfId="16113"/>
    <cellStyle name="계산 2 9 2 2 2" xfId="29747"/>
    <cellStyle name="계산 2 9 2 3" xfId="29746"/>
    <cellStyle name="계산 2 9 3" xfId="16114"/>
    <cellStyle name="계산 2 9 3 2" xfId="16115"/>
    <cellStyle name="계산 2 9 3 2 2" xfId="29749"/>
    <cellStyle name="계산 2 9 3 3" xfId="29748"/>
    <cellStyle name="계산 2 9 4" xfId="16116"/>
    <cellStyle name="계산 2 9 4 2" xfId="16117"/>
    <cellStyle name="계산 2 9 4 2 2" xfId="29751"/>
    <cellStyle name="계산 2 9 4 3" xfId="29750"/>
    <cellStyle name="계산 2 9 5" xfId="16118"/>
    <cellStyle name="계산 2 9 5 2" xfId="29752"/>
    <cellStyle name="계산 2 9 6" xfId="29745"/>
    <cellStyle name="계산 3" xfId="3410"/>
    <cellStyle name="계산 3 2" xfId="27694"/>
    <cellStyle name="계산 4" xfId="3411"/>
    <cellStyle name="계산 4 2" xfId="27695"/>
    <cellStyle name="계산 5" xfId="3412"/>
    <cellStyle name="계산 5 2" xfId="27696"/>
    <cellStyle name="계산 6" xfId="3413"/>
    <cellStyle name="계산 6 2" xfId="27697"/>
    <cellStyle name="고정소숫점" xfId="3414"/>
    <cellStyle name="고정출력1" xfId="3415"/>
    <cellStyle name="고정출력1 2" xfId="16119"/>
    <cellStyle name="고정출력1 3" xfId="16120"/>
    <cellStyle name="고정출력2" xfId="3416"/>
    <cellStyle name="고정출력2 2" xfId="16121"/>
    <cellStyle name="고정출력2 3" xfId="16122"/>
    <cellStyle name="과립" xfId="3417"/>
    <cellStyle name="咬訌裝?INCOM1" xfId="3418"/>
    <cellStyle name="咬訌裝?INCOM1 2" xfId="16123"/>
    <cellStyle name="咬訌裝?INCOM10" xfId="3419"/>
    <cellStyle name="咬訌裝?INCOM10 2" xfId="16124"/>
    <cellStyle name="咬訌裝?INCOM2" xfId="3420"/>
    <cellStyle name="咬訌裝?INCOM2 2" xfId="16125"/>
    <cellStyle name="咬訌裝?INCOM3" xfId="3421"/>
    <cellStyle name="咬訌裝?INCOM3 2" xfId="16126"/>
    <cellStyle name="咬訌裝?INCOM4" xfId="3422"/>
    <cellStyle name="咬訌裝?INCOM4 2" xfId="16127"/>
    <cellStyle name="咬訌裝?INCOM5" xfId="3423"/>
    <cellStyle name="咬訌裝?INCOM5 2" xfId="16128"/>
    <cellStyle name="咬訌裝?INCOM6" xfId="3424"/>
    <cellStyle name="咬訌裝?INCOM6 2" xfId="16129"/>
    <cellStyle name="咬訌裝?INCOM7" xfId="3425"/>
    <cellStyle name="咬訌裝?INCOM7 2" xfId="16130"/>
    <cellStyle name="咬訌裝?INCOM8" xfId="3426"/>
    <cellStyle name="咬訌裝?INCOM8 2" xfId="16131"/>
    <cellStyle name="咬訌裝?INCOM9" xfId="3427"/>
    <cellStyle name="咬訌裝?INCOM9 2" xfId="16132"/>
    <cellStyle name="咬訌裝?PRIB11" xfId="3428"/>
    <cellStyle name="咬訌裝?PRIB11 2" xfId="16133"/>
    <cellStyle name="咬訌裝?report-2 " xfId="3429"/>
    <cellStyle name="咬訌裝?report-2  2" xfId="16134"/>
    <cellStyle name="咬訌裝?report-2  3" xfId="16135"/>
    <cellStyle name="금액" xfId="3430"/>
    <cellStyle name="금액 2" xfId="16136"/>
    <cellStyle name="금액 2 2" xfId="16137"/>
    <cellStyle name="금액 2 2 2" xfId="16138"/>
    <cellStyle name="금액 2 2 2 2" xfId="29755"/>
    <cellStyle name="금액 2 2 3" xfId="29754"/>
    <cellStyle name="금액 2 3" xfId="16139"/>
    <cellStyle name="금액 2 3 2" xfId="16140"/>
    <cellStyle name="금액 2 3 2 2" xfId="29757"/>
    <cellStyle name="금액 2 3 3" xfId="29756"/>
    <cellStyle name="금액 2 4" xfId="16141"/>
    <cellStyle name="금액 2 4 2" xfId="16142"/>
    <cellStyle name="금액 2 4 2 2" xfId="29759"/>
    <cellStyle name="금액 2 4 3" xfId="29758"/>
    <cellStyle name="금액 2 5" xfId="16143"/>
    <cellStyle name="금액 2 5 2" xfId="29760"/>
    <cellStyle name="금액 2 6" xfId="29753"/>
    <cellStyle name="금액 3" xfId="16144"/>
    <cellStyle name="금액 3 2" xfId="29761"/>
    <cellStyle name="금액 4" xfId="27698"/>
    <cellStyle name="기  업" xfId="3431"/>
    <cellStyle name="기  업 2" xfId="4996"/>
    <cellStyle name="기  업 2 2" xfId="27740"/>
    <cellStyle name="기  업 3" xfId="16145"/>
    <cellStyle name="기  업 3 2" xfId="29762"/>
    <cellStyle name="기  업 4" xfId="27699"/>
    <cellStyle name="나쁨 2" xfId="3432"/>
    <cellStyle name="나쁨 2 2" xfId="3433"/>
    <cellStyle name="나쁨 2 2 2" xfId="3434"/>
    <cellStyle name="나쁨 2 3" xfId="3435"/>
    <cellStyle name="나쁨 2 4" xfId="3436"/>
    <cellStyle name="나쁨 3" xfId="3437"/>
    <cellStyle name="나쁨 4" xfId="3438"/>
    <cellStyle name="나쁨 5" xfId="3439"/>
    <cellStyle name="나쁨 6" xfId="3440"/>
    <cellStyle name="날짜" xfId="3441"/>
    <cellStyle name="날짜 2" xfId="16146"/>
    <cellStyle name="날짜 3" xfId="16147"/>
    <cellStyle name="년도" xfId="3442"/>
    <cellStyle name="년도 2" xfId="16148"/>
    <cellStyle name="년도 2 2" xfId="16149"/>
    <cellStyle name="년도 2 2 2" xfId="16150"/>
    <cellStyle name="년도 2 2 2 2" xfId="29765"/>
    <cellStyle name="년도 2 2 3" xfId="29764"/>
    <cellStyle name="년도 2 3" xfId="16151"/>
    <cellStyle name="년도 2 3 2" xfId="16152"/>
    <cellStyle name="년도 2 3 2 2" xfId="29767"/>
    <cellStyle name="년도 2 3 3" xfId="29766"/>
    <cellStyle name="년도 2 4" xfId="16153"/>
    <cellStyle name="년도 2 4 2" xfId="16154"/>
    <cellStyle name="년도 2 4 2 2" xfId="29769"/>
    <cellStyle name="년도 2 4 3" xfId="29768"/>
    <cellStyle name="년도 2 5" xfId="16155"/>
    <cellStyle name="년도 2 5 2" xfId="29770"/>
    <cellStyle name="년도 2 6" xfId="29763"/>
    <cellStyle name="년도 3" xfId="16156"/>
    <cellStyle name="년도 3 2" xfId="29771"/>
    <cellStyle name="년도 4" xfId="27700"/>
    <cellStyle name="달러" xfId="3443"/>
    <cellStyle name="달러 2" xfId="16157"/>
    <cellStyle name="달러 3" xfId="16158"/>
    <cellStyle name="뒤에 오는 하이퍼링크" xfId="3444"/>
    <cellStyle name="뒤에 오는 하이퍼링크 2" xfId="3445"/>
    <cellStyle name="뒤에 오는 하이퍼링크 3" xfId="3446"/>
    <cellStyle name="뒤에 오는 하이퍼링크_1_평가결과요약(1015)" xfId="3447"/>
    <cellStyle name="들여쓰기1" xfId="3448"/>
    <cellStyle name="똿떓죶ø? [0.00" xfId="3449"/>
    <cellStyle name="똿떓죶Ø? [0.00]_PRODUCT DETAIL Q1" xfId="3450"/>
    <cellStyle name="똿떓죶ø? [0.00_2. 은행분담금 추정 (20090930기준)_작업_2" xfId="3451"/>
    <cellStyle name="똿떓죶ø?_produ" xfId="3452"/>
    <cellStyle name="똿뗦먛귟 [0.00]_PRODUCT DETAIL Q1" xfId="3453"/>
    <cellStyle name="똿뗦먛귟_PRODUCT DETAIL Q1" xfId="3454"/>
    <cellStyle name="메모 2" xfId="3455"/>
    <cellStyle name="메모 2 10" xfId="16159"/>
    <cellStyle name="메모 2 10 2" xfId="16160"/>
    <cellStyle name="메모 2 10 2 2" xfId="16161"/>
    <cellStyle name="메모 2 10 2 2 2" xfId="29774"/>
    <cellStyle name="메모 2 10 2 3" xfId="29773"/>
    <cellStyle name="메모 2 10 3" xfId="16162"/>
    <cellStyle name="메모 2 10 3 2" xfId="16163"/>
    <cellStyle name="메모 2 10 3 2 2" xfId="29776"/>
    <cellStyle name="메모 2 10 3 3" xfId="29775"/>
    <cellStyle name="메모 2 10 4" xfId="16164"/>
    <cellStyle name="메모 2 10 4 2" xfId="16165"/>
    <cellStyle name="메모 2 10 4 2 2" xfId="29778"/>
    <cellStyle name="메모 2 10 4 3" xfId="29777"/>
    <cellStyle name="메모 2 10 5" xfId="16166"/>
    <cellStyle name="메모 2 10 5 2" xfId="29779"/>
    <cellStyle name="메모 2 10 6" xfId="29772"/>
    <cellStyle name="메모 2 11" xfId="16167"/>
    <cellStyle name="메모 2 11 2" xfId="16168"/>
    <cellStyle name="메모 2 11 2 2" xfId="16169"/>
    <cellStyle name="메모 2 11 2 2 2" xfId="29782"/>
    <cellStyle name="메모 2 11 2 3" xfId="29781"/>
    <cellStyle name="메모 2 11 3" xfId="16170"/>
    <cellStyle name="메모 2 11 3 2" xfId="16171"/>
    <cellStyle name="메모 2 11 3 2 2" xfId="29784"/>
    <cellStyle name="메모 2 11 3 3" xfId="29783"/>
    <cellStyle name="메모 2 11 4" xfId="16172"/>
    <cellStyle name="메모 2 11 4 2" xfId="16173"/>
    <cellStyle name="메모 2 11 4 2 2" xfId="29786"/>
    <cellStyle name="메모 2 11 4 3" xfId="29785"/>
    <cellStyle name="메모 2 11 5" xfId="16174"/>
    <cellStyle name="메모 2 11 5 2" xfId="29787"/>
    <cellStyle name="메모 2 11 6" xfId="29780"/>
    <cellStyle name="메모 2 12" xfId="16175"/>
    <cellStyle name="메모 2 12 2" xfId="16176"/>
    <cellStyle name="메모 2 12 2 2" xfId="16177"/>
    <cellStyle name="메모 2 12 2 2 2" xfId="29790"/>
    <cellStyle name="메모 2 12 2 3" xfId="29789"/>
    <cellStyle name="메모 2 12 3" xfId="16178"/>
    <cellStyle name="메모 2 12 3 2" xfId="16179"/>
    <cellStyle name="메모 2 12 3 2 2" xfId="29792"/>
    <cellStyle name="메모 2 12 3 3" xfId="29791"/>
    <cellStyle name="메모 2 12 4" xfId="16180"/>
    <cellStyle name="메모 2 12 4 2" xfId="16181"/>
    <cellStyle name="메모 2 12 4 2 2" xfId="29794"/>
    <cellStyle name="메모 2 12 4 3" xfId="29793"/>
    <cellStyle name="메모 2 12 5" xfId="16182"/>
    <cellStyle name="메모 2 12 5 2" xfId="29795"/>
    <cellStyle name="메모 2 12 6" xfId="29788"/>
    <cellStyle name="메모 2 13" xfId="16183"/>
    <cellStyle name="메모 2 13 2" xfId="16184"/>
    <cellStyle name="메모 2 13 2 2" xfId="16185"/>
    <cellStyle name="메모 2 13 2 2 2" xfId="29798"/>
    <cellStyle name="메모 2 13 2 3" xfId="29797"/>
    <cellStyle name="메모 2 13 3" xfId="16186"/>
    <cellStyle name="메모 2 13 3 2" xfId="16187"/>
    <cellStyle name="메모 2 13 3 2 2" xfId="29800"/>
    <cellStyle name="메모 2 13 3 3" xfId="29799"/>
    <cellStyle name="메모 2 13 4" xfId="16188"/>
    <cellStyle name="메모 2 13 4 2" xfId="16189"/>
    <cellStyle name="메모 2 13 4 2 2" xfId="29802"/>
    <cellStyle name="메모 2 13 4 3" xfId="29801"/>
    <cellStyle name="메모 2 13 5" xfId="16190"/>
    <cellStyle name="메모 2 13 5 2" xfId="29803"/>
    <cellStyle name="메모 2 13 6" xfId="29796"/>
    <cellStyle name="메모 2 14" xfId="16191"/>
    <cellStyle name="메모 2 14 2" xfId="16192"/>
    <cellStyle name="메모 2 14 2 2" xfId="16193"/>
    <cellStyle name="메모 2 14 2 2 2" xfId="29806"/>
    <cellStyle name="메모 2 14 2 3" xfId="29805"/>
    <cellStyle name="메모 2 14 3" xfId="16194"/>
    <cellStyle name="메모 2 14 3 2" xfId="16195"/>
    <cellStyle name="메모 2 14 3 2 2" xfId="29808"/>
    <cellStyle name="메모 2 14 3 3" xfId="29807"/>
    <cellStyle name="메모 2 14 4" xfId="16196"/>
    <cellStyle name="메모 2 14 4 2" xfId="16197"/>
    <cellStyle name="메모 2 14 4 2 2" xfId="29810"/>
    <cellStyle name="메모 2 14 4 3" xfId="29809"/>
    <cellStyle name="메모 2 14 5" xfId="16198"/>
    <cellStyle name="메모 2 14 5 2" xfId="29811"/>
    <cellStyle name="메모 2 14 6" xfId="29804"/>
    <cellStyle name="메모 2 15" xfId="16199"/>
    <cellStyle name="메모 2 15 2" xfId="16200"/>
    <cellStyle name="메모 2 15 2 2" xfId="16201"/>
    <cellStyle name="메모 2 15 2 2 2" xfId="29814"/>
    <cellStyle name="메모 2 15 2 3" xfId="29813"/>
    <cellStyle name="메모 2 15 3" xfId="16202"/>
    <cellStyle name="메모 2 15 3 2" xfId="16203"/>
    <cellStyle name="메모 2 15 3 2 2" xfId="29816"/>
    <cellStyle name="메모 2 15 3 3" xfId="29815"/>
    <cellStyle name="메모 2 15 4" xfId="16204"/>
    <cellStyle name="메모 2 15 4 2" xfId="16205"/>
    <cellStyle name="메모 2 15 4 2 2" xfId="29818"/>
    <cellStyle name="메모 2 15 4 3" xfId="29817"/>
    <cellStyle name="메모 2 15 5" xfId="16206"/>
    <cellStyle name="메모 2 15 5 2" xfId="29819"/>
    <cellStyle name="메모 2 15 6" xfId="29812"/>
    <cellStyle name="메모 2 16" xfId="16207"/>
    <cellStyle name="메모 2 16 2" xfId="16208"/>
    <cellStyle name="메모 2 16 2 2" xfId="16209"/>
    <cellStyle name="메모 2 16 2 2 2" xfId="29822"/>
    <cellStyle name="메모 2 16 2 3" xfId="29821"/>
    <cellStyle name="메모 2 16 3" xfId="16210"/>
    <cellStyle name="메모 2 16 3 2" xfId="16211"/>
    <cellStyle name="메모 2 16 3 2 2" xfId="29824"/>
    <cellStyle name="메모 2 16 3 3" xfId="29823"/>
    <cellStyle name="메모 2 16 4" xfId="16212"/>
    <cellStyle name="메모 2 16 4 2" xfId="16213"/>
    <cellStyle name="메모 2 16 4 2 2" xfId="29826"/>
    <cellStyle name="메모 2 16 4 3" xfId="29825"/>
    <cellStyle name="메모 2 16 5" xfId="16214"/>
    <cellStyle name="메모 2 16 5 2" xfId="29827"/>
    <cellStyle name="메모 2 16 6" xfId="29820"/>
    <cellStyle name="메모 2 17" xfId="16215"/>
    <cellStyle name="메모 2 17 2" xfId="16216"/>
    <cellStyle name="메모 2 17 2 2" xfId="16217"/>
    <cellStyle name="메모 2 17 2 2 2" xfId="29830"/>
    <cellStyle name="메모 2 17 2 3" xfId="29829"/>
    <cellStyle name="메모 2 17 3" xfId="16218"/>
    <cellStyle name="메모 2 17 3 2" xfId="16219"/>
    <cellStyle name="메모 2 17 3 2 2" xfId="29832"/>
    <cellStyle name="메모 2 17 3 3" xfId="29831"/>
    <cellStyle name="메모 2 17 4" xfId="16220"/>
    <cellStyle name="메모 2 17 4 2" xfId="16221"/>
    <cellStyle name="메모 2 17 4 2 2" xfId="29834"/>
    <cellStyle name="메모 2 17 4 3" xfId="29833"/>
    <cellStyle name="메모 2 17 5" xfId="16222"/>
    <cellStyle name="메모 2 17 5 2" xfId="29835"/>
    <cellStyle name="메모 2 17 6" xfId="29828"/>
    <cellStyle name="메모 2 18" xfId="16223"/>
    <cellStyle name="메모 2 18 2" xfId="16224"/>
    <cellStyle name="메모 2 18 2 2" xfId="29837"/>
    <cellStyle name="메모 2 18 3" xfId="29836"/>
    <cellStyle name="메모 2 19" xfId="16225"/>
    <cellStyle name="메모 2 19 2" xfId="16226"/>
    <cellStyle name="메모 2 19 2 2" xfId="29839"/>
    <cellStyle name="메모 2 19 3" xfId="29838"/>
    <cellStyle name="메모 2 2" xfId="3456"/>
    <cellStyle name="메모 2 2 2" xfId="16227"/>
    <cellStyle name="메모 2 2 2 2" xfId="16228"/>
    <cellStyle name="메모 2 2 2 2 2" xfId="29841"/>
    <cellStyle name="메모 2 2 2 3" xfId="29840"/>
    <cellStyle name="메모 2 2 3" xfId="16229"/>
    <cellStyle name="메모 2 2 3 2" xfId="16230"/>
    <cellStyle name="메모 2 2 3 2 2" xfId="29843"/>
    <cellStyle name="메모 2 2 3 3" xfId="29842"/>
    <cellStyle name="메모 2 2 4" xfId="16231"/>
    <cellStyle name="메모 2 2 4 2" xfId="16232"/>
    <cellStyle name="메모 2 2 4 2 2" xfId="29845"/>
    <cellStyle name="메모 2 2 4 3" xfId="29844"/>
    <cellStyle name="메모 2 2 5" xfId="16233"/>
    <cellStyle name="메모 2 2 5 2" xfId="29846"/>
    <cellStyle name="메모 2 2 6" xfId="27702"/>
    <cellStyle name="메모 2 20" xfId="16234"/>
    <cellStyle name="메모 2 20 2" xfId="16235"/>
    <cellStyle name="메모 2 20 2 2" xfId="29848"/>
    <cellStyle name="메모 2 20 3" xfId="29847"/>
    <cellStyle name="메모 2 21" xfId="16236"/>
    <cellStyle name="메모 2 21 2" xfId="16237"/>
    <cellStyle name="메모 2 21 2 2" xfId="29850"/>
    <cellStyle name="메모 2 21 3" xfId="29849"/>
    <cellStyle name="메모 2 22" xfId="16238"/>
    <cellStyle name="메모 2 22 2" xfId="29851"/>
    <cellStyle name="메모 2 23" xfId="27701"/>
    <cellStyle name="메모 2 3" xfId="3457"/>
    <cellStyle name="메모 2 3 2" xfId="16239"/>
    <cellStyle name="메모 2 3 2 2" xfId="16240"/>
    <cellStyle name="메모 2 3 2 2 2" xfId="29853"/>
    <cellStyle name="메모 2 3 2 3" xfId="29852"/>
    <cellStyle name="메모 2 3 3" xfId="16241"/>
    <cellStyle name="메모 2 3 3 2" xfId="16242"/>
    <cellStyle name="메모 2 3 3 2 2" xfId="29855"/>
    <cellStyle name="메모 2 3 3 3" xfId="29854"/>
    <cellStyle name="메모 2 3 4" xfId="16243"/>
    <cellStyle name="메모 2 3 4 2" xfId="16244"/>
    <cellStyle name="메모 2 3 4 2 2" xfId="29857"/>
    <cellStyle name="메모 2 3 4 3" xfId="29856"/>
    <cellStyle name="메모 2 3 5" xfId="16245"/>
    <cellStyle name="메모 2 3 5 2" xfId="29858"/>
    <cellStyle name="메모 2 3 6" xfId="27703"/>
    <cellStyle name="메모 2 4" xfId="16246"/>
    <cellStyle name="메모 2 4 2" xfId="16247"/>
    <cellStyle name="메모 2 4 2 2" xfId="16248"/>
    <cellStyle name="메모 2 4 2 2 2" xfId="29861"/>
    <cellStyle name="메모 2 4 2 3" xfId="29860"/>
    <cellStyle name="메모 2 4 3" xfId="16249"/>
    <cellStyle name="메모 2 4 3 2" xfId="16250"/>
    <cellStyle name="메모 2 4 3 2 2" xfId="29863"/>
    <cellStyle name="메모 2 4 3 3" xfId="29862"/>
    <cellStyle name="메모 2 4 4" xfId="16251"/>
    <cellStyle name="메모 2 4 4 2" xfId="16252"/>
    <cellStyle name="메모 2 4 4 2 2" xfId="29865"/>
    <cellStyle name="메모 2 4 4 3" xfId="29864"/>
    <cellStyle name="메모 2 4 5" xfId="16253"/>
    <cellStyle name="메모 2 4 5 2" xfId="29866"/>
    <cellStyle name="메모 2 4 6" xfId="29859"/>
    <cellStyle name="메모 2 5" xfId="16254"/>
    <cellStyle name="메모 2 5 2" xfId="16255"/>
    <cellStyle name="메모 2 5 2 2" xfId="16256"/>
    <cellStyle name="메모 2 5 2 2 2" xfId="29869"/>
    <cellStyle name="메모 2 5 2 3" xfId="29868"/>
    <cellStyle name="메모 2 5 3" xfId="16257"/>
    <cellStyle name="메모 2 5 3 2" xfId="16258"/>
    <cellStyle name="메모 2 5 3 2 2" xfId="29871"/>
    <cellStyle name="메모 2 5 3 3" xfId="29870"/>
    <cellStyle name="메모 2 5 4" xfId="16259"/>
    <cellStyle name="메모 2 5 4 2" xfId="16260"/>
    <cellStyle name="메모 2 5 4 2 2" xfId="29873"/>
    <cellStyle name="메모 2 5 4 3" xfId="29872"/>
    <cellStyle name="메모 2 5 5" xfId="16261"/>
    <cellStyle name="메모 2 5 5 2" xfId="29874"/>
    <cellStyle name="메모 2 5 6" xfId="29867"/>
    <cellStyle name="메모 2 6" xfId="16262"/>
    <cellStyle name="메모 2 6 2" xfId="16263"/>
    <cellStyle name="메모 2 6 2 2" xfId="16264"/>
    <cellStyle name="메모 2 6 2 2 2" xfId="29877"/>
    <cellStyle name="메모 2 6 2 3" xfId="29876"/>
    <cellStyle name="메모 2 6 3" xfId="16265"/>
    <cellStyle name="메모 2 6 3 2" xfId="16266"/>
    <cellStyle name="메모 2 6 3 2 2" xfId="29879"/>
    <cellStyle name="메모 2 6 3 3" xfId="29878"/>
    <cellStyle name="메모 2 6 4" xfId="16267"/>
    <cellStyle name="메모 2 6 4 2" xfId="16268"/>
    <cellStyle name="메모 2 6 4 2 2" xfId="29881"/>
    <cellStyle name="메모 2 6 4 3" xfId="29880"/>
    <cellStyle name="메모 2 6 5" xfId="16269"/>
    <cellStyle name="메모 2 6 5 2" xfId="29882"/>
    <cellStyle name="메모 2 6 6" xfId="29875"/>
    <cellStyle name="메모 2 7" xfId="16270"/>
    <cellStyle name="메모 2 7 2" xfId="16271"/>
    <cellStyle name="메모 2 7 2 2" xfId="16272"/>
    <cellStyle name="메모 2 7 2 2 2" xfId="29885"/>
    <cellStyle name="메모 2 7 2 3" xfId="29884"/>
    <cellStyle name="메모 2 7 3" xfId="16273"/>
    <cellStyle name="메모 2 7 3 2" xfId="16274"/>
    <cellStyle name="메모 2 7 3 2 2" xfId="29887"/>
    <cellStyle name="메모 2 7 3 3" xfId="29886"/>
    <cellStyle name="메모 2 7 4" xfId="16275"/>
    <cellStyle name="메모 2 7 4 2" xfId="16276"/>
    <cellStyle name="메모 2 7 4 2 2" xfId="29889"/>
    <cellStyle name="메모 2 7 4 3" xfId="29888"/>
    <cellStyle name="메모 2 7 5" xfId="16277"/>
    <cellStyle name="메모 2 7 5 2" xfId="29890"/>
    <cellStyle name="메모 2 7 6" xfId="29883"/>
    <cellStyle name="메모 2 8" xfId="16278"/>
    <cellStyle name="메모 2 8 2" xfId="16279"/>
    <cellStyle name="메모 2 8 2 2" xfId="16280"/>
    <cellStyle name="메모 2 8 2 2 2" xfId="29893"/>
    <cellStyle name="메모 2 8 2 3" xfId="29892"/>
    <cellStyle name="메모 2 8 3" xfId="16281"/>
    <cellStyle name="메모 2 8 3 2" xfId="16282"/>
    <cellStyle name="메모 2 8 3 2 2" xfId="29895"/>
    <cellStyle name="메모 2 8 3 3" xfId="29894"/>
    <cellStyle name="메모 2 8 4" xfId="16283"/>
    <cellStyle name="메모 2 8 4 2" xfId="16284"/>
    <cellStyle name="메모 2 8 4 2 2" xfId="29897"/>
    <cellStyle name="메모 2 8 4 3" xfId="29896"/>
    <cellStyle name="메모 2 8 5" xfId="16285"/>
    <cellStyle name="메모 2 8 5 2" xfId="29898"/>
    <cellStyle name="메모 2 8 6" xfId="29891"/>
    <cellStyle name="메모 2 9" xfId="16286"/>
    <cellStyle name="메모 2 9 2" xfId="16287"/>
    <cellStyle name="메모 2 9 2 2" xfId="16288"/>
    <cellStyle name="메모 2 9 2 2 2" xfId="29901"/>
    <cellStyle name="메모 2 9 2 3" xfId="29900"/>
    <cellStyle name="메모 2 9 3" xfId="16289"/>
    <cellStyle name="메모 2 9 3 2" xfId="16290"/>
    <cellStyle name="메모 2 9 3 2 2" xfId="29903"/>
    <cellStyle name="메모 2 9 3 3" xfId="29902"/>
    <cellStyle name="메모 2 9 4" xfId="16291"/>
    <cellStyle name="메모 2 9 4 2" xfId="16292"/>
    <cellStyle name="메모 2 9 4 2 2" xfId="29905"/>
    <cellStyle name="메모 2 9 4 3" xfId="29904"/>
    <cellStyle name="메모 2 9 5" xfId="16293"/>
    <cellStyle name="메모 2 9 5 2" xfId="29906"/>
    <cellStyle name="메모 2 9 6" xfId="29899"/>
    <cellStyle name="메모 3" xfId="3458"/>
    <cellStyle name="메모 3 2" xfId="16294"/>
    <cellStyle name="메모 3 2 2" xfId="16295"/>
    <cellStyle name="메모 3 3" xfId="16296"/>
    <cellStyle name="메모 3 3 2" xfId="16297"/>
    <cellStyle name="메모 3 4" xfId="27704"/>
    <cellStyle name="메모 4" xfId="3459"/>
    <cellStyle name="메모 4 2" xfId="16298"/>
    <cellStyle name="메모 4 2 2" xfId="16299"/>
    <cellStyle name="메모 4 3" xfId="16300"/>
    <cellStyle name="메모 4 3 2" xfId="16301"/>
    <cellStyle name="메모 4 4" xfId="27705"/>
    <cellStyle name="메모 5" xfId="3460"/>
    <cellStyle name="메모 5 2" xfId="16302"/>
    <cellStyle name="메모 5 2 2" xfId="16303"/>
    <cellStyle name="메모 5 3" xfId="16304"/>
    <cellStyle name="메모 5 3 2" xfId="16305"/>
    <cellStyle name="메모 5 4" xfId="16306"/>
    <cellStyle name="메모 6" xfId="3461"/>
    <cellStyle name="메모 6 2" xfId="16307"/>
    <cellStyle name="메모 6 2 2" xfId="16308"/>
    <cellStyle name="메모 6 3" xfId="16309"/>
    <cellStyle name="메모 6 3 2" xfId="16310"/>
    <cellStyle name="메모 6 4" xfId="16311"/>
    <cellStyle name="메모 7" xfId="16312"/>
    <cellStyle name="메모 7 2" xfId="16313"/>
    <cellStyle name="메시지" xfId="3462"/>
    <cellStyle name="믅됞 [0.00]_PRODUCT DETAIL Q1" xfId="3463"/>
    <cellStyle name="믅됞_PRODUCT DETAIL Q1" xfId="3464"/>
    <cellStyle name="未定義" xfId="3465"/>
    <cellStyle name="未定義 2" xfId="16314"/>
    <cellStyle name="未定義 3" xfId="16315"/>
    <cellStyle name="바이알" xfId="3466"/>
    <cellStyle name="백분율" xfId="17479" builtinId="5"/>
    <cellStyle name="백분율 10" xfId="3467"/>
    <cellStyle name="백분율 10 2" xfId="16316"/>
    <cellStyle name="백분율 10 2 2" xfId="16317"/>
    <cellStyle name="백분율 10 2 2 2" xfId="16318"/>
    <cellStyle name="백분율 10 2 3" xfId="16319"/>
    <cellStyle name="백분율 10 3" xfId="16320"/>
    <cellStyle name="백분율 10 3 2" xfId="16321"/>
    <cellStyle name="백분율 10 4" xfId="16322"/>
    <cellStyle name="백분율 10 4 2" xfId="16323"/>
    <cellStyle name="백분율 10 5" xfId="16324"/>
    <cellStyle name="백분율 10 6" xfId="16325"/>
    <cellStyle name="백분율 11" xfId="3468"/>
    <cellStyle name="백분율 11 2" xfId="5025"/>
    <cellStyle name="백분율 12" xfId="3469"/>
    <cellStyle name="백분율 13" xfId="3470"/>
    <cellStyle name="백분율 14" xfId="4997"/>
    <cellStyle name="백분율 14 2" xfId="16326"/>
    <cellStyle name="백분율 15" xfId="4998"/>
    <cellStyle name="백분율 15 2" xfId="16327"/>
    <cellStyle name="백분율 16" xfId="4999"/>
    <cellStyle name="백분율 17" xfId="5000"/>
    <cellStyle name="백분율 18" xfId="5001"/>
    <cellStyle name="백분율 19" xfId="5002"/>
    <cellStyle name="백분율 2" xfId="3471"/>
    <cellStyle name="백분율 2 2" xfId="3472"/>
    <cellStyle name="백분율 2 2 2" xfId="3473"/>
    <cellStyle name="백분율 2 2 2 2" xfId="3474"/>
    <cellStyle name="백분율 2 2 3" xfId="3475"/>
    <cellStyle name="백분율 2 3" xfId="3476"/>
    <cellStyle name="백분율 2 3 2" xfId="3477"/>
    <cellStyle name="백분율 2 4" xfId="3478"/>
    <cellStyle name="백분율 2 4 2" xfId="5003"/>
    <cellStyle name="백분율 2 5" xfId="3479"/>
    <cellStyle name="백분율 2 5 2" xfId="16328"/>
    <cellStyle name="백분율 2 6" xfId="3480"/>
    <cellStyle name="백분율 2 7" xfId="3481"/>
    <cellStyle name="백분율 2 7 2" xfId="3482"/>
    <cellStyle name="백분율 2 8" xfId="17486"/>
    <cellStyle name="백분율 3" xfId="3483"/>
    <cellStyle name="백분율 3 2" xfId="3484"/>
    <cellStyle name="백분율 3 2 2" xfId="3485"/>
    <cellStyle name="백분율 3 2 3" xfId="16329"/>
    <cellStyle name="백분율 3 3" xfId="16330"/>
    <cellStyle name="백분율 4" xfId="3486"/>
    <cellStyle name="백분율 4 2" xfId="3487"/>
    <cellStyle name="백분율 4 3" xfId="3488"/>
    <cellStyle name="백분율 4 3 2" xfId="16331"/>
    <cellStyle name="백분율 4 3 2 2" xfId="16332"/>
    <cellStyle name="백분율 4 3 3" xfId="16333"/>
    <cellStyle name="백분율 4 4" xfId="3489"/>
    <cellStyle name="백분율 4 4 2" xfId="16334"/>
    <cellStyle name="백분율 5" xfId="3490"/>
    <cellStyle name="백분율 5 2" xfId="3491"/>
    <cellStyle name="백분율 5 2 2" xfId="16335"/>
    <cellStyle name="백분율 5 3" xfId="3492"/>
    <cellStyle name="백분율 5 3 2" xfId="16336"/>
    <cellStyle name="백분율 6" xfId="3493"/>
    <cellStyle name="백분율 6 2" xfId="3494"/>
    <cellStyle name="백분율 6 3" xfId="3495"/>
    <cellStyle name="백분율 6 4" xfId="16337"/>
    <cellStyle name="백분율 7" xfId="3496"/>
    <cellStyle name="백분율 7 2" xfId="3497"/>
    <cellStyle name="백분율 7 3" xfId="3498"/>
    <cellStyle name="백분율 8" xfId="3499"/>
    <cellStyle name="백분율 8 2" xfId="3500"/>
    <cellStyle name="백분율 8 3" xfId="3501"/>
    <cellStyle name="백분율 9" xfId="3502"/>
    <cellStyle name="백분율 9 2" xfId="3503"/>
    <cellStyle name="백분율 9 2 2" xfId="16338"/>
    <cellStyle name="백분율 9 3" xfId="3504"/>
    <cellStyle name="백분율 9 4" xfId="16339"/>
    <cellStyle name="보고서" xfId="3505"/>
    <cellStyle name="보통 2" xfId="3506"/>
    <cellStyle name="보통 2 2" xfId="3507"/>
    <cellStyle name="보통 2 2 2" xfId="3508"/>
    <cellStyle name="보통 2 3" xfId="3509"/>
    <cellStyle name="보통 2 4" xfId="3510"/>
    <cellStyle name="보통 3" xfId="3511"/>
    <cellStyle name="보통 4" xfId="3512"/>
    <cellStyle name="보통 5" xfId="3513"/>
    <cellStyle name="보통 6" xfId="3514"/>
    <cellStyle name="뷭?_BOOKSHIP" xfId="3515"/>
    <cellStyle name="븏?_bookship" xfId="3516"/>
    <cellStyle name="사용자" xfId="3517"/>
    <cellStyle name="사용자 2" xfId="16340"/>
    <cellStyle name="사용자 3" xfId="16341"/>
    <cellStyle name="常?_바젤11_AN28 엔티티(파일) 정의서_고객_국외고객원장" xfId="3518"/>
    <cellStyle name="常规_바젤11_AN28 엔티티(파일) 정의서_고객_국외고객원장" xfId="3519"/>
    <cellStyle name="새귑[0]_覩꼈1_첼鷺覩꼈瞳욋" xfId="3520"/>
    <cellStyle name="새귑_롤痰삠悧 " xfId="3521"/>
    <cellStyle name="선 수 보 험 료" xfId="3522"/>
    <cellStyle name="선 수 보 험 료 2" xfId="16342"/>
    <cellStyle name="선 수 보 험 료 2 2" xfId="29907"/>
    <cellStyle name="선 수 보 험 료 3" xfId="16343"/>
    <cellStyle name="선 수 보 험 료 3 2" xfId="29908"/>
    <cellStyle name="선 수 보 험 료 4" xfId="27706"/>
    <cellStyle name="선택영역의 가운데로" xfId="3523"/>
    <cellStyle name="선택영역의 가운데로 10" xfId="16344"/>
    <cellStyle name="선택영역의 가운데로 10 2" xfId="16345"/>
    <cellStyle name="선택영역의 가운데로 10 2 2" xfId="16346"/>
    <cellStyle name="선택영역의 가운데로 10 2 2 2" xfId="29911"/>
    <cellStyle name="선택영역의 가운데로 10 2 3" xfId="29910"/>
    <cellStyle name="선택영역의 가운데로 10 3" xfId="16347"/>
    <cellStyle name="선택영역의 가운데로 10 3 2" xfId="16348"/>
    <cellStyle name="선택영역의 가운데로 10 3 2 2" xfId="29913"/>
    <cellStyle name="선택영역의 가운데로 10 3 3" xfId="29912"/>
    <cellStyle name="선택영역의 가운데로 10 4" xfId="16349"/>
    <cellStyle name="선택영역의 가운데로 10 4 2" xfId="16350"/>
    <cellStyle name="선택영역의 가운데로 10 4 2 2" xfId="29915"/>
    <cellStyle name="선택영역의 가운데로 10 4 3" xfId="29914"/>
    <cellStyle name="선택영역의 가운데로 10 5" xfId="16351"/>
    <cellStyle name="선택영역의 가운데로 10 5 2" xfId="29916"/>
    <cellStyle name="선택영역의 가운데로 10 6" xfId="29909"/>
    <cellStyle name="선택영역의 가운데로 11" xfId="16352"/>
    <cellStyle name="선택영역의 가운데로 11 2" xfId="16353"/>
    <cellStyle name="선택영역의 가운데로 11 2 2" xfId="16354"/>
    <cellStyle name="선택영역의 가운데로 11 2 2 2" xfId="29919"/>
    <cellStyle name="선택영역의 가운데로 11 2 3" xfId="29918"/>
    <cellStyle name="선택영역의 가운데로 11 3" xfId="16355"/>
    <cellStyle name="선택영역의 가운데로 11 3 2" xfId="16356"/>
    <cellStyle name="선택영역의 가운데로 11 3 2 2" xfId="29921"/>
    <cellStyle name="선택영역의 가운데로 11 3 3" xfId="29920"/>
    <cellStyle name="선택영역의 가운데로 11 4" xfId="16357"/>
    <cellStyle name="선택영역의 가운데로 11 4 2" xfId="16358"/>
    <cellStyle name="선택영역의 가운데로 11 4 2 2" xfId="29923"/>
    <cellStyle name="선택영역의 가운데로 11 4 3" xfId="29922"/>
    <cellStyle name="선택영역의 가운데로 11 5" xfId="16359"/>
    <cellStyle name="선택영역의 가운데로 11 5 2" xfId="29924"/>
    <cellStyle name="선택영역의 가운데로 11 6" xfId="29917"/>
    <cellStyle name="선택영역의 가운데로 12" xfId="16360"/>
    <cellStyle name="선택영역의 가운데로 12 2" xfId="16361"/>
    <cellStyle name="선택영역의 가운데로 12 2 2" xfId="16362"/>
    <cellStyle name="선택영역의 가운데로 12 2 2 2" xfId="29927"/>
    <cellStyle name="선택영역의 가운데로 12 2 3" xfId="29926"/>
    <cellStyle name="선택영역의 가운데로 12 3" xfId="16363"/>
    <cellStyle name="선택영역의 가운데로 12 3 2" xfId="16364"/>
    <cellStyle name="선택영역의 가운데로 12 3 2 2" xfId="29929"/>
    <cellStyle name="선택영역의 가운데로 12 3 3" xfId="29928"/>
    <cellStyle name="선택영역의 가운데로 12 4" xfId="16365"/>
    <cellStyle name="선택영역의 가운데로 12 4 2" xfId="16366"/>
    <cellStyle name="선택영역의 가운데로 12 4 2 2" xfId="29931"/>
    <cellStyle name="선택영역의 가운데로 12 4 3" xfId="29930"/>
    <cellStyle name="선택영역의 가운데로 12 5" xfId="16367"/>
    <cellStyle name="선택영역의 가운데로 12 5 2" xfId="29932"/>
    <cellStyle name="선택영역의 가운데로 12 6" xfId="29925"/>
    <cellStyle name="선택영역의 가운데로 13" xfId="16368"/>
    <cellStyle name="선택영역의 가운데로 13 2" xfId="16369"/>
    <cellStyle name="선택영역의 가운데로 13 2 2" xfId="16370"/>
    <cellStyle name="선택영역의 가운데로 13 2 2 2" xfId="29935"/>
    <cellStyle name="선택영역의 가운데로 13 2 3" xfId="29934"/>
    <cellStyle name="선택영역의 가운데로 13 3" xfId="16371"/>
    <cellStyle name="선택영역의 가운데로 13 3 2" xfId="16372"/>
    <cellStyle name="선택영역의 가운데로 13 3 2 2" xfId="29937"/>
    <cellStyle name="선택영역의 가운데로 13 3 3" xfId="29936"/>
    <cellStyle name="선택영역의 가운데로 13 4" xfId="16373"/>
    <cellStyle name="선택영역의 가운데로 13 4 2" xfId="16374"/>
    <cellStyle name="선택영역의 가운데로 13 4 2 2" xfId="29939"/>
    <cellStyle name="선택영역의 가운데로 13 4 3" xfId="29938"/>
    <cellStyle name="선택영역의 가운데로 13 5" xfId="16375"/>
    <cellStyle name="선택영역의 가운데로 13 5 2" xfId="29940"/>
    <cellStyle name="선택영역의 가운데로 13 6" xfId="29933"/>
    <cellStyle name="선택영역의 가운데로 14" xfId="16376"/>
    <cellStyle name="선택영역의 가운데로 14 2" xfId="16377"/>
    <cellStyle name="선택영역의 가운데로 14 2 2" xfId="16378"/>
    <cellStyle name="선택영역의 가운데로 14 2 2 2" xfId="29943"/>
    <cellStyle name="선택영역의 가운데로 14 2 3" xfId="29942"/>
    <cellStyle name="선택영역의 가운데로 14 3" xfId="16379"/>
    <cellStyle name="선택영역의 가운데로 14 3 2" xfId="16380"/>
    <cellStyle name="선택영역의 가운데로 14 3 2 2" xfId="29945"/>
    <cellStyle name="선택영역의 가운데로 14 3 3" xfId="29944"/>
    <cellStyle name="선택영역의 가운데로 14 4" xfId="16381"/>
    <cellStyle name="선택영역의 가운데로 14 4 2" xfId="16382"/>
    <cellStyle name="선택영역의 가운데로 14 4 2 2" xfId="29947"/>
    <cellStyle name="선택영역의 가운데로 14 4 3" xfId="29946"/>
    <cellStyle name="선택영역의 가운데로 14 5" xfId="16383"/>
    <cellStyle name="선택영역의 가운데로 14 5 2" xfId="29948"/>
    <cellStyle name="선택영역의 가운데로 14 6" xfId="29941"/>
    <cellStyle name="선택영역의 가운데로 15" xfId="16384"/>
    <cellStyle name="선택영역의 가운데로 15 2" xfId="16385"/>
    <cellStyle name="선택영역의 가운데로 15 2 2" xfId="16386"/>
    <cellStyle name="선택영역의 가운데로 15 2 2 2" xfId="29951"/>
    <cellStyle name="선택영역의 가운데로 15 2 3" xfId="29950"/>
    <cellStyle name="선택영역의 가운데로 15 3" xfId="16387"/>
    <cellStyle name="선택영역의 가운데로 15 3 2" xfId="16388"/>
    <cellStyle name="선택영역의 가운데로 15 3 2 2" xfId="29953"/>
    <cellStyle name="선택영역의 가운데로 15 3 3" xfId="29952"/>
    <cellStyle name="선택영역의 가운데로 15 4" xfId="16389"/>
    <cellStyle name="선택영역의 가운데로 15 4 2" xfId="16390"/>
    <cellStyle name="선택영역의 가운데로 15 4 2 2" xfId="29955"/>
    <cellStyle name="선택영역의 가운데로 15 4 3" xfId="29954"/>
    <cellStyle name="선택영역의 가운데로 15 5" xfId="16391"/>
    <cellStyle name="선택영역의 가운데로 15 5 2" xfId="29956"/>
    <cellStyle name="선택영역의 가운데로 15 6" xfId="29949"/>
    <cellStyle name="선택영역의 가운데로 16" xfId="16392"/>
    <cellStyle name="선택영역의 가운데로 16 2" xfId="16393"/>
    <cellStyle name="선택영역의 가운데로 16 2 2" xfId="29958"/>
    <cellStyle name="선택영역의 가운데로 16 3" xfId="29957"/>
    <cellStyle name="선택영역의 가운데로 17" xfId="16394"/>
    <cellStyle name="선택영역의 가운데로 17 2" xfId="16395"/>
    <cellStyle name="선택영역의 가운데로 17 2 2" xfId="29960"/>
    <cellStyle name="선택영역의 가운데로 17 3" xfId="29959"/>
    <cellStyle name="선택영역의 가운데로 18" xfId="16396"/>
    <cellStyle name="선택영역의 가운데로 18 2" xfId="16397"/>
    <cellStyle name="선택영역의 가운데로 18 2 2" xfId="29962"/>
    <cellStyle name="선택영역의 가운데로 18 3" xfId="29961"/>
    <cellStyle name="선택영역의 가운데로 19" xfId="16398"/>
    <cellStyle name="선택영역의 가운데로 19 2" xfId="16399"/>
    <cellStyle name="선택영역의 가운데로 19 2 2" xfId="29964"/>
    <cellStyle name="선택영역의 가운데로 19 3" xfId="29963"/>
    <cellStyle name="선택영역의 가운데로 2" xfId="16400"/>
    <cellStyle name="선택영역의 가운데로 2 2" xfId="16401"/>
    <cellStyle name="선택영역의 가운데로 2 2 2" xfId="16402"/>
    <cellStyle name="선택영역의 가운데로 2 2 2 2" xfId="29967"/>
    <cellStyle name="선택영역의 가운데로 2 2 3" xfId="29966"/>
    <cellStyle name="선택영역의 가운데로 2 3" xfId="16403"/>
    <cellStyle name="선택영역의 가운데로 2 3 2" xfId="16404"/>
    <cellStyle name="선택영역의 가운데로 2 3 2 2" xfId="29969"/>
    <cellStyle name="선택영역의 가운데로 2 3 3" xfId="29968"/>
    <cellStyle name="선택영역의 가운데로 2 4" xfId="16405"/>
    <cellStyle name="선택영역의 가운데로 2 4 2" xfId="16406"/>
    <cellStyle name="선택영역의 가운데로 2 4 2 2" xfId="29971"/>
    <cellStyle name="선택영역의 가운데로 2 4 3" xfId="29970"/>
    <cellStyle name="선택영역의 가운데로 2 5" xfId="16407"/>
    <cellStyle name="선택영역의 가운데로 2 5 2" xfId="29972"/>
    <cellStyle name="선택영역의 가운데로 2 6" xfId="29965"/>
    <cellStyle name="선택영역의 가운데로 20" xfId="16408"/>
    <cellStyle name="선택영역의 가운데로 20 2" xfId="29973"/>
    <cellStyle name="선택영역의 가운데로 21" xfId="27707"/>
    <cellStyle name="선택영역의 가운데로 3" xfId="16409"/>
    <cellStyle name="선택영역의 가운데로 3 2" xfId="16410"/>
    <cellStyle name="선택영역의 가운데로 3 2 2" xfId="16411"/>
    <cellStyle name="선택영역의 가운데로 3 2 2 2" xfId="29976"/>
    <cellStyle name="선택영역의 가운데로 3 2 3" xfId="29975"/>
    <cellStyle name="선택영역의 가운데로 3 3" xfId="16412"/>
    <cellStyle name="선택영역의 가운데로 3 3 2" xfId="16413"/>
    <cellStyle name="선택영역의 가운데로 3 3 2 2" xfId="29978"/>
    <cellStyle name="선택영역의 가운데로 3 3 3" xfId="29977"/>
    <cellStyle name="선택영역의 가운데로 3 4" xfId="16414"/>
    <cellStyle name="선택영역의 가운데로 3 4 2" xfId="16415"/>
    <cellStyle name="선택영역의 가운데로 3 4 2 2" xfId="29980"/>
    <cellStyle name="선택영역의 가운데로 3 4 3" xfId="29979"/>
    <cellStyle name="선택영역의 가운데로 3 5" xfId="16416"/>
    <cellStyle name="선택영역의 가운데로 3 5 2" xfId="29981"/>
    <cellStyle name="선택영역의 가운데로 3 6" xfId="29974"/>
    <cellStyle name="선택영역의 가운데로 4" xfId="16417"/>
    <cellStyle name="선택영역의 가운데로 4 2" xfId="16418"/>
    <cellStyle name="선택영역의 가운데로 4 2 2" xfId="16419"/>
    <cellStyle name="선택영역의 가운데로 4 2 2 2" xfId="29984"/>
    <cellStyle name="선택영역의 가운데로 4 2 3" xfId="29983"/>
    <cellStyle name="선택영역의 가운데로 4 3" xfId="16420"/>
    <cellStyle name="선택영역의 가운데로 4 3 2" xfId="16421"/>
    <cellStyle name="선택영역의 가운데로 4 3 2 2" xfId="29986"/>
    <cellStyle name="선택영역의 가운데로 4 3 3" xfId="29985"/>
    <cellStyle name="선택영역의 가운데로 4 4" xfId="16422"/>
    <cellStyle name="선택영역의 가운데로 4 4 2" xfId="16423"/>
    <cellStyle name="선택영역의 가운데로 4 4 2 2" xfId="29988"/>
    <cellStyle name="선택영역의 가운데로 4 4 3" xfId="29987"/>
    <cellStyle name="선택영역의 가운데로 4 5" xfId="16424"/>
    <cellStyle name="선택영역의 가운데로 4 5 2" xfId="29989"/>
    <cellStyle name="선택영역의 가운데로 4 6" xfId="29982"/>
    <cellStyle name="선택영역의 가운데로 5" xfId="16425"/>
    <cellStyle name="선택영역의 가운데로 5 2" xfId="16426"/>
    <cellStyle name="선택영역의 가운데로 5 2 2" xfId="16427"/>
    <cellStyle name="선택영역의 가운데로 5 2 2 2" xfId="29992"/>
    <cellStyle name="선택영역의 가운데로 5 2 3" xfId="29991"/>
    <cellStyle name="선택영역의 가운데로 5 3" xfId="16428"/>
    <cellStyle name="선택영역의 가운데로 5 3 2" xfId="16429"/>
    <cellStyle name="선택영역의 가운데로 5 3 2 2" xfId="29994"/>
    <cellStyle name="선택영역의 가운데로 5 3 3" xfId="29993"/>
    <cellStyle name="선택영역의 가운데로 5 4" xfId="16430"/>
    <cellStyle name="선택영역의 가운데로 5 4 2" xfId="16431"/>
    <cellStyle name="선택영역의 가운데로 5 4 2 2" xfId="29996"/>
    <cellStyle name="선택영역의 가운데로 5 4 3" xfId="29995"/>
    <cellStyle name="선택영역의 가운데로 5 5" xfId="16432"/>
    <cellStyle name="선택영역의 가운데로 5 5 2" xfId="29997"/>
    <cellStyle name="선택영역의 가운데로 5 6" xfId="29990"/>
    <cellStyle name="선택영역의 가운데로 6" xfId="16433"/>
    <cellStyle name="선택영역의 가운데로 6 2" xfId="16434"/>
    <cellStyle name="선택영역의 가운데로 6 2 2" xfId="16435"/>
    <cellStyle name="선택영역의 가운데로 6 2 2 2" xfId="30000"/>
    <cellStyle name="선택영역의 가운데로 6 2 3" xfId="29999"/>
    <cellStyle name="선택영역의 가운데로 6 3" xfId="16436"/>
    <cellStyle name="선택영역의 가운데로 6 3 2" xfId="16437"/>
    <cellStyle name="선택영역의 가운데로 6 3 2 2" xfId="30002"/>
    <cellStyle name="선택영역의 가운데로 6 3 3" xfId="30001"/>
    <cellStyle name="선택영역의 가운데로 6 4" xfId="16438"/>
    <cellStyle name="선택영역의 가운데로 6 4 2" xfId="16439"/>
    <cellStyle name="선택영역의 가운데로 6 4 2 2" xfId="30004"/>
    <cellStyle name="선택영역의 가운데로 6 4 3" xfId="30003"/>
    <cellStyle name="선택영역의 가운데로 6 5" xfId="16440"/>
    <cellStyle name="선택영역의 가운데로 6 5 2" xfId="30005"/>
    <cellStyle name="선택영역의 가운데로 6 6" xfId="29998"/>
    <cellStyle name="선택영역의 가운데로 7" xfId="16441"/>
    <cellStyle name="선택영역의 가운데로 7 2" xfId="16442"/>
    <cellStyle name="선택영역의 가운데로 7 2 2" xfId="16443"/>
    <cellStyle name="선택영역의 가운데로 7 2 2 2" xfId="30008"/>
    <cellStyle name="선택영역의 가운데로 7 2 3" xfId="30007"/>
    <cellStyle name="선택영역의 가운데로 7 3" xfId="16444"/>
    <cellStyle name="선택영역의 가운데로 7 3 2" xfId="16445"/>
    <cellStyle name="선택영역의 가운데로 7 3 2 2" xfId="30010"/>
    <cellStyle name="선택영역의 가운데로 7 3 3" xfId="30009"/>
    <cellStyle name="선택영역의 가운데로 7 4" xfId="16446"/>
    <cellStyle name="선택영역의 가운데로 7 4 2" xfId="16447"/>
    <cellStyle name="선택영역의 가운데로 7 4 2 2" xfId="30012"/>
    <cellStyle name="선택영역의 가운데로 7 4 3" xfId="30011"/>
    <cellStyle name="선택영역의 가운데로 7 5" xfId="16448"/>
    <cellStyle name="선택영역의 가운데로 7 5 2" xfId="30013"/>
    <cellStyle name="선택영역의 가운데로 7 6" xfId="30006"/>
    <cellStyle name="선택영역의 가운데로 8" xfId="16449"/>
    <cellStyle name="선택영역의 가운데로 8 2" xfId="16450"/>
    <cellStyle name="선택영역의 가운데로 8 2 2" xfId="16451"/>
    <cellStyle name="선택영역의 가운데로 8 2 2 2" xfId="30016"/>
    <cellStyle name="선택영역의 가운데로 8 2 3" xfId="30015"/>
    <cellStyle name="선택영역의 가운데로 8 3" xfId="16452"/>
    <cellStyle name="선택영역의 가운데로 8 3 2" xfId="16453"/>
    <cellStyle name="선택영역의 가운데로 8 3 2 2" xfId="30018"/>
    <cellStyle name="선택영역의 가운데로 8 3 3" xfId="30017"/>
    <cellStyle name="선택영역의 가운데로 8 4" xfId="16454"/>
    <cellStyle name="선택영역의 가운데로 8 4 2" xfId="16455"/>
    <cellStyle name="선택영역의 가운데로 8 4 2 2" xfId="30020"/>
    <cellStyle name="선택영역의 가운데로 8 4 3" xfId="30019"/>
    <cellStyle name="선택영역의 가운데로 8 5" xfId="16456"/>
    <cellStyle name="선택영역의 가운데로 8 5 2" xfId="30021"/>
    <cellStyle name="선택영역의 가운데로 8 6" xfId="30014"/>
    <cellStyle name="선택영역의 가운데로 9" xfId="16457"/>
    <cellStyle name="선택영역의 가운데로 9 2" xfId="16458"/>
    <cellStyle name="선택영역의 가운데로 9 2 2" xfId="16459"/>
    <cellStyle name="선택영역의 가운데로 9 2 2 2" xfId="30024"/>
    <cellStyle name="선택영역의 가운데로 9 2 3" xfId="30023"/>
    <cellStyle name="선택영역의 가운데로 9 3" xfId="16460"/>
    <cellStyle name="선택영역의 가운데로 9 3 2" xfId="16461"/>
    <cellStyle name="선택영역의 가운데로 9 3 2 2" xfId="30026"/>
    <cellStyle name="선택영역의 가운데로 9 3 3" xfId="30025"/>
    <cellStyle name="선택영역의 가운데로 9 4" xfId="16462"/>
    <cellStyle name="선택영역의 가운데로 9 4 2" xfId="16463"/>
    <cellStyle name="선택영역의 가운데로 9 4 2 2" xfId="30028"/>
    <cellStyle name="선택영역의 가운데로 9 4 3" xfId="30027"/>
    <cellStyle name="선택영역의 가운데로 9 5" xfId="16464"/>
    <cellStyle name="선택영역의 가운데로 9 5 2" xfId="30029"/>
    <cellStyle name="선택영역의 가운데로 9 6" xfId="30022"/>
    <cellStyle name="설명 텍스트 2" xfId="3524"/>
    <cellStyle name="설명 텍스트 2 2" xfId="3525"/>
    <cellStyle name="설명 텍스트 2 2 2" xfId="3526"/>
    <cellStyle name="설명 텍스트 2 3" xfId="3527"/>
    <cellStyle name="설명 텍스트 2 4" xfId="3528"/>
    <cellStyle name="설명 텍스트 3" xfId="3529"/>
    <cellStyle name="설명 텍스트 4" xfId="3530"/>
    <cellStyle name="설명 텍스트 5" xfId="3531"/>
    <cellStyle name="설명 텍스트 6" xfId="3532"/>
    <cellStyle name="셀 확인 2" xfId="3533"/>
    <cellStyle name="셀 확인 2 2" xfId="3534"/>
    <cellStyle name="셀 확인 2 2 2" xfId="3535"/>
    <cellStyle name="셀 확인 2 3" xfId="3536"/>
    <cellStyle name="셀 확인 2 4" xfId="3537"/>
    <cellStyle name="셀 확인 3" xfId="3538"/>
    <cellStyle name="셀 확인 4" xfId="3539"/>
    <cellStyle name="셀 확인 5" xfId="3540"/>
    <cellStyle name="셀 확인 6" xfId="3541"/>
    <cellStyle name="숫자" xfId="3542"/>
    <cellStyle name="숫자 2" xfId="16465"/>
    <cellStyle name="숫자 2 2" xfId="16466"/>
    <cellStyle name="숫자 2 2 2" xfId="16467"/>
    <cellStyle name="숫자 2 2 2 2" xfId="30032"/>
    <cellStyle name="숫자 2 2 3" xfId="30031"/>
    <cellStyle name="숫자 2 3" xfId="16468"/>
    <cellStyle name="숫자 2 3 2" xfId="16469"/>
    <cellStyle name="숫자 2 3 2 2" xfId="30034"/>
    <cellStyle name="숫자 2 3 3" xfId="30033"/>
    <cellStyle name="숫자 2 4" xfId="16470"/>
    <cellStyle name="숫자 2 4 2" xfId="16471"/>
    <cellStyle name="숫자 2 4 2 2" xfId="30036"/>
    <cellStyle name="숫자 2 4 3" xfId="30035"/>
    <cellStyle name="숫자 2 5" xfId="16472"/>
    <cellStyle name="숫자 2 5 2" xfId="30037"/>
    <cellStyle name="숫자 2 6" xfId="30030"/>
    <cellStyle name="숫자 3" xfId="16473"/>
    <cellStyle name="숫자 3 2" xfId="30038"/>
    <cellStyle name="숫자 4" xfId="27708"/>
    <cellStyle name="숫자(R)" xfId="3543"/>
    <cellStyle name="숫자_삼각형[0-]" xfId="3544"/>
    <cellStyle name="쉼표 [0]" xfId="1" builtinId="6"/>
    <cellStyle name="쉼표 [0] 10" xfId="3545"/>
    <cellStyle name="쉼표 [0] 10 2" xfId="3546"/>
    <cellStyle name="쉼표 [0] 10 2 2" xfId="3547"/>
    <cellStyle name="쉼표 [0] 10 2 3" xfId="3548"/>
    <cellStyle name="쉼표 [0] 10 3" xfId="3549"/>
    <cellStyle name="쉼표 [0] 10 3 2" xfId="3550"/>
    <cellStyle name="쉼표 [0] 10 4" xfId="16474"/>
    <cellStyle name="쉼표 [0] 10 5" xfId="16475"/>
    <cellStyle name="쉼표 [0] 11" xfId="3551"/>
    <cellStyle name="쉼표 [0] 11 10" xfId="3552"/>
    <cellStyle name="쉼표 [0] 11 2" xfId="3553"/>
    <cellStyle name="쉼표 [0] 11 2 2" xfId="3554"/>
    <cellStyle name="쉼표 [0] 11 2 3" xfId="3555"/>
    <cellStyle name="쉼표 [0] 11 3" xfId="3556"/>
    <cellStyle name="쉼표 [0] 11 4" xfId="3557"/>
    <cellStyle name="쉼표 [0] 11 5" xfId="3558"/>
    <cellStyle name="쉼표 [0] 11 5 2" xfId="16476"/>
    <cellStyle name="쉼표 [0] 11 5 3" xfId="3559"/>
    <cellStyle name="쉼표 [0] 11 5 3 2" xfId="5024"/>
    <cellStyle name="쉼표 [0] 12" xfId="3560"/>
    <cellStyle name="쉼표 [0] 12 2" xfId="3561"/>
    <cellStyle name="쉼표 [0] 12 2 2" xfId="3562"/>
    <cellStyle name="쉼표 [0] 12 2 3" xfId="3563"/>
    <cellStyle name="쉼표 [0] 12 3" xfId="3564"/>
    <cellStyle name="쉼표 [0] 12 4" xfId="3565"/>
    <cellStyle name="쉼표 [0] 13" xfId="3566"/>
    <cellStyle name="쉼표 [0] 13 2" xfId="3567"/>
    <cellStyle name="쉼표 [0] 13 3" xfId="3568"/>
    <cellStyle name="쉼표 [0] 13 4" xfId="3569"/>
    <cellStyle name="쉼표 [0] 14" xfId="3570"/>
    <cellStyle name="쉼표 [0] 14 2" xfId="3571"/>
    <cellStyle name="쉼표 [0] 14 3" xfId="3572"/>
    <cellStyle name="쉼표 [0] 14 4" xfId="3573"/>
    <cellStyle name="쉼표 [0] 15" xfId="3574"/>
    <cellStyle name="쉼표 [0] 15 2" xfId="3575"/>
    <cellStyle name="쉼표 [0] 15 2 2" xfId="3576"/>
    <cellStyle name="쉼표 [0] 15 3" xfId="3577"/>
    <cellStyle name="쉼표 [0] 15 4" xfId="16477"/>
    <cellStyle name="쉼표 [0] 15 4 2" xfId="16478"/>
    <cellStyle name="쉼표 [0] 15 4 2 2" xfId="16479"/>
    <cellStyle name="쉼표 [0] 15 4 2 2 2" xfId="16480"/>
    <cellStyle name="쉼표 [0] 16" xfId="3578"/>
    <cellStyle name="쉼표 [0] 16 2" xfId="3579"/>
    <cellStyle name="쉼표 [0] 16 2 2" xfId="3580"/>
    <cellStyle name="쉼표 [0] 16 3" xfId="3581"/>
    <cellStyle name="쉼표 [0] 16 4" xfId="3582"/>
    <cellStyle name="쉼표 [0] 17" xfId="3583"/>
    <cellStyle name="쉼표 [0] 17 2" xfId="3584"/>
    <cellStyle name="쉼표 [0] 17 3" xfId="3585"/>
    <cellStyle name="쉼표 [0] 18" xfId="3586"/>
    <cellStyle name="쉼표 [0] 18 2" xfId="16481"/>
    <cellStyle name="쉼표 [0] 19" xfId="3587"/>
    <cellStyle name="쉼표 [0] 19 2" xfId="3588"/>
    <cellStyle name="쉼표 [0] 19 2 2" xfId="3589"/>
    <cellStyle name="쉼표 [0] 19 3" xfId="3590"/>
    <cellStyle name="쉼표 [0] 19 3 2" xfId="16482"/>
    <cellStyle name="쉼표 [0] 19 3 2 2" xfId="16483"/>
    <cellStyle name="쉼표 [0] 19 3 3" xfId="16484"/>
    <cellStyle name="쉼표 [0] 19 4" xfId="3591"/>
    <cellStyle name="쉼표 [0] 19 4 2" xfId="16485"/>
    <cellStyle name="쉼표 [0] 19 5" xfId="16486"/>
    <cellStyle name="쉼표 [0] 2" xfId="3592"/>
    <cellStyle name="쉼표 [0] 2 10" xfId="5004"/>
    <cellStyle name="쉼표 [0] 2 10 2" xfId="17485"/>
    <cellStyle name="쉼표 [0] 2 11" xfId="5005"/>
    <cellStyle name="쉼표 [0] 2 12" xfId="5006"/>
    <cellStyle name="쉼표 [0] 2 13" xfId="5007"/>
    <cellStyle name="쉼표 [0] 2 14" xfId="5008"/>
    <cellStyle name="쉼표 [0] 2 15" xfId="5009"/>
    <cellStyle name="쉼표 [0] 2 16" xfId="5010"/>
    <cellStyle name="쉼표 [0] 2 17" xfId="5011"/>
    <cellStyle name="쉼표 [0] 2 18" xfId="5012"/>
    <cellStyle name="쉼표 [0] 2 19" xfId="32695"/>
    <cellStyle name="쉼표 [0] 2 2" xfId="10"/>
    <cellStyle name="쉼표 [0] 2 2 10" xfId="5013"/>
    <cellStyle name="쉼표 [0] 2 2 2" xfId="3593"/>
    <cellStyle name="쉼표 [0] 2 2 2 2" xfId="3594"/>
    <cellStyle name="쉼표 [0] 2 2 2 3" xfId="3595"/>
    <cellStyle name="쉼표 [0] 2 2 3" xfId="3596"/>
    <cellStyle name="쉼표 [0] 2 2 3 2" xfId="3597"/>
    <cellStyle name="쉼표 [0] 2 2 3 3" xfId="3598"/>
    <cellStyle name="쉼표 [0] 2 2 3 4" xfId="16487"/>
    <cellStyle name="쉼표 [0] 2 2 4" xfId="3599"/>
    <cellStyle name="쉼표 [0] 2 2 5" xfId="3600"/>
    <cellStyle name="쉼표 [0] 2 2 6" xfId="16488"/>
    <cellStyle name="쉼표 [0] 2 2 7" xfId="32704"/>
    <cellStyle name="쉼표 [0] 2 2 8" xfId="32712"/>
    <cellStyle name="쉼표 [0] 2 20" xfId="32702"/>
    <cellStyle name="쉼표 [0] 2 21" xfId="32711"/>
    <cellStyle name="쉼표 [0] 2 3" xfId="3601"/>
    <cellStyle name="쉼표 [0] 2 3 2" xfId="3602"/>
    <cellStyle name="쉼표 [0] 2 3 2 2" xfId="3603"/>
    <cellStyle name="쉼표 [0] 2 3 3" xfId="3604"/>
    <cellStyle name="쉼표 [0] 2 3 4" xfId="3605"/>
    <cellStyle name="쉼표 [0] 2 4" xfId="3606"/>
    <cellStyle name="쉼표 [0] 2 4 2" xfId="7"/>
    <cellStyle name="쉼표 [0] 2 4 3" xfId="3607"/>
    <cellStyle name="쉼표 [0] 2 5" xfId="3608"/>
    <cellStyle name="쉼표 [0] 2 5 2" xfId="3609"/>
    <cellStyle name="쉼표 [0] 2 5 2 2" xfId="3610"/>
    <cellStyle name="쉼표 [0] 2 5 2 3" xfId="3611"/>
    <cellStyle name="쉼표 [0] 2 5 3" xfId="3612"/>
    <cellStyle name="쉼표 [0] 2 5 4" xfId="3613"/>
    <cellStyle name="쉼표 [0] 2 5 4 2" xfId="3614"/>
    <cellStyle name="쉼표 [0] 2 5 5" xfId="3615"/>
    <cellStyle name="쉼표 [0] 2 5 5 2" xfId="3616"/>
    <cellStyle name="쉼표 [0] 2 5 6" xfId="3617"/>
    <cellStyle name="쉼표 [0] 2 5 6 2" xfId="16489"/>
    <cellStyle name="쉼표 [0] 2 5 7" xfId="3618"/>
    <cellStyle name="쉼표 [0] 2 5 8" xfId="17487"/>
    <cellStyle name="쉼표 [0] 2 6" xfId="3619"/>
    <cellStyle name="쉼표 [0] 2 6 2" xfId="3620"/>
    <cellStyle name="쉼표 [0] 2 6 3" xfId="16490"/>
    <cellStyle name="쉼표 [0] 2 7" xfId="3621"/>
    <cellStyle name="쉼표 [0] 2 7 2" xfId="16491"/>
    <cellStyle name="쉼표 [0] 2 8" xfId="3622"/>
    <cellStyle name="쉼표 [0] 2 9" xfId="3623"/>
    <cellStyle name="쉼표 [0] 20" xfId="3624"/>
    <cellStyle name="쉼표 [0] 20 2" xfId="16492"/>
    <cellStyle name="쉼표 [0] 20 3" xfId="16493"/>
    <cellStyle name="쉼표 [0] 20 3 2" xfId="16494"/>
    <cellStyle name="쉼표 [0] 20 3 2 2" xfId="16495"/>
    <cellStyle name="쉼표 [0] 20 3 3" xfId="16496"/>
    <cellStyle name="쉼표 [0] 20 4" xfId="16497"/>
    <cellStyle name="쉼표 [0] 20 4 2" xfId="16498"/>
    <cellStyle name="쉼표 [0] 20 5" xfId="16499"/>
    <cellStyle name="쉼표 [0] 21" xfId="3625"/>
    <cellStyle name="쉼표 [0] 21 2" xfId="16500"/>
    <cellStyle name="쉼표 [0] 22" xfId="3626"/>
    <cellStyle name="쉼표 [0] 22 2" xfId="16501"/>
    <cellStyle name="쉼표 [0] 22 2 2" xfId="16502"/>
    <cellStyle name="쉼표 [0] 22 3" xfId="16503"/>
    <cellStyle name="쉼표 [0] 23" xfId="3627"/>
    <cellStyle name="쉼표 [0] 24" xfId="3"/>
    <cellStyle name="쉼표 [0] 24 2" xfId="3628"/>
    <cellStyle name="쉼표 [0] 25" xfId="3629"/>
    <cellStyle name="쉼표 [0] 25 2" xfId="3630"/>
    <cellStyle name="쉼표 [0] 26" xfId="3631"/>
    <cellStyle name="쉼표 [0] 27" xfId="3632"/>
    <cellStyle name="쉼표 [0] 28" xfId="3633"/>
    <cellStyle name="쉼표 [0] 28 2" xfId="3634"/>
    <cellStyle name="쉼표 [0] 29" xfId="3635"/>
    <cellStyle name="쉼표 [0] 3" xfId="3636"/>
    <cellStyle name="쉼표 [0] 3 2" xfId="3637"/>
    <cellStyle name="쉼표 [0] 3 2 2" xfId="3638"/>
    <cellStyle name="쉼표 [0] 3 2 2 2" xfId="3639"/>
    <cellStyle name="쉼표 [0] 3 2 3" xfId="3640"/>
    <cellStyle name="쉼표 [0] 3 2 3 2" xfId="3641"/>
    <cellStyle name="쉼표 [0] 3 2 3 3" xfId="3642"/>
    <cellStyle name="쉼표 [0] 3 2 3 3 2" xfId="3643"/>
    <cellStyle name="쉼표 [0] 3 2 4" xfId="16504"/>
    <cellStyle name="쉼표 [0] 3 2 5" xfId="16505"/>
    <cellStyle name="쉼표 [0] 3 2 6" xfId="32691"/>
    <cellStyle name="쉼표 [0] 3 3" xfId="3644"/>
    <cellStyle name="쉼표 [0] 3 3 2" xfId="3645"/>
    <cellStyle name="쉼표 [0] 3 3 3" xfId="3646"/>
    <cellStyle name="쉼표 [0] 3 4" xfId="3647"/>
    <cellStyle name="쉼표 [0] 3 4 2" xfId="3648"/>
    <cellStyle name="쉼표 [0] 3 4 2 2" xfId="3649"/>
    <cellStyle name="쉼표 [0] 3 4 2 3" xfId="3650"/>
    <cellStyle name="쉼표 [0] 3 4 3" xfId="3651"/>
    <cellStyle name="쉼표 [0] 3 4 3 2" xfId="3652"/>
    <cellStyle name="쉼표 [0] 3 4 4" xfId="3653"/>
    <cellStyle name="쉼표 [0] 3 4 4 2" xfId="3654"/>
    <cellStyle name="쉼표 [0] 3 4 5" xfId="3655"/>
    <cellStyle name="쉼표 [0] 3 4 5 2" xfId="3656"/>
    <cellStyle name="쉼표 [0] 3 4 5 2 2" xfId="3657"/>
    <cellStyle name="쉼표 [0] 3 4 5 2 2 2" xfId="3658"/>
    <cellStyle name="쉼표 [0] 3 4 5 2 3" xfId="3659"/>
    <cellStyle name="쉼표 [0] 3 4 5 3" xfId="3660"/>
    <cellStyle name="쉼표 [0] 3 4 5 4" xfId="3661"/>
    <cellStyle name="쉼표 [0] 3 4 5 5" xfId="3662"/>
    <cellStyle name="쉼표 [0] 3 4 6" xfId="16506"/>
    <cellStyle name="쉼표 [0] 3 4 7" xfId="16507"/>
    <cellStyle name="쉼표 [0] 3 5" xfId="3663"/>
    <cellStyle name="쉼표 [0] 3 5 2" xfId="3664"/>
    <cellStyle name="쉼표 [0] 3 5 2 2" xfId="3665"/>
    <cellStyle name="쉼표 [0] 3 5 3" xfId="3666"/>
    <cellStyle name="쉼표 [0] 3 6" xfId="3667"/>
    <cellStyle name="쉼표 [0] 3 7" xfId="3668"/>
    <cellStyle name="쉼표 [0] 3 7 2" xfId="16508"/>
    <cellStyle name="쉼표 [0] 3 7 2 2" xfId="16509"/>
    <cellStyle name="쉼표 [0] 3 7 3" xfId="16510"/>
    <cellStyle name="쉼표 [0] 3 8" xfId="16511"/>
    <cellStyle name="쉼표 [0] 3 8 2" xfId="16512"/>
    <cellStyle name="쉼표 [0] 30" xfId="3669"/>
    <cellStyle name="쉼표 [0] 31" xfId="3670"/>
    <cellStyle name="쉼표 [0] 32" xfId="3671"/>
    <cellStyle name="쉼표 [0] 33" xfId="3672"/>
    <cellStyle name="쉼표 [0] 34" xfId="3673"/>
    <cellStyle name="쉼표 [0] 35" xfId="3674"/>
    <cellStyle name="쉼표 [0] 36" xfId="3675"/>
    <cellStyle name="쉼표 [0] 37" xfId="3676"/>
    <cellStyle name="쉼표 [0] 38" xfId="3677"/>
    <cellStyle name="쉼표 [0] 39" xfId="3678"/>
    <cellStyle name="쉼표 [0] 4" xfId="3679"/>
    <cellStyle name="쉼표 [0] 4 2" xfId="3680"/>
    <cellStyle name="쉼표 [0] 4 2 2" xfId="3681"/>
    <cellStyle name="쉼표 [0] 4 2 2 2" xfId="3682"/>
    <cellStyle name="쉼표 [0] 4 2 2 3" xfId="3683"/>
    <cellStyle name="쉼표 [0] 4 2 3" xfId="3684"/>
    <cellStyle name="쉼표 [0] 4 2 4" xfId="3685"/>
    <cellStyle name="쉼표 [0] 4 2 5" xfId="3686"/>
    <cellStyle name="쉼표 [0] 4 3" xfId="3687"/>
    <cellStyle name="쉼표 [0] 4 3 2" xfId="3688"/>
    <cellStyle name="쉼표 [0] 4 3 3" xfId="3689"/>
    <cellStyle name="쉼표 [0] 4 3 4" xfId="3690"/>
    <cellStyle name="쉼표 [0] 4 4" xfId="3691"/>
    <cellStyle name="쉼표 [0] 4 4 2" xfId="3692"/>
    <cellStyle name="쉼표 [0] 4 4 3" xfId="3693"/>
    <cellStyle name="쉼표 [0] 4 5" xfId="3694"/>
    <cellStyle name="쉼표 [0] 40" xfId="3695"/>
    <cellStyle name="쉼표 [0] 41" xfId="3696"/>
    <cellStyle name="쉼표 [0] 42" xfId="3697"/>
    <cellStyle name="쉼표 [0] 43" xfId="3698"/>
    <cellStyle name="쉼표 [0] 44" xfId="3699"/>
    <cellStyle name="쉼표 [0] 45" xfId="3700"/>
    <cellStyle name="쉼표 [0] 46" xfId="3701"/>
    <cellStyle name="쉼표 [0] 47" xfId="3702"/>
    <cellStyle name="쉼표 [0] 48" xfId="16513"/>
    <cellStyle name="쉼표 [0] 48 2" xfId="16514"/>
    <cellStyle name="쉼표 [0] 49" xfId="16515"/>
    <cellStyle name="쉼표 [0] 49 2" xfId="16516"/>
    <cellStyle name="쉼표 [0] 5" xfId="3703"/>
    <cellStyle name="쉼표 [0] 5 2" xfId="3704"/>
    <cellStyle name="쉼표 [0] 5 2 2" xfId="3705"/>
    <cellStyle name="쉼표 [0] 5 2 3" xfId="3706"/>
    <cellStyle name="쉼표 [0] 5 3" xfId="3707"/>
    <cellStyle name="쉼표 [0] 5 3 2" xfId="3708"/>
    <cellStyle name="쉼표 [0] 5 3 3" xfId="3709"/>
    <cellStyle name="쉼표 [0] 5 4" xfId="3710"/>
    <cellStyle name="쉼표 [0] 5 4 2" xfId="3711"/>
    <cellStyle name="쉼표 [0] 5 4 2 2" xfId="16517"/>
    <cellStyle name="쉼표 [0] 5 4 3" xfId="16518"/>
    <cellStyle name="쉼표 [0] 5 5" xfId="3712"/>
    <cellStyle name="쉼표 [0] 5 5 2" xfId="3713"/>
    <cellStyle name="쉼표 [0] 5 5 2 2" xfId="3714"/>
    <cellStyle name="쉼표 [0] 5 5 2 2 2" xfId="3715"/>
    <cellStyle name="쉼표 [0] 5 5 2 2 2 2" xfId="3716"/>
    <cellStyle name="쉼표 [0] 5 5 2 2 3" xfId="3717"/>
    <cellStyle name="쉼표 [0] 5 5 2 2 3 2" xfId="3718"/>
    <cellStyle name="쉼표 [0] 5 5 2 2 3 2 2" xfId="3719"/>
    <cellStyle name="쉼표 [0] 5 5 2 2 3 3" xfId="3720"/>
    <cellStyle name="쉼표 [0] 5 5 2 2 4" xfId="3721"/>
    <cellStyle name="쉼표 [0] 5 5 2 2 4 2" xfId="3722"/>
    <cellStyle name="쉼표 [0] 5 5 2 2 5" xfId="3723"/>
    <cellStyle name="쉼표 [0] 5 5 2 2 6" xfId="3724"/>
    <cellStyle name="쉼표 [0] 5 5 2 3" xfId="5014"/>
    <cellStyle name="쉼표 [0] 5 5 3" xfId="3725"/>
    <cellStyle name="쉼표 [0] 5 5 3 2" xfId="3726"/>
    <cellStyle name="쉼표 [0] 5 5 3 3" xfId="3727"/>
    <cellStyle name="쉼표 [0] 5 5 3 4" xfId="3728"/>
    <cellStyle name="쉼표 [0] 5 5 4" xfId="3729"/>
    <cellStyle name="쉼표 [0] 5 5 4 2" xfId="3730"/>
    <cellStyle name="쉼표 [0] 5 5 5" xfId="3731"/>
    <cellStyle name="쉼표 [0] 5 5 5 2" xfId="3732"/>
    <cellStyle name="쉼표 [0] 5 5 6" xfId="3733"/>
    <cellStyle name="쉼표 [0] 5 5 6 2" xfId="3734"/>
    <cellStyle name="쉼표 [0] 5 5 6 2 2" xfId="3735"/>
    <cellStyle name="쉼표 [0] 5 5 6 3" xfId="3736"/>
    <cellStyle name="쉼표 [0] 5 5 7" xfId="16519"/>
    <cellStyle name="쉼표 [0] 5 5 8" xfId="16520"/>
    <cellStyle name="쉼표 [0] 5 6" xfId="3737"/>
    <cellStyle name="쉼표 [0] 5 7" xfId="3738"/>
    <cellStyle name="쉼표 [0] 5 8" xfId="16521"/>
    <cellStyle name="쉼표 [0] 50" xfId="16522"/>
    <cellStyle name="쉼표 [0] 50 2" xfId="16523"/>
    <cellStyle name="쉼표 [0] 50 2 2" xfId="16524"/>
    <cellStyle name="쉼표 [0] 50 3" xfId="16525"/>
    <cellStyle name="쉼표 [0] 51" xfId="16526"/>
    <cellStyle name="쉼표 [0] 51 2" xfId="16527"/>
    <cellStyle name="쉼표 [0] 52" xfId="16528"/>
    <cellStyle name="쉼표 [0] 52 2" xfId="16529"/>
    <cellStyle name="쉼표 [0] 53" xfId="16530"/>
    <cellStyle name="쉼표 [0] 54" xfId="32690"/>
    <cellStyle name="쉼표 [0] 55" xfId="32699"/>
    <cellStyle name="쉼표 [0] 6" xfId="3739"/>
    <cellStyle name="쉼표 [0] 6 2" xfId="3740"/>
    <cellStyle name="쉼표 [0] 6 3" xfId="3741"/>
    <cellStyle name="쉼표 [0] 6 4" xfId="16531"/>
    <cellStyle name="쉼표 [0] 6 5" xfId="16532"/>
    <cellStyle name="쉼표 [0] 6 6" xfId="16533"/>
    <cellStyle name="쉼표 [0] 60" xfId="3742"/>
    <cellStyle name="쉼표 [0] 61" xfId="3743"/>
    <cellStyle name="쉼표 [0] 62" xfId="3744"/>
    <cellStyle name="쉼표 [0] 7" xfId="3745"/>
    <cellStyle name="쉼표 [0] 7 2" xfId="3746"/>
    <cellStyle name="쉼표 [0] 7 2 2" xfId="3747"/>
    <cellStyle name="쉼표 [0] 7 3" xfId="3748"/>
    <cellStyle name="쉼표 [0] 7 4" xfId="16534"/>
    <cellStyle name="쉼표 [0] 7 4 2" xfId="16535"/>
    <cellStyle name="쉼표 [0] 7 4 2 2" xfId="16536"/>
    <cellStyle name="쉼표 [0] 7 4 3" xfId="16537"/>
    <cellStyle name="쉼표 [0] 7 5" xfId="16538"/>
    <cellStyle name="쉼표 [0] 7 5 2" xfId="16539"/>
    <cellStyle name="쉼표 [0] 7 6" xfId="16540"/>
    <cellStyle name="쉼표 [0] 8" xfId="3749"/>
    <cellStyle name="쉼표 [0] 8 2" xfId="3750"/>
    <cellStyle name="쉼표 [0] 8 2 2" xfId="16541"/>
    <cellStyle name="쉼표 [0] 8 2 2 2" xfId="16542"/>
    <cellStyle name="쉼표 [0] 8 2 3" xfId="16543"/>
    <cellStyle name="쉼표 [0] 8 3" xfId="3751"/>
    <cellStyle name="쉼표 [0] 8 3 2" xfId="16544"/>
    <cellStyle name="쉼표 [0] 8 4" xfId="3752"/>
    <cellStyle name="쉼표 [0] 8 5" xfId="3753"/>
    <cellStyle name="쉼표 [0] 8 6" xfId="16545"/>
    <cellStyle name="쉼표 [0] 9" xfId="3754"/>
    <cellStyle name="쉼표 [0] 9 2" xfId="3755"/>
    <cellStyle name="쉼표 [0] 9 2 2" xfId="3756"/>
    <cellStyle name="쉼표 [0] 9 2 3" xfId="3757"/>
    <cellStyle name="쉼표 [0] 9 3" xfId="3758"/>
    <cellStyle name="쉼표 [0] 9 4" xfId="3759"/>
    <cellStyle name="쉼표 [0] 9 5" xfId="3760"/>
    <cellStyle name="쉼표 [0] 9 5 2" xfId="3761"/>
    <cellStyle name="쉼표 [0] 9 6" xfId="3762"/>
    <cellStyle name="쉼표 [0] 9 7" xfId="3763"/>
    <cellStyle name="쉼표 [0] 9 7 2" xfId="3764"/>
    <cellStyle name="쉼표 [0] 9 8" xfId="3765"/>
    <cellStyle name="쉼표 2" xfId="3766"/>
    <cellStyle name="쉼표 2 2" xfId="3767"/>
    <cellStyle name="쉼표 2 3" xfId="16546"/>
    <cellStyle name="쉼표 3" xfId="3768"/>
    <cellStyle name="쉼표 3 2" xfId="3769"/>
    <cellStyle name="쉼표 3 3" xfId="16547"/>
    <cellStyle name="쉼표 4" xfId="16548"/>
    <cellStyle name="스타일 1" xfId="3770"/>
    <cellStyle name="스타일 1 2" xfId="16549"/>
    <cellStyle name="스타일 1 3" xfId="3771"/>
    <cellStyle name="스타일 1 4" xfId="16550"/>
    <cellStyle name="스타일 10" xfId="3772"/>
    <cellStyle name="스타일 10 2" xfId="3773"/>
    <cellStyle name="스타일 10 3" xfId="3774"/>
    <cellStyle name="스타일 10 4" xfId="3775"/>
    <cellStyle name="스타일 100" xfId="3776"/>
    <cellStyle name="스타일 100 2" xfId="3777"/>
    <cellStyle name="스타일 100 3" xfId="3778"/>
    <cellStyle name="스타일 101" xfId="3779"/>
    <cellStyle name="스타일 101 2" xfId="3780"/>
    <cellStyle name="스타일 101 3" xfId="3781"/>
    <cellStyle name="스타일 102" xfId="3782"/>
    <cellStyle name="스타일 102 2" xfId="3783"/>
    <cellStyle name="스타일 102 3" xfId="3784"/>
    <cellStyle name="스타일 103" xfId="3785"/>
    <cellStyle name="스타일 103 2" xfId="3786"/>
    <cellStyle name="스타일 103 3" xfId="3787"/>
    <cellStyle name="스타일 104" xfId="3788"/>
    <cellStyle name="스타일 104 2" xfId="3789"/>
    <cellStyle name="스타일 104 3" xfId="3790"/>
    <cellStyle name="스타일 105" xfId="3791"/>
    <cellStyle name="스타일 105 2" xfId="3792"/>
    <cellStyle name="스타일 105 3" xfId="3793"/>
    <cellStyle name="스타일 106" xfId="3794"/>
    <cellStyle name="스타일 106 2" xfId="3795"/>
    <cellStyle name="스타일 106 3" xfId="3796"/>
    <cellStyle name="스타일 107" xfId="3797"/>
    <cellStyle name="스타일 107 2" xfId="3798"/>
    <cellStyle name="스타일 107 3" xfId="3799"/>
    <cellStyle name="스타일 108" xfId="3800"/>
    <cellStyle name="스타일 108 2" xfId="3801"/>
    <cellStyle name="스타일 108 3" xfId="3802"/>
    <cellStyle name="스타일 109" xfId="3803"/>
    <cellStyle name="스타일 109 2" xfId="3804"/>
    <cellStyle name="스타일 109 3" xfId="3805"/>
    <cellStyle name="스타일 11" xfId="3806"/>
    <cellStyle name="스타일 11 2" xfId="3807"/>
    <cellStyle name="스타일 11 3" xfId="3808"/>
    <cellStyle name="스타일 11 4" xfId="3809"/>
    <cellStyle name="스타일 110" xfId="3810"/>
    <cellStyle name="스타일 110 2" xfId="3811"/>
    <cellStyle name="스타일 110 3" xfId="3812"/>
    <cellStyle name="스타일 111" xfId="3813"/>
    <cellStyle name="스타일 111 2" xfId="3814"/>
    <cellStyle name="스타일 111 3" xfId="3815"/>
    <cellStyle name="스타일 112" xfId="3816"/>
    <cellStyle name="스타일 112 2" xfId="3817"/>
    <cellStyle name="스타일 112 3" xfId="3818"/>
    <cellStyle name="스타일 113" xfId="3819"/>
    <cellStyle name="스타일 113 2" xfId="3820"/>
    <cellStyle name="스타일 113 3" xfId="3821"/>
    <cellStyle name="스타일 114" xfId="3822"/>
    <cellStyle name="스타일 114 2" xfId="3823"/>
    <cellStyle name="스타일 114 3" xfId="3824"/>
    <cellStyle name="스타일 115" xfId="3825"/>
    <cellStyle name="스타일 115 2" xfId="3826"/>
    <cellStyle name="스타일 115 3" xfId="3827"/>
    <cellStyle name="스타일 116" xfId="3828"/>
    <cellStyle name="스타일 116 2" xfId="3829"/>
    <cellStyle name="스타일 116 3" xfId="3830"/>
    <cellStyle name="스타일 117" xfId="3831"/>
    <cellStyle name="스타일 117 2" xfId="3832"/>
    <cellStyle name="스타일 117 3" xfId="3833"/>
    <cellStyle name="스타일 118" xfId="3834"/>
    <cellStyle name="스타일 118 2" xfId="3835"/>
    <cellStyle name="스타일 118 3" xfId="3836"/>
    <cellStyle name="스타일 119" xfId="3837"/>
    <cellStyle name="스타일 119 2" xfId="3838"/>
    <cellStyle name="스타일 119 3" xfId="3839"/>
    <cellStyle name="스타일 12" xfId="3840"/>
    <cellStyle name="스타일 12 2" xfId="3841"/>
    <cellStyle name="스타일 12 3" xfId="3842"/>
    <cellStyle name="스타일 12 4" xfId="3843"/>
    <cellStyle name="스타일 120" xfId="3844"/>
    <cellStyle name="스타일 120 2" xfId="3845"/>
    <cellStyle name="스타일 120 3" xfId="3846"/>
    <cellStyle name="스타일 121" xfId="3847"/>
    <cellStyle name="스타일 121 2" xfId="3848"/>
    <cellStyle name="스타일 121 3" xfId="3849"/>
    <cellStyle name="스타일 122" xfId="3850"/>
    <cellStyle name="스타일 122 2" xfId="3851"/>
    <cellStyle name="스타일 122 3" xfId="3852"/>
    <cellStyle name="스타일 123" xfId="3853"/>
    <cellStyle name="스타일 123 2" xfId="3854"/>
    <cellStyle name="스타일 123 3" xfId="3855"/>
    <cellStyle name="스타일 124" xfId="3856"/>
    <cellStyle name="스타일 124 2" xfId="3857"/>
    <cellStyle name="스타일 124 3" xfId="3858"/>
    <cellStyle name="스타일 125" xfId="3859"/>
    <cellStyle name="스타일 125 2" xfId="3860"/>
    <cellStyle name="스타일 125 3" xfId="3861"/>
    <cellStyle name="스타일 126" xfId="3862"/>
    <cellStyle name="스타일 126 2" xfId="3863"/>
    <cellStyle name="스타일 126 3" xfId="3864"/>
    <cellStyle name="스타일 127" xfId="3865"/>
    <cellStyle name="스타일 127 2" xfId="3866"/>
    <cellStyle name="스타일 127 3" xfId="3867"/>
    <cellStyle name="스타일 128" xfId="3868"/>
    <cellStyle name="스타일 128 2" xfId="3869"/>
    <cellStyle name="스타일 128 3" xfId="3870"/>
    <cellStyle name="스타일 129" xfId="3871"/>
    <cellStyle name="스타일 129 2" xfId="3872"/>
    <cellStyle name="스타일 129 3" xfId="3873"/>
    <cellStyle name="스타일 13" xfId="3874"/>
    <cellStyle name="스타일 13 2" xfId="3875"/>
    <cellStyle name="스타일 13 3" xfId="3876"/>
    <cellStyle name="스타일 13 4" xfId="3877"/>
    <cellStyle name="스타일 130" xfId="3878"/>
    <cellStyle name="스타일 130 2" xfId="3879"/>
    <cellStyle name="스타일 130 3" xfId="3880"/>
    <cellStyle name="스타일 131" xfId="3881"/>
    <cellStyle name="스타일 131 2" xfId="3882"/>
    <cellStyle name="스타일 131 3" xfId="3883"/>
    <cellStyle name="스타일 132" xfId="3884"/>
    <cellStyle name="스타일 132 2" xfId="3885"/>
    <cellStyle name="스타일 132 3" xfId="3886"/>
    <cellStyle name="스타일 133" xfId="3887"/>
    <cellStyle name="스타일 133 2" xfId="3888"/>
    <cellStyle name="스타일 133 3" xfId="3889"/>
    <cellStyle name="스타일 134" xfId="3890"/>
    <cellStyle name="스타일 134 2" xfId="3891"/>
    <cellStyle name="스타일 134 3" xfId="3892"/>
    <cellStyle name="스타일 135" xfId="3893"/>
    <cellStyle name="스타일 135 2" xfId="3894"/>
    <cellStyle name="스타일 135 3" xfId="3895"/>
    <cellStyle name="스타일 136" xfId="3896"/>
    <cellStyle name="스타일 136 2" xfId="3897"/>
    <cellStyle name="스타일 136 3" xfId="3898"/>
    <cellStyle name="스타일 137" xfId="3899"/>
    <cellStyle name="스타일 137 2" xfId="3900"/>
    <cellStyle name="스타일 137 3" xfId="3901"/>
    <cellStyle name="스타일 138" xfId="3902"/>
    <cellStyle name="스타일 138 2" xfId="3903"/>
    <cellStyle name="스타일 138 3" xfId="3904"/>
    <cellStyle name="스타일 139" xfId="3905"/>
    <cellStyle name="스타일 139 2" xfId="3906"/>
    <cellStyle name="스타일 139 3" xfId="3907"/>
    <cellStyle name="스타일 14" xfId="3908"/>
    <cellStyle name="스타일 14 2" xfId="3909"/>
    <cellStyle name="스타일 14 3" xfId="3910"/>
    <cellStyle name="스타일 14 4" xfId="3911"/>
    <cellStyle name="스타일 140" xfId="3912"/>
    <cellStyle name="스타일 140 2" xfId="3913"/>
    <cellStyle name="스타일 140 3" xfId="3914"/>
    <cellStyle name="스타일 141" xfId="3915"/>
    <cellStyle name="스타일 141 2" xfId="3916"/>
    <cellStyle name="스타일 141 3" xfId="3917"/>
    <cellStyle name="스타일 142" xfId="3918"/>
    <cellStyle name="스타일 142 2" xfId="3919"/>
    <cellStyle name="스타일 142 3" xfId="3920"/>
    <cellStyle name="스타일 143" xfId="3921"/>
    <cellStyle name="스타일 143 2" xfId="3922"/>
    <cellStyle name="스타일 143 3" xfId="3923"/>
    <cellStyle name="스타일 144" xfId="3924"/>
    <cellStyle name="스타일 144 2" xfId="3925"/>
    <cellStyle name="스타일 144 3" xfId="3926"/>
    <cellStyle name="스타일 145" xfId="3927"/>
    <cellStyle name="스타일 145 2" xfId="3928"/>
    <cellStyle name="스타일 145 3" xfId="3929"/>
    <cellStyle name="스타일 146" xfId="3930"/>
    <cellStyle name="스타일 146 2" xfId="3931"/>
    <cellStyle name="스타일 146 3" xfId="3932"/>
    <cellStyle name="스타일 147" xfId="3933"/>
    <cellStyle name="스타일 147 2" xfId="3934"/>
    <cellStyle name="스타일 147 3" xfId="3935"/>
    <cellStyle name="스타일 148" xfId="3936"/>
    <cellStyle name="스타일 148 2" xfId="3937"/>
    <cellStyle name="스타일 148 3" xfId="3938"/>
    <cellStyle name="스타일 149" xfId="3939"/>
    <cellStyle name="스타일 149 2" xfId="3940"/>
    <cellStyle name="스타일 149 3" xfId="3941"/>
    <cellStyle name="스타일 15" xfId="3942"/>
    <cellStyle name="스타일 15 2" xfId="3943"/>
    <cellStyle name="스타일 15 3" xfId="3944"/>
    <cellStyle name="스타일 15 4" xfId="3945"/>
    <cellStyle name="스타일 150" xfId="3946"/>
    <cellStyle name="스타일 150 2" xfId="3947"/>
    <cellStyle name="스타일 150 3" xfId="3948"/>
    <cellStyle name="스타일 151" xfId="3949"/>
    <cellStyle name="스타일 151 2" xfId="3950"/>
    <cellStyle name="스타일 151 3" xfId="3951"/>
    <cellStyle name="스타일 152" xfId="3952"/>
    <cellStyle name="스타일 152 2" xfId="3953"/>
    <cellStyle name="스타일 152 3" xfId="3954"/>
    <cellStyle name="스타일 153" xfId="3955"/>
    <cellStyle name="스타일 153 2" xfId="3956"/>
    <cellStyle name="스타일 153 3" xfId="3957"/>
    <cellStyle name="스타일 154" xfId="3958"/>
    <cellStyle name="스타일 154 2" xfId="3959"/>
    <cellStyle name="스타일 154 3" xfId="3960"/>
    <cellStyle name="스타일 155" xfId="3961"/>
    <cellStyle name="스타일 155 2" xfId="3962"/>
    <cellStyle name="스타일 155 3" xfId="3963"/>
    <cellStyle name="스타일 156" xfId="3964"/>
    <cellStyle name="스타일 156 2" xfId="3965"/>
    <cellStyle name="스타일 156 3" xfId="3966"/>
    <cellStyle name="스타일 157" xfId="3967"/>
    <cellStyle name="스타일 157 2" xfId="3968"/>
    <cellStyle name="스타일 157 3" xfId="3969"/>
    <cellStyle name="스타일 158" xfId="3970"/>
    <cellStyle name="스타일 158 2" xfId="3971"/>
    <cellStyle name="스타일 158 3" xfId="3972"/>
    <cellStyle name="스타일 159" xfId="3973"/>
    <cellStyle name="스타일 159 2" xfId="3974"/>
    <cellStyle name="스타일 159 3" xfId="3975"/>
    <cellStyle name="스타일 16" xfId="3976"/>
    <cellStyle name="스타일 16 2" xfId="3977"/>
    <cellStyle name="스타일 16 3" xfId="3978"/>
    <cellStyle name="스타일 16 4" xfId="3979"/>
    <cellStyle name="스타일 160" xfId="3980"/>
    <cellStyle name="스타일 160 2" xfId="3981"/>
    <cellStyle name="스타일 160 3" xfId="3982"/>
    <cellStyle name="스타일 161" xfId="3983"/>
    <cellStyle name="스타일 161 2" xfId="3984"/>
    <cellStyle name="스타일 161 3" xfId="3985"/>
    <cellStyle name="스타일 162" xfId="3986"/>
    <cellStyle name="스타일 162 2" xfId="3987"/>
    <cellStyle name="스타일 162 3" xfId="3988"/>
    <cellStyle name="스타일 163" xfId="3989"/>
    <cellStyle name="스타일 163 2" xfId="3990"/>
    <cellStyle name="스타일 163 3" xfId="3991"/>
    <cellStyle name="스타일 164" xfId="3992"/>
    <cellStyle name="스타일 164 2" xfId="3993"/>
    <cellStyle name="스타일 164 3" xfId="3994"/>
    <cellStyle name="스타일 165" xfId="3995"/>
    <cellStyle name="스타일 165 2" xfId="3996"/>
    <cellStyle name="스타일 165 3" xfId="3997"/>
    <cellStyle name="스타일 166" xfId="3998"/>
    <cellStyle name="스타일 166 2" xfId="3999"/>
    <cellStyle name="스타일 166 3" xfId="4000"/>
    <cellStyle name="스타일 167" xfId="4001"/>
    <cellStyle name="스타일 167 2" xfId="4002"/>
    <cellStyle name="스타일 167 3" xfId="4003"/>
    <cellStyle name="스타일 168" xfId="4004"/>
    <cellStyle name="스타일 168 2" xfId="4005"/>
    <cellStyle name="스타일 168 3" xfId="4006"/>
    <cellStyle name="스타일 169" xfId="4007"/>
    <cellStyle name="스타일 169 2" xfId="4008"/>
    <cellStyle name="스타일 169 3" xfId="4009"/>
    <cellStyle name="스타일 17" xfId="4010"/>
    <cellStyle name="스타일 17 2" xfId="4011"/>
    <cellStyle name="스타일 17 3" xfId="4012"/>
    <cellStyle name="스타일 170" xfId="4013"/>
    <cellStyle name="스타일 170 2" xfId="4014"/>
    <cellStyle name="스타일 170 3" xfId="4015"/>
    <cellStyle name="스타일 171" xfId="4016"/>
    <cellStyle name="스타일 171 2" xfId="4017"/>
    <cellStyle name="스타일 171 3" xfId="4018"/>
    <cellStyle name="스타일 172" xfId="4019"/>
    <cellStyle name="스타일 172 2" xfId="4020"/>
    <cellStyle name="스타일 172 3" xfId="4021"/>
    <cellStyle name="스타일 173" xfId="4022"/>
    <cellStyle name="스타일 173 2" xfId="4023"/>
    <cellStyle name="스타일 173 3" xfId="4024"/>
    <cellStyle name="스타일 174" xfId="4025"/>
    <cellStyle name="스타일 174 2" xfId="4026"/>
    <cellStyle name="스타일 174 3" xfId="4027"/>
    <cellStyle name="스타일 175" xfId="4028"/>
    <cellStyle name="스타일 175 2" xfId="4029"/>
    <cellStyle name="스타일 175 3" xfId="4030"/>
    <cellStyle name="스타일 176" xfId="4031"/>
    <cellStyle name="스타일 176 2" xfId="4032"/>
    <cellStyle name="스타일 176 3" xfId="4033"/>
    <cellStyle name="스타일 177" xfId="4034"/>
    <cellStyle name="스타일 177 2" xfId="4035"/>
    <cellStyle name="스타일 177 3" xfId="4036"/>
    <cellStyle name="스타일 178" xfId="4037"/>
    <cellStyle name="스타일 178 2" xfId="4038"/>
    <cellStyle name="스타일 178 3" xfId="4039"/>
    <cellStyle name="스타일 179" xfId="4040"/>
    <cellStyle name="스타일 179 2" xfId="4041"/>
    <cellStyle name="스타일 179 3" xfId="4042"/>
    <cellStyle name="스타일 18" xfId="4043"/>
    <cellStyle name="스타일 18 2" xfId="4044"/>
    <cellStyle name="스타일 18 3" xfId="4045"/>
    <cellStyle name="스타일 180" xfId="4046"/>
    <cellStyle name="스타일 180 2" xfId="4047"/>
    <cellStyle name="스타일 180 3" xfId="4048"/>
    <cellStyle name="스타일 181" xfId="4049"/>
    <cellStyle name="스타일 181 2" xfId="4050"/>
    <cellStyle name="스타일 181 3" xfId="4051"/>
    <cellStyle name="스타일 182" xfId="4052"/>
    <cellStyle name="스타일 182 2" xfId="4053"/>
    <cellStyle name="스타일 182 3" xfId="4054"/>
    <cellStyle name="스타일 183" xfId="4055"/>
    <cellStyle name="스타일 183 2" xfId="4056"/>
    <cellStyle name="스타일 183 3" xfId="4057"/>
    <cellStyle name="스타일 184" xfId="4058"/>
    <cellStyle name="스타일 184 2" xfId="4059"/>
    <cellStyle name="스타일 184 3" xfId="4060"/>
    <cellStyle name="스타일 185" xfId="4061"/>
    <cellStyle name="스타일 185 2" xfId="4062"/>
    <cellStyle name="스타일 185 3" xfId="4063"/>
    <cellStyle name="스타일 186" xfId="4064"/>
    <cellStyle name="스타일 186 2" xfId="4065"/>
    <cellStyle name="스타일 186 3" xfId="4066"/>
    <cellStyle name="스타일 187" xfId="4067"/>
    <cellStyle name="스타일 187 2" xfId="4068"/>
    <cellStyle name="스타일 187 3" xfId="4069"/>
    <cellStyle name="스타일 188" xfId="4070"/>
    <cellStyle name="스타일 188 2" xfId="4071"/>
    <cellStyle name="스타일 188 3" xfId="4072"/>
    <cellStyle name="스타일 189" xfId="4073"/>
    <cellStyle name="스타일 189 2" xfId="4074"/>
    <cellStyle name="스타일 189 3" xfId="4075"/>
    <cellStyle name="스타일 19" xfId="4076"/>
    <cellStyle name="스타일 19 2" xfId="4077"/>
    <cellStyle name="스타일 19 3" xfId="4078"/>
    <cellStyle name="스타일 190" xfId="4079"/>
    <cellStyle name="스타일 190 2" xfId="4080"/>
    <cellStyle name="스타일 190 3" xfId="4081"/>
    <cellStyle name="스타일 191" xfId="4082"/>
    <cellStyle name="스타일 191 2" xfId="4083"/>
    <cellStyle name="스타일 191 3" xfId="4084"/>
    <cellStyle name="스타일 192" xfId="4085"/>
    <cellStyle name="스타일 192 2" xfId="4086"/>
    <cellStyle name="스타일 192 3" xfId="4087"/>
    <cellStyle name="스타일 193" xfId="4088"/>
    <cellStyle name="스타일 193 2" xfId="4089"/>
    <cellStyle name="스타일 193 3" xfId="4090"/>
    <cellStyle name="스타일 194" xfId="4091"/>
    <cellStyle name="스타일 194 2" xfId="4092"/>
    <cellStyle name="스타일 194 3" xfId="4093"/>
    <cellStyle name="스타일 195" xfId="4094"/>
    <cellStyle name="스타일 195 2" xfId="4095"/>
    <cellStyle name="스타일 195 3" xfId="4096"/>
    <cellStyle name="스타일 196" xfId="4097"/>
    <cellStyle name="스타일 196 2" xfId="4098"/>
    <cellStyle name="스타일 196 3" xfId="4099"/>
    <cellStyle name="스타일 197" xfId="4100"/>
    <cellStyle name="스타일 197 2" xfId="4101"/>
    <cellStyle name="스타일 197 3" xfId="4102"/>
    <cellStyle name="스타일 198" xfId="4103"/>
    <cellStyle name="스타일 198 2" xfId="4104"/>
    <cellStyle name="스타일 198 3" xfId="4105"/>
    <cellStyle name="스타일 199" xfId="4106"/>
    <cellStyle name="스타일 199 2" xfId="4107"/>
    <cellStyle name="스타일 199 3" xfId="4108"/>
    <cellStyle name="스타일 2" xfId="4109"/>
    <cellStyle name="스타일 2 2" xfId="4110"/>
    <cellStyle name="스타일 2 3" xfId="4111"/>
    <cellStyle name="스타일 20" xfId="4112"/>
    <cellStyle name="스타일 20 2" xfId="4113"/>
    <cellStyle name="스타일 20 3" xfId="4114"/>
    <cellStyle name="스타일 200" xfId="4115"/>
    <cellStyle name="스타일 200 2" xfId="4116"/>
    <cellStyle name="스타일 200 3" xfId="4117"/>
    <cellStyle name="스타일 201" xfId="4118"/>
    <cellStyle name="스타일 201 2" xfId="4119"/>
    <cellStyle name="스타일 201 3" xfId="4120"/>
    <cellStyle name="스타일 202" xfId="4121"/>
    <cellStyle name="스타일 202 2" xfId="4122"/>
    <cellStyle name="스타일 202 3" xfId="4123"/>
    <cellStyle name="스타일 203" xfId="4124"/>
    <cellStyle name="스타일 203 2" xfId="4125"/>
    <cellStyle name="스타일 203 3" xfId="4126"/>
    <cellStyle name="스타일 204" xfId="4127"/>
    <cellStyle name="스타일 204 2" xfId="4128"/>
    <cellStyle name="스타일 204 3" xfId="4129"/>
    <cellStyle name="스타일 205" xfId="4130"/>
    <cellStyle name="스타일 205 2" xfId="4131"/>
    <cellStyle name="스타일 205 3" xfId="4132"/>
    <cellStyle name="스타일 206" xfId="4133"/>
    <cellStyle name="스타일 206 2" xfId="4134"/>
    <cellStyle name="스타일 206 3" xfId="4135"/>
    <cellStyle name="스타일 207" xfId="4136"/>
    <cellStyle name="스타일 207 2" xfId="4137"/>
    <cellStyle name="스타일 207 3" xfId="4138"/>
    <cellStyle name="스타일 208" xfId="4139"/>
    <cellStyle name="스타일 208 2" xfId="4140"/>
    <cellStyle name="스타일 208 3" xfId="4141"/>
    <cellStyle name="스타일 209" xfId="4142"/>
    <cellStyle name="스타일 209 2" xfId="4143"/>
    <cellStyle name="스타일 209 3" xfId="4144"/>
    <cellStyle name="스타일 21" xfId="4145"/>
    <cellStyle name="스타일 21 2" xfId="4146"/>
    <cellStyle name="스타일 21 3" xfId="4147"/>
    <cellStyle name="스타일 210" xfId="4148"/>
    <cellStyle name="스타일 210 2" xfId="4149"/>
    <cellStyle name="스타일 210 3" xfId="4150"/>
    <cellStyle name="스타일 211" xfId="4151"/>
    <cellStyle name="스타일 211 2" xfId="4152"/>
    <cellStyle name="스타일 211 3" xfId="4153"/>
    <cellStyle name="스타일 212" xfId="4154"/>
    <cellStyle name="스타일 212 2" xfId="4155"/>
    <cellStyle name="스타일 212 3" xfId="4156"/>
    <cellStyle name="스타일 213" xfId="4157"/>
    <cellStyle name="스타일 213 2" xfId="4158"/>
    <cellStyle name="스타일 213 3" xfId="4159"/>
    <cellStyle name="스타일 214" xfId="4160"/>
    <cellStyle name="스타일 214 2" xfId="4161"/>
    <cellStyle name="스타일 214 3" xfId="4162"/>
    <cellStyle name="스타일 215" xfId="4163"/>
    <cellStyle name="스타일 215 2" xfId="4164"/>
    <cellStyle name="스타일 215 3" xfId="4165"/>
    <cellStyle name="스타일 216" xfId="4166"/>
    <cellStyle name="스타일 216 2" xfId="4167"/>
    <cellStyle name="스타일 216 3" xfId="4168"/>
    <cellStyle name="스타일 217" xfId="4169"/>
    <cellStyle name="스타일 217 2" xfId="4170"/>
    <cellStyle name="스타일 217 3" xfId="4171"/>
    <cellStyle name="스타일 218" xfId="4172"/>
    <cellStyle name="스타일 218 2" xfId="4173"/>
    <cellStyle name="스타일 218 3" xfId="4174"/>
    <cellStyle name="스타일 219" xfId="4175"/>
    <cellStyle name="스타일 219 2" xfId="4176"/>
    <cellStyle name="스타일 219 3" xfId="4177"/>
    <cellStyle name="스타일 22" xfId="4178"/>
    <cellStyle name="스타일 22 2" xfId="4179"/>
    <cellStyle name="스타일 22 3" xfId="4180"/>
    <cellStyle name="스타일 220" xfId="4181"/>
    <cellStyle name="스타일 220 2" xfId="4182"/>
    <cellStyle name="스타일 220 3" xfId="4183"/>
    <cellStyle name="스타일 221" xfId="4184"/>
    <cellStyle name="스타일 221 2" xfId="4185"/>
    <cellStyle name="스타일 221 3" xfId="4186"/>
    <cellStyle name="스타일 222" xfId="4187"/>
    <cellStyle name="스타일 222 2" xfId="4188"/>
    <cellStyle name="스타일 222 3" xfId="4189"/>
    <cellStyle name="스타일 223" xfId="4190"/>
    <cellStyle name="스타일 224" xfId="4191"/>
    <cellStyle name="스타일 225" xfId="4192"/>
    <cellStyle name="스타일 226" xfId="4193"/>
    <cellStyle name="스타일 227" xfId="4194"/>
    <cellStyle name="스타일 228" xfId="4195"/>
    <cellStyle name="스타일 229" xfId="4196"/>
    <cellStyle name="스타일 23" xfId="4197"/>
    <cellStyle name="스타일 23 2" xfId="4198"/>
    <cellStyle name="스타일 23 3" xfId="4199"/>
    <cellStyle name="스타일 230" xfId="4200"/>
    <cellStyle name="스타일 231" xfId="4201"/>
    <cellStyle name="스타일 232" xfId="4202"/>
    <cellStyle name="스타일 233" xfId="4203"/>
    <cellStyle name="스타일 234" xfId="4204"/>
    <cellStyle name="스타일 235" xfId="4205"/>
    <cellStyle name="스타일 236" xfId="4206"/>
    <cellStyle name="스타일 237" xfId="4207"/>
    <cellStyle name="스타일 238" xfId="4208"/>
    <cellStyle name="스타일 239" xfId="4209"/>
    <cellStyle name="스타일 24" xfId="4210"/>
    <cellStyle name="스타일 24 2" xfId="4211"/>
    <cellStyle name="스타일 24 3" xfId="4212"/>
    <cellStyle name="스타일 240" xfId="4213"/>
    <cellStyle name="스타일 241" xfId="4214"/>
    <cellStyle name="스타일 242" xfId="4215"/>
    <cellStyle name="스타일 243" xfId="4216"/>
    <cellStyle name="스타일 244" xfId="4217"/>
    <cellStyle name="스타일 245" xfId="4218"/>
    <cellStyle name="스타일 246" xfId="4219"/>
    <cellStyle name="스타일 247" xfId="4220"/>
    <cellStyle name="스타일 248" xfId="4221"/>
    <cellStyle name="스타일 249" xfId="4222"/>
    <cellStyle name="스타일 25" xfId="4223"/>
    <cellStyle name="스타일 25 2" xfId="4224"/>
    <cellStyle name="스타일 25 3" xfId="4225"/>
    <cellStyle name="스타일 250" xfId="4226"/>
    <cellStyle name="스타일 251" xfId="4227"/>
    <cellStyle name="스타일 252" xfId="4228"/>
    <cellStyle name="스타일 253" xfId="4229"/>
    <cellStyle name="스타일 254" xfId="4230"/>
    <cellStyle name="스타일 255" xfId="4231"/>
    <cellStyle name="스타일 256" xfId="4232"/>
    <cellStyle name="스타일 257" xfId="4233"/>
    <cellStyle name="스타일 258" xfId="4234"/>
    <cellStyle name="스타일 259" xfId="4235"/>
    <cellStyle name="스타일 26" xfId="4236"/>
    <cellStyle name="스타일 26 2" xfId="4237"/>
    <cellStyle name="스타일 26 3" xfId="4238"/>
    <cellStyle name="스타일 260" xfId="4239"/>
    <cellStyle name="스타일 261" xfId="4240"/>
    <cellStyle name="스타일 262" xfId="4241"/>
    <cellStyle name="스타일 263" xfId="4242"/>
    <cellStyle name="스타일 264" xfId="4243"/>
    <cellStyle name="스타일 265" xfId="4244"/>
    <cellStyle name="스타일 266" xfId="4245"/>
    <cellStyle name="스타일 267" xfId="4246"/>
    <cellStyle name="스타일 268" xfId="4247"/>
    <cellStyle name="스타일 269" xfId="4248"/>
    <cellStyle name="스타일 27" xfId="4249"/>
    <cellStyle name="스타일 27 2" xfId="4250"/>
    <cellStyle name="스타일 27 3" xfId="4251"/>
    <cellStyle name="스타일 270" xfId="4252"/>
    <cellStyle name="스타일 271" xfId="4253"/>
    <cellStyle name="스타일 272" xfId="4254"/>
    <cellStyle name="스타일 273" xfId="4255"/>
    <cellStyle name="스타일 274" xfId="4256"/>
    <cellStyle name="스타일 275" xfId="4257"/>
    <cellStyle name="스타일 276" xfId="4258"/>
    <cellStyle name="스타일 277" xfId="4259"/>
    <cellStyle name="스타일 278" xfId="4260"/>
    <cellStyle name="스타일 279" xfId="4261"/>
    <cellStyle name="스타일 28" xfId="4262"/>
    <cellStyle name="스타일 28 2" xfId="4263"/>
    <cellStyle name="스타일 28 3" xfId="4264"/>
    <cellStyle name="스타일 280" xfId="4265"/>
    <cellStyle name="스타일 281" xfId="4266"/>
    <cellStyle name="스타일 282" xfId="4267"/>
    <cellStyle name="스타일 283" xfId="4268"/>
    <cellStyle name="스타일 284" xfId="4269"/>
    <cellStyle name="스타일 285" xfId="4270"/>
    <cellStyle name="스타일 286" xfId="4271"/>
    <cellStyle name="스타일 287" xfId="4272"/>
    <cellStyle name="스타일 288" xfId="4273"/>
    <cellStyle name="스타일 289" xfId="4274"/>
    <cellStyle name="스타일 29" xfId="4275"/>
    <cellStyle name="스타일 29 2" xfId="4276"/>
    <cellStyle name="스타일 29 3" xfId="4277"/>
    <cellStyle name="스타일 290" xfId="4278"/>
    <cellStyle name="스타일 291" xfId="4279"/>
    <cellStyle name="스타일 292" xfId="4280"/>
    <cellStyle name="스타일 293" xfId="4281"/>
    <cellStyle name="스타일 294" xfId="4282"/>
    <cellStyle name="스타일 295" xfId="4283"/>
    <cellStyle name="스타일 296" xfId="4284"/>
    <cellStyle name="스타일 297" xfId="4285"/>
    <cellStyle name="스타일 298" xfId="4286"/>
    <cellStyle name="스타일 299" xfId="4287"/>
    <cellStyle name="스타일 3" xfId="4288"/>
    <cellStyle name="스타일 3 2" xfId="4289"/>
    <cellStyle name="스타일 3 3" xfId="4290"/>
    <cellStyle name="스타일 30" xfId="4291"/>
    <cellStyle name="스타일 30 2" xfId="4292"/>
    <cellStyle name="스타일 30 3" xfId="4293"/>
    <cellStyle name="스타일 300" xfId="4294"/>
    <cellStyle name="스타일 301" xfId="4295"/>
    <cellStyle name="스타일 31" xfId="4296"/>
    <cellStyle name="스타일 31 2" xfId="4297"/>
    <cellStyle name="스타일 31 3" xfId="4298"/>
    <cellStyle name="스타일 32" xfId="4299"/>
    <cellStyle name="스타일 32 2" xfId="4300"/>
    <cellStyle name="스타일 32 3" xfId="4301"/>
    <cellStyle name="스타일 33" xfId="4302"/>
    <cellStyle name="스타일 33 2" xfId="4303"/>
    <cellStyle name="스타일 33 3" xfId="4304"/>
    <cellStyle name="스타일 34" xfId="4305"/>
    <cellStyle name="스타일 34 2" xfId="4306"/>
    <cellStyle name="스타일 34 3" xfId="4307"/>
    <cellStyle name="스타일 35" xfId="4308"/>
    <cellStyle name="스타일 35 2" xfId="4309"/>
    <cellStyle name="스타일 35 3" xfId="4310"/>
    <cellStyle name="스타일 36" xfId="4311"/>
    <cellStyle name="스타일 36 2" xfId="4312"/>
    <cellStyle name="스타일 36 3" xfId="4313"/>
    <cellStyle name="스타일 37" xfId="4314"/>
    <cellStyle name="스타일 37 2" xfId="4315"/>
    <cellStyle name="스타일 37 3" xfId="4316"/>
    <cellStyle name="스타일 38" xfId="4317"/>
    <cellStyle name="스타일 38 2" xfId="4318"/>
    <cellStyle name="스타일 38 3" xfId="4319"/>
    <cellStyle name="스타일 39" xfId="4320"/>
    <cellStyle name="스타일 39 2" xfId="4321"/>
    <cellStyle name="스타일 39 3" xfId="4322"/>
    <cellStyle name="스타일 4" xfId="4323"/>
    <cellStyle name="스타일 4 2" xfId="4324"/>
    <cellStyle name="스타일 4 3" xfId="4325"/>
    <cellStyle name="스타일 40" xfId="4326"/>
    <cellStyle name="스타일 40 2" xfId="4327"/>
    <cellStyle name="스타일 40 3" xfId="4328"/>
    <cellStyle name="스타일 41" xfId="4329"/>
    <cellStyle name="스타일 41 2" xfId="4330"/>
    <cellStyle name="스타일 41 3" xfId="4331"/>
    <cellStyle name="스타일 42" xfId="4332"/>
    <cellStyle name="스타일 42 2" xfId="4333"/>
    <cellStyle name="스타일 42 3" xfId="4334"/>
    <cellStyle name="스타일 43" xfId="4335"/>
    <cellStyle name="스타일 43 2" xfId="4336"/>
    <cellStyle name="스타일 43 3" xfId="4337"/>
    <cellStyle name="스타일 44" xfId="4338"/>
    <cellStyle name="스타일 44 2" xfId="4339"/>
    <cellStyle name="스타일 44 3" xfId="4340"/>
    <cellStyle name="스타일 45" xfId="4341"/>
    <cellStyle name="스타일 45 2" xfId="4342"/>
    <cellStyle name="스타일 45 3" xfId="4343"/>
    <cellStyle name="스타일 46" xfId="4344"/>
    <cellStyle name="스타일 46 2" xfId="4345"/>
    <cellStyle name="스타일 46 3" xfId="4346"/>
    <cellStyle name="스타일 47" xfId="4347"/>
    <cellStyle name="스타일 47 2" xfId="4348"/>
    <cellStyle name="스타일 47 3" xfId="4349"/>
    <cellStyle name="스타일 48" xfId="4350"/>
    <cellStyle name="스타일 48 2" xfId="4351"/>
    <cellStyle name="스타일 48 3" xfId="4352"/>
    <cellStyle name="스타일 49" xfId="4353"/>
    <cellStyle name="스타일 49 2" xfId="4354"/>
    <cellStyle name="스타일 49 3" xfId="4355"/>
    <cellStyle name="스타일 5" xfId="4356"/>
    <cellStyle name="스타일 5 2" xfId="4357"/>
    <cellStyle name="스타일 5 3" xfId="4358"/>
    <cellStyle name="스타일 5 4" xfId="4359"/>
    <cellStyle name="스타일 50" xfId="4360"/>
    <cellStyle name="스타일 50 2" xfId="4361"/>
    <cellStyle name="스타일 50 3" xfId="4362"/>
    <cellStyle name="스타일 51" xfId="4363"/>
    <cellStyle name="스타일 51 2" xfId="4364"/>
    <cellStyle name="스타일 51 3" xfId="4365"/>
    <cellStyle name="스타일 52" xfId="4366"/>
    <cellStyle name="스타일 52 2" xfId="4367"/>
    <cellStyle name="스타일 52 3" xfId="4368"/>
    <cellStyle name="스타일 53" xfId="4369"/>
    <cellStyle name="스타일 53 2" xfId="4370"/>
    <cellStyle name="스타일 53 3" xfId="4371"/>
    <cellStyle name="스타일 54" xfId="4372"/>
    <cellStyle name="스타일 54 2" xfId="4373"/>
    <cellStyle name="스타일 54 3" xfId="4374"/>
    <cellStyle name="스타일 55" xfId="4375"/>
    <cellStyle name="스타일 55 2" xfId="4376"/>
    <cellStyle name="스타일 55 3" xfId="4377"/>
    <cellStyle name="스타일 56" xfId="4378"/>
    <cellStyle name="스타일 56 2" xfId="4379"/>
    <cellStyle name="스타일 56 3" xfId="4380"/>
    <cellStyle name="스타일 57" xfId="4381"/>
    <cellStyle name="스타일 57 2" xfId="4382"/>
    <cellStyle name="스타일 57 3" xfId="4383"/>
    <cellStyle name="스타일 58" xfId="4384"/>
    <cellStyle name="스타일 58 2" xfId="4385"/>
    <cellStyle name="스타일 58 3" xfId="4386"/>
    <cellStyle name="스타일 59" xfId="4387"/>
    <cellStyle name="스타일 59 2" xfId="4388"/>
    <cellStyle name="스타일 59 3" xfId="4389"/>
    <cellStyle name="스타일 6" xfId="4390"/>
    <cellStyle name="스타일 6 2" xfId="4391"/>
    <cellStyle name="스타일 6 3" xfId="4392"/>
    <cellStyle name="스타일 6 4" xfId="4393"/>
    <cellStyle name="스타일 60" xfId="4394"/>
    <cellStyle name="스타일 60 2" xfId="4395"/>
    <cellStyle name="스타일 60 3" xfId="4396"/>
    <cellStyle name="스타일 61" xfId="4397"/>
    <cellStyle name="스타일 61 2" xfId="4398"/>
    <cellStyle name="스타일 61 3" xfId="4399"/>
    <cellStyle name="스타일 62" xfId="4400"/>
    <cellStyle name="스타일 62 2" xfId="4401"/>
    <cellStyle name="스타일 62 3" xfId="4402"/>
    <cellStyle name="스타일 63" xfId="4403"/>
    <cellStyle name="스타일 63 2" xfId="4404"/>
    <cellStyle name="스타일 63 3" xfId="4405"/>
    <cellStyle name="스타일 64" xfId="4406"/>
    <cellStyle name="스타일 64 2" xfId="4407"/>
    <cellStyle name="스타일 64 3" xfId="4408"/>
    <cellStyle name="스타일 65" xfId="4409"/>
    <cellStyle name="스타일 65 2" xfId="4410"/>
    <cellStyle name="스타일 65 3" xfId="4411"/>
    <cellStyle name="스타일 66" xfId="4412"/>
    <cellStyle name="스타일 66 2" xfId="4413"/>
    <cellStyle name="스타일 66 3" xfId="4414"/>
    <cellStyle name="스타일 67" xfId="4415"/>
    <cellStyle name="스타일 67 2" xfId="4416"/>
    <cellStyle name="스타일 67 3" xfId="4417"/>
    <cellStyle name="스타일 68" xfId="4418"/>
    <cellStyle name="스타일 68 2" xfId="4419"/>
    <cellStyle name="스타일 68 3" xfId="4420"/>
    <cellStyle name="스타일 69" xfId="4421"/>
    <cellStyle name="스타일 69 2" xfId="4422"/>
    <cellStyle name="스타일 69 3" xfId="4423"/>
    <cellStyle name="스타일 7" xfId="4424"/>
    <cellStyle name="스타일 7 2" xfId="4425"/>
    <cellStyle name="스타일 7 3" xfId="4426"/>
    <cellStyle name="스타일 7 4" xfId="4427"/>
    <cellStyle name="스타일 70" xfId="4428"/>
    <cellStyle name="스타일 70 2" xfId="4429"/>
    <cellStyle name="스타일 70 3" xfId="4430"/>
    <cellStyle name="스타일 71" xfId="4431"/>
    <cellStyle name="스타일 71 2" xfId="4432"/>
    <cellStyle name="스타일 71 3" xfId="4433"/>
    <cellStyle name="스타일 72" xfId="4434"/>
    <cellStyle name="스타일 72 2" xfId="4435"/>
    <cellStyle name="스타일 72 3" xfId="4436"/>
    <cellStyle name="스타일 73" xfId="4437"/>
    <cellStyle name="스타일 73 2" xfId="4438"/>
    <cellStyle name="스타일 73 3" xfId="4439"/>
    <cellStyle name="스타일 74" xfId="4440"/>
    <cellStyle name="스타일 74 2" xfId="4441"/>
    <cellStyle name="스타일 74 3" xfId="4442"/>
    <cellStyle name="스타일 75" xfId="4443"/>
    <cellStyle name="스타일 75 2" xfId="4444"/>
    <cellStyle name="스타일 75 3" xfId="4445"/>
    <cellStyle name="스타일 76" xfId="4446"/>
    <cellStyle name="스타일 76 2" xfId="4447"/>
    <cellStyle name="스타일 76 3" xfId="4448"/>
    <cellStyle name="스타일 77" xfId="4449"/>
    <cellStyle name="스타일 77 2" xfId="4450"/>
    <cellStyle name="스타일 77 3" xfId="4451"/>
    <cellStyle name="스타일 78" xfId="4452"/>
    <cellStyle name="스타일 78 2" xfId="4453"/>
    <cellStyle name="스타일 78 3" xfId="4454"/>
    <cellStyle name="스타일 79" xfId="4455"/>
    <cellStyle name="스타일 79 2" xfId="4456"/>
    <cellStyle name="스타일 79 3" xfId="4457"/>
    <cellStyle name="스타일 8" xfId="4458"/>
    <cellStyle name="스타일 8 2" xfId="4459"/>
    <cellStyle name="스타일 8 3" xfId="4460"/>
    <cellStyle name="스타일 8 4" xfId="4461"/>
    <cellStyle name="스타일 80" xfId="4462"/>
    <cellStyle name="스타일 80 2" xfId="4463"/>
    <cellStyle name="스타일 80 3" xfId="4464"/>
    <cellStyle name="스타일 81" xfId="4465"/>
    <cellStyle name="스타일 81 2" xfId="4466"/>
    <cellStyle name="스타일 81 3" xfId="4467"/>
    <cellStyle name="스타일 82" xfId="4468"/>
    <cellStyle name="스타일 82 2" xfId="4469"/>
    <cellStyle name="스타일 82 3" xfId="4470"/>
    <cellStyle name="스타일 83" xfId="4471"/>
    <cellStyle name="스타일 83 2" xfId="4472"/>
    <cellStyle name="스타일 83 3" xfId="4473"/>
    <cellStyle name="스타일 84" xfId="4474"/>
    <cellStyle name="스타일 84 2" xfId="4475"/>
    <cellStyle name="스타일 84 3" xfId="4476"/>
    <cellStyle name="스타일 85" xfId="4477"/>
    <cellStyle name="스타일 85 2" xfId="4478"/>
    <cellStyle name="스타일 85 3" xfId="4479"/>
    <cellStyle name="스타일 86" xfId="4480"/>
    <cellStyle name="스타일 86 2" xfId="4481"/>
    <cellStyle name="스타일 86 3" xfId="4482"/>
    <cellStyle name="스타일 87" xfId="4483"/>
    <cellStyle name="스타일 87 2" xfId="4484"/>
    <cellStyle name="스타일 87 3" xfId="4485"/>
    <cellStyle name="스타일 88" xfId="4486"/>
    <cellStyle name="스타일 88 2" xfId="4487"/>
    <cellStyle name="스타일 88 3" xfId="4488"/>
    <cellStyle name="스타일 89" xfId="4489"/>
    <cellStyle name="스타일 89 2" xfId="4490"/>
    <cellStyle name="스타일 89 3" xfId="4491"/>
    <cellStyle name="스타일 9" xfId="4492"/>
    <cellStyle name="스타일 9 2" xfId="4493"/>
    <cellStyle name="스타일 9 3" xfId="4494"/>
    <cellStyle name="스타일 9 4" xfId="4495"/>
    <cellStyle name="스타일 90" xfId="4496"/>
    <cellStyle name="스타일 90 2" xfId="4497"/>
    <cellStyle name="스타일 90 3" xfId="4498"/>
    <cellStyle name="스타일 91" xfId="4499"/>
    <cellStyle name="스타일 91 2" xfId="4500"/>
    <cellStyle name="스타일 91 3" xfId="4501"/>
    <cellStyle name="스타일 92" xfId="4502"/>
    <cellStyle name="스타일 92 2" xfId="4503"/>
    <cellStyle name="스타일 92 3" xfId="4504"/>
    <cellStyle name="스타일 93" xfId="4505"/>
    <cellStyle name="스타일 93 2" xfId="4506"/>
    <cellStyle name="스타일 93 3" xfId="4507"/>
    <cellStyle name="스타일 94" xfId="4508"/>
    <cellStyle name="스타일 94 2" xfId="4509"/>
    <cellStyle name="스타일 94 3" xfId="4510"/>
    <cellStyle name="스타일 95" xfId="4511"/>
    <cellStyle name="스타일 95 2" xfId="4512"/>
    <cellStyle name="스타일 95 3" xfId="4513"/>
    <cellStyle name="스타일 96" xfId="4514"/>
    <cellStyle name="스타일 96 2" xfId="4515"/>
    <cellStyle name="스타일 96 3" xfId="4516"/>
    <cellStyle name="스타일 97" xfId="4517"/>
    <cellStyle name="스타일 97 2" xfId="4518"/>
    <cellStyle name="스타일 97 3" xfId="4519"/>
    <cellStyle name="스타일 98" xfId="4520"/>
    <cellStyle name="스타일 98 2" xfId="4521"/>
    <cellStyle name="스타일 98 3" xfId="4522"/>
    <cellStyle name="스타일 99" xfId="4523"/>
    <cellStyle name="스타일 99 2" xfId="4524"/>
    <cellStyle name="스타일 99 3" xfId="4525"/>
    <cellStyle name="식" xfId="4526"/>
    <cellStyle name="식_재무지원부충당금" xfId="4527"/>
    <cellStyle name="식_재무지원부충당금_1" xfId="4528"/>
    <cellStyle name="식_재무지원부충당금_1_예외적립품의_0910(완료)" xfId="4529"/>
    <cellStyle name="식_재무지원부충당금_1_추가적립업체명세(완료)V_3황동인대리님" xfId="4530"/>
    <cellStyle name="식_추가충당금명세_0630_V3" xfId="4531"/>
    <cellStyle name="신협" xfId="4532"/>
    <cellStyle name="안건회계법인" xfId="4533"/>
    <cellStyle name="안건회계법인 2" xfId="16551"/>
    <cellStyle name="안건회계법인 3" xfId="16552"/>
    <cellStyle name="액제" xfId="4534"/>
    <cellStyle name="앰플" xfId="4535"/>
    <cellStyle name="연결된 셀 2" xfId="4536"/>
    <cellStyle name="연결된 셀 2 2" xfId="4537"/>
    <cellStyle name="연결된 셀 2 2 2" xfId="4538"/>
    <cellStyle name="연결된 셀 2 3" xfId="4539"/>
    <cellStyle name="연결된 셀 2 4" xfId="4540"/>
    <cellStyle name="연결된 셀 3" xfId="4541"/>
    <cellStyle name="연결된 셀 4" xfId="4542"/>
    <cellStyle name="연결된 셀 5" xfId="4543"/>
    <cellStyle name="연결된 셀 6" xfId="4544"/>
    <cellStyle name="연고" xfId="4545"/>
    <cellStyle name="열어본 하이퍼링크" xfId="4546"/>
    <cellStyle name="열어본 하이퍼링크 2" xfId="4547"/>
    <cellStyle name="요약 2" xfId="4548"/>
    <cellStyle name="요약 2 10" xfId="16553"/>
    <cellStyle name="요약 2 10 2" xfId="16554"/>
    <cellStyle name="요약 2 10 2 2" xfId="16555"/>
    <cellStyle name="요약 2 10 2 2 2" xfId="30041"/>
    <cellStyle name="요약 2 10 2 3" xfId="30040"/>
    <cellStyle name="요약 2 10 3" xfId="16556"/>
    <cellStyle name="요약 2 10 3 2" xfId="16557"/>
    <cellStyle name="요약 2 10 3 2 2" xfId="30043"/>
    <cellStyle name="요약 2 10 3 3" xfId="30042"/>
    <cellStyle name="요약 2 10 4" xfId="16558"/>
    <cellStyle name="요약 2 10 4 2" xfId="16559"/>
    <cellStyle name="요약 2 10 4 2 2" xfId="30045"/>
    <cellStyle name="요약 2 10 4 3" xfId="30044"/>
    <cellStyle name="요약 2 10 5" xfId="16560"/>
    <cellStyle name="요약 2 10 5 2" xfId="30046"/>
    <cellStyle name="요약 2 10 6" xfId="30039"/>
    <cellStyle name="요약 2 11" xfId="16561"/>
    <cellStyle name="요약 2 11 2" xfId="16562"/>
    <cellStyle name="요약 2 11 2 2" xfId="16563"/>
    <cellStyle name="요약 2 11 2 2 2" xfId="30049"/>
    <cellStyle name="요약 2 11 2 3" xfId="30048"/>
    <cellStyle name="요약 2 11 3" xfId="16564"/>
    <cellStyle name="요약 2 11 3 2" xfId="16565"/>
    <cellStyle name="요약 2 11 3 2 2" xfId="30051"/>
    <cellStyle name="요약 2 11 3 3" xfId="30050"/>
    <cellStyle name="요약 2 11 4" xfId="16566"/>
    <cellStyle name="요약 2 11 4 2" xfId="16567"/>
    <cellStyle name="요약 2 11 4 2 2" xfId="30053"/>
    <cellStyle name="요약 2 11 4 3" xfId="30052"/>
    <cellStyle name="요약 2 11 5" xfId="16568"/>
    <cellStyle name="요약 2 11 5 2" xfId="30054"/>
    <cellStyle name="요약 2 11 6" xfId="30047"/>
    <cellStyle name="요약 2 12" xfId="16569"/>
    <cellStyle name="요약 2 12 2" xfId="16570"/>
    <cellStyle name="요약 2 12 2 2" xfId="16571"/>
    <cellStyle name="요약 2 12 2 2 2" xfId="30057"/>
    <cellStyle name="요약 2 12 2 3" xfId="30056"/>
    <cellStyle name="요약 2 12 3" xfId="16572"/>
    <cellStyle name="요약 2 12 3 2" xfId="16573"/>
    <cellStyle name="요약 2 12 3 2 2" xfId="30059"/>
    <cellStyle name="요약 2 12 3 3" xfId="30058"/>
    <cellStyle name="요약 2 12 4" xfId="16574"/>
    <cellStyle name="요약 2 12 4 2" xfId="16575"/>
    <cellStyle name="요약 2 12 4 2 2" xfId="30061"/>
    <cellStyle name="요약 2 12 4 3" xfId="30060"/>
    <cellStyle name="요약 2 12 5" xfId="16576"/>
    <cellStyle name="요약 2 12 5 2" xfId="30062"/>
    <cellStyle name="요약 2 12 6" xfId="30055"/>
    <cellStyle name="요약 2 13" xfId="16577"/>
    <cellStyle name="요약 2 13 2" xfId="16578"/>
    <cellStyle name="요약 2 13 2 2" xfId="16579"/>
    <cellStyle name="요약 2 13 2 2 2" xfId="30065"/>
    <cellStyle name="요약 2 13 2 3" xfId="30064"/>
    <cellStyle name="요약 2 13 3" xfId="16580"/>
    <cellStyle name="요약 2 13 3 2" xfId="16581"/>
    <cellStyle name="요약 2 13 3 2 2" xfId="30067"/>
    <cellStyle name="요약 2 13 3 3" xfId="30066"/>
    <cellStyle name="요약 2 13 4" xfId="16582"/>
    <cellStyle name="요약 2 13 4 2" xfId="16583"/>
    <cellStyle name="요약 2 13 4 2 2" xfId="30069"/>
    <cellStyle name="요약 2 13 4 3" xfId="30068"/>
    <cellStyle name="요약 2 13 5" xfId="16584"/>
    <cellStyle name="요약 2 13 5 2" xfId="30070"/>
    <cellStyle name="요약 2 13 6" xfId="30063"/>
    <cellStyle name="요약 2 14" xfId="16585"/>
    <cellStyle name="요약 2 14 2" xfId="16586"/>
    <cellStyle name="요약 2 14 2 2" xfId="16587"/>
    <cellStyle name="요약 2 14 2 2 2" xfId="30073"/>
    <cellStyle name="요약 2 14 2 3" xfId="30072"/>
    <cellStyle name="요약 2 14 3" xfId="16588"/>
    <cellStyle name="요약 2 14 3 2" xfId="16589"/>
    <cellStyle name="요약 2 14 3 2 2" xfId="30075"/>
    <cellStyle name="요약 2 14 3 3" xfId="30074"/>
    <cellStyle name="요약 2 14 4" xfId="16590"/>
    <cellStyle name="요약 2 14 4 2" xfId="16591"/>
    <cellStyle name="요약 2 14 4 2 2" xfId="30077"/>
    <cellStyle name="요약 2 14 4 3" xfId="30076"/>
    <cellStyle name="요약 2 14 5" xfId="16592"/>
    <cellStyle name="요약 2 14 5 2" xfId="30078"/>
    <cellStyle name="요약 2 14 6" xfId="30071"/>
    <cellStyle name="요약 2 15" xfId="16593"/>
    <cellStyle name="요약 2 15 2" xfId="16594"/>
    <cellStyle name="요약 2 15 2 2" xfId="16595"/>
    <cellStyle name="요약 2 15 2 2 2" xfId="30081"/>
    <cellStyle name="요약 2 15 2 3" xfId="30080"/>
    <cellStyle name="요약 2 15 3" xfId="16596"/>
    <cellStyle name="요약 2 15 3 2" xfId="16597"/>
    <cellStyle name="요약 2 15 3 2 2" xfId="30083"/>
    <cellStyle name="요약 2 15 3 3" xfId="30082"/>
    <cellStyle name="요약 2 15 4" xfId="16598"/>
    <cellStyle name="요약 2 15 4 2" xfId="16599"/>
    <cellStyle name="요약 2 15 4 2 2" xfId="30085"/>
    <cellStyle name="요약 2 15 4 3" xfId="30084"/>
    <cellStyle name="요약 2 15 5" xfId="16600"/>
    <cellStyle name="요약 2 15 5 2" xfId="30086"/>
    <cellStyle name="요약 2 15 6" xfId="30079"/>
    <cellStyle name="요약 2 16" xfId="16601"/>
    <cellStyle name="요약 2 16 2" xfId="16602"/>
    <cellStyle name="요약 2 16 2 2" xfId="16603"/>
    <cellStyle name="요약 2 16 2 2 2" xfId="30089"/>
    <cellStyle name="요약 2 16 2 3" xfId="30088"/>
    <cellStyle name="요약 2 16 3" xfId="16604"/>
    <cellStyle name="요약 2 16 3 2" xfId="16605"/>
    <cellStyle name="요약 2 16 3 2 2" xfId="30091"/>
    <cellStyle name="요약 2 16 3 3" xfId="30090"/>
    <cellStyle name="요약 2 16 4" xfId="16606"/>
    <cellStyle name="요약 2 16 4 2" xfId="16607"/>
    <cellStyle name="요약 2 16 4 2 2" xfId="30093"/>
    <cellStyle name="요약 2 16 4 3" xfId="30092"/>
    <cellStyle name="요약 2 16 5" xfId="16608"/>
    <cellStyle name="요약 2 16 5 2" xfId="30094"/>
    <cellStyle name="요약 2 16 6" xfId="30087"/>
    <cellStyle name="요약 2 17" xfId="16609"/>
    <cellStyle name="요약 2 17 2" xfId="16610"/>
    <cellStyle name="요약 2 17 2 2" xfId="16611"/>
    <cellStyle name="요약 2 17 2 2 2" xfId="30097"/>
    <cellStyle name="요약 2 17 2 3" xfId="30096"/>
    <cellStyle name="요약 2 17 3" xfId="16612"/>
    <cellStyle name="요약 2 17 3 2" xfId="16613"/>
    <cellStyle name="요약 2 17 3 2 2" xfId="30099"/>
    <cellStyle name="요약 2 17 3 3" xfId="30098"/>
    <cellStyle name="요약 2 17 4" xfId="16614"/>
    <cellStyle name="요약 2 17 4 2" xfId="16615"/>
    <cellStyle name="요약 2 17 4 2 2" xfId="30101"/>
    <cellStyle name="요약 2 17 4 3" xfId="30100"/>
    <cellStyle name="요약 2 17 5" xfId="16616"/>
    <cellStyle name="요약 2 17 5 2" xfId="30102"/>
    <cellStyle name="요약 2 17 6" xfId="30095"/>
    <cellStyle name="요약 2 18" xfId="16617"/>
    <cellStyle name="요약 2 18 2" xfId="16618"/>
    <cellStyle name="요약 2 18 2 2" xfId="30104"/>
    <cellStyle name="요약 2 18 3" xfId="30103"/>
    <cellStyle name="요약 2 19" xfId="16619"/>
    <cellStyle name="요약 2 19 2" xfId="16620"/>
    <cellStyle name="요약 2 19 2 2" xfId="30106"/>
    <cellStyle name="요약 2 19 3" xfId="30105"/>
    <cellStyle name="요약 2 2" xfId="4549"/>
    <cellStyle name="요약 2 2 2" xfId="4550"/>
    <cellStyle name="요약 2 2 2 2" xfId="16621"/>
    <cellStyle name="요약 2 2 2 2 2" xfId="30107"/>
    <cellStyle name="요약 2 2 2 3" xfId="27711"/>
    <cellStyle name="요약 2 2 3" xfId="16622"/>
    <cellStyle name="요약 2 2 3 2" xfId="16623"/>
    <cellStyle name="요약 2 2 3 2 2" xfId="30109"/>
    <cellStyle name="요약 2 2 3 3" xfId="30108"/>
    <cellStyle name="요약 2 2 4" xfId="16624"/>
    <cellStyle name="요약 2 2 4 2" xfId="16625"/>
    <cellStyle name="요약 2 2 4 2 2" xfId="30111"/>
    <cellStyle name="요약 2 2 4 3" xfId="30110"/>
    <cellStyle name="요약 2 2 5" xfId="16626"/>
    <cellStyle name="요약 2 2 5 2" xfId="30112"/>
    <cellStyle name="요약 2 2 6" xfId="27710"/>
    <cellStyle name="요약 2 20" xfId="16627"/>
    <cellStyle name="요약 2 20 2" xfId="16628"/>
    <cellStyle name="요약 2 20 2 2" xfId="30114"/>
    <cellStyle name="요약 2 20 3" xfId="30113"/>
    <cellStyle name="요약 2 21" xfId="16629"/>
    <cellStyle name="요약 2 21 2" xfId="16630"/>
    <cellStyle name="요약 2 21 2 2" xfId="30116"/>
    <cellStyle name="요약 2 21 3" xfId="30115"/>
    <cellStyle name="요약 2 22" xfId="16631"/>
    <cellStyle name="요약 2 22 2" xfId="30117"/>
    <cellStyle name="요약 2 23" xfId="27709"/>
    <cellStyle name="요약 2 3" xfId="4551"/>
    <cellStyle name="요약 2 3 2" xfId="16632"/>
    <cellStyle name="요약 2 3 2 2" xfId="16633"/>
    <cellStyle name="요약 2 3 2 2 2" xfId="30119"/>
    <cellStyle name="요약 2 3 2 3" xfId="30118"/>
    <cellStyle name="요약 2 3 3" xfId="16634"/>
    <cellStyle name="요약 2 3 3 2" xfId="16635"/>
    <cellStyle name="요약 2 3 3 2 2" xfId="30121"/>
    <cellStyle name="요약 2 3 3 3" xfId="30120"/>
    <cellStyle name="요약 2 3 4" xfId="16636"/>
    <cellStyle name="요약 2 3 4 2" xfId="16637"/>
    <cellStyle name="요약 2 3 4 2 2" xfId="30123"/>
    <cellStyle name="요약 2 3 4 3" xfId="30122"/>
    <cellStyle name="요약 2 3 5" xfId="16638"/>
    <cellStyle name="요약 2 3 5 2" xfId="30124"/>
    <cellStyle name="요약 2 3 6" xfId="27712"/>
    <cellStyle name="요약 2 4" xfId="4552"/>
    <cellStyle name="요약 2 4 2" xfId="16639"/>
    <cellStyle name="요약 2 4 2 2" xfId="16640"/>
    <cellStyle name="요약 2 4 2 2 2" xfId="30126"/>
    <cellStyle name="요약 2 4 2 3" xfId="30125"/>
    <cellStyle name="요약 2 4 3" xfId="16641"/>
    <cellStyle name="요약 2 4 3 2" xfId="16642"/>
    <cellStyle name="요약 2 4 3 2 2" xfId="30128"/>
    <cellStyle name="요약 2 4 3 3" xfId="30127"/>
    <cellStyle name="요약 2 4 4" xfId="16643"/>
    <cellStyle name="요약 2 4 4 2" xfId="16644"/>
    <cellStyle name="요약 2 4 4 2 2" xfId="30130"/>
    <cellStyle name="요약 2 4 4 3" xfId="30129"/>
    <cellStyle name="요약 2 4 5" xfId="16645"/>
    <cellStyle name="요약 2 4 5 2" xfId="30131"/>
    <cellStyle name="요약 2 4 6" xfId="27713"/>
    <cellStyle name="요약 2 5" xfId="16646"/>
    <cellStyle name="요약 2 5 2" xfId="16647"/>
    <cellStyle name="요약 2 5 2 2" xfId="16648"/>
    <cellStyle name="요약 2 5 2 2 2" xfId="30134"/>
    <cellStyle name="요약 2 5 2 3" xfId="30133"/>
    <cellStyle name="요약 2 5 3" xfId="16649"/>
    <cellStyle name="요약 2 5 3 2" xfId="16650"/>
    <cellStyle name="요약 2 5 3 2 2" xfId="30136"/>
    <cellStyle name="요약 2 5 3 3" xfId="30135"/>
    <cellStyle name="요약 2 5 4" xfId="16651"/>
    <cellStyle name="요약 2 5 4 2" xfId="16652"/>
    <cellStyle name="요약 2 5 4 2 2" xfId="30138"/>
    <cellStyle name="요약 2 5 4 3" xfId="30137"/>
    <cellStyle name="요약 2 5 5" xfId="16653"/>
    <cellStyle name="요약 2 5 5 2" xfId="30139"/>
    <cellStyle name="요약 2 5 6" xfId="30132"/>
    <cellStyle name="요약 2 6" xfId="16654"/>
    <cellStyle name="요약 2 6 2" xfId="16655"/>
    <cellStyle name="요약 2 6 2 2" xfId="16656"/>
    <cellStyle name="요약 2 6 2 2 2" xfId="30142"/>
    <cellStyle name="요약 2 6 2 3" xfId="30141"/>
    <cellStyle name="요약 2 6 3" xfId="16657"/>
    <cellStyle name="요약 2 6 3 2" xfId="16658"/>
    <cellStyle name="요약 2 6 3 2 2" xfId="30144"/>
    <cellStyle name="요약 2 6 3 3" xfId="30143"/>
    <cellStyle name="요약 2 6 4" xfId="16659"/>
    <cellStyle name="요약 2 6 4 2" xfId="16660"/>
    <cellStyle name="요약 2 6 4 2 2" xfId="30146"/>
    <cellStyle name="요약 2 6 4 3" xfId="30145"/>
    <cellStyle name="요약 2 6 5" xfId="16661"/>
    <cellStyle name="요약 2 6 5 2" xfId="30147"/>
    <cellStyle name="요약 2 6 6" xfId="30140"/>
    <cellStyle name="요약 2 7" xfId="16662"/>
    <cellStyle name="요약 2 7 2" xfId="16663"/>
    <cellStyle name="요약 2 7 2 2" xfId="16664"/>
    <cellStyle name="요약 2 7 2 2 2" xfId="30150"/>
    <cellStyle name="요약 2 7 2 3" xfId="30149"/>
    <cellStyle name="요약 2 7 3" xfId="16665"/>
    <cellStyle name="요약 2 7 3 2" xfId="16666"/>
    <cellStyle name="요약 2 7 3 2 2" xfId="30152"/>
    <cellStyle name="요약 2 7 3 3" xfId="30151"/>
    <cellStyle name="요약 2 7 4" xfId="16667"/>
    <cellStyle name="요약 2 7 4 2" xfId="16668"/>
    <cellStyle name="요약 2 7 4 2 2" xfId="30154"/>
    <cellStyle name="요약 2 7 4 3" xfId="30153"/>
    <cellStyle name="요약 2 7 5" xfId="16669"/>
    <cellStyle name="요약 2 7 5 2" xfId="30155"/>
    <cellStyle name="요약 2 7 6" xfId="30148"/>
    <cellStyle name="요약 2 8" xfId="16670"/>
    <cellStyle name="요약 2 8 2" xfId="16671"/>
    <cellStyle name="요약 2 8 2 2" xfId="16672"/>
    <cellStyle name="요약 2 8 2 2 2" xfId="30158"/>
    <cellStyle name="요약 2 8 2 3" xfId="30157"/>
    <cellStyle name="요약 2 8 3" xfId="16673"/>
    <cellStyle name="요약 2 8 3 2" xfId="16674"/>
    <cellStyle name="요약 2 8 3 2 2" xfId="30160"/>
    <cellStyle name="요약 2 8 3 3" xfId="30159"/>
    <cellStyle name="요약 2 8 4" xfId="16675"/>
    <cellStyle name="요약 2 8 4 2" xfId="16676"/>
    <cellStyle name="요약 2 8 4 2 2" xfId="30162"/>
    <cellStyle name="요약 2 8 4 3" xfId="30161"/>
    <cellStyle name="요약 2 8 5" xfId="16677"/>
    <cellStyle name="요약 2 8 5 2" xfId="30163"/>
    <cellStyle name="요약 2 8 6" xfId="30156"/>
    <cellStyle name="요약 2 9" xfId="16678"/>
    <cellStyle name="요약 2 9 2" xfId="16679"/>
    <cellStyle name="요약 2 9 2 2" xfId="16680"/>
    <cellStyle name="요약 2 9 2 2 2" xfId="30166"/>
    <cellStyle name="요약 2 9 2 3" xfId="30165"/>
    <cellStyle name="요약 2 9 3" xfId="16681"/>
    <cellStyle name="요약 2 9 3 2" xfId="16682"/>
    <cellStyle name="요약 2 9 3 2 2" xfId="30168"/>
    <cellStyle name="요약 2 9 3 3" xfId="30167"/>
    <cellStyle name="요약 2 9 4" xfId="16683"/>
    <cellStyle name="요약 2 9 4 2" xfId="16684"/>
    <cellStyle name="요약 2 9 4 2 2" xfId="30170"/>
    <cellStyle name="요약 2 9 4 3" xfId="30169"/>
    <cellStyle name="요약 2 9 5" xfId="16685"/>
    <cellStyle name="요약 2 9 5 2" xfId="30171"/>
    <cellStyle name="요약 2 9 6" xfId="30164"/>
    <cellStyle name="요약 3" xfId="4553"/>
    <cellStyle name="요약 3 2" xfId="27714"/>
    <cellStyle name="요약 4" xfId="4554"/>
    <cellStyle name="요약 4 2" xfId="27715"/>
    <cellStyle name="요약 5" xfId="4555"/>
    <cellStyle name="요약 5 2" xfId="27716"/>
    <cellStyle name="요약 6" xfId="4556"/>
    <cellStyle name="요약 6 2" xfId="27717"/>
    <cellStyle name="원" xfId="4557"/>
    <cellStyle name="원_B2110" xfId="4558"/>
    <cellStyle name="원_B2111" xfId="4559"/>
    <cellStyle name="원_B2112" xfId="4560"/>
    <cellStyle name="원_B2501" xfId="4561"/>
    <cellStyle name="원_NCF6BB2F" xfId="4562"/>
    <cellStyle name="원_기타결산보고(200712)" xfId="4563"/>
    <cellStyle name="원_리스크관리부" xfId="4564"/>
    <cellStyle name="원_손익계산서(05년6월)_2" xfId="4565"/>
    <cellStyle name="원_손익계산서(200712)" xfId="4566"/>
    <cellStyle name="원_총괄분" xfId="4567"/>
    <cellStyle name="원통화" xfId="4568"/>
    <cellStyle name="유입" xfId="4569"/>
    <cellStyle name="유입 10" xfId="16686"/>
    <cellStyle name="유입 10 2" xfId="16687"/>
    <cellStyle name="유입 10 2 2" xfId="16688"/>
    <cellStyle name="유입 10 2 2 2" xfId="30174"/>
    <cellStyle name="유입 10 2 3" xfId="30173"/>
    <cellStyle name="유입 10 3" xfId="16689"/>
    <cellStyle name="유입 10 3 2" xfId="16690"/>
    <cellStyle name="유입 10 3 2 2" xfId="30176"/>
    <cellStyle name="유입 10 3 3" xfId="30175"/>
    <cellStyle name="유입 10 4" xfId="16691"/>
    <cellStyle name="유입 10 4 2" xfId="16692"/>
    <cellStyle name="유입 10 4 2 2" xfId="30178"/>
    <cellStyle name="유입 10 4 3" xfId="30177"/>
    <cellStyle name="유입 10 5" xfId="16693"/>
    <cellStyle name="유입 10 5 2" xfId="30179"/>
    <cellStyle name="유입 10 6" xfId="30172"/>
    <cellStyle name="유입 11" xfId="16694"/>
    <cellStyle name="유입 11 2" xfId="16695"/>
    <cellStyle name="유입 11 2 2" xfId="16696"/>
    <cellStyle name="유입 11 2 2 2" xfId="30182"/>
    <cellStyle name="유입 11 2 3" xfId="30181"/>
    <cellStyle name="유입 11 3" xfId="16697"/>
    <cellStyle name="유입 11 3 2" xfId="16698"/>
    <cellStyle name="유입 11 3 2 2" xfId="30184"/>
    <cellStyle name="유입 11 3 3" xfId="30183"/>
    <cellStyle name="유입 11 4" xfId="16699"/>
    <cellStyle name="유입 11 4 2" xfId="16700"/>
    <cellStyle name="유입 11 4 2 2" xfId="30186"/>
    <cellStyle name="유입 11 4 3" xfId="30185"/>
    <cellStyle name="유입 11 5" xfId="16701"/>
    <cellStyle name="유입 11 5 2" xfId="30187"/>
    <cellStyle name="유입 11 6" xfId="30180"/>
    <cellStyle name="유입 12" xfId="16702"/>
    <cellStyle name="유입 12 2" xfId="16703"/>
    <cellStyle name="유입 12 2 2" xfId="16704"/>
    <cellStyle name="유입 12 2 2 2" xfId="30190"/>
    <cellStyle name="유입 12 2 3" xfId="30189"/>
    <cellStyle name="유입 12 3" xfId="16705"/>
    <cellStyle name="유입 12 3 2" xfId="16706"/>
    <cellStyle name="유입 12 3 2 2" xfId="30192"/>
    <cellStyle name="유입 12 3 3" xfId="30191"/>
    <cellStyle name="유입 12 4" xfId="16707"/>
    <cellStyle name="유입 12 4 2" xfId="16708"/>
    <cellStyle name="유입 12 4 2 2" xfId="30194"/>
    <cellStyle name="유입 12 4 3" xfId="30193"/>
    <cellStyle name="유입 12 5" xfId="16709"/>
    <cellStyle name="유입 12 5 2" xfId="30195"/>
    <cellStyle name="유입 12 6" xfId="30188"/>
    <cellStyle name="유입 13" xfId="16710"/>
    <cellStyle name="유입 13 2" xfId="16711"/>
    <cellStyle name="유입 13 2 2" xfId="16712"/>
    <cellStyle name="유입 13 2 2 2" xfId="30198"/>
    <cellStyle name="유입 13 2 3" xfId="30197"/>
    <cellStyle name="유입 13 3" xfId="16713"/>
    <cellStyle name="유입 13 3 2" xfId="16714"/>
    <cellStyle name="유입 13 3 2 2" xfId="30200"/>
    <cellStyle name="유입 13 3 3" xfId="30199"/>
    <cellStyle name="유입 13 4" xfId="16715"/>
    <cellStyle name="유입 13 4 2" xfId="16716"/>
    <cellStyle name="유입 13 4 2 2" xfId="30202"/>
    <cellStyle name="유입 13 4 3" xfId="30201"/>
    <cellStyle name="유입 13 5" xfId="16717"/>
    <cellStyle name="유입 13 5 2" xfId="30203"/>
    <cellStyle name="유입 13 6" xfId="30196"/>
    <cellStyle name="유입 14" xfId="16718"/>
    <cellStyle name="유입 14 2" xfId="16719"/>
    <cellStyle name="유입 14 2 2" xfId="16720"/>
    <cellStyle name="유입 14 2 2 2" xfId="30206"/>
    <cellStyle name="유입 14 2 3" xfId="30205"/>
    <cellStyle name="유입 14 3" xfId="16721"/>
    <cellStyle name="유입 14 3 2" xfId="16722"/>
    <cellStyle name="유입 14 3 2 2" xfId="30208"/>
    <cellStyle name="유입 14 3 3" xfId="30207"/>
    <cellStyle name="유입 14 4" xfId="16723"/>
    <cellStyle name="유입 14 4 2" xfId="16724"/>
    <cellStyle name="유입 14 4 2 2" xfId="30210"/>
    <cellStyle name="유입 14 4 3" xfId="30209"/>
    <cellStyle name="유입 14 5" xfId="16725"/>
    <cellStyle name="유입 14 5 2" xfId="30211"/>
    <cellStyle name="유입 14 6" xfId="30204"/>
    <cellStyle name="유입 15" xfId="16726"/>
    <cellStyle name="유입 15 2" xfId="16727"/>
    <cellStyle name="유입 15 2 2" xfId="16728"/>
    <cellStyle name="유입 15 2 2 2" xfId="30214"/>
    <cellStyle name="유입 15 2 3" xfId="30213"/>
    <cellStyle name="유입 15 3" xfId="16729"/>
    <cellStyle name="유입 15 3 2" xfId="16730"/>
    <cellStyle name="유입 15 3 2 2" xfId="30216"/>
    <cellStyle name="유입 15 3 3" xfId="30215"/>
    <cellStyle name="유입 15 4" xfId="16731"/>
    <cellStyle name="유입 15 4 2" xfId="16732"/>
    <cellStyle name="유입 15 4 2 2" xfId="30218"/>
    <cellStyle name="유입 15 4 3" xfId="30217"/>
    <cellStyle name="유입 15 5" xfId="16733"/>
    <cellStyle name="유입 15 5 2" xfId="30219"/>
    <cellStyle name="유입 15 6" xfId="30212"/>
    <cellStyle name="유입 16" xfId="16734"/>
    <cellStyle name="유입 16 2" xfId="16735"/>
    <cellStyle name="유입 16 2 2" xfId="16736"/>
    <cellStyle name="유입 16 2 2 2" xfId="30222"/>
    <cellStyle name="유입 16 2 3" xfId="30221"/>
    <cellStyle name="유입 16 3" xfId="16737"/>
    <cellStyle name="유입 16 3 2" xfId="16738"/>
    <cellStyle name="유입 16 3 2 2" xfId="30224"/>
    <cellStyle name="유입 16 3 3" xfId="30223"/>
    <cellStyle name="유입 16 4" xfId="16739"/>
    <cellStyle name="유입 16 4 2" xfId="16740"/>
    <cellStyle name="유입 16 4 2 2" xfId="30226"/>
    <cellStyle name="유입 16 4 3" xfId="30225"/>
    <cellStyle name="유입 16 5" xfId="16741"/>
    <cellStyle name="유입 16 5 2" xfId="30227"/>
    <cellStyle name="유입 16 6" xfId="30220"/>
    <cellStyle name="유입 17" xfId="16742"/>
    <cellStyle name="유입 17 2" xfId="16743"/>
    <cellStyle name="유입 17 2 2" xfId="16744"/>
    <cellStyle name="유입 17 2 2 2" xfId="30230"/>
    <cellStyle name="유입 17 2 3" xfId="30229"/>
    <cellStyle name="유입 17 3" xfId="16745"/>
    <cellStyle name="유입 17 3 2" xfId="16746"/>
    <cellStyle name="유입 17 3 2 2" xfId="30232"/>
    <cellStyle name="유입 17 3 3" xfId="30231"/>
    <cellStyle name="유입 17 4" xfId="16747"/>
    <cellStyle name="유입 17 4 2" xfId="16748"/>
    <cellStyle name="유입 17 4 2 2" xfId="30234"/>
    <cellStyle name="유입 17 4 3" xfId="30233"/>
    <cellStyle name="유입 17 5" xfId="16749"/>
    <cellStyle name="유입 17 5 2" xfId="30235"/>
    <cellStyle name="유입 17 6" xfId="30228"/>
    <cellStyle name="유입 18" xfId="16750"/>
    <cellStyle name="유입 18 2" xfId="16751"/>
    <cellStyle name="유입 18 2 2" xfId="30237"/>
    <cellStyle name="유입 18 3" xfId="30236"/>
    <cellStyle name="유입 19" xfId="16752"/>
    <cellStyle name="유입 19 2" xfId="16753"/>
    <cellStyle name="유입 19 2 2" xfId="30239"/>
    <cellStyle name="유입 19 3" xfId="30238"/>
    <cellStyle name="유입 2" xfId="16754"/>
    <cellStyle name="유입 2 2" xfId="16755"/>
    <cellStyle name="유입 2 2 2" xfId="16756"/>
    <cellStyle name="유입 2 2 2 2" xfId="30242"/>
    <cellStyle name="유입 2 2 3" xfId="30241"/>
    <cellStyle name="유입 2 3" xfId="16757"/>
    <cellStyle name="유입 2 3 2" xfId="16758"/>
    <cellStyle name="유입 2 3 2 2" xfId="30244"/>
    <cellStyle name="유입 2 3 3" xfId="30243"/>
    <cellStyle name="유입 2 4" xfId="16759"/>
    <cellStyle name="유입 2 4 2" xfId="16760"/>
    <cellStyle name="유입 2 4 2 2" xfId="30246"/>
    <cellStyle name="유입 2 4 3" xfId="30245"/>
    <cellStyle name="유입 2 5" xfId="16761"/>
    <cellStyle name="유입 2 5 2" xfId="30247"/>
    <cellStyle name="유입 2 6" xfId="30240"/>
    <cellStyle name="유입 20" xfId="16762"/>
    <cellStyle name="유입 20 2" xfId="16763"/>
    <cellStyle name="유입 20 2 2" xfId="30249"/>
    <cellStyle name="유입 20 3" xfId="30248"/>
    <cellStyle name="유입 21" xfId="16764"/>
    <cellStyle name="유입 21 2" xfId="16765"/>
    <cellStyle name="유입 21 2 2" xfId="30251"/>
    <cellStyle name="유입 21 3" xfId="30250"/>
    <cellStyle name="유입 22" xfId="16766"/>
    <cellStyle name="유입 22 2" xfId="30252"/>
    <cellStyle name="유입 23" xfId="27718"/>
    <cellStyle name="유입 3" xfId="16767"/>
    <cellStyle name="유입 3 2" xfId="16768"/>
    <cellStyle name="유입 3 2 2" xfId="16769"/>
    <cellStyle name="유입 3 2 2 2" xfId="30255"/>
    <cellStyle name="유입 3 2 3" xfId="30254"/>
    <cellStyle name="유입 3 3" xfId="16770"/>
    <cellStyle name="유입 3 3 2" xfId="16771"/>
    <cellStyle name="유입 3 3 2 2" xfId="30257"/>
    <cellStyle name="유입 3 3 3" xfId="30256"/>
    <cellStyle name="유입 3 4" xfId="16772"/>
    <cellStyle name="유입 3 4 2" xfId="16773"/>
    <cellStyle name="유입 3 4 2 2" xfId="30259"/>
    <cellStyle name="유입 3 4 3" xfId="30258"/>
    <cellStyle name="유입 3 5" xfId="16774"/>
    <cellStyle name="유입 3 5 2" xfId="30260"/>
    <cellStyle name="유입 3 6" xfId="30253"/>
    <cellStyle name="유입 4" xfId="16775"/>
    <cellStyle name="유입 4 2" xfId="16776"/>
    <cellStyle name="유입 4 2 2" xfId="16777"/>
    <cellStyle name="유입 4 2 2 2" xfId="30263"/>
    <cellStyle name="유입 4 2 3" xfId="30262"/>
    <cellStyle name="유입 4 3" xfId="16778"/>
    <cellStyle name="유입 4 3 2" xfId="16779"/>
    <cellStyle name="유입 4 3 2 2" xfId="30265"/>
    <cellStyle name="유입 4 3 3" xfId="30264"/>
    <cellStyle name="유입 4 4" xfId="16780"/>
    <cellStyle name="유입 4 4 2" xfId="16781"/>
    <cellStyle name="유입 4 4 2 2" xfId="30267"/>
    <cellStyle name="유입 4 4 3" xfId="30266"/>
    <cellStyle name="유입 4 5" xfId="16782"/>
    <cellStyle name="유입 4 5 2" xfId="30268"/>
    <cellStyle name="유입 4 6" xfId="30261"/>
    <cellStyle name="유입 5" xfId="16783"/>
    <cellStyle name="유입 5 2" xfId="16784"/>
    <cellStyle name="유입 5 2 2" xfId="16785"/>
    <cellStyle name="유입 5 2 2 2" xfId="30271"/>
    <cellStyle name="유입 5 2 3" xfId="30270"/>
    <cellStyle name="유입 5 3" xfId="16786"/>
    <cellStyle name="유입 5 3 2" xfId="16787"/>
    <cellStyle name="유입 5 3 2 2" xfId="30273"/>
    <cellStyle name="유입 5 3 3" xfId="30272"/>
    <cellStyle name="유입 5 4" xfId="16788"/>
    <cellStyle name="유입 5 4 2" xfId="16789"/>
    <cellStyle name="유입 5 4 2 2" xfId="30275"/>
    <cellStyle name="유입 5 4 3" xfId="30274"/>
    <cellStyle name="유입 5 5" xfId="16790"/>
    <cellStyle name="유입 5 5 2" xfId="30276"/>
    <cellStyle name="유입 5 6" xfId="30269"/>
    <cellStyle name="유입 6" xfId="16791"/>
    <cellStyle name="유입 6 2" xfId="16792"/>
    <cellStyle name="유입 6 2 2" xfId="16793"/>
    <cellStyle name="유입 6 2 2 2" xfId="30279"/>
    <cellStyle name="유입 6 2 3" xfId="30278"/>
    <cellStyle name="유입 6 3" xfId="16794"/>
    <cellStyle name="유입 6 3 2" xfId="16795"/>
    <cellStyle name="유입 6 3 2 2" xfId="30281"/>
    <cellStyle name="유입 6 3 3" xfId="30280"/>
    <cellStyle name="유입 6 4" xfId="16796"/>
    <cellStyle name="유입 6 4 2" xfId="16797"/>
    <cellStyle name="유입 6 4 2 2" xfId="30283"/>
    <cellStyle name="유입 6 4 3" xfId="30282"/>
    <cellStyle name="유입 6 5" xfId="16798"/>
    <cellStyle name="유입 6 5 2" xfId="30284"/>
    <cellStyle name="유입 6 6" xfId="30277"/>
    <cellStyle name="유입 7" xfId="16799"/>
    <cellStyle name="유입 7 2" xfId="16800"/>
    <cellStyle name="유입 7 2 2" xfId="16801"/>
    <cellStyle name="유입 7 2 2 2" xfId="30287"/>
    <cellStyle name="유입 7 2 3" xfId="30286"/>
    <cellStyle name="유입 7 3" xfId="16802"/>
    <cellStyle name="유입 7 3 2" xfId="16803"/>
    <cellStyle name="유입 7 3 2 2" xfId="30289"/>
    <cellStyle name="유입 7 3 3" xfId="30288"/>
    <cellStyle name="유입 7 4" xfId="16804"/>
    <cellStyle name="유입 7 4 2" xfId="16805"/>
    <cellStyle name="유입 7 4 2 2" xfId="30291"/>
    <cellStyle name="유입 7 4 3" xfId="30290"/>
    <cellStyle name="유입 7 5" xfId="16806"/>
    <cellStyle name="유입 7 5 2" xfId="30292"/>
    <cellStyle name="유입 7 6" xfId="30285"/>
    <cellStyle name="유입 8" xfId="16807"/>
    <cellStyle name="유입 8 2" xfId="16808"/>
    <cellStyle name="유입 8 2 2" xfId="16809"/>
    <cellStyle name="유입 8 2 2 2" xfId="30295"/>
    <cellStyle name="유입 8 2 3" xfId="30294"/>
    <cellStyle name="유입 8 3" xfId="16810"/>
    <cellStyle name="유입 8 3 2" xfId="16811"/>
    <cellStyle name="유입 8 3 2 2" xfId="30297"/>
    <cellStyle name="유입 8 3 3" xfId="30296"/>
    <cellStyle name="유입 8 4" xfId="16812"/>
    <cellStyle name="유입 8 4 2" xfId="16813"/>
    <cellStyle name="유입 8 4 2 2" xfId="30299"/>
    <cellStyle name="유입 8 4 3" xfId="30298"/>
    <cellStyle name="유입 8 5" xfId="16814"/>
    <cellStyle name="유입 8 5 2" xfId="30300"/>
    <cellStyle name="유입 8 6" xfId="30293"/>
    <cellStyle name="유입 9" xfId="16815"/>
    <cellStyle name="유입 9 2" xfId="16816"/>
    <cellStyle name="유입 9 2 2" xfId="16817"/>
    <cellStyle name="유입 9 2 2 2" xfId="30303"/>
    <cellStyle name="유입 9 2 3" xfId="30302"/>
    <cellStyle name="유입 9 3" xfId="16818"/>
    <cellStyle name="유입 9 3 2" xfId="16819"/>
    <cellStyle name="유입 9 3 2 2" xfId="30305"/>
    <cellStyle name="유입 9 3 3" xfId="30304"/>
    <cellStyle name="유입 9 4" xfId="16820"/>
    <cellStyle name="유입 9 4 2" xfId="16821"/>
    <cellStyle name="유입 9 4 2 2" xfId="30307"/>
    <cellStyle name="유입 9 4 3" xfId="30306"/>
    <cellStyle name="유입 9 5" xfId="16822"/>
    <cellStyle name="유입 9 5 2" xfId="30308"/>
    <cellStyle name="유입 9 6" xfId="30301"/>
    <cellStyle name="이연사업비" xfId="4570"/>
    <cellStyle name="이연사업비 2" xfId="16823"/>
    <cellStyle name="이연사업비 2 2" xfId="30309"/>
    <cellStyle name="이연사업비 3" xfId="16824"/>
    <cellStyle name="이연사업비 3 2" xfId="30310"/>
    <cellStyle name="이연사업비 4" xfId="27719"/>
    <cellStyle name="一般_GARMENT STEP FORM HK" xfId="4571"/>
    <cellStyle name="입력 2" xfId="4572"/>
    <cellStyle name="입력 2 10" xfId="16825"/>
    <cellStyle name="입력 2 10 2" xfId="16826"/>
    <cellStyle name="입력 2 10 2 2" xfId="16827"/>
    <cellStyle name="입력 2 10 2 2 2" xfId="30313"/>
    <cellStyle name="입력 2 10 2 3" xfId="30312"/>
    <cellStyle name="입력 2 10 3" xfId="16828"/>
    <cellStyle name="입력 2 10 3 2" xfId="16829"/>
    <cellStyle name="입력 2 10 3 2 2" xfId="30315"/>
    <cellStyle name="입력 2 10 3 3" xfId="30314"/>
    <cellStyle name="입력 2 10 4" xfId="16830"/>
    <cellStyle name="입력 2 10 4 2" xfId="16831"/>
    <cellStyle name="입력 2 10 4 2 2" xfId="30317"/>
    <cellStyle name="입력 2 10 4 3" xfId="30316"/>
    <cellStyle name="입력 2 10 5" xfId="16832"/>
    <cellStyle name="입력 2 10 5 2" xfId="30318"/>
    <cellStyle name="입력 2 10 6" xfId="30311"/>
    <cellStyle name="입력 2 11" xfId="16833"/>
    <cellStyle name="입력 2 11 2" xfId="16834"/>
    <cellStyle name="입력 2 11 2 2" xfId="16835"/>
    <cellStyle name="입력 2 11 2 2 2" xfId="30321"/>
    <cellStyle name="입력 2 11 2 3" xfId="30320"/>
    <cellStyle name="입력 2 11 3" xfId="16836"/>
    <cellStyle name="입력 2 11 3 2" xfId="16837"/>
    <cellStyle name="입력 2 11 3 2 2" xfId="30323"/>
    <cellStyle name="입력 2 11 3 3" xfId="30322"/>
    <cellStyle name="입력 2 11 4" xfId="16838"/>
    <cellStyle name="입력 2 11 4 2" xfId="16839"/>
    <cellStyle name="입력 2 11 4 2 2" xfId="30325"/>
    <cellStyle name="입력 2 11 4 3" xfId="30324"/>
    <cellStyle name="입력 2 11 5" xfId="16840"/>
    <cellStyle name="입력 2 11 5 2" xfId="30326"/>
    <cellStyle name="입력 2 11 6" xfId="30319"/>
    <cellStyle name="입력 2 12" xfId="16841"/>
    <cellStyle name="입력 2 12 2" xfId="16842"/>
    <cellStyle name="입력 2 12 2 2" xfId="16843"/>
    <cellStyle name="입력 2 12 2 2 2" xfId="30329"/>
    <cellStyle name="입력 2 12 2 3" xfId="30328"/>
    <cellStyle name="입력 2 12 3" xfId="16844"/>
    <cellStyle name="입력 2 12 3 2" xfId="16845"/>
    <cellStyle name="입력 2 12 3 2 2" xfId="30331"/>
    <cellStyle name="입력 2 12 3 3" xfId="30330"/>
    <cellStyle name="입력 2 12 4" xfId="16846"/>
    <cellStyle name="입력 2 12 4 2" xfId="16847"/>
    <cellStyle name="입력 2 12 4 2 2" xfId="30333"/>
    <cellStyle name="입력 2 12 4 3" xfId="30332"/>
    <cellStyle name="입력 2 12 5" xfId="16848"/>
    <cellStyle name="입력 2 12 5 2" xfId="30334"/>
    <cellStyle name="입력 2 12 6" xfId="30327"/>
    <cellStyle name="입력 2 13" xfId="16849"/>
    <cellStyle name="입력 2 13 2" xfId="16850"/>
    <cellStyle name="입력 2 13 2 2" xfId="16851"/>
    <cellStyle name="입력 2 13 2 2 2" xfId="30337"/>
    <cellStyle name="입력 2 13 2 3" xfId="30336"/>
    <cellStyle name="입력 2 13 3" xfId="16852"/>
    <cellStyle name="입력 2 13 3 2" xfId="16853"/>
    <cellStyle name="입력 2 13 3 2 2" xfId="30339"/>
    <cellStyle name="입력 2 13 3 3" xfId="30338"/>
    <cellStyle name="입력 2 13 4" xfId="16854"/>
    <cellStyle name="입력 2 13 4 2" xfId="16855"/>
    <cellStyle name="입력 2 13 4 2 2" xfId="30341"/>
    <cellStyle name="입력 2 13 4 3" xfId="30340"/>
    <cellStyle name="입력 2 13 5" xfId="16856"/>
    <cellStyle name="입력 2 13 5 2" xfId="30342"/>
    <cellStyle name="입력 2 13 6" xfId="30335"/>
    <cellStyle name="입력 2 14" xfId="16857"/>
    <cellStyle name="입력 2 14 2" xfId="16858"/>
    <cellStyle name="입력 2 14 2 2" xfId="16859"/>
    <cellStyle name="입력 2 14 2 2 2" xfId="30345"/>
    <cellStyle name="입력 2 14 2 3" xfId="30344"/>
    <cellStyle name="입력 2 14 3" xfId="16860"/>
    <cellStyle name="입력 2 14 3 2" xfId="16861"/>
    <cellStyle name="입력 2 14 3 2 2" xfId="30347"/>
    <cellStyle name="입력 2 14 3 3" xfId="30346"/>
    <cellStyle name="입력 2 14 4" xfId="16862"/>
    <cellStyle name="입력 2 14 4 2" xfId="16863"/>
    <cellStyle name="입력 2 14 4 2 2" xfId="30349"/>
    <cellStyle name="입력 2 14 4 3" xfId="30348"/>
    <cellStyle name="입력 2 14 5" xfId="16864"/>
    <cellStyle name="입력 2 14 5 2" xfId="30350"/>
    <cellStyle name="입력 2 14 6" xfId="30343"/>
    <cellStyle name="입력 2 15" xfId="16865"/>
    <cellStyle name="입력 2 15 2" xfId="16866"/>
    <cellStyle name="입력 2 15 2 2" xfId="16867"/>
    <cellStyle name="입력 2 15 2 2 2" xfId="30353"/>
    <cellStyle name="입력 2 15 2 3" xfId="30352"/>
    <cellStyle name="입력 2 15 3" xfId="16868"/>
    <cellStyle name="입력 2 15 3 2" xfId="16869"/>
    <cellStyle name="입력 2 15 3 2 2" xfId="30355"/>
    <cellStyle name="입력 2 15 3 3" xfId="30354"/>
    <cellStyle name="입력 2 15 4" xfId="16870"/>
    <cellStyle name="입력 2 15 4 2" xfId="16871"/>
    <cellStyle name="입력 2 15 4 2 2" xfId="30357"/>
    <cellStyle name="입력 2 15 4 3" xfId="30356"/>
    <cellStyle name="입력 2 15 5" xfId="16872"/>
    <cellStyle name="입력 2 15 5 2" xfId="30358"/>
    <cellStyle name="입력 2 15 6" xfId="30351"/>
    <cellStyle name="입력 2 16" xfId="16873"/>
    <cellStyle name="입력 2 16 2" xfId="16874"/>
    <cellStyle name="입력 2 16 2 2" xfId="16875"/>
    <cellStyle name="입력 2 16 2 2 2" xfId="30361"/>
    <cellStyle name="입력 2 16 2 3" xfId="30360"/>
    <cellStyle name="입력 2 16 3" xfId="16876"/>
    <cellStyle name="입력 2 16 3 2" xfId="16877"/>
    <cellStyle name="입력 2 16 3 2 2" xfId="30363"/>
    <cellStyle name="입력 2 16 3 3" xfId="30362"/>
    <cellStyle name="입력 2 16 4" xfId="16878"/>
    <cellStyle name="입력 2 16 4 2" xfId="16879"/>
    <cellStyle name="입력 2 16 4 2 2" xfId="30365"/>
    <cellStyle name="입력 2 16 4 3" xfId="30364"/>
    <cellStyle name="입력 2 16 5" xfId="16880"/>
    <cellStyle name="입력 2 16 5 2" xfId="30366"/>
    <cellStyle name="입력 2 16 6" xfId="30359"/>
    <cellStyle name="입력 2 17" xfId="16881"/>
    <cellStyle name="입력 2 17 2" xfId="16882"/>
    <cellStyle name="입력 2 17 2 2" xfId="16883"/>
    <cellStyle name="입력 2 17 2 2 2" xfId="30369"/>
    <cellStyle name="입력 2 17 2 3" xfId="30368"/>
    <cellStyle name="입력 2 17 3" xfId="16884"/>
    <cellStyle name="입력 2 17 3 2" xfId="16885"/>
    <cellStyle name="입력 2 17 3 2 2" xfId="30371"/>
    <cellStyle name="입력 2 17 3 3" xfId="30370"/>
    <cellStyle name="입력 2 17 4" xfId="16886"/>
    <cellStyle name="입력 2 17 4 2" xfId="16887"/>
    <cellStyle name="입력 2 17 4 2 2" xfId="30373"/>
    <cellStyle name="입력 2 17 4 3" xfId="30372"/>
    <cellStyle name="입력 2 17 5" xfId="16888"/>
    <cellStyle name="입력 2 17 5 2" xfId="30374"/>
    <cellStyle name="입력 2 17 6" xfId="30367"/>
    <cellStyle name="입력 2 18" xfId="16889"/>
    <cellStyle name="입력 2 18 2" xfId="16890"/>
    <cellStyle name="입력 2 18 2 2" xfId="30376"/>
    <cellStyle name="입력 2 18 3" xfId="30375"/>
    <cellStyle name="입력 2 19" xfId="16891"/>
    <cellStyle name="입력 2 19 2" xfId="16892"/>
    <cellStyle name="입력 2 19 2 2" xfId="30378"/>
    <cellStyle name="입력 2 19 3" xfId="30377"/>
    <cellStyle name="입력 2 2" xfId="4573"/>
    <cellStyle name="입력 2 2 2" xfId="4574"/>
    <cellStyle name="입력 2 2 2 2" xfId="16893"/>
    <cellStyle name="입력 2 2 2 2 2" xfId="30379"/>
    <cellStyle name="입력 2 2 2 3" xfId="27722"/>
    <cellStyle name="입력 2 2 3" xfId="16894"/>
    <cellStyle name="입력 2 2 3 2" xfId="16895"/>
    <cellStyle name="입력 2 2 3 2 2" xfId="30381"/>
    <cellStyle name="입력 2 2 3 3" xfId="30380"/>
    <cellStyle name="입력 2 2 4" xfId="16896"/>
    <cellStyle name="입력 2 2 4 2" xfId="16897"/>
    <cellStyle name="입력 2 2 4 2 2" xfId="30383"/>
    <cellStyle name="입력 2 2 4 3" xfId="30382"/>
    <cellStyle name="입력 2 2 5" xfId="16898"/>
    <cellStyle name="입력 2 2 5 2" xfId="30384"/>
    <cellStyle name="입력 2 2 6" xfId="27721"/>
    <cellStyle name="입력 2 20" xfId="16899"/>
    <cellStyle name="입력 2 20 2" xfId="16900"/>
    <cellStyle name="입력 2 20 2 2" xfId="30386"/>
    <cellStyle name="입력 2 20 3" xfId="30385"/>
    <cellStyle name="입력 2 21" xfId="16901"/>
    <cellStyle name="입력 2 21 2" xfId="16902"/>
    <cellStyle name="입력 2 21 2 2" xfId="30388"/>
    <cellStyle name="입력 2 21 3" xfId="30387"/>
    <cellStyle name="입력 2 22" xfId="16903"/>
    <cellStyle name="입력 2 22 2" xfId="30389"/>
    <cellStyle name="입력 2 23" xfId="27720"/>
    <cellStyle name="입력 2 3" xfId="4575"/>
    <cellStyle name="입력 2 3 2" xfId="16904"/>
    <cellStyle name="입력 2 3 2 2" xfId="16905"/>
    <cellStyle name="입력 2 3 2 2 2" xfId="30391"/>
    <cellStyle name="입력 2 3 2 3" xfId="30390"/>
    <cellStyle name="입력 2 3 3" xfId="16906"/>
    <cellStyle name="입력 2 3 3 2" xfId="16907"/>
    <cellStyle name="입력 2 3 3 2 2" xfId="30393"/>
    <cellStyle name="입력 2 3 3 3" xfId="30392"/>
    <cellStyle name="입력 2 3 4" xfId="16908"/>
    <cellStyle name="입력 2 3 4 2" xfId="16909"/>
    <cellStyle name="입력 2 3 4 2 2" xfId="30395"/>
    <cellStyle name="입력 2 3 4 3" xfId="30394"/>
    <cellStyle name="입력 2 3 5" xfId="16910"/>
    <cellStyle name="입력 2 3 5 2" xfId="30396"/>
    <cellStyle name="입력 2 3 6" xfId="27723"/>
    <cellStyle name="입력 2 4" xfId="4576"/>
    <cellStyle name="입력 2 4 2" xfId="16911"/>
    <cellStyle name="입력 2 4 2 2" xfId="16912"/>
    <cellStyle name="입력 2 4 2 2 2" xfId="30398"/>
    <cellStyle name="입력 2 4 2 3" xfId="30397"/>
    <cellStyle name="입력 2 4 3" xfId="16913"/>
    <cellStyle name="입력 2 4 3 2" xfId="16914"/>
    <cellStyle name="입력 2 4 3 2 2" xfId="30400"/>
    <cellStyle name="입력 2 4 3 3" xfId="30399"/>
    <cellStyle name="입력 2 4 4" xfId="16915"/>
    <cellStyle name="입력 2 4 4 2" xfId="16916"/>
    <cellStyle name="입력 2 4 4 2 2" xfId="30402"/>
    <cellStyle name="입력 2 4 4 3" xfId="30401"/>
    <cellStyle name="입력 2 4 5" xfId="16917"/>
    <cellStyle name="입력 2 4 5 2" xfId="30403"/>
    <cellStyle name="입력 2 4 6" xfId="27724"/>
    <cellStyle name="입력 2 5" xfId="16918"/>
    <cellStyle name="입력 2 5 2" xfId="16919"/>
    <cellStyle name="입력 2 5 2 2" xfId="16920"/>
    <cellStyle name="입력 2 5 2 2 2" xfId="30406"/>
    <cellStyle name="입력 2 5 2 3" xfId="30405"/>
    <cellStyle name="입력 2 5 3" xfId="16921"/>
    <cellStyle name="입력 2 5 3 2" xfId="16922"/>
    <cellStyle name="입력 2 5 3 2 2" xfId="30408"/>
    <cellStyle name="입력 2 5 3 3" xfId="30407"/>
    <cellStyle name="입력 2 5 4" xfId="16923"/>
    <cellStyle name="입력 2 5 4 2" xfId="16924"/>
    <cellStyle name="입력 2 5 4 2 2" xfId="30410"/>
    <cellStyle name="입력 2 5 4 3" xfId="30409"/>
    <cellStyle name="입력 2 5 5" xfId="16925"/>
    <cellStyle name="입력 2 5 5 2" xfId="30411"/>
    <cellStyle name="입력 2 5 6" xfId="30404"/>
    <cellStyle name="입력 2 6" xfId="16926"/>
    <cellStyle name="입력 2 6 2" xfId="16927"/>
    <cellStyle name="입력 2 6 2 2" xfId="16928"/>
    <cellStyle name="입력 2 6 2 2 2" xfId="30414"/>
    <cellStyle name="입력 2 6 2 3" xfId="30413"/>
    <cellStyle name="입력 2 6 3" xfId="16929"/>
    <cellStyle name="입력 2 6 3 2" xfId="16930"/>
    <cellStyle name="입력 2 6 3 2 2" xfId="30416"/>
    <cellStyle name="입력 2 6 3 3" xfId="30415"/>
    <cellStyle name="입력 2 6 4" xfId="16931"/>
    <cellStyle name="입력 2 6 4 2" xfId="16932"/>
    <cellStyle name="입력 2 6 4 2 2" xfId="30418"/>
    <cellStyle name="입력 2 6 4 3" xfId="30417"/>
    <cellStyle name="입력 2 6 5" xfId="16933"/>
    <cellStyle name="입력 2 6 5 2" xfId="30419"/>
    <cellStyle name="입력 2 6 6" xfId="30412"/>
    <cellStyle name="입력 2 7" xfId="16934"/>
    <cellStyle name="입력 2 7 2" xfId="16935"/>
    <cellStyle name="입력 2 7 2 2" xfId="16936"/>
    <cellStyle name="입력 2 7 2 2 2" xfId="30422"/>
    <cellStyle name="입력 2 7 2 3" xfId="30421"/>
    <cellStyle name="입력 2 7 3" xfId="16937"/>
    <cellStyle name="입력 2 7 3 2" xfId="16938"/>
    <cellStyle name="입력 2 7 3 2 2" xfId="30424"/>
    <cellStyle name="입력 2 7 3 3" xfId="30423"/>
    <cellStyle name="입력 2 7 4" xfId="16939"/>
    <cellStyle name="입력 2 7 4 2" xfId="16940"/>
    <cellStyle name="입력 2 7 4 2 2" xfId="30426"/>
    <cellStyle name="입력 2 7 4 3" xfId="30425"/>
    <cellStyle name="입력 2 7 5" xfId="16941"/>
    <cellStyle name="입력 2 7 5 2" xfId="30427"/>
    <cellStyle name="입력 2 7 6" xfId="30420"/>
    <cellStyle name="입력 2 8" xfId="16942"/>
    <cellStyle name="입력 2 8 2" xfId="16943"/>
    <cellStyle name="입력 2 8 2 2" xfId="16944"/>
    <cellStyle name="입력 2 8 2 2 2" xfId="30430"/>
    <cellStyle name="입력 2 8 2 3" xfId="30429"/>
    <cellStyle name="입력 2 8 3" xfId="16945"/>
    <cellStyle name="입력 2 8 3 2" xfId="16946"/>
    <cellStyle name="입력 2 8 3 2 2" xfId="30432"/>
    <cellStyle name="입력 2 8 3 3" xfId="30431"/>
    <cellStyle name="입력 2 8 4" xfId="16947"/>
    <cellStyle name="입력 2 8 4 2" xfId="16948"/>
    <cellStyle name="입력 2 8 4 2 2" xfId="30434"/>
    <cellStyle name="입력 2 8 4 3" xfId="30433"/>
    <cellStyle name="입력 2 8 5" xfId="16949"/>
    <cellStyle name="입력 2 8 5 2" xfId="30435"/>
    <cellStyle name="입력 2 8 6" xfId="30428"/>
    <cellStyle name="입력 2 9" xfId="16950"/>
    <cellStyle name="입력 2 9 2" xfId="16951"/>
    <cellStyle name="입력 2 9 2 2" xfId="16952"/>
    <cellStyle name="입력 2 9 2 2 2" xfId="30438"/>
    <cellStyle name="입력 2 9 2 3" xfId="30437"/>
    <cellStyle name="입력 2 9 3" xfId="16953"/>
    <cellStyle name="입력 2 9 3 2" xfId="16954"/>
    <cellStyle name="입력 2 9 3 2 2" xfId="30440"/>
    <cellStyle name="입력 2 9 3 3" xfId="30439"/>
    <cellStyle name="입력 2 9 4" xfId="16955"/>
    <cellStyle name="입력 2 9 4 2" xfId="16956"/>
    <cellStyle name="입력 2 9 4 2 2" xfId="30442"/>
    <cellStyle name="입력 2 9 4 3" xfId="30441"/>
    <cellStyle name="입력 2 9 5" xfId="16957"/>
    <cellStyle name="입력 2 9 5 2" xfId="30443"/>
    <cellStyle name="입력 2 9 6" xfId="30436"/>
    <cellStyle name="입력 3" xfId="4577"/>
    <cellStyle name="입력 3 2" xfId="27725"/>
    <cellStyle name="입력 4" xfId="4578"/>
    <cellStyle name="입력 4 2" xfId="27726"/>
    <cellStyle name="입력 5" xfId="4579"/>
    <cellStyle name="입력 5 2" xfId="27727"/>
    <cellStyle name="입력 6" xfId="4580"/>
    <cellStyle name="입력 6 2" xfId="27728"/>
    <cellStyle name="자리수" xfId="4581"/>
    <cellStyle name="자리수0" xfId="4582"/>
    <cellStyle name="작업일수" xfId="4583"/>
    <cellStyle name="정" xfId="4584"/>
    <cellStyle name="제놀" xfId="4585"/>
    <cellStyle name="제목 1 2" xfId="4586"/>
    <cellStyle name="제목 1 2 2" xfId="4587"/>
    <cellStyle name="제목 1 2 2 2" xfId="4588"/>
    <cellStyle name="제목 1 2 3" xfId="4589"/>
    <cellStyle name="제목 1 2 4" xfId="4590"/>
    <cellStyle name="제목 1 3" xfId="4591"/>
    <cellStyle name="제목 1 4" xfId="4592"/>
    <cellStyle name="제목 1 5" xfId="4593"/>
    <cellStyle name="제목 1 6" xfId="4594"/>
    <cellStyle name="제목 2 2" xfId="4595"/>
    <cellStyle name="제목 2 2 2" xfId="4596"/>
    <cellStyle name="제목 2 2 2 2" xfId="4597"/>
    <cellStyle name="제목 2 2 3" xfId="4598"/>
    <cellStyle name="제목 2 2 4" xfId="4599"/>
    <cellStyle name="제목 2 3" xfId="4600"/>
    <cellStyle name="제목 2 4" xfId="4601"/>
    <cellStyle name="제목 2 5" xfId="4602"/>
    <cellStyle name="제목 2 6" xfId="4603"/>
    <cellStyle name="제목 3 2" xfId="4604"/>
    <cellStyle name="제목 3 2 10" xfId="16958"/>
    <cellStyle name="제목 3 2 10 2" xfId="16959"/>
    <cellStyle name="제목 3 2 10 2 2" xfId="16960"/>
    <cellStyle name="제목 3 2 10 3" xfId="16961"/>
    <cellStyle name="제목 3 2 11" xfId="16962"/>
    <cellStyle name="제목 3 2 11 2" xfId="16963"/>
    <cellStyle name="제목 3 2 11 2 2" xfId="16964"/>
    <cellStyle name="제목 3 2 11 3" xfId="16965"/>
    <cellStyle name="제목 3 2 12" xfId="16966"/>
    <cellStyle name="제목 3 2 12 2" xfId="16967"/>
    <cellStyle name="제목 3 2 12 2 2" xfId="16968"/>
    <cellStyle name="제목 3 2 12 3" xfId="16969"/>
    <cellStyle name="제목 3 2 13" xfId="16970"/>
    <cellStyle name="제목 3 2 13 2" xfId="16971"/>
    <cellStyle name="제목 3 2 13 2 2" xfId="16972"/>
    <cellStyle name="제목 3 2 13 3" xfId="16973"/>
    <cellStyle name="제목 3 2 14" xfId="16974"/>
    <cellStyle name="제목 3 2 14 2" xfId="16975"/>
    <cellStyle name="제목 3 2 14 2 2" xfId="16976"/>
    <cellStyle name="제목 3 2 14 2 2 2" xfId="16977"/>
    <cellStyle name="제목 3 2 14 2 3" xfId="16978"/>
    <cellStyle name="제목 3 2 14 3" xfId="16979"/>
    <cellStyle name="제목 3 2 14 3 2" xfId="16980"/>
    <cellStyle name="제목 3 2 14 3 2 2" xfId="16981"/>
    <cellStyle name="제목 3 2 14 3 3" xfId="16982"/>
    <cellStyle name="제목 3 2 14 4" xfId="16983"/>
    <cellStyle name="제목 3 2 14 4 2" xfId="16984"/>
    <cellStyle name="제목 3 2 14 4 2 2" xfId="16985"/>
    <cellStyle name="제목 3 2 14 4 3" xfId="16986"/>
    <cellStyle name="제목 3 2 14 5" xfId="16987"/>
    <cellStyle name="제목 3 2 14 5 2" xfId="16988"/>
    <cellStyle name="제목 3 2 14 6" xfId="16989"/>
    <cellStyle name="제목 3 2 15" xfId="16990"/>
    <cellStyle name="제목 3 2 15 2" xfId="16991"/>
    <cellStyle name="제목 3 2 15 2 2" xfId="16992"/>
    <cellStyle name="제목 3 2 15 2 2 2" xfId="16993"/>
    <cellStyle name="제목 3 2 15 2 3" xfId="16994"/>
    <cellStyle name="제목 3 2 15 3" xfId="16995"/>
    <cellStyle name="제목 3 2 15 3 2" xfId="16996"/>
    <cellStyle name="제목 3 2 15 3 2 2" xfId="16997"/>
    <cellStyle name="제목 3 2 15 3 3" xfId="16998"/>
    <cellStyle name="제목 3 2 15 4" xfId="16999"/>
    <cellStyle name="제목 3 2 15 4 2" xfId="17000"/>
    <cellStyle name="제목 3 2 15 4 2 2" xfId="17001"/>
    <cellStyle name="제목 3 2 15 4 3" xfId="17002"/>
    <cellStyle name="제목 3 2 15 5" xfId="17003"/>
    <cellStyle name="제목 3 2 15 5 2" xfId="17004"/>
    <cellStyle name="제목 3 2 15 6" xfId="17005"/>
    <cellStyle name="제목 3 2 16" xfId="17006"/>
    <cellStyle name="제목 3 2 16 2" xfId="17007"/>
    <cellStyle name="제목 3 2 16 2 2" xfId="17008"/>
    <cellStyle name="제목 3 2 16 2 2 2" xfId="17009"/>
    <cellStyle name="제목 3 2 16 2 3" xfId="17010"/>
    <cellStyle name="제목 3 2 16 3" xfId="17011"/>
    <cellStyle name="제목 3 2 16 3 2" xfId="17012"/>
    <cellStyle name="제목 3 2 16 3 2 2" xfId="17013"/>
    <cellStyle name="제목 3 2 16 3 3" xfId="17014"/>
    <cellStyle name="제목 3 2 16 4" xfId="17015"/>
    <cellStyle name="제목 3 2 16 4 2" xfId="17016"/>
    <cellStyle name="제목 3 2 16 4 2 2" xfId="17017"/>
    <cellStyle name="제목 3 2 16 4 3" xfId="17018"/>
    <cellStyle name="제목 3 2 16 5" xfId="17019"/>
    <cellStyle name="제목 3 2 16 5 2" xfId="17020"/>
    <cellStyle name="제목 3 2 16 6" xfId="17021"/>
    <cellStyle name="제목 3 2 17" xfId="17022"/>
    <cellStyle name="제목 3 2 17 2" xfId="17023"/>
    <cellStyle name="제목 3 2 18" xfId="17024"/>
    <cellStyle name="제목 3 2 2" xfId="4605"/>
    <cellStyle name="제목 3 2 2 2" xfId="4606"/>
    <cellStyle name="제목 3 2 2 2 2" xfId="17025"/>
    <cellStyle name="제목 3 2 2 3" xfId="17026"/>
    <cellStyle name="제목 3 2 3" xfId="4607"/>
    <cellStyle name="제목 3 2 3 2" xfId="17027"/>
    <cellStyle name="제목 3 2 3 2 2" xfId="17028"/>
    <cellStyle name="제목 3 2 3 3" xfId="17029"/>
    <cellStyle name="제목 3 2 4" xfId="4608"/>
    <cellStyle name="제목 3 2 4 2" xfId="17030"/>
    <cellStyle name="제목 3 2 4 2 2" xfId="17031"/>
    <cellStyle name="제목 3 2 4 3" xfId="17032"/>
    <cellStyle name="제목 3 2 5" xfId="17033"/>
    <cellStyle name="제목 3 2 5 2" xfId="17034"/>
    <cellStyle name="제목 3 2 5 2 2" xfId="17035"/>
    <cellStyle name="제목 3 2 5 3" xfId="17036"/>
    <cellStyle name="제목 3 2 6" xfId="17037"/>
    <cellStyle name="제목 3 2 6 2" xfId="17038"/>
    <cellStyle name="제목 3 2 6 2 2" xfId="17039"/>
    <cellStyle name="제목 3 2 6 3" xfId="17040"/>
    <cellStyle name="제목 3 2 7" xfId="17041"/>
    <cellStyle name="제목 3 2 7 2" xfId="17042"/>
    <cellStyle name="제목 3 2 7 2 2" xfId="17043"/>
    <cellStyle name="제목 3 2 7 3" xfId="17044"/>
    <cellStyle name="제목 3 2 8" xfId="17045"/>
    <cellStyle name="제목 3 2 8 2" xfId="17046"/>
    <cellStyle name="제목 3 2 8 2 2" xfId="17047"/>
    <cellStyle name="제목 3 2 8 3" xfId="17048"/>
    <cellStyle name="제목 3 2 9" xfId="17049"/>
    <cellStyle name="제목 3 2 9 2" xfId="17050"/>
    <cellStyle name="제목 3 2 9 2 2" xfId="17051"/>
    <cellStyle name="제목 3 2 9 3" xfId="17052"/>
    <cellStyle name="제목 3 3" xfId="4609"/>
    <cellStyle name="제목 3 3 2" xfId="17053"/>
    <cellStyle name="제목 3 4" xfId="4610"/>
    <cellStyle name="제목 3 4 2" xfId="17054"/>
    <cellStyle name="제목 3 5" xfId="4611"/>
    <cellStyle name="제목 3 5 2" xfId="17055"/>
    <cellStyle name="제목 3 6" xfId="4612"/>
    <cellStyle name="제목 3 6 2" xfId="17056"/>
    <cellStyle name="제목 4 2" xfId="4613"/>
    <cellStyle name="제목 4 2 2" xfId="4614"/>
    <cellStyle name="제목 4 2 2 2" xfId="4615"/>
    <cellStyle name="제목 4 2 3" xfId="4616"/>
    <cellStyle name="제목 4 2 4" xfId="4617"/>
    <cellStyle name="제목 4 3" xfId="4618"/>
    <cellStyle name="제목 4 4" xfId="4619"/>
    <cellStyle name="제목 4 5" xfId="4620"/>
    <cellStyle name="제목 4 6" xfId="4621"/>
    <cellStyle name="제목 5" xfId="4622"/>
    <cellStyle name="제목 5 2" xfId="4623"/>
    <cellStyle name="제목 5 3" xfId="4624"/>
    <cellStyle name="제목 6" xfId="4625"/>
    <cellStyle name="제목 6 2" xfId="4626"/>
    <cellStyle name="제목 6 3" xfId="4627"/>
    <cellStyle name="제목 7" xfId="4628"/>
    <cellStyle name="제목 8" xfId="4629"/>
    <cellStyle name="제목 9" xfId="4630"/>
    <cellStyle name="제목1" xfId="4631"/>
    <cellStyle name="제목2" xfId="4632"/>
    <cellStyle name="제조번호" xfId="4633"/>
    <cellStyle name="제조번호 2" xfId="17057"/>
    <cellStyle name="제조번호 2 2" xfId="17058"/>
    <cellStyle name="제조번호 2 2 2" xfId="17059"/>
    <cellStyle name="제조번호 2 2 2 2" xfId="30446"/>
    <cellStyle name="제조번호 2 2 3" xfId="30445"/>
    <cellStyle name="제조번호 2 3" xfId="17060"/>
    <cellStyle name="제조번호 2 3 2" xfId="17061"/>
    <cellStyle name="제조번호 2 3 2 2" xfId="30448"/>
    <cellStyle name="제조번호 2 3 3" xfId="30447"/>
    <cellStyle name="제조번호 2 4" xfId="17062"/>
    <cellStyle name="제조번호 2 4 2" xfId="17063"/>
    <cellStyle name="제조번호 2 4 2 2" xfId="30450"/>
    <cellStyle name="제조번호 2 4 3" xfId="30449"/>
    <cellStyle name="제조번호 2 5" xfId="17064"/>
    <cellStyle name="제조번호 2 5 2" xfId="30451"/>
    <cellStyle name="제조번호 2 6" xfId="30444"/>
    <cellStyle name="제조번호 3" xfId="17065"/>
    <cellStyle name="제조번호 3 2" xfId="30452"/>
    <cellStyle name="제조번호 4" xfId="27729"/>
    <cellStyle name="좋은양식" xfId="4634"/>
    <cellStyle name="좋음 2" xfId="4635"/>
    <cellStyle name="좋음 2 2" xfId="4636"/>
    <cellStyle name="좋음 2 2 2" xfId="4637"/>
    <cellStyle name="좋음 2 3" xfId="4638"/>
    <cellStyle name="좋음 2 4" xfId="4639"/>
    <cellStyle name="좋음 3" xfId="4640"/>
    <cellStyle name="좋음 4" xfId="4641"/>
    <cellStyle name="좋음 5" xfId="4642"/>
    <cellStyle name="좋음 6" xfId="4643"/>
    <cellStyle name="증감" xfId="4644"/>
    <cellStyle name="지정되지 않음" xfId="4645"/>
    <cellStyle name="지정되지 않음 2" xfId="4646"/>
    <cellStyle name="지정되지 않음 3" xfId="4647"/>
    <cellStyle name="钎霖_惫寇bal" xfId="4648"/>
    <cellStyle name="千分位[0]_GARMENT STEP FORM HK" xfId="4649"/>
    <cellStyle name="千分位_GARMENT STEP FORM HK" xfId="4650"/>
    <cellStyle name="출력 2" xfId="4651"/>
    <cellStyle name="출력 2 10" xfId="17066"/>
    <cellStyle name="출력 2 10 2" xfId="17067"/>
    <cellStyle name="출력 2 10 2 2" xfId="17068"/>
    <cellStyle name="출력 2 10 2 2 2" xfId="30455"/>
    <cellStyle name="출력 2 10 2 3" xfId="30454"/>
    <cellStyle name="출력 2 10 3" xfId="17069"/>
    <cellStyle name="출력 2 10 3 2" xfId="17070"/>
    <cellStyle name="출력 2 10 3 2 2" xfId="30457"/>
    <cellStyle name="출력 2 10 3 3" xfId="30456"/>
    <cellStyle name="출력 2 10 4" xfId="17071"/>
    <cellStyle name="출력 2 10 4 2" xfId="17072"/>
    <cellStyle name="출력 2 10 4 2 2" xfId="30459"/>
    <cellStyle name="출력 2 10 4 3" xfId="30458"/>
    <cellStyle name="출력 2 10 5" xfId="17073"/>
    <cellStyle name="출력 2 10 5 2" xfId="30460"/>
    <cellStyle name="출력 2 10 6" xfId="30453"/>
    <cellStyle name="출력 2 11" xfId="17074"/>
    <cellStyle name="출력 2 11 2" xfId="17075"/>
    <cellStyle name="출력 2 11 2 2" xfId="17076"/>
    <cellStyle name="출력 2 11 2 2 2" xfId="30463"/>
    <cellStyle name="출력 2 11 2 3" xfId="30462"/>
    <cellStyle name="출력 2 11 3" xfId="17077"/>
    <cellStyle name="출력 2 11 3 2" xfId="17078"/>
    <cellStyle name="출력 2 11 3 2 2" xfId="30465"/>
    <cellStyle name="출력 2 11 3 3" xfId="30464"/>
    <cellStyle name="출력 2 11 4" xfId="17079"/>
    <cellStyle name="출력 2 11 4 2" xfId="17080"/>
    <cellStyle name="출력 2 11 4 2 2" xfId="30467"/>
    <cellStyle name="출력 2 11 4 3" xfId="30466"/>
    <cellStyle name="출력 2 11 5" xfId="17081"/>
    <cellStyle name="출력 2 11 5 2" xfId="30468"/>
    <cellStyle name="출력 2 11 6" xfId="30461"/>
    <cellStyle name="출력 2 12" xfId="17082"/>
    <cellStyle name="출력 2 12 2" xfId="17083"/>
    <cellStyle name="출력 2 12 2 2" xfId="17084"/>
    <cellStyle name="출력 2 12 2 2 2" xfId="30471"/>
    <cellStyle name="출력 2 12 2 3" xfId="30470"/>
    <cellStyle name="출력 2 12 3" xfId="17085"/>
    <cellStyle name="출력 2 12 3 2" xfId="17086"/>
    <cellStyle name="출력 2 12 3 2 2" xfId="30473"/>
    <cellStyle name="출력 2 12 3 3" xfId="30472"/>
    <cellStyle name="출력 2 12 4" xfId="17087"/>
    <cellStyle name="출력 2 12 4 2" xfId="17088"/>
    <cellStyle name="출력 2 12 4 2 2" xfId="30475"/>
    <cellStyle name="출력 2 12 4 3" xfId="30474"/>
    <cellStyle name="출력 2 12 5" xfId="17089"/>
    <cellStyle name="출력 2 12 5 2" xfId="30476"/>
    <cellStyle name="출력 2 12 6" xfId="30469"/>
    <cellStyle name="출력 2 13" xfId="17090"/>
    <cellStyle name="출력 2 13 2" xfId="17091"/>
    <cellStyle name="출력 2 13 2 2" xfId="17092"/>
    <cellStyle name="출력 2 13 2 2 2" xfId="30479"/>
    <cellStyle name="출력 2 13 2 3" xfId="30478"/>
    <cellStyle name="출력 2 13 3" xfId="17093"/>
    <cellStyle name="출력 2 13 3 2" xfId="17094"/>
    <cellStyle name="출력 2 13 3 2 2" xfId="30481"/>
    <cellStyle name="출력 2 13 3 3" xfId="30480"/>
    <cellStyle name="출력 2 13 4" xfId="17095"/>
    <cellStyle name="출력 2 13 4 2" xfId="17096"/>
    <cellStyle name="출력 2 13 4 2 2" xfId="30483"/>
    <cellStyle name="출력 2 13 4 3" xfId="30482"/>
    <cellStyle name="출력 2 13 5" xfId="17097"/>
    <cellStyle name="출력 2 13 5 2" xfId="30484"/>
    <cellStyle name="출력 2 13 6" xfId="30477"/>
    <cellStyle name="출력 2 14" xfId="17098"/>
    <cellStyle name="출력 2 14 2" xfId="17099"/>
    <cellStyle name="출력 2 14 2 2" xfId="17100"/>
    <cellStyle name="출력 2 14 2 2 2" xfId="30487"/>
    <cellStyle name="출력 2 14 2 3" xfId="30486"/>
    <cellStyle name="출력 2 14 3" xfId="17101"/>
    <cellStyle name="출력 2 14 3 2" xfId="17102"/>
    <cellStyle name="출력 2 14 3 2 2" xfId="30489"/>
    <cellStyle name="출력 2 14 3 3" xfId="30488"/>
    <cellStyle name="출력 2 14 4" xfId="17103"/>
    <cellStyle name="출력 2 14 4 2" xfId="17104"/>
    <cellStyle name="출력 2 14 4 2 2" xfId="30491"/>
    <cellStyle name="출력 2 14 4 3" xfId="30490"/>
    <cellStyle name="출력 2 14 5" xfId="17105"/>
    <cellStyle name="출력 2 14 5 2" xfId="30492"/>
    <cellStyle name="출력 2 14 6" xfId="30485"/>
    <cellStyle name="출력 2 15" xfId="17106"/>
    <cellStyle name="출력 2 15 2" xfId="17107"/>
    <cellStyle name="출력 2 15 2 2" xfId="17108"/>
    <cellStyle name="출력 2 15 2 2 2" xfId="30495"/>
    <cellStyle name="출력 2 15 2 3" xfId="30494"/>
    <cellStyle name="출력 2 15 3" xfId="17109"/>
    <cellStyle name="출력 2 15 3 2" xfId="17110"/>
    <cellStyle name="출력 2 15 3 2 2" xfId="30497"/>
    <cellStyle name="출력 2 15 3 3" xfId="30496"/>
    <cellStyle name="출력 2 15 4" xfId="17111"/>
    <cellStyle name="출력 2 15 4 2" xfId="17112"/>
    <cellStyle name="출력 2 15 4 2 2" xfId="30499"/>
    <cellStyle name="출력 2 15 4 3" xfId="30498"/>
    <cellStyle name="출력 2 15 5" xfId="17113"/>
    <cellStyle name="출력 2 15 5 2" xfId="30500"/>
    <cellStyle name="출력 2 15 6" xfId="30493"/>
    <cellStyle name="출력 2 16" xfId="17114"/>
    <cellStyle name="출력 2 16 2" xfId="17115"/>
    <cellStyle name="출력 2 16 2 2" xfId="17116"/>
    <cellStyle name="출력 2 16 2 2 2" xfId="30503"/>
    <cellStyle name="출력 2 16 2 3" xfId="30502"/>
    <cellStyle name="출력 2 16 3" xfId="17117"/>
    <cellStyle name="출력 2 16 3 2" xfId="17118"/>
    <cellStyle name="출력 2 16 3 2 2" xfId="30505"/>
    <cellStyle name="출력 2 16 3 3" xfId="30504"/>
    <cellStyle name="출력 2 16 4" xfId="17119"/>
    <cellStyle name="출력 2 16 4 2" xfId="17120"/>
    <cellStyle name="출력 2 16 4 2 2" xfId="30507"/>
    <cellStyle name="출력 2 16 4 3" xfId="30506"/>
    <cellStyle name="출력 2 16 5" xfId="17121"/>
    <cellStyle name="출력 2 16 5 2" xfId="30508"/>
    <cellStyle name="출력 2 16 6" xfId="30501"/>
    <cellStyle name="출력 2 17" xfId="17122"/>
    <cellStyle name="출력 2 17 2" xfId="17123"/>
    <cellStyle name="출력 2 17 2 2" xfId="17124"/>
    <cellStyle name="출력 2 17 2 2 2" xfId="30511"/>
    <cellStyle name="출력 2 17 2 3" xfId="30510"/>
    <cellStyle name="출력 2 17 3" xfId="17125"/>
    <cellStyle name="출력 2 17 3 2" xfId="17126"/>
    <cellStyle name="출력 2 17 3 2 2" xfId="30513"/>
    <cellStyle name="출력 2 17 3 3" xfId="30512"/>
    <cellStyle name="출력 2 17 4" xfId="17127"/>
    <cellStyle name="출력 2 17 4 2" xfId="17128"/>
    <cellStyle name="출력 2 17 4 2 2" xfId="30515"/>
    <cellStyle name="출력 2 17 4 3" xfId="30514"/>
    <cellStyle name="출력 2 17 5" xfId="17129"/>
    <cellStyle name="출력 2 17 5 2" xfId="30516"/>
    <cellStyle name="출력 2 17 6" xfId="30509"/>
    <cellStyle name="출력 2 18" xfId="17130"/>
    <cellStyle name="출력 2 18 2" xfId="17131"/>
    <cellStyle name="출력 2 18 2 2" xfId="30518"/>
    <cellStyle name="출력 2 18 3" xfId="30517"/>
    <cellStyle name="출력 2 19" xfId="17132"/>
    <cellStyle name="출력 2 19 2" xfId="17133"/>
    <cellStyle name="출력 2 19 2 2" xfId="30520"/>
    <cellStyle name="출력 2 19 3" xfId="30519"/>
    <cellStyle name="출력 2 2" xfId="4652"/>
    <cellStyle name="출력 2 2 2" xfId="4653"/>
    <cellStyle name="출력 2 2 2 2" xfId="17134"/>
    <cellStyle name="출력 2 2 2 2 2" xfId="30521"/>
    <cellStyle name="출력 2 2 2 3" xfId="27732"/>
    <cellStyle name="출력 2 2 3" xfId="17135"/>
    <cellStyle name="출력 2 2 3 2" xfId="17136"/>
    <cellStyle name="출력 2 2 3 2 2" xfId="30523"/>
    <cellStyle name="출력 2 2 3 3" xfId="30522"/>
    <cellStyle name="출력 2 2 4" xfId="17137"/>
    <cellStyle name="출력 2 2 4 2" xfId="17138"/>
    <cellStyle name="출력 2 2 4 2 2" xfId="30525"/>
    <cellStyle name="출력 2 2 4 3" xfId="30524"/>
    <cellStyle name="출력 2 2 5" xfId="17139"/>
    <cellStyle name="출력 2 2 5 2" xfId="30526"/>
    <cellStyle name="출력 2 2 6" xfId="27731"/>
    <cellStyle name="출력 2 20" xfId="17140"/>
    <cellStyle name="출력 2 20 2" xfId="17141"/>
    <cellStyle name="출력 2 20 2 2" xfId="30528"/>
    <cellStyle name="출력 2 20 3" xfId="30527"/>
    <cellStyle name="출력 2 21" xfId="17142"/>
    <cellStyle name="출력 2 21 2" xfId="17143"/>
    <cellStyle name="출력 2 21 2 2" xfId="30530"/>
    <cellStyle name="출력 2 21 3" xfId="30529"/>
    <cellStyle name="출력 2 22" xfId="17144"/>
    <cellStyle name="출력 2 22 2" xfId="30531"/>
    <cellStyle name="출력 2 23" xfId="27730"/>
    <cellStyle name="출력 2 3" xfId="4654"/>
    <cellStyle name="출력 2 3 2" xfId="17145"/>
    <cellStyle name="출력 2 3 2 2" xfId="17146"/>
    <cellStyle name="출력 2 3 2 2 2" xfId="30533"/>
    <cellStyle name="출력 2 3 2 3" xfId="30532"/>
    <cellStyle name="출력 2 3 3" xfId="17147"/>
    <cellStyle name="출력 2 3 3 2" xfId="17148"/>
    <cellStyle name="출력 2 3 3 2 2" xfId="30535"/>
    <cellStyle name="출력 2 3 3 3" xfId="30534"/>
    <cellStyle name="출력 2 3 4" xfId="17149"/>
    <cellStyle name="출력 2 3 4 2" xfId="17150"/>
    <cellStyle name="출력 2 3 4 2 2" xfId="30537"/>
    <cellStyle name="출력 2 3 4 3" xfId="30536"/>
    <cellStyle name="출력 2 3 5" xfId="17151"/>
    <cellStyle name="출력 2 3 5 2" xfId="30538"/>
    <cellStyle name="출력 2 3 6" xfId="27733"/>
    <cellStyle name="출력 2 4" xfId="4655"/>
    <cellStyle name="출력 2 4 2" xfId="17152"/>
    <cellStyle name="출력 2 4 2 2" xfId="17153"/>
    <cellStyle name="출력 2 4 2 2 2" xfId="30540"/>
    <cellStyle name="출력 2 4 2 3" xfId="30539"/>
    <cellStyle name="출력 2 4 3" xfId="17154"/>
    <cellStyle name="출력 2 4 3 2" xfId="17155"/>
    <cellStyle name="출력 2 4 3 2 2" xfId="30542"/>
    <cellStyle name="출력 2 4 3 3" xfId="30541"/>
    <cellStyle name="출력 2 4 4" xfId="17156"/>
    <cellStyle name="출력 2 4 4 2" xfId="17157"/>
    <cellStyle name="출력 2 4 4 2 2" xfId="30544"/>
    <cellStyle name="출력 2 4 4 3" xfId="30543"/>
    <cellStyle name="출력 2 4 5" xfId="17158"/>
    <cellStyle name="출력 2 4 5 2" xfId="30545"/>
    <cellStyle name="출력 2 4 6" xfId="27734"/>
    <cellStyle name="출력 2 5" xfId="17159"/>
    <cellStyle name="출력 2 5 2" xfId="17160"/>
    <cellStyle name="출력 2 5 2 2" xfId="17161"/>
    <cellStyle name="출력 2 5 2 2 2" xfId="30548"/>
    <cellStyle name="출력 2 5 2 3" xfId="30547"/>
    <cellStyle name="출력 2 5 3" xfId="17162"/>
    <cellStyle name="출력 2 5 3 2" xfId="17163"/>
    <cellStyle name="출력 2 5 3 2 2" xfId="30550"/>
    <cellStyle name="출력 2 5 3 3" xfId="30549"/>
    <cellStyle name="출력 2 5 4" xfId="17164"/>
    <cellStyle name="출력 2 5 4 2" xfId="17165"/>
    <cellStyle name="출력 2 5 4 2 2" xfId="30552"/>
    <cellStyle name="출력 2 5 4 3" xfId="30551"/>
    <cellStyle name="출력 2 5 5" xfId="17166"/>
    <cellStyle name="출력 2 5 5 2" xfId="30553"/>
    <cellStyle name="출력 2 5 6" xfId="30546"/>
    <cellStyle name="출력 2 6" xfId="17167"/>
    <cellStyle name="출력 2 6 2" xfId="17168"/>
    <cellStyle name="출력 2 6 2 2" xfId="17169"/>
    <cellStyle name="출력 2 6 2 2 2" xfId="30556"/>
    <cellStyle name="출력 2 6 2 3" xfId="30555"/>
    <cellStyle name="출력 2 6 3" xfId="17170"/>
    <cellStyle name="출력 2 6 3 2" xfId="17171"/>
    <cellStyle name="출력 2 6 3 2 2" xfId="30558"/>
    <cellStyle name="출력 2 6 3 3" xfId="30557"/>
    <cellStyle name="출력 2 6 4" xfId="17172"/>
    <cellStyle name="출력 2 6 4 2" xfId="17173"/>
    <cellStyle name="출력 2 6 4 2 2" xfId="30560"/>
    <cellStyle name="출력 2 6 4 3" xfId="30559"/>
    <cellStyle name="출력 2 6 5" xfId="17174"/>
    <cellStyle name="출력 2 6 5 2" xfId="30561"/>
    <cellStyle name="출력 2 6 6" xfId="30554"/>
    <cellStyle name="출력 2 7" xfId="17175"/>
    <cellStyle name="출력 2 7 2" xfId="17176"/>
    <cellStyle name="출력 2 7 2 2" xfId="17177"/>
    <cellStyle name="출력 2 7 2 2 2" xfId="30564"/>
    <cellStyle name="출력 2 7 2 3" xfId="30563"/>
    <cellStyle name="출력 2 7 3" xfId="17178"/>
    <cellStyle name="출력 2 7 3 2" xfId="17179"/>
    <cellStyle name="출력 2 7 3 2 2" xfId="30566"/>
    <cellStyle name="출력 2 7 3 3" xfId="30565"/>
    <cellStyle name="출력 2 7 4" xfId="17180"/>
    <cellStyle name="출력 2 7 4 2" xfId="17181"/>
    <cellStyle name="출력 2 7 4 2 2" xfId="30568"/>
    <cellStyle name="출력 2 7 4 3" xfId="30567"/>
    <cellStyle name="출력 2 7 5" xfId="17182"/>
    <cellStyle name="출력 2 7 5 2" xfId="30569"/>
    <cellStyle name="출력 2 7 6" xfId="30562"/>
    <cellStyle name="출력 2 8" xfId="17183"/>
    <cellStyle name="출력 2 8 2" xfId="17184"/>
    <cellStyle name="출력 2 8 2 2" xfId="17185"/>
    <cellStyle name="출력 2 8 2 2 2" xfId="30572"/>
    <cellStyle name="출력 2 8 2 3" xfId="30571"/>
    <cellStyle name="출력 2 8 3" xfId="17186"/>
    <cellStyle name="출력 2 8 3 2" xfId="17187"/>
    <cellStyle name="출력 2 8 3 2 2" xfId="30574"/>
    <cellStyle name="출력 2 8 3 3" xfId="30573"/>
    <cellStyle name="출력 2 8 4" xfId="17188"/>
    <cellStyle name="출력 2 8 4 2" xfId="17189"/>
    <cellStyle name="출력 2 8 4 2 2" xfId="30576"/>
    <cellStyle name="출력 2 8 4 3" xfId="30575"/>
    <cellStyle name="출력 2 8 5" xfId="17190"/>
    <cellStyle name="출력 2 8 5 2" xfId="30577"/>
    <cellStyle name="출력 2 8 6" xfId="30570"/>
    <cellStyle name="출력 2 9" xfId="17191"/>
    <cellStyle name="출력 2 9 2" xfId="17192"/>
    <cellStyle name="출력 2 9 2 2" xfId="17193"/>
    <cellStyle name="출력 2 9 2 2 2" xfId="30580"/>
    <cellStyle name="출력 2 9 2 3" xfId="30579"/>
    <cellStyle name="출력 2 9 3" xfId="17194"/>
    <cellStyle name="출력 2 9 3 2" xfId="17195"/>
    <cellStyle name="출력 2 9 3 2 2" xfId="30582"/>
    <cellStyle name="출력 2 9 3 3" xfId="30581"/>
    <cellStyle name="출력 2 9 4" xfId="17196"/>
    <cellStyle name="출력 2 9 4 2" xfId="17197"/>
    <cellStyle name="출력 2 9 4 2 2" xfId="30584"/>
    <cellStyle name="출력 2 9 4 3" xfId="30583"/>
    <cellStyle name="출력 2 9 5" xfId="17198"/>
    <cellStyle name="출력 2 9 5 2" xfId="30585"/>
    <cellStyle name="출력 2 9 6" xfId="30578"/>
    <cellStyle name="출력 3" xfId="4656"/>
    <cellStyle name="출력 3 2" xfId="27735"/>
    <cellStyle name="출력 4" xfId="4657"/>
    <cellStyle name="출력 4 2" xfId="27736"/>
    <cellStyle name="출력 5" xfId="4658"/>
    <cellStyle name="출력 5 2" xfId="27737"/>
    <cellStyle name="출력 6" xfId="4659"/>
    <cellStyle name="출력 6 2" xfId="27738"/>
    <cellStyle name="캅셀" xfId="4660"/>
    <cellStyle name="콤냡?&lt;_x000f_$??: `1_1" xfId="4661"/>
    <cellStyle name="콤냡?&lt;_x000f_$??:_x0009_`1_1" xfId="4662"/>
    <cellStyle name="콤마 [0]" xfId="4663"/>
    <cellStyle name="콤마[0]" xfId="4664"/>
    <cellStyle name="콤마[0] 2" xfId="17199"/>
    <cellStyle name="콤마[0] 2 2" xfId="30586"/>
    <cellStyle name="콤마[0] 3" xfId="17200"/>
    <cellStyle name="콤마[0] 3 2" xfId="30587"/>
    <cellStyle name="콤마[0] 4" xfId="17201"/>
    <cellStyle name="콤마[0] 4 2" xfId="30588"/>
    <cellStyle name="콤마[0] 5" xfId="17202"/>
    <cellStyle name="콤마[0] 5 2" xfId="30589"/>
    <cellStyle name="콤마[0] 6" xfId="27739"/>
    <cellStyle name="콤마_  종  합  " xfId="4665"/>
    <cellStyle name="통T" xfId="4666"/>
    <cellStyle name="通貨 [0.00]_BOND SELL LIST" xfId="4667"/>
    <cellStyle name="통화 [0] 2" xfId="4668"/>
    <cellStyle name="통화 [0] 2 2" xfId="4669"/>
    <cellStyle name="통화 [0] 2 3" xfId="4670"/>
    <cellStyle name="통화 [0] 3" xfId="4671"/>
    <cellStyle name="통화 [0] 4" xfId="17203"/>
    <cellStyle name="通貨_1.貸付????ベ?ス" xfId="4672"/>
    <cellStyle name="통화H$2" xfId="4673"/>
    <cellStyle name="트럭" xfId="4674"/>
    <cellStyle name="트럭 2" xfId="17204"/>
    <cellStyle name="트럭 3" xfId="17205"/>
    <cellStyle name="퍼센트" xfId="4675"/>
    <cellStyle name="평" xfId="4676"/>
    <cellStyle name="평_재무지원부충당금" xfId="4677"/>
    <cellStyle name="평_재무지원부충당금_1" xfId="4678"/>
    <cellStyle name="평_재무지원부충당금_1_예외적립품의_0910(완료)" xfId="4679"/>
    <cellStyle name="평_재무지원부충당금_1_추가적립업체명세(완료)V_3황동인대리님" xfId="4680"/>
    <cellStyle name="평_추가충당금명세_0630_V3" xfId="4681"/>
    <cellStyle name="표준" xfId="0" builtinId="0"/>
    <cellStyle name="표준 10" xfId="4682"/>
    <cellStyle name="표준 10 10" xfId="4683"/>
    <cellStyle name="표준 10 2" xfId="4684"/>
    <cellStyle name="표준 10 2 2" xfId="4685"/>
    <cellStyle name="표준 10 2 3" xfId="4686"/>
    <cellStyle name="표준 10 3" xfId="4687"/>
    <cellStyle name="표준 10 3 2" xfId="17206"/>
    <cellStyle name="표준 10 3 2 2" xfId="17207"/>
    <cellStyle name="표준 10 3 3" xfId="17208"/>
    <cellStyle name="표준 10 3 4" xfId="32709"/>
    <cellStyle name="표준 10 4" xfId="4688"/>
    <cellStyle name="표준 10 4 2" xfId="17209"/>
    <cellStyle name="표준 10 4 2 2" xfId="17210"/>
    <cellStyle name="표준 10 4 2 2 2 3 2" xfId="32700"/>
    <cellStyle name="표준 10 4 3" xfId="17211"/>
    <cellStyle name="표준 10 5" xfId="17212"/>
    <cellStyle name="표준 10 5 2" xfId="17213"/>
    <cellStyle name="표준 10 5 2 2" xfId="17214"/>
    <cellStyle name="표준 10 5 3" xfId="17215"/>
    <cellStyle name="표준 10 6" xfId="17216"/>
    <cellStyle name="표준 10 6 2" xfId="17217"/>
    <cellStyle name="표준 10 7" xfId="17218"/>
    <cellStyle name="표준 10 7 2" xfId="17219"/>
    <cellStyle name="표준 11" xfId="4689"/>
    <cellStyle name="표준 11 2" xfId="4690"/>
    <cellStyle name="표준 11 2 2" xfId="17220"/>
    <cellStyle name="표준 11 2 3" xfId="17221"/>
    <cellStyle name="표준 11 3" xfId="4691"/>
    <cellStyle name="표준 11 4" xfId="4692"/>
    <cellStyle name="표준 111" xfId="4693"/>
    <cellStyle name="표준 112" xfId="4694"/>
    <cellStyle name="표준 112 2" xfId="4695"/>
    <cellStyle name="표준 112 3" xfId="4696"/>
    <cellStyle name="표준 12" xfId="4697"/>
    <cellStyle name="표준 12 2" xfId="4698"/>
    <cellStyle name="표준 12 2 2" xfId="4699"/>
    <cellStyle name="표준 12 2 3" xfId="4700"/>
    <cellStyle name="표준 12 3" xfId="4701"/>
    <cellStyle name="표준 125 2" xfId="4702"/>
    <cellStyle name="표준 13" xfId="4703"/>
    <cellStyle name="표준 13 2" xfId="4704"/>
    <cellStyle name="표준 13 2 2" xfId="17222"/>
    <cellStyle name="표준 13 2 3" xfId="17223"/>
    <cellStyle name="표준 13 3" xfId="4705"/>
    <cellStyle name="표준 13 4" xfId="4706"/>
    <cellStyle name="표준 13 5" xfId="17224"/>
    <cellStyle name="표준 14" xfId="4707"/>
    <cellStyle name="표준 14 2" xfId="4708"/>
    <cellStyle name="표준 14 2 2" xfId="4709"/>
    <cellStyle name="표준 14 2 3" xfId="17225"/>
    <cellStyle name="표준 14 2 4" xfId="17226"/>
    <cellStyle name="표준 14 3" xfId="4710"/>
    <cellStyle name="표준 14 4" xfId="4711"/>
    <cellStyle name="표준 14 5" xfId="17227"/>
    <cellStyle name="표준 14 6" xfId="17228"/>
    <cellStyle name="표준 15" xfId="4712"/>
    <cellStyle name="표준 15 2" xfId="4713"/>
    <cellStyle name="표준 15 2 2" xfId="32706"/>
    <cellStyle name="표준 15 3" xfId="4714"/>
    <cellStyle name="표준 15 4" xfId="17229"/>
    <cellStyle name="표준 15 5" xfId="17488"/>
    <cellStyle name="표준 16" xfId="4715"/>
    <cellStyle name="표준 16 2" xfId="4716"/>
    <cellStyle name="표준 16 3" xfId="17230"/>
    <cellStyle name="표준 17" xfId="4717"/>
    <cellStyle name="표준 17 2" xfId="4718"/>
    <cellStyle name="표준 17 2 2" xfId="17489"/>
    <cellStyle name="표준 17 2 2 2" xfId="17490"/>
    <cellStyle name="표준 17 3" xfId="4719"/>
    <cellStyle name="표준 17 4" xfId="4720"/>
    <cellStyle name="표준 17 5" xfId="17491"/>
    <cellStyle name="표준 18" xfId="4721"/>
    <cellStyle name="표준 18 2" xfId="4722"/>
    <cellStyle name="표준 18 3" xfId="17231"/>
    <cellStyle name="표준 19" xfId="4723"/>
    <cellStyle name="표준 19 2" xfId="4724"/>
    <cellStyle name="표준 19 2 2" xfId="17232"/>
    <cellStyle name="표준 19 2 3" xfId="17233"/>
    <cellStyle name="표준 19 3" xfId="17234"/>
    <cellStyle name="표준 19 4" xfId="17235"/>
    <cellStyle name="표준 2" xfId="4725"/>
    <cellStyle name="표준 2 10" xfId="4726"/>
    <cellStyle name="표준 2 10 2" xfId="5015"/>
    <cellStyle name="표준 2 10 3" xfId="17236"/>
    <cellStyle name="표준 2 11" xfId="4727"/>
    <cellStyle name="표준 2 11 2" xfId="17237"/>
    <cellStyle name="표준 2 11 3" xfId="17238"/>
    <cellStyle name="표준 2 12" xfId="4728"/>
    <cellStyle name="표준 2 12 2" xfId="4729"/>
    <cellStyle name="표준 2 12 3" xfId="17239"/>
    <cellStyle name="표준 2 13" xfId="4730"/>
    <cellStyle name="표준 2 13 2" xfId="17240"/>
    <cellStyle name="표준 2 13 3" xfId="17241"/>
    <cellStyle name="표준 2 14" xfId="4731"/>
    <cellStyle name="표준 2 14 2" xfId="32707"/>
    <cellStyle name="표준 2 15" xfId="5016"/>
    <cellStyle name="표준 2 16" xfId="5017"/>
    <cellStyle name="표준 2 16 2" xfId="32705"/>
    <cellStyle name="표준 2 17" xfId="5018"/>
    <cellStyle name="표준 2 18" xfId="5019"/>
    <cellStyle name="표준 2 19" xfId="5020"/>
    <cellStyle name="표준 2 2" xfId="9"/>
    <cellStyle name="표준 2 2 2" xfId="4"/>
    <cellStyle name="표준 2 2 2 2" xfId="8"/>
    <cellStyle name="표준 2 2 2 2 2" xfId="4732"/>
    <cellStyle name="표준 2 2 2 2 3" xfId="17242"/>
    <cellStyle name="표준 2 2 2 2 4" xfId="32708"/>
    <cellStyle name="표준 2 2 2 3" xfId="4733"/>
    <cellStyle name="표준 2 2 2 4" xfId="4734"/>
    <cellStyle name="표준 2 2 2 5" xfId="4735"/>
    <cellStyle name="표준 2 2 2 6" xfId="17243"/>
    <cellStyle name="표준 2 2 2_Sheet1" xfId="4736"/>
    <cellStyle name="표준 2 2 3" xfId="4737"/>
    <cellStyle name="표준 2 2 3 2" xfId="4738"/>
    <cellStyle name="표준 2 2 3 3" xfId="4739"/>
    <cellStyle name="표준 2 2 3 4" xfId="4740"/>
    <cellStyle name="표준 2 2 4" xfId="4741"/>
    <cellStyle name="표준 2 2 4 2" xfId="17244"/>
    <cellStyle name="표준 2 2 4 3" xfId="17245"/>
    <cellStyle name="표준 2 2 5" xfId="4742"/>
    <cellStyle name="표준 2 2 6" xfId="17246"/>
    <cellStyle name="표준 2 2 7" xfId="17247"/>
    <cellStyle name="표준 2 2 8" xfId="32696"/>
    <cellStyle name="표준 2 2 9" xfId="32703"/>
    <cellStyle name="표준 2 20" xfId="5021"/>
    <cellStyle name="표준 2 21" xfId="32694"/>
    <cellStyle name="표준 2 22" xfId="32697"/>
    <cellStyle name="표준 2 3" xfId="4743"/>
    <cellStyle name="표준 2 3 2" xfId="4744"/>
    <cellStyle name="표준 2 3 2 2" xfId="4745"/>
    <cellStyle name="표준 2 3 2 3" xfId="17248"/>
    <cellStyle name="표준 2 3 3" xfId="4746"/>
    <cellStyle name="표준 2 3 4" xfId="4747"/>
    <cellStyle name="표준 2 3 5" xfId="11"/>
    <cellStyle name="표준 2 3 5 2" xfId="5"/>
    <cellStyle name="표준 2 3 6" xfId="4748"/>
    <cellStyle name="표준 2 3 7" xfId="32692"/>
    <cellStyle name="표준 2 4" xfId="4749"/>
    <cellStyle name="표준 2 4 2" xfId="4750"/>
    <cellStyle name="표준 2 4 3" xfId="4751"/>
    <cellStyle name="표준 2 5" xfId="4752"/>
    <cellStyle name="표준 2 5 2" xfId="4753"/>
    <cellStyle name="표준 2 5 3" xfId="4754"/>
    <cellStyle name="표준 2 6" xfId="4755"/>
    <cellStyle name="표준 2 6 2" xfId="17249"/>
    <cellStyle name="표준 2 6 3" xfId="17250"/>
    <cellStyle name="표준 2 7" xfId="4756"/>
    <cellStyle name="표준 2 7 2" xfId="17251"/>
    <cellStyle name="표준 2 7 3" xfId="17252"/>
    <cellStyle name="표준 2 8" xfId="4757"/>
    <cellStyle name="표준 2 8 2" xfId="17253"/>
    <cellStyle name="표준 2 8 3" xfId="17254"/>
    <cellStyle name="표준 2 9" xfId="2"/>
    <cellStyle name="표준 2 9 2" xfId="17255"/>
    <cellStyle name="표준 2 9 3" xfId="17256"/>
    <cellStyle name="표준 2_IBK 2013-1 Program Data Disk_일반(0118)-작업중" xfId="4758"/>
    <cellStyle name="표준 20" xfId="4759"/>
    <cellStyle name="표준 20 2" xfId="4760"/>
    <cellStyle name="표준 20 3" xfId="17257"/>
    <cellStyle name="표준 21" xfId="4761"/>
    <cellStyle name="표준 21 2" xfId="17258"/>
    <cellStyle name="표준 21 2 2" xfId="17492"/>
    <cellStyle name="표준 21 2 2 2" xfId="17493"/>
    <cellStyle name="표준 21 2 2 2 2" xfId="17494"/>
    <cellStyle name="표준 21 2 2 3" xfId="17495"/>
    <cellStyle name="표준 21 2 3" xfId="17496"/>
    <cellStyle name="표준 21 2 3 2" xfId="17497"/>
    <cellStyle name="표준 21 2 4" xfId="17498"/>
    <cellStyle name="표준 21 3" xfId="17259"/>
    <cellStyle name="표준 21 3 2" xfId="17499"/>
    <cellStyle name="표준 22" xfId="4762"/>
    <cellStyle name="표준 22 2" xfId="4763"/>
    <cellStyle name="표준 22 3" xfId="17260"/>
    <cellStyle name="표준 23" xfId="4764"/>
    <cellStyle name="표준 23 2" xfId="4765"/>
    <cellStyle name="표준 23 2 2" xfId="17261"/>
    <cellStyle name="표준 23 2 3" xfId="17262"/>
    <cellStyle name="표준 23 3" xfId="17263"/>
    <cellStyle name="표준 23 4" xfId="17264"/>
    <cellStyle name="표준 24" xfId="4766"/>
    <cellStyle name="표준 24 2" xfId="17265"/>
    <cellStyle name="표준 24 3" xfId="17266"/>
    <cellStyle name="표준 25" xfId="4767"/>
    <cellStyle name="표준 25 2" xfId="17267"/>
    <cellStyle name="표준 25 3" xfId="17268"/>
    <cellStyle name="표준 26" xfId="4768"/>
    <cellStyle name="표준 26 2" xfId="4769"/>
    <cellStyle name="표준 26 3" xfId="17269"/>
    <cellStyle name="표준 27" xfId="4770"/>
    <cellStyle name="표준 27 2" xfId="17270"/>
    <cellStyle name="표준 27 3" xfId="17271"/>
    <cellStyle name="표준 28" xfId="4771"/>
    <cellStyle name="표준 28 2" xfId="17272"/>
    <cellStyle name="표준 28 2 2" xfId="17273"/>
    <cellStyle name="표준 28 2 3" xfId="17274"/>
    <cellStyle name="표준 28 3" xfId="17275"/>
    <cellStyle name="표준 28 4" xfId="17276"/>
    <cellStyle name="표준 29" xfId="4772"/>
    <cellStyle name="표준 29 2" xfId="17277"/>
    <cellStyle name="표준 29 2 2" xfId="17278"/>
    <cellStyle name="표준 29 2 3" xfId="17279"/>
    <cellStyle name="표준 29 3" xfId="17280"/>
    <cellStyle name="표준 29 4" xfId="17281"/>
    <cellStyle name="표준 3" xfId="6"/>
    <cellStyle name="표준 3 10" xfId="32710"/>
    <cellStyle name="표준 3 14" xfId="4773"/>
    <cellStyle name="표준 3 2" xfId="4774"/>
    <cellStyle name="표준 3 2 2" xfId="4775"/>
    <cellStyle name="표준 3 2 2 2 2" xfId="5023"/>
    <cellStyle name="표준 3 2 2 3" xfId="17282"/>
    <cellStyle name="표준 3 2 3" xfId="4776"/>
    <cellStyle name="표준 3 2 3 2" xfId="17283"/>
    <cellStyle name="표준 3 2 3 3" xfId="17284"/>
    <cellStyle name="표준 3 2 4" xfId="4777"/>
    <cellStyle name="표준 3 2 5" xfId="17285"/>
    <cellStyle name="표준 3 3" xfId="4778"/>
    <cellStyle name="표준 3 3 2" xfId="4779"/>
    <cellStyle name="표준 3 3 2 2" xfId="4780"/>
    <cellStyle name="표준 3 3 2 3" xfId="17286"/>
    <cellStyle name="표준 3 3 3" xfId="4781"/>
    <cellStyle name="표준 3 3 4" xfId="4782"/>
    <cellStyle name="표준 3 4" xfId="4783"/>
    <cellStyle name="표준 3 4 2" xfId="4784"/>
    <cellStyle name="표준 3 4 3" xfId="4785"/>
    <cellStyle name="표준 3 5" xfId="4786"/>
    <cellStyle name="표준 3 5 2" xfId="4787"/>
    <cellStyle name="표준 3 5 3" xfId="17287"/>
    <cellStyle name="표준 3 6" xfId="4788"/>
    <cellStyle name="표준 3 6 2" xfId="4789"/>
    <cellStyle name="표준 3 6 3" xfId="4790"/>
    <cellStyle name="표준 3 7" xfId="4791"/>
    <cellStyle name="표준 3 7 3 2" xfId="17288"/>
    <cellStyle name="표준 3 7 3 2 2" xfId="17289"/>
    <cellStyle name="표준 3 7 3 2 3" xfId="17290"/>
    <cellStyle name="표준 3 7 3 3" xfId="17291"/>
    <cellStyle name="표준 3 7 3 3 2" xfId="17292"/>
    <cellStyle name="표준 3 7 3 4" xfId="17293"/>
    <cellStyle name="표준 3 7 3 5" xfId="32701"/>
    <cellStyle name="표준 3 8" xfId="4792"/>
    <cellStyle name="표준 3 9" xfId="17294"/>
    <cellStyle name="표준 3_Hana2011-3 Datadisk_Pool A_Regular_20110726_v1" xfId="4793"/>
    <cellStyle name="표준 30" xfId="4794"/>
    <cellStyle name="표준 30 2" xfId="17295"/>
    <cellStyle name="표준 30 3" xfId="17296"/>
    <cellStyle name="표준 31" xfId="4795"/>
    <cellStyle name="표준 31 2" xfId="4796"/>
    <cellStyle name="표준 31 3" xfId="17297"/>
    <cellStyle name="표준 32" xfId="4797"/>
    <cellStyle name="표준 32 2" xfId="17298"/>
    <cellStyle name="표준 32 3" xfId="17299"/>
    <cellStyle name="표준 33" xfId="4798"/>
    <cellStyle name="표준 33 2" xfId="17300"/>
    <cellStyle name="표준 33 3" xfId="17301"/>
    <cellStyle name="표준 34" xfId="4799"/>
    <cellStyle name="표준 34 2" xfId="17302"/>
    <cellStyle name="표준 34 3" xfId="17303"/>
    <cellStyle name="표준 35" xfId="4800"/>
    <cellStyle name="표준 35 2" xfId="4801"/>
    <cellStyle name="표준 35 2 2" xfId="17500"/>
    <cellStyle name="표준 35 3" xfId="17304"/>
    <cellStyle name="표준 36" xfId="4802"/>
    <cellStyle name="표준 36 2" xfId="17305"/>
    <cellStyle name="표준 36 3" xfId="17306"/>
    <cellStyle name="표준 37" xfId="4803"/>
    <cellStyle name="표준 37 2" xfId="17307"/>
    <cellStyle name="표준 37 3" xfId="17308"/>
    <cellStyle name="표준 38" xfId="4804"/>
    <cellStyle name="표준 38 2" xfId="17309"/>
    <cellStyle name="표준 38 3" xfId="17310"/>
    <cellStyle name="표준 39" xfId="4805"/>
    <cellStyle name="표준 39 2" xfId="17311"/>
    <cellStyle name="표준 39 3" xfId="17312"/>
    <cellStyle name="표준 4" xfId="4806"/>
    <cellStyle name="표준 4 10" xfId="17313"/>
    <cellStyle name="표준 4 2" xfId="4807"/>
    <cellStyle name="표준 4 2 2" xfId="4808"/>
    <cellStyle name="표준 4 2 2 2" xfId="4809"/>
    <cellStyle name="표준 4 2 2 2 2" xfId="17314"/>
    <cellStyle name="표준 4 2 2 2 3" xfId="17315"/>
    <cellStyle name="표준 4 2 2 3" xfId="4810"/>
    <cellStyle name="표준 4 2 2 4" xfId="17316"/>
    <cellStyle name="표준 4 2 3" xfId="4811"/>
    <cellStyle name="표준 4 2 3 2" xfId="17317"/>
    <cellStyle name="표준 4 2 3 3" xfId="17318"/>
    <cellStyle name="표준 4 2 4" xfId="4812"/>
    <cellStyle name="표준 4 2 5" xfId="17319"/>
    <cellStyle name="표준 4 2 6" xfId="32693"/>
    <cellStyle name="표준 4 2_IBK 2010-2 Program_Data Disk_투자자용(0521)" xfId="4813"/>
    <cellStyle name="표준 4 3" xfId="4814"/>
    <cellStyle name="표준 4 3 2" xfId="17320"/>
    <cellStyle name="표준 4 3 3" xfId="17321"/>
    <cellStyle name="표준 4 4" xfId="4815"/>
    <cellStyle name="표준 4 4 2" xfId="17322"/>
    <cellStyle name="표준 4 4 2 2" xfId="17323"/>
    <cellStyle name="표준 4 4 3" xfId="17324"/>
    <cellStyle name="표준 4 4 4" xfId="17325"/>
    <cellStyle name="표준 4 5" xfId="4816"/>
    <cellStyle name="표준 4 5 2" xfId="4817"/>
    <cellStyle name="표준 4 5 2 2" xfId="17326"/>
    <cellStyle name="표준 4 5 3" xfId="4818"/>
    <cellStyle name="표준 4 5 4" xfId="17327"/>
    <cellStyle name="표준 4 6" xfId="4819"/>
    <cellStyle name="표준 4 6 2" xfId="4820"/>
    <cellStyle name="표준 4 6 2 2" xfId="17328"/>
    <cellStyle name="표준 4 6 3" xfId="17329"/>
    <cellStyle name="표준 4 7" xfId="17330"/>
    <cellStyle name="표준 4 7 2" xfId="17331"/>
    <cellStyle name="표준 4 8" xfId="17332"/>
    <cellStyle name="표준 4 8 2" xfId="17333"/>
    <cellStyle name="표준 4 9" xfId="17501"/>
    <cellStyle name="표준 4_IBK 2010-2 Program_Data Disk_투자자용(0521)" xfId="4821"/>
    <cellStyle name="표준 40" xfId="4822"/>
    <cellStyle name="표준 40 2" xfId="17334"/>
    <cellStyle name="표준 40 3" xfId="17335"/>
    <cellStyle name="표준 41" xfId="4823"/>
    <cellStyle name="표준 41 2" xfId="4824"/>
    <cellStyle name="표준 41 3" xfId="17336"/>
    <cellStyle name="표준 42" xfId="4825"/>
    <cellStyle name="표준 42 2" xfId="17337"/>
    <cellStyle name="표준 42 3" xfId="17338"/>
    <cellStyle name="표준 43" xfId="4826"/>
    <cellStyle name="표준 43 2" xfId="17339"/>
    <cellStyle name="표준 43 3" xfId="17340"/>
    <cellStyle name="표준 44" xfId="4827"/>
    <cellStyle name="표준 44 2" xfId="17341"/>
    <cellStyle name="표준 44 3" xfId="17342"/>
    <cellStyle name="표준 45" xfId="4828"/>
    <cellStyle name="표준 45 2" xfId="17343"/>
    <cellStyle name="표준 45 3" xfId="17344"/>
    <cellStyle name="표준 46" xfId="4829"/>
    <cellStyle name="표준 46 2" xfId="4830"/>
    <cellStyle name="표준 46 3" xfId="17345"/>
    <cellStyle name="표준 47" xfId="4831"/>
    <cellStyle name="표준 47 2" xfId="17346"/>
    <cellStyle name="표준 47 3" xfId="17347"/>
    <cellStyle name="표준 47 4" xfId="17348"/>
    <cellStyle name="표준 48" xfId="4832"/>
    <cellStyle name="표준 48 2" xfId="17349"/>
    <cellStyle name="표준 48 3" xfId="17350"/>
    <cellStyle name="표준 49" xfId="4833"/>
    <cellStyle name="표준 49 2" xfId="17351"/>
    <cellStyle name="표준 49 3" xfId="17352"/>
    <cellStyle name="표준 5" xfId="4834"/>
    <cellStyle name="표준 5 2" xfId="4835"/>
    <cellStyle name="표준 5 2 2" xfId="4836"/>
    <cellStyle name="표준 5 2 2 2" xfId="4837"/>
    <cellStyle name="표준 5 2 2 2 2" xfId="4838"/>
    <cellStyle name="표준 5 2 2 2 2 2" xfId="4839"/>
    <cellStyle name="표준 5 2 2 2 3" xfId="4840"/>
    <cellStyle name="표준 5 2 2 3" xfId="4841"/>
    <cellStyle name="표준 5 2 2 3 2" xfId="4842"/>
    <cellStyle name="표준 5 2 2 4" xfId="4843"/>
    <cellStyle name="표준 5 2 3" xfId="4844"/>
    <cellStyle name="표준 5 2 3 2" xfId="4845"/>
    <cellStyle name="표준 5 2 3 2 2" xfId="4846"/>
    <cellStyle name="표준 5 2 3 3" xfId="4847"/>
    <cellStyle name="표준 5 2 4" xfId="4848"/>
    <cellStyle name="표준 5 2 4 2" xfId="4849"/>
    <cellStyle name="표준 5 2 5" xfId="4850"/>
    <cellStyle name="표준 5 3" xfId="4851"/>
    <cellStyle name="표준 5 3 2" xfId="4852"/>
    <cellStyle name="표준 5 3 3" xfId="4853"/>
    <cellStyle name="표준 5 4" xfId="4854"/>
    <cellStyle name="표준 5 4 2" xfId="17353"/>
    <cellStyle name="표준 5 4 3" xfId="17354"/>
    <cellStyle name="표준 5 5" xfId="4855"/>
    <cellStyle name="표준 5 6" xfId="4856"/>
    <cellStyle name="표준 5 7" xfId="17355"/>
    <cellStyle name="표준 5_SHB 2010-2 Program Data Disk_Pool A+B 통합" xfId="4857"/>
    <cellStyle name="표준 50" xfId="4858"/>
    <cellStyle name="표준 50 2" xfId="17356"/>
    <cellStyle name="표준 50 3" xfId="17357"/>
    <cellStyle name="표준 51" xfId="4859"/>
    <cellStyle name="표준 51 2" xfId="17358"/>
    <cellStyle name="표준 51 3" xfId="17359"/>
    <cellStyle name="표준 52" xfId="4860"/>
    <cellStyle name="표준 52 2" xfId="17360"/>
    <cellStyle name="표준 52 3" xfId="17361"/>
    <cellStyle name="표준 53" xfId="4861"/>
    <cellStyle name="표준 53 2" xfId="17362"/>
    <cellStyle name="표준 53 3" xfId="17363"/>
    <cellStyle name="표준 54" xfId="4862"/>
    <cellStyle name="표준 54 2" xfId="17364"/>
    <cellStyle name="표준 54 3" xfId="17365"/>
    <cellStyle name="표준 55" xfId="4863"/>
    <cellStyle name="표준 55 2" xfId="17366"/>
    <cellStyle name="표준 55 3" xfId="17367"/>
    <cellStyle name="표준 56" xfId="4864"/>
    <cellStyle name="표준 56 2" xfId="17368"/>
    <cellStyle name="표준 56 3" xfId="17369"/>
    <cellStyle name="표준 57" xfId="4865"/>
    <cellStyle name="표준 57 2" xfId="17370"/>
    <cellStyle name="표준 57 3" xfId="17371"/>
    <cellStyle name="표준 58" xfId="4866"/>
    <cellStyle name="표준 58 2" xfId="17372"/>
    <cellStyle name="표준 58 3" xfId="17373"/>
    <cellStyle name="표준 59" xfId="4867"/>
    <cellStyle name="표준 59 2" xfId="17374"/>
    <cellStyle name="표준 59 3" xfId="17375"/>
    <cellStyle name="표준 6" xfId="4868"/>
    <cellStyle name="표준 6 2" xfId="4869"/>
    <cellStyle name="표준 6 2 2" xfId="4870"/>
    <cellStyle name="표준 6 2 3" xfId="4871"/>
    <cellStyle name="표준 6 26" xfId="4872"/>
    <cellStyle name="표준 6 3" xfId="4873"/>
    <cellStyle name="표준 6 3 2" xfId="17376"/>
    <cellStyle name="표준 6 3 3" xfId="17377"/>
    <cellStyle name="표준 6 4" xfId="4874"/>
    <cellStyle name="표준 6 4 2" xfId="4875"/>
    <cellStyle name="표준 6 5" xfId="4876"/>
    <cellStyle name="표준 6 6" xfId="4877"/>
    <cellStyle name="표준 6 7" xfId="17378"/>
    <cellStyle name="표준 6 8" xfId="17379"/>
    <cellStyle name="표준 6_권리분석_v4_김영진" xfId="4878"/>
    <cellStyle name="표준 60" xfId="4879"/>
    <cellStyle name="표준 60 2" xfId="17380"/>
    <cellStyle name="표준 60 2 2" xfId="17381"/>
    <cellStyle name="표준 60 2 2 2" xfId="17382"/>
    <cellStyle name="표준 60 3" xfId="17383"/>
    <cellStyle name="표준 61" xfId="4880"/>
    <cellStyle name="표준 61 2" xfId="17384"/>
    <cellStyle name="표준 61 2 2" xfId="17385"/>
    <cellStyle name="표준 61 2 3" xfId="17386"/>
    <cellStyle name="표준 61 3" xfId="17387"/>
    <cellStyle name="표준 61 3 2" xfId="17388"/>
    <cellStyle name="표준 61 3 2 2" xfId="17389"/>
    <cellStyle name="표준 61 3 3" xfId="17390"/>
    <cellStyle name="표준 61 4" xfId="17391"/>
    <cellStyle name="표준 61 4 2" xfId="17392"/>
    <cellStyle name="표준 61 4 2 2" xfId="17393"/>
    <cellStyle name="표준 61 4 3" xfId="17394"/>
    <cellStyle name="표준 61 5" xfId="17395"/>
    <cellStyle name="표준 61 5 2" xfId="17396"/>
    <cellStyle name="표준 61 5 2 2" xfId="17397"/>
    <cellStyle name="표준 61 5 3" xfId="17398"/>
    <cellStyle name="표준 61 6" xfId="17399"/>
    <cellStyle name="표준 61 6 2" xfId="17400"/>
    <cellStyle name="표준 61 7" xfId="17401"/>
    <cellStyle name="표준 62" xfId="4881"/>
    <cellStyle name="표준 62 2" xfId="17402"/>
    <cellStyle name="표준 62 2 2" xfId="17403"/>
    <cellStyle name="표준 62 2 2 2" xfId="17404"/>
    <cellStyle name="표준 62 2 3" xfId="17405"/>
    <cellStyle name="표준 62 3" xfId="17406"/>
    <cellStyle name="표준 62 3 2" xfId="17407"/>
    <cellStyle name="표준 62 3 2 2" xfId="17408"/>
    <cellStyle name="표준 62 3 3" xfId="17409"/>
    <cellStyle name="표준 62 4" xfId="17410"/>
    <cellStyle name="표준 62 4 2" xfId="17411"/>
    <cellStyle name="표준 62 4 2 2" xfId="17412"/>
    <cellStyle name="표준 62 4 3" xfId="17413"/>
    <cellStyle name="표준 62 5" xfId="17414"/>
    <cellStyle name="표준 62 5 2" xfId="17415"/>
    <cellStyle name="표준 62 6" xfId="17416"/>
    <cellStyle name="표준 63" xfId="4882"/>
    <cellStyle name="표준 63 2" xfId="17417"/>
    <cellStyle name="표준 63 2 2" xfId="17418"/>
    <cellStyle name="표준 63 2 2 2" xfId="17419"/>
    <cellStyle name="표준 63 2 3" xfId="17420"/>
    <cellStyle name="표준 63 3" xfId="17421"/>
    <cellStyle name="표준 63 3 2" xfId="17422"/>
    <cellStyle name="표준 63 3 2 2" xfId="17423"/>
    <cellStyle name="표준 63 3 3" xfId="17424"/>
    <cellStyle name="표준 63 4" xfId="17425"/>
    <cellStyle name="표준 63 4 2" xfId="17426"/>
    <cellStyle name="표준 63 4 2 2" xfId="17427"/>
    <cellStyle name="표준 63 4 3" xfId="17428"/>
    <cellStyle name="표준 63 5" xfId="17429"/>
    <cellStyle name="표준 63 5 2" xfId="17430"/>
    <cellStyle name="표준 63 6" xfId="17431"/>
    <cellStyle name="표준 64" xfId="4883"/>
    <cellStyle name="표준 65" xfId="4884"/>
    <cellStyle name="표준 66" xfId="4885"/>
    <cellStyle name="표준 67" xfId="17432"/>
    <cellStyle name="표준 67 2" xfId="17433"/>
    <cellStyle name="표준 67 2 2" xfId="17434"/>
    <cellStyle name="표준 67 3" xfId="17435"/>
    <cellStyle name="표준 67 4" xfId="17484"/>
    <cellStyle name="표준 68" xfId="4886"/>
    <cellStyle name="표준 68 2" xfId="17436"/>
    <cellStyle name="표준 69" xfId="4887"/>
    <cellStyle name="표준 7" xfId="4888"/>
    <cellStyle name="표준 7 2" xfId="4889"/>
    <cellStyle name="표준 7 2 2" xfId="4890"/>
    <cellStyle name="표준 7 2 3" xfId="4891"/>
    <cellStyle name="표준 7 2 4" xfId="4892"/>
    <cellStyle name="표준 7 3" xfId="4893"/>
    <cellStyle name="표준 7 3 2" xfId="4894"/>
    <cellStyle name="표준 7 3 3" xfId="4895"/>
    <cellStyle name="표준 7 4" xfId="4896"/>
    <cellStyle name="표준 7 4 2" xfId="4897"/>
    <cellStyle name="표준 7 5" xfId="4898"/>
    <cellStyle name="표준 7 6" xfId="4899"/>
    <cellStyle name="표준 7_권리분석(05-20)_당타행선순위_0525" xfId="4900"/>
    <cellStyle name="표준 70" xfId="4901"/>
    <cellStyle name="표준 71" xfId="17437"/>
    <cellStyle name="표준 71 2" xfId="17438"/>
    <cellStyle name="표준 72" xfId="4902"/>
    <cellStyle name="표준 73" xfId="4903"/>
    <cellStyle name="표준 74" xfId="4904"/>
    <cellStyle name="표준 75" xfId="4905"/>
    <cellStyle name="표준 76" xfId="4906"/>
    <cellStyle name="표준 77" xfId="17439"/>
    <cellStyle name="표준 77 2" xfId="17440"/>
    <cellStyle name="표준 78" xfId="17441"/>
    <cellStyle name="표준 78 2" xfId="17442"/>
    <cellStyle name="표준 79" xfId="17443"/>
    <cellStyle name="표준 79 2" xfId="17444"/>
    <cellStyle name="표준 79 2 2" xfId="17445"/>
    <cellStyle name="표준 79 3" xfId="17446"/>
    <cellStyle name="표준 8" xfId="4907"/>
    <cellStyle name="표준 8 2" xfId="4908"/>
    <cellStyle name="표준 8 2 2" xfId="4909"/>
    <cellStyle name="표준 8 2 3" xfId="4910"/>
    <cellStyle name="표준 8 3" xfId="4911"/>
    <cellStyle name="표준 8 3 2" xfId="4912"/>
    <cellStyle name="표준 8 3 3" xfId="17447"/>
    <cellStyle name="표준 8 4" xfId="4913"/>
    <cellStyle name="표준 8 5" xfId="17448"/>
    <cellStyle name="표준 8_타기관 선순위 채권 검토(지석 11-19)_v2" xfId="4914"/>
    <cellStyle name="표준 80" xfId="17449"/>
    <cellStyle name="표준 81" xfId="17450"/>
    <cellStyle name="표준 82" xfId="17451"/>
    <cellStyle name="표준 82 2" xfId="17452"/>
    <cellStyle name="표준 83" xfId="17453"/>
    <cellStyle name="표준 84" xfId="17454"/>
    <cellStyle name="표준 84 2" xfId="17455"/>
    <cellStyle name="표준 85" xfId="17456"/>
    <cellStyle name="표준 86" xfId="17457"/>
    <cellStyle name="표준 87" xfId="32698"/>
    <cellStyle name="표준 9" xfId="4915"/>
    <cellStyle name="표준 9 2" xfId="4916"/>
    <cellStyle name="표준 9 2 2" xfId="4917"/>
    <cellStyle name="표준 9 2 2 2" xfId="17458"/>
    <cellStyle name="표준 9 2 3" xfId="4918"/>
    <cellStyle name="표준 9 2 4" xfId="4919"/>
    <cellStyle name="표준 9 2 5" xfId="17459"/>
    <cellStyle name="표준 9 3" xfId="4920"/>
    <cellStyle name="표준 9 3 2" xfId="17460"/>
    <cellStyle name="표준 9 3 2 2" xfId="17461"/>
    <cellStyle name="표준 9 3 3" xfId="17462"/>
    <cellStyle name="표준 9 4" xfId="4921"/>
    <cellStyle name="표준 9 4 2" xfId="4922"/>
    <cellStyle name="표준 9 4 2 2" xfId="17463"/>
    <cellStyle name="표준 9 4 3" xfId="17464"/>
    <cellStyle name="표준 9 5" xfId="4923"/>
    <cellStyle name="표준 9 5 2" xfId="4924"/>
    <cellStyle name="표준 9 5 3" xfId="17465"/>
    <cellStyle name="標準_1.貸付????ベ?ス" xfId="4925"/>
    <cellStyle name="표준_DataDisk_H&amp;CB_DD_0817 2" xfId="23575"/>
    <cellStyle name="표준_Datadisk_주은_regular_073022_KB SPC 2006-1 Program_DataDisk#2_Regular Asset_master_0816" xfId="23577"/>
    <cellStyle name="표준_KEB_Datadisk_0521_관련재산_test 2" xfId="23573"/>
    <cellStyle name="표준_KEB_Datadisk_0521_관련재산_test_Datadisk_Regular_주은_0816.02_KB SPC 2006-1 Program_DataDisk#2_Regular Asset_master_0816" xfId="23578"/>
    <cellStyle name="표준_KEB_Datadisk_0521_관련재산_test_Kookmin·H&amp;CB SPC_주은일차(H0006~)_Data Disk #3_Clean" xfId="23576"/>
    <cellStyle name="표준_KEB_Datadisk_0521_관련재산_test_Kookmin·H&amp;CB SPC_주은일차(H0006~)_Data Disk #3_Clean_KB SPC 2006-1 Program_DataDisk#2_Regular Asset_master_0816" xfId="17481"/>
    <cellStyle name="標準_One Pager" xfId="17482"/>
    <cellStyle name="표준_Sheet CD(국민)" xfId="17480"/>
    <cellStyle name="標準_工業所有権等収益海外 " xfId="17483"/>
    <cellStyle name="표준_보증인_120614" xfId="23574"/>
    <cellStyle name="표준1" xfId="4926"/>
    <cellStyle name="하이퍼링크 2" xfId="4927"/>
    <cellStyle name="하이퍼링크 2 2" xfId="4928"/>
    <cellStyle name="하이퍼링크 2 2 2" xfId="17466"/>
    <cellStyle name="하이퍼링크 2 2 3" xfId="17467"/>
    <cellStyle name="하이퍼링크 2 3" xfId="17468"/>
    <cellStyle name="하이퍼링크 2 3 2" xfId="17469"/>
    <cellStyle name="하이퍼링크 2 3 3" xfId="17470"/>
    <cellStyle name="하이퍼링크 2 4" xfId="17471"/>
    <cellStyle name="하이퍼링크 2 5" xfId="17472"/>
    <cellStyle name="하이퍼링크 3" xfId="4929"/>
    <cellStyle name="하이퍼링크 3 2" xfId="17473"/>
    <cellStyle name="하이퍼링크 3 3" xfId="17474"/>
    <cellStyle name="하이퍼링크 4" xfId="4930"/>
    <cellStyle name="하이퍼링크 5" xfId="4931"/>
    <cellStyle name="합산" xfId="4932"/>
    <cellStyle name="합산 2" xfId="17475"/>
    <cellStyle name="합산 3" xfId="17476"/>
    <cellStyle name="桁?切り [0.00]_FLCCHECKTOKYO(0106)" xfId="4933"/>
    <cellStyle name="桁?切り_1.貸付????ベ?ス" xfId="4934"/>
    <cellStyle name="桁区切り [0.00]_FLCCHECKTOKYO(0106)" xfId="4935"/>
    <cellStyle name="桁区切り_1.貸付ﾃﾞｰﾀベース" xfId="4936"/>
    <cellStyle name="화폐" xfId="4937"/>
    <cellStyle name="貨幣 [0]_GARMENT STEP FORM HK" xfId="4938"/>
    <cellStyle name="貨幣_GARMENT STEP FORM HK" xfId="4939"/>
    <cellStyle name="화폐기호" xfId="4940"/>
    <cellStyle name="화폐기호 2" xfId="4941"/>
    <cellStyle name="화폐기호 3" xfId="17477"/>
    <cellStyle name="화폐기호0" xfId="4942"/>
    <cellStyle name="화폐기호0 2" xfId="4943"/>
    <cellStyle name="화폐기호0 3" xfId="17478"/>
    <cellStyle name="확인" xfId="494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74"/>
  <sheetViews>
    <sheetView showGridLines="0" tabSelected="1" topLeftCell="A7" zoomScale="85" zoomScaleNormal="85" workbookViewId="0">
      <selection activeCell="H26" sqref="H26"/>
    </sheetView>
  </sheetViews>
  <sheetFormatPr defaultColWidth="9" defaultRowHeight="12" customHeight="1"/>
  <cols>
    <col min="1" max="1" width="1.58203125" style="67" customWidth="1"/>
    <col min="2" max="5" width="10.58203125" style="67" customWidth="1"/>
    <col min="6" max="6" width="17.58203125" style="67" customWidth="1"/>
    <col min="7" max="7" width="10.58203125" style="68" bestFit="1" customWidth="1"/>
    <col min="8" max="8" width="10.58203125" style="67" customWidth="1"/>
    <col min="9" max="14" width="15.58203125" style="67" customWidth="1"/>
    <col min="15" max="15" width="30.58203125" style="68" customWidth="1"/>
    <col min="16" max="16384" width="9" style="67"/>
  </cols>
  <sheetData>
    <row r="1" spans="1:15" s="1" customFormat="1" ht="15" customHeight="1">
      <c r="G1" s="63"/>
    </row>
    <row r="2" spans="1:15" s="5" customFormat="1" ht="26.25" customHeight="1" thickBot="1">
      <c r="A2" s="2" t="s">
        <v>790</v>
      </c>
      <c r="B2" s="3"/>
      <c r="C2" s="4"/>
      <c r="D2" s="4"/>
      <c r="E2" s="4"/>
      <c r="F2" s="4"/>
      <c r="G2" s="64"/>
      <c r="H2" s="4"/>
      <c r="I2" s="242"/>
      <c r="J2" s="241"/>
      <c r="K2" s="4"/>
      <c r="L2" s="4"/>
      <c r="M2" s="4"/>
    </row>
    <row r="3" spans="1:15" s="5" customFormat="1" ht="20.25" customHeight="1">
      <c r="A3" s="6" t="s">
        <v>2482</v>
      </c>
      <c r="B3" s="7"/>
      <c r="C3" s="4"/>
      <c r="D3" s="4"/>
      <c r="E3" s="4"/>
      <c r="H3" s="8"/>
      <c r="I3" s="439" t="s">
        <v>0</v>
      </c>
      <c r="J3" s="440">
        <v>45869</v>
      </c>
      <c r="L3" s="223"/>
    </row>
    <row r="4" spans="1:15" s="12" customFormat="1" ht="20.25" customHeight="1">
      <c r="A4" s="9" t="s">
        <v>161</v>
      </c>
      <c r="B4" s="10"/>
      <c r="C4" s="11"/>
      <c r="D4" s="11"/>
      <c r="E4" s="11"/>
      <c r="H4" s="11"/>
      <c r="I4" s="441" t="s">
        <v>361</v>
      </c>
      <c r="J4" s="442">
        <v>1396</v>
      </c>
      <c r="K4" s="60"/>
      <c r="L4" s="11"/>
    </row>
    <row r="5" spans="1:15" s="12" customFormat="1" ht="20.25" customHeight="1" thickBot="1">
      <c r="A5" s="9" t="s">
        <v>160</v>
      </c>
      <c r="B5" s="13"/>
      <c r="C5" s="11"/>
      <c r="D5" s="11"/>
      <c r="E5" s="11"/>
      <c r="H5" s="14"/>
      <c r="I5" s="443" t="s">
        <v>374</v>
      </c>
      <c r="J5" s="328">
        <v>9.3489000000000004</v>
      </c>
      <c r="K5" s="226"/>
      <c r="L5" s="15"/>
      <c r="O5" s="240"/>
    </row>
    <row r="6" spans="1:15" s="12" customFormat="1" ht="20.25" customHeight="1">
      <c r="A6" s="9"/>
      <c r="B6" s="13"/>
      <c r="C6" s="11"/>
      <c r="D6" s="11"/>
      <c r="E6" s="11"/>
      <c r="H6" s="14"/>
      <c r="I6" s="11"/>
      <c r="K6" s="226"/>
      <c r="L6" s="15"/>
      <c r="O6" s="240"/>
    </row>
    <row r="7" spans="1:15" s="290" customFormat="1" ht="12" customHeight="1" thickBot="1">
      <c r="A7" s="65"/>
      <c r="B7" s="394"/>
      <c r="C7" s="395"/>
      <c r="D7" s="395"/>
      <c r="E7" s="395"/>
      <c r="F7" s="397"/>
      <c r="G7" s="398"/>
      <c r="H7" s="72"/>
      <c r="I7" s="72"/>
      <c r="J7" s="72"/>
      <c r="K7" s="72"/>
      <c r="L7" s="72"/>
      <c r="M7" s="72"/>
      <c r="N7" s="72"/>
      <c r="O7" s="396"/>
    </row>
    <row r="8" spans="1:15" s="12" customFormat="1" ht="15" customHeight="1">
      <c r="B8" s="16" t="s">
        <v>1</v>
      </c>
      <c r="C8" s="17"/>
      <c r="D8" s="17"/>
      <c r="E8" s="17"/>
      <c r="F8" s="17"/>
      <c r="G8" s="18"/>
      <c r="H8" s="17"/>
      <c r="I8" s="17" t="s">
        <v>2</v>
      </c>
      <c r="J8" s="17"/>
      <c r="K8" s="17"/>
      <c r="L8" s="17"/>
      <c r="M8" s="17" t="s">
        <v>3</v>
      </c>
      <c r="N8" s="17"/>
      <c r="O8" s="19" t="s">
        <v>4</v>
      </c>
    </row>
    <row r="9" spans="1:15" s="12" customFormat="1" ht="15" customHeight="1" thickBot="1">
      <c r="B9" s="20" t="str">
        <f>"Field "&amp;COLUMN()-1</f>
        <v>Field 1</v>
      </c>
      <c r="C9" s="21" t="str">
        <f>"Field "&amp;COLUMN()-1-COUNTBLANK($B$9:B9)</f>
        <v>Field 2</v>
      </c>
      <c r="D9" s="21" t="str">
        <f>"Field "&amp;COLUMN()-1-COUNTBLANK($B$9:C9)</f>
        <v>Field 3</v>
      </c>
      <c r="E9" s="21" t="str">
        <f>"Field "&amp;COLUMN()-1-COUNTBLANK($B$9:D9)</f>
        <v>Field 4</v>
      </c>
      <c r="F9" s="21" t="str">
        <f>"Field "&amp;COLUMN()-1-COUNTBLANK($B$9:E9)</f>
        <v>Field 5</v>
      </c>
      <c r="G9" s="21" t="str">
        <f>"Field "&amp;COLUMN()-1-COUNTBLANK($B$9:F9)</f>
        <v>Field 6</v>
      </c>
      <c r="H9" s="21" t="str">
        <f>"Field "&amp;COLUMN()-1-COUNTBLANK($B$9:G9)</f>
        <v>Field 7</v>
      </c>
      <c r="I9" s="21" t="str">
        <f>"Field "&amp;COLUMN()-1-COUNTBLANK($B$9:H9)</f>
        <v>Field 8</v>
      </c>
      <c r="J9" s="21" t="str">
        <f>"Field "&amp;COLUMN()-1-COUNTBLANK($B$9:I9)</f>
        <v>Field 9</v>
      </c>
      <c r="K9" s="21" t="str">
        <f>"Field "&amp;COLUMN()-1-COUNTBLANK($B$9:J9)</f>
        <v>Field 10</v>
      </c>
      <c r="L9" s="21" t="str">
        <f>"Field "&amp;COLUMN()-1-COUNTBLANK($B$9:K9)</f>
        <v>Field 11</v>
      </c>
      <c r="M9" s="21" t="str">
        <f>"Field "&amp;COLUMN()-1-COUNTBLANK($B$9:L9)</f>
        <v>Field 12</v>
      </c>
      <c r="N9" s="21" t="str">
        <f>"Field "&amp;COLUMN()-1-COUNTBLANK($B$9:M9)</f>
        <v>Field 13</v>
      </c>
      <c r="O9" s="22" t="str">
        <f>"Field "&amp;COLUMN()-1-COUNTBLANK($B$9:N9)</f>
        <v>Field 14</v>
      </c>
    </row>
    <row r="10" spans="1:15" s="62" customFormat="1" ht="37.5" customHeight="1" thickBot="1">
      <c r="A10" s="66"/>
      <c r="B10" s="23" t="s">
        <v>5</v>
      </c>
      <c r="C10" s="24" t="s">
        <v>6</v>
      </c>
      <c r="D10" s="25" t="s">
        <v>398</v>
      </c>
      <c r="E10" s="25" t="s">
        <v>18</v>
      </c>
      <c r="F10" s="71" t="s">
        <v>164</v>
      </c>
      <c r="G10" s="27" t="s">
        <v>7</v>
      </c>
      <c r="H10" s="25" t="s">
        <v>8</v>
      </c>
      <c r="I10" s="28" t="s">
        <v>9</v>
      </c>
      <c r="J10" s="25" t="s">
        <v>10</v>
      </c>
      <c r="K10" s="25" t="s">
        <v>159</v>
      </c>
      <c r="L10" s="26" t="s">
        <v>11</v>
      </c>
      <c r="M10" s="25" t="s">
        <v>158</v>
      </c>
      <c r="N10" s="25" t="s">
        <v>12</v>
      </c>
      <c r="O10" s="29" t="s">
        <v>4</v>
      </c>
    </row>
    <row r="11" spans="1:15" s="270" customFormat="1" ht="15" customHeight="1">
      <c r="A11" s="317"/>
      <c r="B11" s="359">
        <f t="shared" ref="B11:B28" si="0">ROW()-10</f>
        <v>1</v>
      </c>
      <c r="C11" s="289" t="s">
        <v>416</v>
      </c>
      <c r="D11" s="360" t="s">
        <v>270</v>
      </c>
      <c r="E11" s="289" t="s">
        <v>228</v>
      </c>
      <c r="F11" s="360" t="s">
        <v>718</v>
      </c>
      <c r="G11" s="289"/>
      <c r="H11" s="289" t="s">
        <v>171</v>
      </c>
      <c r="I11" s="30">
        <v>11338971638</v>
      </c>
      <c r="J11" s="30">
        <v>63507450</v>
      </c>
      <c r="K11" s="31">
        <v>11402479088</v>
      </c>
      <c r="L11" s="231">
        <v>620626584</v>
      </c>
      <c r="M11" s="30">
        <v>14081600000</v>
      </c>
      <c r="N11" s="231">
        <v>0</v>
      </c>
      <c r="O11" s="32"/>
    </row>
    <row r="12" spans="1:15" s="270" customFormat="1" ht="15" customHeight="1">
      <c r="A12" s="317"/>
      <c r="B12" s="359">
        <f t="shared" si="0"/>
        <v>2</v>
      </c>
      <c r="C12" s="289" t="s">
        <v>416</v>
      </c>
      <c r="D12" s="360" t="s">
        <v>270</v>
      </c>
      <c r="E12" s="289" t="s">
        <v>210</v>
      </c>
      <c r="F12" s="360" t="s">
        <v>719</v>
      </c>
      <c r="G12" s="289"/>
      <c r="H12" s="289" t="s">
        <v>171</v>
      </c>
      <c r="I12" s="30">
        <v>9404500000</v>
      </c>
      <c r="J12" s="30">
        <v>32238100</v>
      </c>
      <c r="K12" s="31">
        <v>9436738100</v>
      </c>
      <c r="L12" s="231">
        <v>332727020</v>
      </c>
      <c r="M12" s="30">
        <v>11400000000</v>
      </c>
      <c r="N12" s="231">
        <v>0</v>
      </c>
      <c r="O12" s="32"/>
    </row>
    <row r="13" spans="1:15" s="270" customFormat="1" ht="15" customHeight="1">
      <c r="A13" s="317"/>
      <c r="B13" s="359">
        <f t="shared" si="0"/>
        <v>3</v>
      </c>
      <c r="C13" s="289" t="s">
        <v>416</v>
      </c>
      <c r="D13" s="360" t="s">
        <v>270</v>
      </c>
      <c r="E13" s="289" t="s">
        <v>229</v>
      </c>
      <c r="F13" s="360" t="s">
        <v>720</v>
      </c>
      <c r="G13" s="289" t="s">
        <v>234</v>
      </c>
      <c r="H13" s="289" t="s">
        <v>171</v>
      </c>
      <c r="I13" s="30">
        <v>8832059008</v>
      </c>
      <c r="J13" s="30">
        <v>47267610</v>
      </c>
      <c r="K13" s="31">
        <v>8879326618</v>
      </c>
      <c r="L13" s="231">
        <v>285560000</v>
      </c>
      <c r="M13" s="30">
        <v>9843600000</v>
      </c>
      <c r="N13" s="231">
        <v>0</v>
      </c>
      <c r="O13" s="32"/>
    </row>
    <row r="14" spans="1:15" s="270" customFormat="1" ht="15" customHeight="1">
      <c r="A14" s="317"/>
      <c r="B14" s="359">
        <f t="shared" si="0"/>
        <v>4</v>
      </c>
      <c r="C14" s="289" t="s">
        <v>416</v>
      </c>
      <c r="D14" s="360" t="s">
        <v>270</v>
      </c>
      <c r="E14" s="289" t="s">
        <v>230</v>
      </c>
      <c r="F14" s="360" t="s">
        <v>721</v>
      </c>
      <c r="G14" s="289" t="s">
        <v>240</v>
      </c>
      <c r="H14" s="289" t="s">
        <v>171</v>
      </c>
      <c r="I14" s="30">
        <v>8176372317</v>
      </c>
      <c r="J14" s="30">
        <v>51894130</v>
      </c>
      <c r="K14" s="31">
        <v>8228266447</v>
      </c>
      <c r="L14" s="231">
        <v>361083483</v>
      </c>
      <c r="M14" s="30">
        <v>9980400000</v>
      </c>
      <c r="N14" s="231">
        <v>0</v>
      </c>
      <c r="O14" s="32"/>
    </row>
    <row r="15" spans="1:15" s="270" customFormat="1" ht="15" customHeight="1">
      <c r="A15" s="317"/>
      <c r="B15" s="359">
        <f t="shared" si="0"/>
        <v>5</v>
      </c>
      <c r="C15" s="289" t="s">
        <v>416</v>
      </c>
      <c r="D15" s="360" t="s">
        <v>270</v>
      </c>
      <c r="E15" s="289" t="s">
        <v>231</v>
      </c>
      <c r="F15" s="360" t="s">
        <v>722</v>
      </c>
      <c r="G15" s="289"/>
      <c r="H15" s="289" t="s">
        <v>171</v>
      </c>
      <c r="I15" s="30">
        <v>8080900000</v>
      </c>
      <c r="J15" s="30">
        <v>22742616</v>
      </c>
      <c r="K15" s="31">
        <v>8103642616</v>
      </c>
      <c r="L15" s="231">
        <v>253266841</v>
      </c>
      <c r="M15" s="30">
        <v>4401600000</v>
      </c>
      <c r="N15" s="231">
        <v>0</v>
      </c>
      <c r="O15" s="32"/>
    </row>
    <row r="16" spans="1:15" s="270" customFormat="1" ht="15" customHeight="1">
      <c r="A16" s="317"/>
      <c r="B16" s="359">
        <f t="shared" si="0"/>
        <v>6</v>
      </c>
      <c r="C16" s="289" t="s">
        <v>416</v>
      </c>
      <c r="D16" s="360" t="s">
        <v>270</v>
      </c>
      <c r="E16" s="289" t="s">
        <v>232</v>
      </c>
      <c r="F16" s="360" t="s">
        <v>723</v>
      </c>
      <c r="G16" s="289"/>
      <c r="H16" s="289" t="s">
        <v>171</v>
      </c>
      <c r="I16" s="30">
        <v>7869826465</v>
      </c>
      <c r="J16" s="30">
        <v>22832940</v>
      </c>
      <c r="K16" s="31">
        <v>7892659405</v>
      </c>
      <c r="L16" s="231">
        <v>263818080</v>
      </c>
      <c r="M16" s="30">
        <v>4380000000</v>
      </c>
      <c r="N16" s="231">
        <v>0</v>
      </c>
      <c r="O16" s="32"/>
    </row>
    <row r="17" spans="1:15" s="270" customFormat="1" ht="15" customHeight="1">
      <c r="A17" s="317"/>
      <c r="B17" s="359">
        <f t="shared" si="0"/>
        <v>7</v>
      </c>
      <c r="C17" s="289" t="s">
        <v>416</v>
      </c>
      <c r="D17" s="360" t="s">
        <v>270</v>
      </c>
      <c r="E17" s="289" t="s">
        <v>233</v>
      </c>
      <c r="F17" s="360" t="s">
        <v>724</v>
      </c>
      <c r="G17" s="289"/>
      <c r="H17" s="289" t="s">
        <v>171</v>
      </c>
      <c r="I17" s="30">
        <v>6386570000</v>
      </c>
      <c r="J17" s="30">
        <v>29895060</v>
      </c>
      <c r="K17" s="31">
        <v>6416465060</v>
      </c>
      <c r="L17" s="231">
        <v>259159877</v>
      </c>
      <c r="M17" s="30">
        <v>6000000000</v>
      </c>
      <c r="N17" s="231">
        <v>0</v>
      </c>
      <c r="O17" s="32"/>
    </row>
    <row r="18" spans="1:15" s="270" customFormat="1" ht="15" customHeight="1">
      <c r="A18" s="317"/>
      <c r="B18" s="359">
        <f t="shared" si="0"/>
        <v>8</v>
      </c>
      <c r="C18" s="289" t="s">
        <v>416</v>
      </c>
      <c r="D18" s="360" t="s">
        <v>270</v>
      </c>
      <c r="E18" s="289" t="s">
        <v>234</v>
      </c>
      <c r="F18" s="360" t="s">
        <v>725</v>
      </c>
      <c r="G18" s="289" t="s">
        <v>229</v>
      </c>
      <c r="H18" s="289" t="s">
        <v>171</v>
      </c>
      <c r="I18" s="30">
        <v>5453742391</v>
      </c>
      <c r="J18" s="30">
        <v>36856690</v>
      </c>
      <c r="K18" s="31">
        <v>5490599081</v>
      </c>
      <c r="L18" s="231">
        <v>214192530</v>
      </c>
      <c r="M18" s="30">
        <v>4382000000</v>
      </c>
      <c r="N18" s="231">
        <v>0</v>
      </c>
      <c r="O18" s="32"/>
    </row>
    <row r="19" spans="1:15" s="270" customFormat="1" ht="15" customHeight="1">
      <c r="A19" s="317"/>
      <c r="B19" s="359">
        <f t="shared" si="0"/>
        <v>9</v>
      </c>
      <c r="C19" s="289" t="s">
        <v>416</v>
      </c>
      <c r="D19" s="360" t="s">
        <v>270</v>
      </c>
      <c r="E19" s="289" t="s">
        <v>235</v>
      </c>
      <c r="F19" s="360" t="s">
        <v>726</v>
      </c>
      <c r="G19" s="289"/>
      <c r="H19" s="289" t="s">
        <v>171</v>
      </c>
      <c r="I19" s="30">
        <v>5452406093</v>
      </c>
      <c r="J19" s="30">
        <v>25847150</v>
      </c>
      <c r="K19" s="31">
        <v>5478253243</v>
      </c>
      <c r="L19" s="231">
        <v>203152370</v>
      </c>
      <c r="M19" s="30">
        <v>6300000000</v>
      </c>
      <c r="N19" s="231">
        <v>0</v>
      </c>
      <c r="O19" s="32" t="s">
        <v>727</v>
      </c>
    </row>
    <row r="20" spans="1:15" s="270" customFormat="1" ht="15" customHeight="1">
      <c r="A20" s="317"/>
      <c r="B20" s="359">
        <f t="shared" si="0"/>
        <v>10</v>
      </c>
      <c r="C20" s="289" t="s">
        <v>416</v>
      </c>
      <c r="D20" s="360" t="s">
        <v>270</v>
      </c>
      <c r="E20" s="289" t="s">
        <v>211</v>
      </c>
      <c r="F20" s="360" t="s">
        <v>728</v>
      </c>
      <c r="G20" s="289"/>
      <c r="H20" s="289" t="s">
        <v>171</v>
      </c>
      <c r="I20" s="30">
        <v>4860000000</v>
      </c>
      <c r="J20" s="30">
        <v>41929030</v>
      </c>
      <c r="K20" s="31">
        <v>4901929030</v>
      </c>
      <c r="L20" s="231">
        <v>301407778</v>
      </c>
      <c r="M20" s="30">
        <v>5936000000</v>
      </c>
      <c r="N20" s="231">
        <v>0</v>
      </c>
      <c r="O20" s="32"/>
    </row>
    <row r="21" spans="1:15" s="270" customFormat="1" ht="15" customHeight="1">
      <c r="A21" s="317"/>
      <c r="B21" s="359">
        <f t="shared" si="0"/>
        <v>11</v>
      </c>
      <c r="C21" s="289" t="s">
        <v>416</v>
      </c>
      <c r="D21" s="360" t="s">
        <v>270</v>
      </c>
      <c r="E21" s="289" t="s">
        <v>236</v>
      </c>
      <c r="F21" s="360" t="s">
        <v>729</v>
      </c>
      <c r="G21" s="289"/>
      <c r="H21" s="289" t="s">
        <v>171</v>
      </c>
      <c r="I21" s="30">
        <v>3836260031</v>
      </c>
      <c r="J21" s="30">
        <v>28990760</v>
      </c>
      <c r="K21" s="31">
        <v>3865250791</v>
      </c>
      <c r="L21" s="231">
        <v>199543141</v>
      </c>
      <c r="M21" s="30">
        <v>8600000000</v>
      </c>
      <c r="N21" s="231">
        <v>1026000000</v>
      </c>
      <c r="O21" s="32"/>
    </row>
    <row r="22" spans="1:15" s="270" customFormat="1" ht="15" customHeight="1">
      <c r="A22" s="317"/>
      <c r="B22" s="359">
        <f t="shared" si="0"/>
        <v>12</v>
      </c>
      <c r="C22" s="289" t="s">
        <v>416</v>
      </c>
      <c r="D22" s="360" t="s">
        <v>270</v>
      </c>
      <c r="E22" s="289" t="s">
        <v>237</v>
      </c>
      <c r="F22" s="360" t="s">
        <v>730</v>
      </c>
      <c r="G22" s="289"/>
      <c r="H22" s="289" t="s">
        <v>171</v>
      </c>
      <c r="I22" s="30">
        <v>4344006750</v>
      </c>
      <c r="J22" s="30">
        <v>32060120</v>
      </c>
      <c r="K22" s="31">
        <v>4376066870</v>
      </c>
      <c r="L22" s="231">
        <v>162783924</v>
      </c>
      <c r="M22" s="30">
        <v>4368000000</v>
      </c>
      <c r="N22" s="231">
        <v>0</v>
      </c>
      <c r="O22" s="32"/>
    </row>
    <row r="23" spans="1:15" s="270" customFormat="1" ht="15" customHeight="1">
      <c r="A23" s="317"/>
      <c r="B23" s="359">
        <f t="shared" si="0"/>
        <v>13</v>
      </c>
      <c r="C23" s="289" t="s">
        <v>416</v>
      </c>
      <c r="D23" s="360" t="s">
        <v>270</v>
      </c>
      <c r="E23" s="289" t="s">
        <v>294</v>
      </c>
      <c r="F23" s="360" t="s">
        <v>731</v>
      </c>
      <c r="G23" s="289"/>
      <c r="H23" s="289" t="s">
        <v>172</v>
      </c>
      <c r="I23" s="30">
        <v>4320050000</v>
      </c>
      <c r="J23" s="30">
        <v>27132840</v>
      </c>
      <c r="K23" s="31">
        <v>4347182840</v>
      </c>
      <c r="L23" s="231">
        <v>111565502</v>
      </c>
      <c r="M23" s="30">
        <v>4953600000</v>
      </c>
      <c r="N23" s="231">
        <v>0</v>
      </c>
      <c r="O23" s="32"/>
    </row>
    <row r="24" spans="1:15" s="270" customFormat="1" ht="15" customHeight="1">
      <c r="A24" s="317"/>
      <c r="B24" s="359">
        <f t="shared" si="0"/>
        <v>14</v>
      </c>
      <c r="C24" s="289" t="s">
        <v>416</v>
      </c>
      <c r="D24" s="360" t="s">
        <v>270</v>
      </c>
      <c r="E24" s="289" t="s">
        <v>290</v>
      </c>
      <c r="F24" s="360" t="s">
        <v>732</v>
      </c>
      <c r="G24" s="289"/>
      <c r="H24" s="289" t="s">
        <v>171</v>
      </c>
      <c r="I24" s="30">
        <v>3627650000</v>
      </c>
      <c r="J24" s="30">
        <v>577000</v>
      </c>
      <c r="K24" s="31">
        <v>3628227000</v>
      </c>
      <c r="L24" s="231">
        <v>80056477</v>
      </c>
      <c r="M24" s="30">
        <v>3444000000</v>
      </c>
      <c r="N24" s="231">
        <v>220000000</v>
      </c>
      <c r="O24" s="32"/>
    </row>
    <row r="25" spans="1:15" s="270" customFormat="1" ht="15" customHeight="1">
      <c r="A25" s="317"/>
      <c r="B25" s="359">
        <f t="shared" si="0"/>
        <v>15</v>
      </c>
      <c r="C25" s="289" t="s">
        <v>416</v>
      </c>
      <c r="D25" s="360" t="s">
        <v>270</v>
      </c>
      <c r="E25" s="289" t="s">
        <v>632</v>
      </c>
      <c r="F25" s="360" t="s">
        <v>733</v>
      </c>
      <c r="G25" s="289"/>
      <c r="H25" s="289" t="s">
        <v>171</v>
      </c>
      <c r="I25" s="30">
        <v>3400000000</v>
      </c>
      <c r="J25" s="30">
        <v>16081760</v>
      </c>
      <c r="K25" s="31">
        <v>3416081760</v>
      </c>
      <c r="L25" s="231">
        <v>84152654</v>
      </c>
      <c r="M25" s="30">
        <v>4080000000</v>
      </c>
      <c r="N25" s="231">
        <v>0</v>
      </c>
      <c r="O25" s="32"/>
    </row>
    <row r="26" spans="1:15" s="270" customFormat="1" ht="15" customHeight="1">
      <c r="A26" s="317"/>
      <c r="B26" s="359">
        <f t="shared" si="0"/>
        <v>16</v>
      </c>
      <c r="C26" s="289" t="s">
        <v>416</v>
      </c>
      <c r="D26" s="360" t="s">
        <v>270</v>
      </c>
      <c r="E26" s="289" t="s">
        <v>291</v>
      </c>
      <c r="F26" s="360" t="s">
        <v>734</v>
      </c>
      <c r="G26" s="289"/>
      <c r="H26" s="289" t="s">
        <v>171</v>
      </c>
      <c r="I26" s="30">
        <v>1628989567</v>
      </c>
      <c r="J26" s="30">
        <v>3165624</v>
      </c>
      <c r="K26" s="31">
        <v>1632155191</v>
      </c>
      <c r="L26" s="231">
        <v>93103323</v>
      </c>
      <c r="M26" s="30">
        <v>400000000</v>
      </c>
      <c r="N26" s="231">
        <v>0</v>
      </c>
      <c r="O26" s="32"/>
    </row>
    <row r="27" spans="1:15" s="270" customFormat="1" ht="15" customHeight="1">
      <c r="A27" s="317"/>
      <c r="B27" s="359">
        <f t="shared" si="0"/>
        <v>17</v>
      </c>
      <c r="C27" s="289" t="s">
        <v>416</v>
      </c>
      <c r="D27" s="360" t="s">
        <v>270</v>
      </c>
      <c r="E27" s="289" t="s">
        <v>289</v>
      </c>
      <c r="F27" s="360" t="s">
        <v>735</v>
      </c>
      <c r="G27" s="289"/>
      <c r="H27" s="289" t="s">
        <v>171</v>
      </c>
      <c r="I27" s="30">
        <v>3141339412</v>
      </c>
      <c r="J27" s="30">
        <v>0</v>
      </c>
      <c r="K27" s="31">
        <v>3141339412</v>
      </c>
      <c r="L27" s="231">
        <v>256281419</v>
      </c>
      <c r="M27" s="30">
        <v>5160000000</v>
      </c>
      <c r="N27" s="231">
        <v>0</v>
      </c>
      <c r="O27" s="32"/>
    </row>
    <row r="28" spans="1:15" s="270" customFormat="1" ht="15" customHeight="1">
      <c r="A28" s="317"/>
      <c r="B28" s="359">
        <f t="shared" si="0"/>
        <v>18</v>
      </c>
      <c r="C28" s="289" t="s">
        <v>416</v>
      </c>
      <c r="D28" s="360" t="s">
        <v>270</v>
      </c>
      <c r="E28" s="289" t="s">
        <v>736</v>
      </c>
      <c r="F28" s="360" t="s">
        <v>737</v>
      </c>
      <c r="G28" s="289"/>
      <c r="H28" s="289" t="s">
        <v>171</v>
      </c>
      <c r="I28" s="30">
        <v>3051547520</v>
      </c>
      <c r="J28" s="30">
        <v>23059830</v>
      </c>
      <c r="K28" s="31">
        <v>3074607350</v>
      </c>
      <c r="L28" s="231">
        <v>112922503</v>
      </c>
      <c r="M28" s="30">
        <v>3600000000</v>
      </c>
      <c r="N28" s="231">
        <v>0</v>
      </c>
      <c r="O28" s="32"/>
    </row>
    <row r="29" spans="1:15" s="270" customFormat="1" ht="15" customHeight="1">
      <c r="A29" s="317"/>
      <c r="B29" s="359">
        <f t="shared" ref="B29:B51" si="1">ROW()-10</f>
        <v>19</v>
      </c>
      <c r="C29" s="289" t="s">
        <v>416</v>
      </c>
      <c r="D29" s="360" t="s">
        <v>270</v>
      </c>
      <c r="E29" s="289" t="s">
        <v>293</v>
      </c>
      <c r="F29" s="360" t="s">
        <v>738</v>
      </c>
      <c r="G29" s="289"/>
      <c r="H29" s="289" t="s">
        <v>171</v>
      </c>
      <c r="I29" s="30">
        <v>2899862971</v>
      </c>
      <c r="J29" s="30">
        <v>0</v>
      </c>
      <c r="K29" s="31">
        <v>2899862971</v>
      </c>
      <c r="L29" s="231">
        <v>139768423</v>
      </c>
      <c r="M29" s="30">
        <v>3920000000</v>
      </c>
      <c r="N29" s="231">
        <v>0</v>
      </c>
      <c r="O29" s="32"/>
    </row>
    <row r="30" spans="1:15" s="270" customFormat="1" ht="15" customHeight="1">
      <c r="A30" s="317"/>
      <c r="B30" s="359">
        <f t="shared" si="1"/>
        <v>20</v>
      </c>
      <c r="C30" s="289" t="s">
        <v>416</v>
      </c>
      <c r="D30" s="360" t="s">
        <v>270</v>
      </c>
      <c r="E30" s="289" t="s">
        <v>292</v>
      </c>
      <c r="F30" s="360" t="s">
        <v>739</v>
      </c>
      <c r="G30" s="289" t="s">
        <v>364</v>
      </c>
      <c r="H30" s="289" t="s">
        <v>171</v>
      </c>
      <c r="I30" s="30">
        <v>2881591950</v>
      </c>
      <c r="J30" s="30">
        <v>2781250</v>
      </c>
      <c r="K30" s="31">
        <v>2884373200</v>
      </c>
      <c r="L30" s="231">
        <v>103577372</v>
      </c>
      <c r="M30" s="30">
        <v>2620000000</v>
      </c>
      <c r="N30" s="231">
        <v>0</v>
      </c>
      <c r="O30" s="32"/>
    </row>
    <row r="31" spans="1:15" s="270" customFormat="1" ht="15" customHeight="1">
      <c r="A31" s="317"/>
      <c r="B31" s="359">
        <f t="shared" si="1"/>
        <v>21</v>
      </c>
      <c r="C31" s="289" t="s">
        <v>416</v>
      </c>
      <c r="D31" s="360" t="s">
        <v>270</v>
      </c>
      <c r="E31" s="289" t="s">
        <v>633</v>
      </c>
      <c r="F31" s="360" t="s">
        <v>740</v>
      </c>
      <c r="G31" s="289"/>
      <c r="H31" s="289" t="s">
        <v>171</v>
      </c>
      <c r="I31" s="30">
        <v>2282439480</v>
      </c>
      <c r="J31" s="30">
        <v>37013921</v>
      </c>
      <c r="K31" s="31">
        <v>2319453401</v>
      </c>
      <c r="L31" s="231">
        <v>136162201</v>
      </c>
      <c r="M31" s="30">
        <v>2604000000</v>
      </c>
      <c r="N31" s="231">
        <v>0</v>
      </c>
      <c r="O31" s="32"/>
    </row>
    <row r="32" spans="1:15" s="270" customFormat="1" ht="15" customHeight="1">
      <c r="A32" s="317"/>
      <c r="B32" s="359">
        <f t="shared" si="1"/>
        <v>22</v>
      </c>
      <c r="C32" s="289" t="s">
        <v>416</v>
      </c>
      <c r="D32" s="360" t="s">
        <v>270</v>
      </c>
      <c r="E32" s="289" t="s">
        <v>309</v>
      </c>
      <c r="F32" s="360" t="s">
        <v>741</v>
      </c>
      <c r="G32" s="289"/>
      <c r="H32" s="289" t="s">
        <v>171</v>
      </c>
      <c r="I32" s="30">
        <v>2277773577</v>
      </c>
      <c r="J32" s="30">
        <v>27179755</v>
      </c>
      <c r="K32" s="31">
        <v>2304953332</v>
      </c>
      <c r="L32" s="231">
        <v>101184933</v>
      </c>
      <c r="M32" s="30">
        <v>3840000000</v>
      </c>
      <c r="N32" s="231">
        <v>0</v>
      </c>
      <c r="O32" s="32"/>
    </row>
    <row r="33" spans="1:15" s="270" customFormat="1" ht="15" customHeight="1">
      <c r="A33" s="317"/>
      <c r="B33" s="359">
        <f t="shared" si="1"/>
        <v>23</v>
      </c>
      <c r="C33" s="289" t="s">
        <v>416</v>
      </c>
      <c r="D33" s="360" t="s">
        <v>270</v>
      </c>
      <c r="E33" s="289" t="s">
        <v>297</v>
      </c>
      <c r="F33" s="360" t="s">
        <v>742</v>
      </c>
      <c r="G33" s="289"/>
      <c r="H33" s="289" t="s">
        <v>171</v>
      </c>
      <c r="I33" s="30">
        <v>2112673034</v>
      </c>
      <c r="J33" s="30">
        <v>6953642</v>
      </c>
      <c r="K33" s="31">
        <v>2119626676</v>
      </c>
      <c r="L33" s="231">
        <v>141328576</v>
      </c>
      <c r="M33" s="30">
        <v>1992000000</v>
      </c>
      <c r="N33" s="231">
        <v>0</v>
      </c>
      <c r="O33" s="32"/>
    </row>
    <row r="34" spans="1:15" s="270" customFormat="1" ht="15" customHeight="1">
      <c r="A34" s="317"/>
      <c r="B34" s="359">
        <f t="shared" si="1"/>
        <v>24</v>
      </c>
      <c r="C34" s="289" t="s">
        <v>416</v>
      </c>
      <c r="D34" s="360" t="s">
        <v>270</v>
      </c>
      <c r="E34" s="289" t="s">
        <v>310</v>
      </c>
      <c r="F34" s="360" t="s">
        <v>743</v>
      </c>
      <c r="G34" s="289"/>
      <c r="H34" s="289" t="s">
        <v>171</v>
      </c>
      <c r="I34" s="30">
        <v>1348297097</v>
      </c>
      <c r="J34" s="30">
        <v>11982000</v>
      </c>
      <c r="K34" s="31">
        <v>1360279097</v>
      </c>
      <c r="L34" s="231">
        <v>48408244</v>
      </c>
      <c r="M34" s="30">
        <v>1596000000</v>
      </c>
      <c r="N34" s="231">
        <v>0</v>
      </c>
      <c r="O34" s="32"/>
    </row>
    <row r="35" spans="1:15" s="270" customFormat="1" ht="15" customHeight="1">
      <c r="A35" s="317"/>
      <c r="B35" s="359">
        <f t="shared" si="1"/>
        <v>25</v>
      </c>
      <c r="C35" s="289" t="s">
        <v>416</v>
      </c>
      <c r="D35" s="360" t="s">
        <v>270</v>
      </c>
      <c r="E35" s="289" t="s">
        <v>305</v>
      </c>
      <c r="F35" s="360" t="s">
        <v>744</v>
      </c>
      <c r="G35" s="289"/>
      <c r="H35" s="289" t="s">
        <v>171</v>
      </c>
      <c r="I35" s="30">
        <v>1718041394</v>
      </c>
      <c r="J35" s="30">
        <v>0</v>
      </c>
      <c r="K35" s="31">
        <v>1718041394</v>
      </c>
      <c r="L35" s="231">
        <v>88250373</v>
      </c>
      <c r="M35" s="30">
        <v>1820000000</v>
      </c>
      <c r="N35" s="231">
        <v>0</v>
      </c>
      <c r="O35" s="32"/>
    </row>
    <row r="36" spans="1:15" s="270" customFormat="1" ht="15" customHeight="1">
      <c r="A36" s="317"/>
      <c r="B36" s="359">
        <f t="shared" si="1"/>
        <v>26</v>
      </c>
      <c r="C36" s="289" t="s">
        <v>416</v>
      </c>
      <c r="D36" s="360" t="s">
        <v>270</v>
      </c>
      <c r="E36" s="289" t="s">
        <v>307</v>
      </c>
      <c r="F36" s="360" t="s">
        <v>745</v>
      </c>
      <c r="G36" s="289"/>
      <c r="H36" s="289" t="s">
        <v>171</v>
      </c>
      <c r="I36" s="30">
        <v>1692447047</v>
      </c>
      <c r="J36" s="30">
        <v>17132480</v>
      </c>
      <c r="K36" s="31">
        <v>1709579527</v>
      </c>
      <c r="L36" s="231">
        <v>82852619</v>
      </c>
      <c r="M36" s="30">
        <v>1636000000</v>
      </c>
      <c r="N36" s="231">
        <v>0</v>
      </c>
      <c r="O36" s="32"/>
    </row>
    <row r="37" spans="1:15" s="270" customFormat="1" ht="15" customHeight="1">
      <c r="A37" s="317"/>
      <c r="B37" s="359">
        <f t="shared" si="1"/>
        <v>27</v>
      </c>
      <c r="C37" s="289" t="s">
        <v>416</v>
      </c>
      <c r="D37" s="360" t="s">
        <v>270</v>
      </c>
      <c r="E37" s="289" t="s">
        <v>306</v>
      </c>
      <c r="F37" s="360" t="s">
        <v>746</v>
      </c>
      <c r="G37" s="289"/>
      <c r="H37" s="289" t="s">
        <v>171</v>
      </c>
      <c r="I37" s="30">
        <v>1585999939</v>
      </c>
      <c r="J37" s="30">
        <v>17050590</v>
      </c>
      <c r="K37" s="31">
        <v>1603050529</v>
      </c>
      <c r="L37" s="231">
        <v>110816095</v>
      </c>
      <c r="M37" s="30">
        <v>1818000000</v>
      </c>
      <c r="N37" s="231">
        <v>0</v>
      </c>
      <c r="O37" s="32"/>
    </row>
    <row r="38" spans="1:15" s="270" customFormat="1" ht="15" customHeight="1">
      <c r="A38" s="317"/>
      <c r="B38" s="359">
        <f t="shared" si="1"/>
        <v>28</v>
      </c>
      <c r="C38" s="289" t="s">
        <v>416</v>
      </c>
      <c r="D38" s="360" t="s">
        <v>270</v>
      </c>
      <c r="E38" s="289" t="s">
        <v>301</v>
      </c>
      <c r="F38" s="360" t="s">
        <v>747</v>
      </c>
      <c r="G38" s="289"/>
      <c r="H38" s="289" t="s">
        <v>171</v>
      </c>
      <c r="I38" s="30">
        <v>1696710000</v>
      </c>
      <c r="J38" s="30">
        <v>6608880</v>
      </c>
      <c r="K38" s="31">
        <v>1703318880</v>
      </c>
      <c r="L38" s="231">
        <v>72524310</v>
      </c>
      <c r="M38" s="30">
        <v>600000000</v>
      </c>
      <c r="N38" s="231">
        <v>800000000</v>
      </c>
      <c r="O38" s="32"/>
    </row>
    <row r="39" spans="1:15" s="270" customFormat="1" ht="15" customHeight="1">
      <c r="A39" s="317"/>
      <c r="B39" s="359">
        <f t="shared" si="1"/>
        <v>29</v>
      </c>
      <c r="C39" s="289" t="s">
        <v>416</v>
      </c>
      <c r="D39" s="360" t="s">
        <v>270</v>
      </c>
      <c r="E39" s="289" t="s">
        <v>298</v>
      </c>
      <c r="F39" s="360" t="s">
        <v>748</v>
      </c>
      <c r="G39" s="289"/>
      <c r="H39" s="289" t="s">
        <v>171</v>
      </c>
      <c r="I39" s="30">
        <v>1663320000</v>
      </c>
      <c r="J39" s="30">
        <v>23615360</v>
      </c>
      <c r="K39" s="31">
        <v>1686935360</v>
      </c>
      <c r="L39" s="231">
        <v>111591524</v>
      </c>
      <c r="M39" s="30">
        <v>2076000000</v>
      </c>
      <c r="N39" s="231">
        <v>0</v>
      </c>
      <c r="O39" s="32"/>
    </row>
    <row r="40" spans="1:15" s="270" customFormat="1" ht="15" customHeight="1">
      <c r="A40" s="317"/>
      <c r="B40" s="359">
        <f t="shared" si="1"/>
        <v>30</v>
      </c>
      <c r="C40" s="289" t="s">
        <v>416</v>
      </c>
      <c r="D40" s="360" t="s">
        <v>270</v>
      </c>
      <c r="E40" s="289" t="s">
        <v>296</v>
      </c>
      <c r="F40" s="360" t="s">
        <v>749</v>
      </c>
      <c r="G40" s="289"/>
      <c r="H40" s="289" t="s">
        <v>171</v>
      </c>
      <c r="I40" s="30">
        <v>1496039275</v>
      </c>
      <c r="J40" s="30">
        <v>11617040</v>
      </c>
      <c r="K40" s="31">
        <v>1507656315</v>
      </c>
      <c r="L40" s="231">
        <v>32286319</v>
      </c>
      <c r="M40" s="30">
        <v>1680000000</v>
      </c>
      <c r="N40" s="231">
        <v>0</v>
      </c>
      <c r="O40" s="32"/>
    </row>
    <row r="41" spans="1:15" s="270" customFormat="1" ht="15" customHeight="1">
      <c r="A41" s="317"/>
      <c r="B41" s="359">
        <f t="shared" si="1"/>
        <v>31</v>
      </c>
      <c r="C41" s="289" t="s">
        <v>416</v>
      </c>
      <c r="D41" s="360" t="s">
        <v>270</v>
      </c>
      <c r="E41" s="289" t="s">
        <v>304</v>
      </c>
      <c r="F41" s="360" t="s">
        <v>750</v>
      </c>
      <c r="G41" s="289" t="s">
        <v>365</v>
      </c>
      <c r="H41" s="289" t="s">
        <v>172</v>
      </c>
      <c r="I41" s="30">
        <v>1475476912</v>
      </c>
      <c r="J41" s="30">
        <v>34692378</v>
      </c>
      <c r="K41" s="31">
        <v>1510169290</v>
      </c>
      <c r="L41" s="231">
        <v>78184651</v>
      </c>
      <c r="M41" s="30">
        <v>1200000000</v>
      </c>
      <c r="N41" s="231">
        <v>266400000</v>
      </c>
      <c r="O41" s="32"/>
    </row>
    <row r="42" spans="1:15" s="270" customFormat="1" ht="15" customHeight="1">
      <c r="A42" s="317"/>
      <c r="B42" s="359">
        <f t="shared" si="1"/>
        <v>32</v>
      </c>
      <c r="C42" s="289" t="s">
        <v>416</v>
      </c>
      <c r="D42" s="360" t="s">
        <v>270</v>
      </c>
      <c r="E42" s="289" t="s">
        <v>311</v>
      </c>
      <c r="F42" s="360" t="s">
        <v>751</v>
      </c>
      <c r="G42" s="289"/>
      <c r="H42" s="289" t="s">
        <v>171</v>
      </c>
      <c r="I42" s="30">
        <v>1430000000</v>
      </c>
      <c r="J42" s="30">
        <v>12275260</v>
      </c>
      <c r="K42" s="31">
        <v>1442275260</v>
      </c>
      <c r="L42" s="231">
        <v>34026498</v>
      </c>
      <c r="M42" s="30">
        <v>1380000000</v>
      </c>
      <c r="N42" s="231">
        <v>0</v>
      </c>
      <c r="O42" s="32"/>
    </row>
    <row r="43" spans="1:15" s="270" customFormat="1" ht="15" customHeight="1">
      <c r="A43" s="317"/>
      <c r="B43" s="359">
        <f t="shared" si="1"/>
        <v>33</v>
      </c>
      <c r="C43" s="289" t="s">
        <v>416</v>
      </c>
      <c r="D43" s="360" t="s">
        <v>270</v>
      </c>
      <c r="E43" s="289" t="s">
        <v>312</v>
      </c>
      <c r="F43" s="360" t="s">
        <v>752</v>
      </c>
      <c r="G43" s="289"/>
      <c r="H43" s="289" t="s">
        <v>171</v>
      </c>
      <c r="I43" s="30">
        <v>1340690009</v>
      </c>
      <c r="J43" s="30">
        <v>12185040</v>
      </c>
      <c r="K43" s="31">
        <v>1352875049</v>
      </c>
      <c r="L43" s="231">
        <v>70753766</v>
      </c>
      <c r="M43" s="30">
        <v>1202400000</v>
      </c>
      <c r="N43" s="231">
        <v>0</v>
      </c>
      <c r="O43" s="32"/>
    </row>
    <row r="44" spans="1:15" s="270" customFormat="1" ht="15" customHeight="1">
      <c r="A44" s="317"/>
      <c r="B44" s="359">
        <f t="shared" si="1"/>
        <v>34</v>
      </c>
      <c r="C44" s="289" t="s">
        <v>416</v>
      </c>
      <c r="D44" s="360" t="s">
        <v>270</v>
      </c>
      <c r="E44" s="289" t="s">
        <v>299</v>
      </c>
      <c r="F44" s="360" t="s">
        <v>753</v>
      </c>
      <c r="G44" s="289"/>
      <c r="H44" s="289" t="s">
        <v>172</v>
      </c>
      <c r="I44" s="30">
        <v>1325779400</v>
      </c>
      <c r="J44" s="30">
        <v>7722200</v>
      </c>
      <c r="K44" s="31">
        <v>1333501600</v>
      </c>
      <c r="L44" s="231">
        <v>43004193</v>
      </c>
      <c r="M44" s="30">
        <v>1117200000</v>
      </c>
      <c r="N44" s="231">
        <v>138700000</v>
      </c>
      <c r="O44" s="32"/>
    </row>
    <row r="45" spans="1:15" s="270" customFormat="1" ht="15" customHeight="1">
      <c r="A45" s="317"/>
      <c r="B45" s="359">
        <f t="shared" si="1"/>
        <v>35</v>
      </c>
      <c r="C45" s="289" t="s">
        <v>416</v>
      </c>
      <c r="D45" s="360" t="s">
        <v>270</v>
      </c>
      <c r="E45" s="289" t="s">
        <v>303</v>
      </c>
      <c r="F45" s="360" t="s">
        <v>754</v>
      </c>
      <c r="G45" s="289"/>
      <c r="H45" s="289" t="s">
        <v>171</v>
      </c>
      <c r="I45" s="30">
        <v>1203278716</v>
      </c>
      <c r="J45" s="30">
        <v>8364400</v>
      </c>
      <c r="K45" s="31">
        <v>1211643116</v>
      </c>
      <c r="L45" s="231">
        <v>75797503</v>
      </c>
      <c r="M45" s="30">
        <v>573600000</v>
      </c>
      <c r="N45" s="231">
        <v>480000000</v>
      </c>
      <c r="O45" s="32"/>
    </row>
    <row r="46" spans="1:15" s="270" customFormat="1" ht="15" customHeight="1">
      <c r="A46" s="317"/>
      <c r="B46" s="359">
        <f t="shared" si="1"/>
        <v>36</v>
      </c>
      <c r="C46" s="289" t="s">
        <v>416</v>
      </c>
      <c r="D46" s="360" t="s">
        <v>270</v>
      </c>
      <c r="E46" s="289" t="s">
        <v>295</v>
      </c>
      <c r="F46" s="360" t="s">
        <v>755</v>
      </c>
      <c r="G46" s="289"/>
      <c r="H46" s="289" t="s">
        <v>171</v>
      </c>
      <c r="I46" s="30">
        <v>1118173679</v>
      </c>
      <c r="J46" s="30">
        <v>7628775</v>
      </c>
      <c r="K46" s="31">
        <v>1125802454</v>
      </c>
      <c r="L46" s="231">
        <v>33469217</v>
      </c>
      <c r="M46" s="30">
        <v>669600000</v>
      </c>
      <c r="N46" s="231">
        <v>0</v>
      </c>
      <c r="O46" s="32"/>
    </row>
    <row r="47" spans="1:15" s="270" customFormat="1" ht="15" customHeight="1">
      <c r="A47" s="317"/>
      <c r="B47" s="359">
        <f t="shared" si="1"/>
        <v>37</v>
      </c>
      <c r="C47" s="289" t="s">
        <v>416</v>
      </c>
      <c r="D47" s="360" t="s">
        <v>270</v>
      </c>
      <c r="E47" s="289" t="s">
        <v>308</v>
      </c>
      <c r="F47" s="360" t="s">
        <v>756</v>
      </c>
      <c r="G47" s="289" t="s">
        <v>380</v>
      </c>
      <c r="H47" s="289" t="s">
        <v>171</v>
      </c>
      <c r="I47" s="30">
        <v>1112662000</v>
      </c>
      <c r="J47" s="30">
        <v>664500</v>
      </c>
      <c r="K47" s="31">
        <v>1113326500</v>
      </c>
      <c r="L47" s="231">
        <v>55851372</v>
      </c>
      <c r="M47" s="30">
        <v>1572000000</v>
      </c>
      <c r="N47" s="231">
        <v>100000000</v>
      </c>
      <c r="O47" s="32"/>
    </row>
    <row r="48" spans="1:15" s="270" customFormat="1" ht="15" customHeight="1">
      <c r="A48" s="317"/>
      <c r="B48" s="359">
        <f t="shared" si="1"/>
        <v>38</v>
      </c>
      <c r="C48" s="289" t="s">
        <v>416</v>
      </c>
      <c r="D48" s="360" t="s">
        <v>270</v>
      </c>
      <c r="E48" s="289" t="s">
        <v>300</v>
      </c>
      <c r="F48" s="360" t="s">
        <v>757</v>
      </c>
      <c r="G48" s="289"/>
      <c r="H48" s="289" t="s">
        <v>171</v>
      </c>
      <c r="I48" s="30">
        <v>874000000</v>
      </c>
      <c r="J48" s="30">
        <v>5017070</v>
      </c>
      <c r="K48" s="31">
        <v>879017070</v>
      </c>
      <c r="L48" s="231">
        <v>29253849</v>
      </c>
      <c r="M48" s="30">
        <v>402800000</v>
      </c>
      <c r="N48" s="231">
        <v>0</v>
      </c>
      <c r="O48" s="32"/>
    </row>
    <row r="49" spans="1:15" s="270" customFormat="1" ht="15" customHeight="1">
      <c r="A49" s="317"/>
      <c r="B49" s="359">
        <f t="shared" si="1"/>
        <v>39</v>
      </c>
      <c r="C49" s="289" t="s">
        <v>416</v>
      </c>
      <c r="D49" s="360" t="s">
        <v>270</v>
      </c>
      <c r="E49" s="289" t="s">
        <v>302</v>
      </c>
      <c r="F49" s="360" t="s">
        <v>758</v>
      </c>
      <c r="G49" s="289"/>
      <c r="H49" s="289" t="s">
        <v>171</v>
      </c>
      <c r="I49" s="30">
        <v>800000000</v>
      </c>
      <c r="J49" s="30">
        <v>8852710</v>
      </c>
      <c r="K49" s="31">
        <v>808852710</v>
      </c>
      <c r="L49" s="231">
        <v>21042852</v>
      </c>
      <c r="M49" s="30">
        <v>960000000</v>
      </c>
      <c r="N49" s="231">
        <v>0</v>
      </c>
      <c r="O49" s="32"/>
    </row>
    <row r="50" spans="1:15" s="270" customFormat="1" ht="15" customHeight="1">
      <c r="A50" s="317"/>
      <c r="B50" s="359">
        <f t="shared" si="1"/>
        <v>40</v>
      </c>
      <c r="C50" s="289" t="s">
        <v>416</v>
      </c>
      <c r="D50" s="360" t="s">
        <v>270</v>
      </c>
      <c r="E50" s="289" t="s">
        <v>362</v>
      </c>
      <c r="F50" s="360" t="s">
        <v>637</v>
      </c>
      <c r="G50" s="289"/>
      <c r="H50" s="289" t="s">
        <v>173</v>
      </c>
      <c r="I50" s="30">
        <v>580308534</v>
      </c>
      <c r="J50" s="30">
        <v>5711930</v>
      </c>
      <c r="K50" s="31">
        <v>586020464</v>
      </c>
      <c r="L50" s="231">
        <v>25999852</v>
      </c>
      <c r="M50" s="30">
        <v>420000000</v>
      </c>
      <c r="N50" s="231">
        <v>0</v>
      </c>
      <c r="O50" s="32"/>
    </row>
    <row r="51" spans="1:15" s="270" customFormat="1" ht="15" customHeight="1">
      <c r="A51" s="317"/>
      <c r="B51" s="359">
        <f t="shared" si="1"/>
        <v>41</v>
      </c>
      <c r="C51" s="289" t="s">
        <v>416</v>
      </c>
      <c r="D51" s="360" t="s">
        <v>270</v>
      </c>
      <c r="E51" s="289" t="s">
        <v>363</v>
      </c>
      <c r="F51" s="360" t="s">
        <v>759</v>
      </c>
      <c r="G51" s="289"/>
      <c r="H51" s="289" t="s">
        <v>171</v>
      </c>
      <c r="I51" s="30">
        <v>500000000</v>
      </c>
      <c r="J51" s="30">
        <v>6860380</v>
      </c>
      <c r="K51" s="31">
        <v>506860380</v>
      </c>
      <c r="L51" s="231">
        <v>28394143</v>
      </c>
      <c r="M51" s="30">
        <v>3000000000</v>
      </c>
      <c r="N51" s="231">
        <v>780000000</v>
      </c>
      <c r="O51" s="32"/>
    </row>
    <row r="52" spans="1:15" s="270" customFormat="1" ht="15" customHeight="1">
      <c r="A52" s="317"/>
      <c r="B52" s="359">
        <f t="shared" ref="B52:B73" si="2">ROW()-10</f>
        <v>42</v>
      </c>
      <c r="C52" s="289" t="s">
        <v>416</v>
      </c>
      <c r="D52" s="360" t="s">
        <v>270</v>
      </c>
      <c r="E52" s="289" t="s">
        <v>364</v>
      </c>
      <c r="F52" s="360" t="s">
        <v>634</v>
      </c>
      <c r="G52" s="289" t="s">
        <v>292</v>
      </c>
      <c r="H52" s="289" t="s">
        <v>173</v>
      </c>
      <c r="I52" s="30">
        <v>356331000</v>
      </c>
      <c r="J52" s="30">
        <v>0</v>
      </c>
      <c r="K52" s="31">
        <v>356331000</v>
      </c>
      <c r="L52" s="231">
        <v>8671302</v>
      </c>
      <c r="M52" s="30">
        <v>396000000</v>
      </c>
      <c r="N52" s="231">
        <v>0</v>
      </c>
      <c r="O52" s="32"/>
    </row>
    <row r="53" spans="1:15" s="270" customFormat="1" ht="15" customHeight="1">
      <c r="A53" s="317"/>
      <c r="B53" s="359">
        <f t="shared" si="2"/>
        <v>43</v>
      </c>
      <c r="C53" s="289" t="s">
        <v>416</v>
      </c>
      <c r="D53" s="360" t="s">
        <v>270</v>
      </c>
      <c r="E53" s="289" t="s">
        <v>365</v>
      </c>
      <c r="F53" s="360" t="s">
        <v>761</v>
      </c>
      <c r="G53" s="289" t="s">
        <v>304</v>
      </c>
      <c r="H53" s="289" t="s">
        <v>173</v>
      </c>
      <c r="I53" s="30">
        <v>215000000</v>
      </c>
      <c r="J53" s="30">
        <v>9589460</v>
      </c>
      <c r="K53" s="31">
        <v>224589460</v>
      </c>
      <c r="L53" s="231">
        <v>9014910</v>
      </c>
      <c r="M53" s="30">
        <v>266400000</v>
      </c>
      <c r="N53" s="231">
        <v>0</v>
      </c>
      <c r="O53" s="32"/>
    </row>
    <row r="54" spans="1:15" s="270" customFormat="1" ht="15" customHeight="1">
      <c r="A54" s="317"/>
      <c r="B54" s="359">
        <f t="shared" si="2"/>
        <v>44</v>
      </c>
      <c r="C54" s="289" t="s">
        <v>416</v>
      </c>
      <c r="D54" s="360" t="s">
        <v>270</v>
      </c>
      <c r="E54" s="289" t="s">
        <v>376</v>
      </c>
      <c r="F54" s="360" t="s">
        <v>762</v>
      </c>
      <c r="G54" s="289"/>
      <c r="H54" s="289" t="s">
        <v>173</v>
      </c>
      <c r="I54" s="30">
        <v>190000000</v>
      </c>
      <c r="J54" s="30">
        <v>3981840</v>
      </c>
      <c r="K54" s="31">
        <v>193981840</v>
      </c>
      <c r="L54" s="231">
        <v>11648738</v>
      </c>
      <c r="M54" s="30">
        <v>240000000</v>
      </c>
      <c r="N54" s="231">
        <v>0</v>
      </c>
      <c r="O54" s="32"/>
    </row>
    <row r="55" spans="1:15" s="270" customFormat="1" ht="15" customHeight="1">
      <c r="A55" s="317"/>
      <c r="B55" s="359">
        <f t="shared" si="2"/>
        <v>45</v>
      </c>
      <c r="C55" s="289" t="s">
        <v>416</v>
      </c>
      <c r="D55" s="360" t="s">
        <v>270</v>
      </c>
      <c r="E55" s="289" t="s">
        <v>377</v>
      </c>
      <c r="F55" s="360" t="s">
        <v>763</v>
      </c>
      <c r="G55" s="289"/>
      <c r="H55" s="289" t="s">
        <v>173</v>
      </c>
      <c r="I55" s="30">
        <v>179000000</v>
      </c>
      <c r="J55" s="30">
        <v>1394250</v>
      </c>
      <c r="K55" s="31">
        <v>180394250</v>
      </c>
      <c r="L55" s="231">
        <v>7430191</v>
      </c>
      <c r="M55" s="30">
        <v>154800000</v>
      </c>
      <c r="N55" s="231">
        <v>0</v>
      </c>
      <c r="O55" s="32"/>
    </row>
    <row r="56" spans="1:15" s="270" customFormat="1" ht="15" customHeight="1">
      <c r="A56" s="317"/>
      <c r="B56" s="359">
        <f t="shared" si="2"/>
        <v>46</v>
      </c>
      <c r="C56" s="289" t="s">
        <v>416</v>
      </c>
      <c r="D56" s="360" t="s">
        <v>270</v>
      </c>
      <c r="E56" s="289" t="s">
        <v>378</v>
      </c>
      <c r="F56" s="360" t="s">
        <v>764</v>
      </c>
      <c r="G56" s="289"/>
      <c r="H56" s="289" t="s">
        <v>173</v>
      </c>
      <c r="I56" s="30">
        <v>172617623</v>
      </c>
      <c r="J56" s="30">
        <v>0</v>
      </c>
      <c r="K56" s="31">
        <v>172617623</v>
      </c>
      <c r="L56" s="231">
        <v>20422185</v>
      </c>
      <c r="M56" s="30">
        <v>228000000</v>
      </c>
      <c r="N56" s="231">
        <v>0</v>
      </c>
      <c r="O56" s="32"/>
    </row>
    <row r="57" spans="1:15" s="270" customFormat="1" ht="15" customHeight="1">
      <c r="A57" s="317"/>
      <c r="B57" s="359">
        <f t="shared" si="2"/>
        <v>47</v>
      </c>
      <c r="C57" s="289" t="s">
        <v>416</v>
      </c>
      <c r="D57" s="360" t="s">
        <v>270</v>
      </c>
      <c r="E57" s="289" t="s">
        <v>379</v>
      </c>
      <c r="F57" s="360" t="s">
        <v>765</v>
      </c>
      <c r="G57" s="289"/>
      <c r="H57" s="289" t="s">
        <v>173</v>
      </c>
      <c r="I57" s="30">
        <v>130000000</v>
      </c>
      <c r="J57" s="30">
        <v>3077580</v>
      </c>
      <c r="K57" s="31">
        <v>133077580</v>
      </c>
      <c r="L57" s="231">
        <v>15002897</v>
      </c>
      <c r="M57" s="30">
        <v>158400000</v>
      </c>
      <c r="N57" s="231">
        <v>0</v>
      </c>
      <c r="O57" s="32"/>
    </row>
    <row r="58" spans="1:15" s="270" customFormat="1" ht="15" customHeight="1">
      <c r="A58" s="317"/>
      <c r="B58" s="359">
        <f t="shared" si="2"/>
        <v>48</v>
      </c>
      <c r="C58" s="289" t="s">
        <v>416</v>
      </c>
      <c r="D58" s="360" t="s">
        <v>270</v>
      </c>
      <c r="E58" s="289" t="s">
        <v>380</v>
      </c>
      <c r="F58" s="360" t="s">
        <v>766</v>
      </c>
      <c r="G58" s="289" t="s">
        <v>308</v>
      </c>
      <c r="H58" s="289" t="s">
        <v>173</v>
      </c>
      <c r="I58" s="30">
        <v>65952000</v>
      </c>
      <c r="J58" s="30">
        <v>0</v>
      </c>
      <c r="K58" s="31">
        <v>65952000</v>
      </c>
      <c r="L58" s="231">
        <v>3854000</v>
      </c>
      <c r="M58" s="30">
        <v>100000000</v>
      </c>
      <c r="N58" s="231">
        <v>0</v>
      </c>
      <c r="O58" s="32"/>
    </row>
    <row r="59" spans="1:15" s="270" customFormat="1" ht="15" customHeight="1">
      <c r="A59" s="317"/>
      <c r="B59" s="359">
        <f t="shared" si="2"/>
        <v>49</v>
      </c>
      <c r="C59" s="289" t="s">
        <v>416</v>
      </c>
      <c r="D59" s="360" t="s">
        <v>270</v>
      </c>
      <c r="E59" s="289" t="s">
        <v>635</v>
      </c>
      <c r="F59" s="360" t="s">
        <v>767</v>
      </c>
      <c r="G59" s="289"/>
      <c r="H59" s="289" t="s">
        <v>173</v>
      </c>
      <c r="I59" s="30">
        <v>54000000</v>
      </c>
      <c r="J59" s="30">
        <v>1036970</v>
      </c>
      <c r="K59" s="31">
        <v>55036970</v>
      </c>
      <c r="L59" s="231">
        <v>4020734</v>
      </c>
      <c r="M59" s="30">
        <v>90000000</v>
      </c>
      <c r="N59" s="231">
        <v>0</v>
      </c>
      <c r="O59" s="32"/>
    </row>
    <row r="60" spans="1:15" s="270" customFormat="1" ht="15" customHeight="1">
      <c r="A60" s="317"/>
      <c r="B60" s="359">
        <f t="shared" si="2"/>
        <v>50</v>
      </c>
      <c r="C60" s="289" t="s">
        <v>416</v>
      </c>
      <c r="D60" s="360" t="s">
        <v>270</v>
      </c>
      <c r="E60" s="289" t="s">
        <v>381</v>
      </c>
      <c r="F60" s="360" t="s">
        <v>768</v>
      </c>
      <c r="G60" s="289"/>
      <c r="H60" s="289" t="s">
        <v>173</v>
      </c>
      <c r="I60" s="30">
        <v>49925162</v>
      </c>
      <c r="J60" s="30">
        <v>2424110</v>
      </c>
      <c r="K60" s="31">
        <v>52349272</v>
      </c>
      <c r="L60" s="231">
        <v>2324080</v>
      </c>
      <c r="M60" s="30">
        <v>64800000</v>
      </c>
      <c r="N60" s="231">
        <v>0</v>
      </c>
      <c r="O60" s="32"/>
    </row>
    <row r="61" spans="1:15" s="270" customFormat="1" ht="15" customHeight="1">
      <c r="A61" s="317"/>
      <c r="B61" s="359">
        <f t="shared" si="2"/>
        <v>51</v>
      </c>
      <c r="C61" s="289" t="s">
        <v>416</v>
      </c>
      <c r="D61" s="360" t="s">
        <v>270</v>
      </c>
      <c r="E61" s="289" t="s">
        <v>382</v>
      </c>
      <c r="F61" s="360" t="s">
        <v>769</v>
      </c>
      <c r="G61" s="289"/>
      <c r="H61" s="289" t="s">
        <v>173</v>
      </c>
      <c r="I61" s="30">
        <v>45220000</v>
      </c>
      <c r="J61" s="30">
        <v>0</v>
      </c>
      <c r="K61" s="31">
        <v>45220000</v>
      </c>
      <c r="L61" s="231">
        <v>2197000</v>
      </c>
      <c r="M61" s="30">
        <v>120000000</v>
      </c>
      <c r="N61" s="231">
        <v>0</v>
      </c>
      <c r="O61" s="32"/>
    </row>
    <row r="62" spans="1:15" s="270" customFormat="1" ht="15" customHeight="1">
      <c r="A62" s="317"/>
      <c r="B62" s="359">
        <f t="shared" si="2"/>
        <v>52</v>
      </c>
      <c r="C62" s="289" t="s">
        <v>416</v>
      </c>
      <c r="D62" s="360" t="s">
        <v>270</v>
      </c>
      <c r="E62" s="289" t="s">
        <v>383</v>
      </c>
      <c r="F62" s="360" t="s">
        <v>770</v>
      </c>
      <c r="G62" s="289"/>
      <c r="H62" s="289" t="s">
        <v>173</v>
      </c>
      <c r="I62" s="30">
        <v>29675564</v>
      </c>
      <c r="J62" s="30">
        <v>2374370</v>
      </c>
      <c r="K62" s="31">
        <v>32049934</v>
      </c>
      <c r="L62" s="231">
        <v>2665802</v>
      </c>
      <c r="M62" s="30">
        <v>38400000</v>
      </c>
      <c r="N62" s="231">
        <v>0</v>
      </c>
      <c r="O62" s="32"/>
    </row>
    <row r="63" spans="1:15" s="270" customFormat="1" ht="15" customHeight="1">
      <c r="A63" s="317"/>
      <c r="B63" s="359">
        <f t="shared" si="2"/>
        <v>53</v>
      </c>
      <c r="C63" s="289" t="s">
        <v>416</v>
      </c>
      <c r="D63" s="360" t="s">
        <v>270</v>
      </c>
      <c r="E63" s="289" t="s">
        <v>384</v>
      </c>
      <c r="F63" s="360" t="s">
        <v>771</v>
      </c>
      <c r="G63" s="289"/>
      <c r="H63" s="289" t="s">
        <v>173</v>
      </c>
      <c r="I63" s="30">
        <v>14584707</v>
      </c>
      <c r="J63" s="30">
        <v>946985</v>
      </c>
      <c r="K63" s="31">
        <v>15531692</v>
      </c>
      <c r="L63" s="231">
        <v>928388</v>
      </c>
      <c r="M63" s="30">
        <v>12600000</v>
      </c>
      <c r="N63" s="231">
        <v>0</v>
      </c>
      <c r="O63" s="32"/>
    </row>
    <row r="64" spans="1:15" s="270" customFormat="1" ht="15" customHeight="1">
      <c r="A64" s="317"/>
      <c r="B64" s="359">
        <f t="shared" si="2"/>
        <v>54</v>
      </c>
      <c r="C64" s="289" t="s">
        <v>416</v>
      </c>
      <c r="D64" s="360" t="s">
        <v>270</v>
      </c>
      <c r="E64" s="289" t="s">
        <v>385</v>
      </c>
      <c r="F64" s="360" t="s">
        <v>772</v>
      </c>
      <c r="G64" s="289"/>
      <c r="H64" s="289" t="s">
        <v>173</v>
      </c>
      <c r="I64" s="30">
        <v>14835839</v>
      </c>
      <c r="J64" s="30">
        <v>704220</v>
      </c>
      <c r="K64" s="31">
        <v>15540059</v>
      </c>
      <c r="L64" s="231">
        <v>2105522</v>
      </c>
      <c r="M64" s="30">
        <v>95300000</v>
      </c>
      <c r="N64" s="231">
        <v>63000000</v>
      </c>
      <c r="O64" s="32"/>
    </row>
    <row r="65" spans="1:15" s="270" customFormat="1" ht="15" customHeight="1">
      <c r="A65" s="317"/>
      <c r="B65" s="359">
        <f t="shared" si="2"/>
        <v>55</v>
      </c>
      <c r="C65" s="289" t="s">
        <v>416</v>
      </c>
      <c r="D65" s="360" t="s">
        <v>270</v>
      </c>
      <c r="E65" s="289" t="s">
        <v>386</v>
      </c>
      <c r="F65" s="360" t="s">
        <v>773</v>
      </c>
      <c r="G65" s="289"/>
      <c r="H65" s="289" t="s">
        <v>173</v>
      </c>
      <c r="I65" s="30">
        <v>14708000</v>
      </c>
      <c r="J65" s="30">
        <v>2200290</v>
      </c>
      <c r="K65" s="31">
        <v>16908290</v>
      </c>
      <c r="L65" s="231">
        <v>579000</v>
      </c>
      <c r="M65" s="30">
        <v>18000000</v>
      </c>
      <c r="N65" s="231">
        <v>0</v>
      </c>
      <c r="O65" s="32"/>
    </row>
    <row r="66" spans="1:15" s="270" customFormat="1" ht="15" customHeight="1">
      <c r="A66" s="317"/>
      <c r="B66" s="359">
        <f t="shared" si="2"/>
        <v>56</v>
      </c>
      <c r="C66" s="289" t="s">
        <v>416</v>
      </c>
      <c r="D66" s="360" t="s">
        <v>270</v>
      </c>
      <c r="E66" s="289" t="s">
        <v>636</v>
      </c>
      <c r="F66" s="360" t="s">
        <v>774</v>
      </c>
      <c r="G66" s="289"/>
      <c r="H66" s="289" t="s">
        <v>173</v>
      </c>
      <c r="I66" s="30">
        <v>13410674</v>
      </c>
      <c r="J66" s="30">
        <v>20000</v>
      </c>
      <c r="K66" s="31">
        <v>13430674</v>
      </c>
      <c r="L66" s="231">
        <v>914557</v>
      </c>
      <c r="M66" s="30">
        <v>31200000</v>
      </c>
      <c r="N66" s="231">
        <v>0</v>
      </c>
      <c r="O66" s="32"/>
    </row>
    <row r="67" spans="1:15" s="270" customFormat="1" ht="15" customHeight="1">
      <c r="A67" s="317"/>
      <c r="B67" s="359">
        <f t="shared" si="2"/>
        <v>57</v>
      </c>
      <c r="C67" s="289" t="s">
        <v>416</v>
      </c>
      <c r="D67" s="360" t="s">
        <v>271</v>
      </c>
      <c r="E67" s="289" t="s">
        <v>238</v>
      </c>
      <c r="F67" s="360" t="s">
        <v>775</v>
      </c>
      <c r="G67" s="289"/>
      <c r="H67" s="289" t="s">
        <v>171</v>
      </c>
      <c r="I67" s="30">
        <v>8962004325</v>
      </c>
      <c r="J67" s="30">
        <v>1716800</v>
      </c>
      <c r="K67" s="31">
        <v>8963721125</v>
      </c>
      <c r="L67" s="231">
        <v>145473189</v>
      </c>
      <c r="M67" s="30">
        <v>9908988400</v>
      </c>
      <c r="N67" s="231">
        <v>72000000</v>
      </c>
      <c r="O67" s="32" t="s">
        <v>776</v>
      </c>
    </row>
    <row r="68" spans="1:15" s="270" customFormat="1" ht="15" customHeight="1">
      <c r="A68" s="317"/>
      <c r="B68" s="359">
        <f t="shared" si="2"/>
        <v>58</v>
      </c>
      <c r="C68" s="289" t="s">
        <v>416</v>
      </c>
      <c r="D68" s="360" t="s">
        <v>271</v>
      </c>
      <c r="E68" s="289" t="s">
        <v>239</v>
      </c>
      <c r="F68" s="360" t="s">
        <v>777</v>
      </c>
      <c r="G68" s="289"/>
      <c r="H68" s="289" t="s">
        <v>171</v>
      </c>
      <c r="I68" s="30">
        <v>6681552911</v>
      </c>
      <c r="J68" s="30">
        <v>3773630</v>
      </c>
      <c r="K68" s="31">
        <v>6685326541</v>
      </c>
      <c r="L68" s="231">
        <v>199055633</v>
      </c>
      <c r="M68" s="30">
        <v>6460000000</v>
      </c>
      <c r="N68" s="231">
        <v>240000000</v>
      </c>
      <c r="O68" s="32" t="s">
        <v>778</v>
      </c>
    </row>
    <row r="69" spans="1:15" s="270" customFormat="1" ht="15" customHeight="1">
      <c r="A69" s="317"/>
      <c r="B69" s="359">
        <f t="shared" si="2"/>
        <v>59</v>
      </c>
      <c r="C69" s="289" t="s">
        <v>416</v>
      </c>
      <c r="D69" s="360" t="s">
        <v>271</v>
      </c>
      <c r="E69" s="289" t="s">
        <v>240</v>
      </c>
      <c r="F69" s="360" t="s">
        <v>779</v>
      </c>
      <c r="G69" s="289" t="s">
        <v>230</v>
      </c>
      <c r="H69" s="289" t="s">
        <v>171</v>
      </c>
      <c r="I69" s="30">
        <v>4665595118</v>
      </c>
      <c r="J69" s="30">
        <v>0</v>
      </c>
      <c r="K69" s="31">
        <v>4665595118</v>
      </c>
      <c r="L69" s="231">
        <v>454713328</v>
      </c>
      <c r="M69" s="30">
        <v>3960000000</v>
      </c>
      <c r="N69" s="231">
        <v>0</v>
      </c>
      <c r="O69" s="32" t="s">
        <v>780</v>
      </c>
    </row>
    <row r="70" spans="1:15" s="270" customFormat="1" ht="15" customHeight="1">
      <c r="A70" s="317"/>
      <c r="B70" s="359">
        <f t="shared" si="2"/>
        <v>60</v>
      </c>
      <c r="C70" s="289" t="s">
        <v>416</v>
      </c>
      <c r="D70" s="360" t="s">
        <v>271</v>
      </c>
      <c r="E70" s="289" t="s">
        <v>241</v>
      </c>
      <c r="F70" s="360" t="s">
        <v>781</v>
      </c>
      <c r="G70" s="289"/>
      <c r="H70" s="289" t="s">
        <v>171</v>
      </c>
      <c r="I70" s="30">
        <v>3989177674</v>
      </c>
      <c r="J70" s="30">
        <v>2282711</v>
      </c>
      <c r="K70" s="31">
        <v>3991460385</v>
      </c>
      <c r="L70" s="231">
        <v>118143656</v>
      </c>
      <c r="M70" s="30">
        <v>4884000000</v>
      </c>
      <c r="N70" s="231">
        <v>0</v>
      </c>
      <c r="O70" s="32" t="s">
        <v>782</v>
      </c>
    </row>
    <row r="71" spans="1:15" s="270" customFormat="1" ht="15" customHeight="1">
      <c r="A71" s="317"/>
      <c r="B71" s="359">
        <f t="shared" si="2"/>
        <v>61</v>
      </c>
      <c r="C71" s="289" t="s">
        <v>416</v>
      </c>
      <c r="D71" s="360" t="s">
        <v>271</v>
      </c>
      <c r="E71" s="289" t="s">
        <v>242</v>
      </c>
      <c r="F71" s="360" t="s">
        <v>783</v>
      </c>
      <c r="G71" s="289"/>
      <c r="H71" s="289" t="s">
        <v>171</v>
      </c>
      <c r="I71" s="30">
        <v>2132497371</v>
      </c>
      <c r="J71" s="30">
        <v>0</v>
      </c>
      <c r="K71" s="31">
        <v>2132497371</v>
      </c>
      <c r="L71" s="231">
        <v>60340293</v>
      </c>
      <c r="M71" s="30">
        <v>1302000000</v>
      </c>
      <c r="N71" s="231">
        <v>1440000000</v>
      </c>
      <c r="O71" s="32" t="s">
        <v>784</v>
      </c>
    </row>
    <row r="72" spans="1:15" s="270" customFormat="1" ht="15" customHeight="1">
      <c r="A72" s="317"/>
      <c r="B72" s="359">
        <f t="shared" si="2"/>
        <v>62</v>
      </c>
      <c r="C72" s="289" t="s">
        <v>416</v>
      </c>
      <c r="D72" s="360" t="s">
        <v>271</v>
      </c>
      <c r="E72" s="289" t="s">
        <v>243</v>
      </c>
      <c r="F72" s="360" t="s">
        <v>785</v>
      </c>
      <c r="G72" s="289"/>
      <c r="H72" s="289" t="s">
        <v>171</v>
      </c>
      <c r="I72" s="30">
        <v>2068683154</v>
      </c>
      <c r="J72" s="30">
        <v>1569259</v>
      </c>
      <c r="K72" s="31">
        <v>2070252413</v>
      </c>
      <c r="L72" s="231">
        <v>44364812</v>
      </c>
      <c r="M72" s="30">
        <v>1848000000</v>
      </c>
      <c r="N72" s="231">
        <v>0</v>
      </c>
      <c r="O72" s="32" t="s">
        <v>786</v>
      </c>
    </row>
    <row r="73" spans="1:15" s="270" customFormat="1" ht="15" customHeight="1">
      <c r="A73" s="317"/>
      <c r="B73" s="359">
        <f t="shared" si="2"/>
        <v>63</v>
      </c>
      <c r="C73" s="289" t="s">
        <v>416</v>
      </c>
      <c r="D73" s="360" t="s">
        <v>271</v>
      </c>
      <c r="E73" s="289" t="s">
        <v>787</v>
      </c>
      <c r="F73" s="360" t="s">
        <v>788</v>
      </c>
      <c r="G73" s="289"/>
      <c r="H73" s="289" t="s">
        <v>171</v>
      </c>
      <c r="I73" s="30">
        <v>697227176</v>
      </c>
      <c r="J73" s="30">
        <v>18556760</v>
      </c>
      <c r="K73" s="31">
        <v>715783936</v>
      </c>
      <c r="L73" s="231">
        <v>104929638</v>
      </c>
      <c r="M73" s="30">
        <v>1080000000</v>
      </c>
      <c r="N73" s="231">
        <v>0</v>
      </c>
      <c r="O73" s="32" t="s">
        <v>789</v>
      </c>
    </row>
    <row r="74" spans="1:15" ht="12" customHeight="1" thickBot="1">
      <c r="B74" s="272"/>
      <c r="C74" s="323"/>
      <c r="D74" s="361"/>
      <c r="E74" s="323"/>
      <c r="F74" s="362"/>
      <c r="G74" s="362"/>
      <c r="H74" s="363"/>
      <c r="I74" s="357"/>
      <c r="J74" s="278"/>
      <c r="K74" s="278"/>
      <c r="L74" s="342"/>
      <c r="M74" s="357"/>
      <c r="N74" s="342"/>
      <c r="O74" s="36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18"/>
  <sheetViews>
    <sheetView showGridLines="0" zoomScale="85" zoomScaleNormal="85" workbookViewId="0"/>
  </sheetViews>
  <sheetFormatPr defaultColWidth="9" defaultRowHeight="14.5"/>
  <cols>
    <col min="1" max="1" width="1.58203125" style="67" customWidth="1"/>
    <col min="2" max="5" width="10.58203125" style="67" customWidth="1"/>
    <col min="6" max="6" width="20.58203125" style="295" customWidth="1"/>
    <col min="7" max="7" width="10.58203125" style="67" customWidth="1"/>
    <col min="8" max="8" width="10.58203125" style="68" customWidth="1"/>
    <col min="9" max="9" width="10.58203125" style="67" customWidth="1"/>
    <col min="10" max="28" width="15.58203125" style="67" customWidth="1"/>
    <col min="29" max="29" width="40.58203125" style="67" customWidth="1"/>
    <col min="30" max="16384" width="9" style="67"/>
  </cols>
  <sheetData>
    <row r="1" spans="1:29" s="245" customFormat="1" ht="15" customHeight="1">
      <c r="A1" s="1"/>
      <c r="F1" s="291"/>
      <c r="G1" s="246"/>
    </row>
    <row r="2" spans="1:29" s="247" customFormat="1" ht="27" customHeight="1" thickBot="1">
      <c r="A2" s="2" t="s">
        <v>790</v>
      </c>
      <c r="B2" s="245"/>
      <c r="C2" s="245"/>
      <c r="F2" s="292"/>
    </row>
    <row r="3" spans="1:29" s="247" customFormat="1" ht="20.25" customHeight="1">
      <c r="A3" s="6" t="s">
        <v>2482</v>
      </c>
      <c r="B3" s="245"/>
      <c r="C3" s="245"/>
      <c r="F3" s="292"/>
      <c r="K3" s="439" t="s">
        <v>0</v>
      </c>
      <c r="L3" s="440">
        <v>45869</v>
      </c>
    </row>
    <row r="4" spans="1:29" s="247" customFormat="1" ht="20.25" customHeight="1">
      <c r="A4" s="9" t="s">
        <v>414</v>
      </c>
      <c r="B4" s="3"/>
      <c r="C4" s="3"/>
      <c r="F4" s="292"/>
      <c r="K4" s="441" t="s">
        <v>361</v>
      </c>
      <c r="L4" s="442">
        <v>1396</v>
      </c>
    </row>
    <row r="5" spans="1:29" s="247" customFormat="1" ht="20.25" customHeight="1" thickBot="1">
      <c r="A5" s="9" t="s">
        <v>413</v>
      </c>
      <c r="B5" s="3"/>
      <c r="C5" s="3"/>
      <c r="F5" s="292"/>
      <c r="K5" s="443" t="s">
        <v>374</v>
      </c>
      <c r="L5" s="328">
        <v>9.3489000000000004</v>
      </c>
    </row>
    <row r="6" spans="1:29" s="247" customFormat="1" ht="20.25" customHeight="1">
      <c r="A6" s="9"/>
      <c r="B6" s="3"/>
      <c r="C6" s="3"/>
      <c r="F6" s="292"/>
    </row>
    <row r="7" spans="1:29" s="12" customFormat="1" ht="7.5" customHeight="1" thickBot="1">
      <c r="A7" s="59"/>
      <c r="B7" s="59"/>
      <c r="C7" s="59"/>
      <c r="D7" s="11"/>
      <c r="E7" s="11"/>
      <c r="F7" s="196"/>
      <c r="G7" s="248"/>
      <c r="H7" s="249"/>
      <c r="I7" s="72"/>
      <c r="J7" s="72"/>
      <c r="K7" s="72"/>
      <c r="L7" s="72"/>
      <c r="M7" s="250"/>
      <c r="N7" s="251"/>
      <c r="O7" s="251"/>
      <c r="P7" s="251"/>
      <c r="Q7" s="252"/>
    </row>
    <row r="8" spans="1:29" s="12" customFormat="1" ht="15" customHeight="1">
      <c r="B8" s="16" t="s">
        <v>1</v>
      </c>
      <c r="C8" s="221"/>
      <c r="D8" s="221"/>
      <c r="E8" s="17"/>
      <c r="F8" s="253"/>
      <c r="G8" s="253"/>
      <c r="H8" s="254" t="s">
        <v>346</v>
      </c>
      <c r="I8" s="17"/>
      <c r="J8" s="17"/>
      <c r="K8" s="17"/>
      <c r="L8" s="17"/>
      <c r="M8" s="17"/>
      <c r="N8" s="253"/>
      <c r="O8" s="253"/>
      <c r="P8" s="253"/>
      <c r="Q8" s="17" t="s">
        <v>347</v>
      </c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36" t="s">
        <v>4</v>
      </c>
    </row>
    <row r="9" spans="1:29" s="12" customFormat="1" ht="15" customHeight="1" thickBot="1">
      <c r="B9" s="255" t="str">
        <f>"Field "&amp;COLUMN()-1</f>
        <v>Field 1</v>
      </c>
      <c r="C9" s="256" t="str">
        <f>"Field "&amp;COLUMN()-1-COUNTBLANK($B9:B$9)</f>
        <v>Field 2</v>
      </c>
      <c r="D9" s="256" t="str">
        <f>"Field "&amp;COLUMN()-1-COUNTBLANK($B9:C$9)</f>
        <v>Field 3</v>
      </c>
      <c r="E9" s="256" t="str">
        <f>"Field "&amp;COLUMN()-1-COUNTBLANK($B9:D$9)</f>
        <v>Field 4</v>
      </c>
      <c r="F9" s="256" t="str">
        <f>"Field "&amp;COLUMN()-1-COUNTBLANK($B9:E$9)</f>
        <v>Field 5</v>
      </c>
      <c r="G9" s="256" t="str">
        <f>"Field "&amp;COLUMN()-1-COUNTBLANK($B9:F$9)</f>
        <v>Field 6</v>
      </c>
      <c r="H9" s="256" t="str">
        <f>"Field "&amp;COLUMN()-1-COUNTBLANK($B9:G$9)</f>
        <v>Field 7</v>
      </c>
      <c r="I9" s="256" t="str">
        <f>"Field "&amp;COLUMN()-1-COUNTBLANK($B9:H$9)</f>
        <v>Field 8</v>
      </c>
      <c r="J9" s="256" t="str">
        <f>"Field "&amp;COLUMN()-1-COUNTBLANK($B9:I$9)</f>
        <v>Field 9</v>
      </c>
      <c r="K9" s="256" t="str">
        <f>"Field "&amp;COLUMN()-1-COUNTBLANK($B9:J$9)</f>
        <v>Field 10</v>
      </c>
      <c r="L9" s="256" t="str">
        <f>"Field "&amp;COLUMN()-1-COUNTBLANK($B9:K$9)</f>
        <v>Field 11</v>
      </c>
      <c r="M9" s="256" t="str">
        <f>"Field "&amp;COLUMN()-1-COUNTBLANK($B9:L$9)</f>
        <v>Field 12</v>
      </c>
      <c r="N9" s="256" t="str">
        <f>"Field "&amp;COLUMN()-1-COUNTBLANK($B9:M$9)</f>
        <v>Field 13</v>
      </c>
      <c r="O9" s="256" t="str">
        <f>"Field "&amp;COLUMN()-1-COUNTBLANK($B9:N$9)</f>
        <v>Field 14</v>
      </c>
      <c r="P9" s="256" t="str">
        <f>"Field "&amp;COLUMN()-1-COUNTBLANK($B9:O$9)</f>
        <v>Field 15</v>
      </c>
      <c r="Q9" s="256" t="str">
        <f>"Field "&amp;COLUMN()-1-COUNTBLANK($B9:P$9)</f>
        <v>Field 16</v>
      </c>
      <c r="R9" s="256" t="str">
        <f>"Field "&amp;COLUMN()-1-COUNTBLANK($B9:Q$9)</f>
        <v>Field 17</v>
      </c>
      <c r="S9" s="256" t="str">
        <f>"Field "&amp;COLUMN()-1-COUNTBLANK($B9:R$9)</f>
        <v>Field 18</v>
      </c>
      <c r="T9" s="256" t="str">
        <f>"Field "&amp;COLUMN()-1-COUNTBLANK($B9:S$9)</f>
        <v>Field 19</v>
      </c>
      <c r="U9" s="256" t="str">
        <f>"Field "&amp;COLUMN()-1-COUNTBLANK($B9:T$9)</f>
        <v>Field 20</v>
      </c>
      <c r="V9" s="256" t="str">
        <f>"Field "&amp;COLUMN()-1-COUNTBLANK($B9:U$9)</f>
        <v>Field 21</v>
      </c>
      <c r="W9" s="256" t="str">
        <f>"Field "&amp;COLUMN()-1-COUNTBLANK($B9:V$9)</f>
        <v>Field 22</v>
      </c>
      <c r="X9" s="256" t="str">
        <f>"Field "&amp;COLUMN()-1-COUNTBLANK($B9:W$9)</f>
        <v>Field 23</v>
      </c>
      <c r="Y9" s="256" t="str">
        <f>"Field "&amp;COLUMN()-1-COUNTBLANK($B9:X$9)</f>
        <v>Field 24</v>
      </c>
      <c r="Z9" s="256" t="str">
        <f>"Field "&amp;COLUMN()-1-COUNTBLANK($B9:Y$9)</f>
        <v>Field 25</v>
      </c>
      <c r="AA9" s="256" t="str">
        <f>"Field "&amp;COLUMN()-1-COUNTBLANK($B9:Z$9)</f>
        <v>Field 26</v>
      </c>
      <c r="AB9" s="256" t="str">
        <f>"Field "&amp;COLUMN()-1-COUNTBLANK($B9:AA$9)</f>
        <v>Field 27</v>
      </c>
      <c r="AC9" s="257" t="str">
        <f>"Field "&amp;COLUMN()-1-COUNTBLANK($B9:AB$9)</f>
        <v>Field 28</v>
      </c>
    </row>
    <row r="10" spans="1:29" s="62" customFormat="1" ht="37.5" customHeight="1" thickBot="1">
      <c r="A10" s="66"/>
      <c r="B10" s="258" t="s">
        <v>17</v>
      </c>
      <c r="C10" s="259" t="s">
        <v>348</v>
      </c>
      <c r="D10" s="259" t="s">
        <v>398</v>
      </c>
      <c r="E10" s="260" t="s">
        <v>18</v>
      </c>
      <c r="F10" s="71" t="s">
        <v>38</v>
      </c>
      <c r="G10" s="71" t="s">
        <v>7</v>
      </c>
      <c r="H10" s="25" t="s">
        <v>349</v>
      </c>
      <c r="I10" s="25" t="s">
        <v>350</v>
      </c>
      <c r="J10" s="261" t="s">
        <v>167</v>
      </c>
      <c r="K10" s="261" t="s">
        <v>282</v>
      </c>
      <c r="L10" s="261" t="s">
        <v>283</v>
      </c>
      <c r="M10" s="261" t="s">
        <v>351</v>
      </c>
      <c r="N10" s="261" t="s">
        <v>352</v>
      </c>
      <c r="O10" s="261" t="s">
        <v>353</v>
      </c>
      <c r="P10" s="261" t="s">
        <v>354</v>
      </c>
      <c r="Q10" s="262" t="s">
        <v>406</v>
      </c>
      <c r="R10" s="263" t="s">
        <v>407</v>
      </c>
      <c r="S10" s="263" t="s">
        <v>408</v>
      </c>
      <c r="T10" s="263" t="s">
        <v>409</v>
      </c>
      <c r="U10" s="264" t="s">
        <v>355</v>
      </c>
      <c r="V10" s="264" t="s">
        <v>410</v>
      </c>
      <c r="W10" s="264" t="s">
        <v>411</v>
      </c>
      <c r="X10" s="264" t="s">
        <v>412</v>
      </c>
      <c r="Y10" s="264" t="s">
        <v>168</v>
      </c>
      <c r="Z10" s="265" t="s">
        <v>356</v>
      </c>
      <c r="AA10" s="265" t="s">
        <v>357</v>
      </c>
      <c r="AB10" s="266" t="s">
        <v>358</v>
      </c>
      <c r="AC10" s="267" t="s">
        <v>4</v>
      </c>
    </row>
    <row r="11" spans="1:29" s="270" customFormat="1" ht="15" customHeight="1">
      <c r="A11" s="268"/>
      <c r="B11" s="365">
        <f>ROW()-10</f>
        <v>1</v>
      </c>
      <c r="C11" s="444" t="s">
        <v>416</v>
      </c>
      <c r="D11" s="498" t="s">
        <v>271</v>
      </c>
      <c r="E11" s="512" t="s">
        <v>238</v>
      </c>
      <c r="F11" s="519" t="s">
        <v>775</v>
      </c>
      <c r="G11" s="499"/>
      <c r="H11" s="445" t="s">
        <v>1815</v>
      </c>
      <c r="I11" s="513" t="s">
        <v>284</v>
      </c>
      <c r="J11" s="513" t="s">
        <v>359</v>
      </c>
      <c r="K11" s="513" t="s">
        <v>791</v>
      </c>
      <c r="L11" s="514">
        <v>45806</v>
      </c>
      <c r="M11" s="514">
        <v>45807</v>
      </c>
      <c r="N11" s="514">
        <v>45845</v>
      </c>
      <c r="O11" s="514" t="s">
        <v>338</v>
      </c>
      <c r="P11" s="514" t="s">
        <v>338</v>
      </c>
      <c r="Q11" s="514" t="s">
        <v>338</v>
      </c>
      <c r="R11" s="514" t="s">
        <v>338</v>
      </c>
      <c r="S11" s="514" t="s">
        <v>338</v>
      </c>
      <c r="T11" s="514" t="s">
        <v>338</v>
      </c>
      <c r="U11" s="514" t="s">
        <v>338</v>
      </c>
      <c r="V11" s="514" t="s">
        <v>338</v>
      </c>
      <c r="W11" s="514" t="s">
        <v>338</v>
      </c>
      <c r="X11" s="514" t="s">
        <v>338</v>
      </c>
      <c r="Y11" s="514" t="s">
        <v>338</v>
      </c>
      <c r="Z11" s="514" t="s">
        <v>338</v>
      </c>
      <c r="AA11" s="514" t="s">
        <v>338</v>
      </c>
      <c r="AB11" s="514" t="s">
        <v>338</v>
      </c>
      <c r="AC11" s="269"/>
    </row>
    <row r="12" spans="1:29" s="270" customFormat="1" ht="15" customHeight="1">
      <c r="A12" s="268"/>
      <c r="B12" s="365">
        <f t="shared" ref="B12:B17" si="0">ROW()-10</f>
        <v>2</v>
      </c>
      <c r="C12" s="289" t="s">
        <v>416</v>
      </c>
      <c r="D12" s="330" t="s">
        <v>271</v>
      </c>
      <c r="E12" s="515" t="s">
        <v>239</v>
      </c>
      <c r="F12" s="293" t="s">
        <v>777</v>
      </c>
      <c r="G12" s="360"/>
      <c r="H12" s="448" t="s">
        <v>1815</v>
      </c>
      <c r="I12" s="516" t="s">
        <v>284</v>
      </c>
      <c r="J12" s="516" t="s">
        <v>792</v>
      </c>
      <c r="K12" s="516" t="s">
        <v>793</v>
      </c>
      <c r="L12" s="517">
        <v>45748</v>
      </c>
      <c r="M12" s="517">
        <v>45750</v>
      </c>
      <c r="N12" s="517">
        <v>45776</v>
      </c>
      <c r="O12" s="517" t="s">
        <v>338</v>
      </c>
      <c r="P12" s="517" t="s">
        <v>338</v>
      </c>
      <c r="Q12" s="517" t="s">
        <v>338</v>
      </c>
      <c r="R12" s="517" t="s">
        <v>338</v>
      </c>
      <c r="S12" s="517" t="s">
        <v>338</v>
      </c>
      <c r="T12" s="517" t="s">
        <v>338</v>
      </c>
      <c r="U12" s="517" t="s">
        <v>338</v>
      </c>
      <c r="V12" s="517" t="s">
        <v>338</v>
      </c>
      <c r="W12" s="517" t="s">
        <v>338</v>
      </c>
      <c r="X12" s="517" t="s">
        <v>338</v>
      </c>
      <c r="Y12" s="517" t="s">
        <v>338</v>
      </c>
      <c r="Z12" s="517" t="s">
        <v>338</v>
      </c>
      <c r="AA12" s="517" t="s">
        <v>338</v>
      </c>
      <c r="AB12" s="517" t="s">
        <v>338</v>
      </c>
      <c r="AC12" s="271"/>
    </row>
    <row r="13" spans="1:29" s="270" customFormat="1" ht="15" customHeight="1">
      <c r="A13" s="268"/>
      <c r="B13" s="365">
        <f t="shared" si="0"/>
        <v>3</v>
      </c>
      <c r="C13" s="289" t="s">
        <v>416</v>
      </c>
      <c r="D13" s="330" t="s">
        <v>271</v>
      </c>
      <c r="E13" s="515" t="s">
        <v>240</v>
      </c>
      <c r="F13" s="293" t="s">
        <v>779</v>
      </c>
      <c r="G13" s="360" t="s">
        <v>230</v>
      </c>
      <c r="H13" s="448" t="s">
        <v>1815</v>
      </c>
      <c r="I13" s="516" t="s">
        <v>284</v>
      </c>
      <c r="J13" s="516" t="s">
        <v>359</v>
      </c>
      <c r="K13" s="516" t="s">
        <v>794</v>
      </c>
      <c r="L13" s="517">
        <v>45488</v>
      </c>
      <c r="M13" s="517">
        <v>45490</v>
      </c>
      <c r="N13" s="517">
        <v>45504</v>
      </c>
      <c r="O13" s="517" t="s">
        <v>338</v>
      </c>
      <c r="P13" s="517" t="s">
        <v>338</v>
      </c>
      <c r="Q13" s="517" t="s">
        <v>338</v>
      </c>
      <c r="R13" s="517" t="s">
        <v>338</v>
      </c>
      <c r="S13" s="517" t="s">
        <v>338</v>
      </c>
      <c r="T13" s="517" t="s">
        <v>338</v>
      </c>
      <c r="U13" s="517" t="s">
        <v>338</v>
      </c>
      <c r="V13" s="517" t="s">
        <v>338</v>
      </c>
      <c r="W13" s="517" t="s">
        <v>338</v>
      </c>
      <c r="X13" s="517" t="s">
        <v>338</v>
      </c>
      <c r="Y13" s="517" t="s">
        <v>338</v>
      </c>
      <c r="Z13" s="517" t="s">
        <v>338</v>
      </c>
      <c r="AA13" s="517" t="s">
        <v>338</v>
      </c>
      <c r="AB13" s="517" t="s">
        <v>338</v>
      </c>
      <c r="AC13" s="271"/>
    </row>
    <row r="14" spans="1:29" s="270" customFormat="1" ht="15" customHeight="1">
      <c r="A14" s="268"/>
      <c r="B14" s="365">
        <f t="shared" si="0"/>
        <v>4</v>
      </c>
      <c r="C14" s="289" t="s">
        <v>416</v>
      </c>
      <c r="D14" s="330" t="s">
        <v>271</v>
      </c>
      <c r="E14" s="515" t="s">
        <v>241</v>
      </c>
      <c r="F14" s="293" t="s">
        <v>781</v>
      </c>
      <c r="G14" s="360"/>
      <c r="H14" s="448" t="s">
        <v>1815</v>
      </c>
      <c r="I14" s="516" t="s">
        <v>284</v>
      </c>
      <c r="J14" s="516" t="s">
        <v>359</v>
      </c>
      <c r="K14" s="516" t="s">
        <v>795</v>
      </c>
      <c r="L14" s="517">
        <v>45755</v>
      </c>
      <c r="M14" s="517">
        <v>45756</v>
      </c>
      <c r="N14" s="517">
        <v>45775</v>
      </c>
      <c r="O14" s="517" t="s">
        <v>338</v>
      </c>
      <c r="P14" s="517" t="s">
        <v>338</v>
      </c>
      <c r="Q14" s="517" t="s">
        <v>338</v>
      </c>
      <c r="R14" s="517" t="s">
        <v>338</v>
      </c>
      <c r="S14" s="517" t="s">
        <v>338</v>
      </c>
      <c r="T14" s="517" t="s">
        <v>338</v>
      </c>
      <c r="U14" s="517" t="s">
        <v>338</v>
      </c>
      <c r="V14" s="517" t="s">
        <v>338</v>
      </c>
      <c r="W14" s="517" t="s">
        <v>338</v>
      </c>
      <c r="X14" s="517" t="s">
        <v>338</v>
      </c>
      <c r="Y14" s="517" t="s">
        <v>338</v>
      </c>
      <c r="Z14" s="517" t="s">
        <v>338</v>
      </c>
      <c r="AA14" s="517" t="s">
        <v>338</v>
      </c>
      <c r="AB14" s="517" t="s">
        <v>338</v>
      </c>
      <c r="AC14" s="271"/>
    </row>
    <row r="15" spans="1:29" s="270" customFormat="1" ht="15" customHeight="1">
      <c r="A15" s="268"/>
      <c r="B15" s="365">
        <f t="shared" si="0"/>
        <v>5</v>
      </c>
      <c r="C15" s="289" t="s">
        <v>416</v>
      </c>
      <c r="D15" s="330" t="s">
        <v>271</v>
      </c>
      <c r="E15" s="515" t="s">
        <v>242</v>
      </c>
      <c r="F15" s="293" t="s">
        <v>783</v>
      </c>
      <c r="G15" s="360"/>
      <c r="H15" s="448" t="s">
        <v>1815</v>
      </c>
      <c r="I15" s="516" t="s">
        <v>284</v>
      </c>
      <c r="J15" s="516" t="s">
        <v>359</v>
      </c>
      <c r="K15" s="516" t="s">
        <v>796</v>
      </c>
      <c r="L15" s="517">
        <v>45772</v>
      </c>
      <c r="M15" s="517">
        <v>45776</v>
      </c>
      <c r="N15" s="517">
        <v>45800</v>
      </c>
      <c r="O15" s="517" t="s">
        <v>338</v>
      </c>
      <c r="P15" s="517" t="s">
        <v>338</v>
      </c>
      <c r="Q15" s="517" t="s">
        <v>338</v>
      </c>
      <c r="R15" s="517" t="s">
        <v>338</v>
      </c>
      <c r="S15" s="517" t="s">
        <v>338</v>
      </c>
      <c r="T15" s="517" t="s">
        <v>338</v>
      </c>
      <c r="U15" s="517" t="s">
        <v>338</v>
      </c>
      <c r="V15" s="517" t="s">
        <v>338</v>
      </c>
      <c r="W15" s="517" t="s">
        <v>338</v>
      </c>
      <c r="X15" s="517" t="s">
        <v>338</v>
      </c>
      <c r="Y15" s="517" t="s">
        <v>338</v>
      </c>
      <c r="Z15" s="517" t="s">
        <v>338</v>
      </c>
      <c r="AA15" s="517" t="s">
        <v>338</v>
      </c>
      <c r="AB15" s="517" t="s">
        <v>338</v>
      </c>
      <c r="AC15" s="271"/>
    </row>
    <row r="16" spans="1:29" s="270" customFormat="1" ht="15" customHeight="1">
      <c r="A16" s="268"/>
      <c r="B16" s="365">
        <f t="shared" si="0"/>
        <v>6</v>
      </c>
      <c r="C16" s="289" t="s">
        <v>416</v>
      </c>
      <c r="D16" s="330" t="s">
        <v>271</v>
      </c>
      <c r="E16" s="515" t="s">
        <v>243</v>
      </c>
      <c r="F16" s="293" t="s">
        <v>785</v>
      </c>
      <c r="G16" s="360"/>
      <c r="H16" s="448" t="s">
        <v>1815</v>
      </c>
      <c r="I16" s="516" t="s">
        <v>284</v>
      </c>
      <c r="J16" s="516" t="s">
        <v>359</v>
      </c>
      <c r="K16" s="516" t="s">
        <v>797</v>
      </c>
      <c r="L16" s="517">
        <v>45799</v>
      </c>
      <c r="M16" s="517">
        <v>45803</v>
      </c>
      <c r="N16" s="517">
        <v>45828</v>
      </c>
      <c r="O16" s="517" t="s">
        <v>338</v>
      </c>
      <c r="P16" s="517" t="s">
        <v>338</v>
      </c>
      <c r="Q16" s="517" t="s">
        <v>338</v>
      </c>
      <c r="R16" s="517" t="s">
        <v>338</v>
      </c>
      <c r="S16" s="517" t="s">
        <v>338</v>
      </c>
      <c r="T16" s="517" t="s">
        <v>338</v>
      </c>
      <c r="U16" s="517" t="s">
        <v>338</v>
      </c>
      <c r="V16" s="517" t="s">
        <v>338</v>
      </c>
      <c r="W16" s="517" t="s">
        <v>338</v>
      </c>
      <c r="X16" s="517" t="s">
        <v>338</v>
      </c>
      <c r="Y16" s="517" t="s">
        <v>338</v>
      </c>
      <c r="Z16" s="517" t="s">
        <v>338</v>
      </c>
      <c r="AA16" s="517" t="s">
        <v>338</v>
      </c>
      <c r="AB16" s="517" t="s">
        <v>338</v>
      </c>
      <c r="AC16" s="271"/>
    </row>
    <row r="17" spans="1:29" s="270" customFormat="1" ht="15" customHeight="1">
      <c r="A17" s="268"/>
      <c r="B17" s="365">
        <f t="shared" si="0"/>
        <v>7</v>
      </c>
      <c r="C17" s="289" t="s">
        <v>416</v>
      </c>
      <c r="D17" s="330" t="s">
        <v>271</v>
      </c>
      <c r="E17" s="515" t="s">
        <v>787</v>
      </c>
      <c r="F17" s="293" t="s">
        <v>788</v>
      </c>
      <c r="G17" s="360"/>
      <c r="H17" s="448" t="s">
        <v>1815</v>
      </c>
      <c r="I17" s="516" t="s">
        <v>284</v>
      </c>
      <c r="J17" s="516" t="s">
        <v>324</v>
      </c>
      <c r="K17" s="516" t="s">
        <v>798</v>
      </c>
      <c r="L17" s="517">
        <v>45784</v>
      </c>
      <c r="M17" s="517">
        <v>45789</v>
      </c>
      <c r="N17" s="517">
        <v>45826</v>
      </c>
      <c r="O17" s="517" t="s">
        <v>338</v>
      </c>
      <c r="P17" s="517" t="s">
        <v>338</v>
      </c>
      <c r="Q17" s="517" t="s">
        <v>338</v>
      </c>
      <c r="R17" s="517" t="s">
        <v>338</v>
      </c>
      <c r="S17" s="517" t="s">
        <v>338</v>
      </c>
      <c r="T17" s="517" t="s">
        <v>338</v>
      </c>
      <c r="U17" s="517" t="s">
        <v>338</v>
      </c>
      <c r="V17" s="517" t="s">
        <v>338</v>
      </c>
      <c r="W17" s="517" t="s">
        <v>338</v>
      </c>
      <c r="X17" s="517" t="s">
        <v>338</v>
      </c>
      <c r="Y17" s="517" t="s">
        <v>338</v>
      </c>
      <c r="Z17" s="517" t="s">
        <v>338</v>
      </c>
      <c r="AA17" s="517" t="s">
        <v>338</v>
      </c>
      <c r="AB17" s="517" t="s">
        <v>338</v>
      </c>
      <c r="AC17" s="271"/>
    </row>
    <row r="18" spans="1:29" s="270" customFormat="1" ht="15" thickBot="1">
      <c r="A18" s="268"/>
      <c r="B18" s="272"/>
      <c r="C18" s="273"/>
      <c r="D18" s="273"/>
      <c r="E18" s="274"/>
      <c r="F18" s="294"/>
      <c r="G18" s="275"/>
      <c r="H18" s="276"/>
      <c r="I18" s="277"/>
      <c r="J18" s="278"/>
      <c r="K18" s="278"/>
      <c r="L18" s="279"/>
      <c r="M18" s="278"/>
      <c r="N18" s="278"/>
      <c r="O18" s="280"/>
      <c r="P18" s="280"/>
      <c r="Q18" s="281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82"/>
      <c r="AC18" s="28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93"/>
  <sheetViews>
    <sheetView showGridLines="0" zoomScale="85" zoomScaleNormal="85" workbookViewId="0"/>
  </sheetViews>
  <sheetFormatPr defaultColWidth="9" defaultRowHeight="12" customHeight="1"/>
  <cols>
    <col min="1" max="1" width="1.58203125" style="73" customWidth="1"/>
    <col min="2" max="5" width="10.58203125" style="73" customWidth="1"/>
    <col min="6" max="6" width="23.5" style="73" bestFit="1" customWidth="1"/>
    <col min="7" max="7" width="10.58203125" style="73" customWidth="1"/>
    <col min="8" max="8" width="23.58203125" style="73" customWidth="1"/>
    <col min="9" max="9" width="17.58203125" style="73" customWidth="1"/>
    <col min="10" max="14" width="10.58203125" style="73" customWidth="1"/>
    <col min="15" max="15" width="15.58203125" style="73" customWidth="1"/>
    <col min="16" max="16" width="10.58203125" style="73" customWidth="1"/>
    <col min="17" max="21" width="15.58203125" style="73" customWidth="1"/>
    <col min="22" max="22" width="30.58203125" style="74" customWidth="1"/>
    <col min="23" max="16384" width="9" style="73"/>
  </cols>
  <sheetData>
    <row r="1" spans="1:22" s="1" customFormat="1" ht="15" customHeight="1">
      <c r="V1" s="192"/>
    </row>
    <row r="2" spans="1:22" s="5" customFormat="1" ht="26.25" customHeight="1" thickBot="1">
      <c r="A2" s="2" t="s">
        <v>790</v>
      </c>
      <c r="B2" s="3"/>
      <c r="C2" s="3"/>
      <c r="D2" s="3"/>
      <c r="E2" s="4"/>
      <c r="F2" s="4"/>
      <c r="G2" s="4"/>
      <c r="H2" s="4"/>
      <c r="J2" s="4"/>
      <c r="K2" s="4"/>
      <c r="L2" s="4"/>
      <c r="N2" s="33"/>
      <c r="O2" s="244"/>
      <c r="R2" s="244"/>
      <c r="S2" s="244"/>
      <c r="V2" s="194"/>
    </row>
    <row r="3" spans="1:22" s="5" customFormat="1" ht="20.25" customHeight="1">
      <c r="A3" s="224" t="s">
        <v>2482</v>
      </c>
      <c r="B3" s="7"/>
      <c r="C3" s="34"/>
      <c r="D3" s="34"/>
      <c r="E3" s="4"/>
      <c r="F3" s="4"/>
      <c r="G3" s="4"/>
      <c r="H3" s="439" t="s">
        <v>0</v>
      </c>
      <c r="I3" s="440">
        <v>45869</v>
      </c>
      <c r="J3" s="57"/>
      <c r="K3" s="57"/>
      <c r="L3" s="8"/>
      <c r="N3" s="8"/>
      <c r="O3" s="390"/>
      <c r="Q3" s="391"/>
      <c r="V3" s="194"/>
    </row>
    <row r="4" spans="1:22" s="12" customFormat="1" ht="20.25" customHeight="1">
      <c r="A4" s="9" t="s">
        <v>13</v>
      </c>
      <c r="B4" s="10"/>
      <c r="C4" s="58"/>
      <c r="D4" s="58"/>
      <c r="E4" s="11"/>
      <c r="F4" s="11"/>
      <c r="G4" s="11"/>
      <c r="H4" s="441" t="s">
        <v>361</v>
      </c>
      <c r="I4" s="442">
        <v>1396</v>
      </c>
      <c r="J4" s="11"/>
      <c r="K4" s="11"/>
      <c r="L4" s="11"/>
      <c r="N4" s="35"/>
      <c r="Q4" s="60"/>
      <c r="V4" s="392"/>
    </row>
    <row r="5" spans="1:22" s="12" customFormat="1" ht="20.25" customHeight="1" thickBot="1">
      <c r="A5" s="9" t="s">
        <v>14</v>
      </c>
      <c r="B5" s="13"/>
      <c r="C5" s="59"/>
      <c r="D5" s="59"/>
      <c r="E5" s="11"/>
      <c r="F5" s="11"/>
      <c r="G5" s="11"/>
      <c r="H5" s="443" t="s">
        <v>374</v>
      </c>
      <c r="I5" s="328">
        <v>9.3489000000000004</v>
      </c>
      <c r="J5" s="15"/>
      <c r="K5" s="15"/>
      <c r="L5" s="11"/>
      <c r="N5" s="35"/>
      <c r="O5" s="226"/>
      <c r="Q5" s="393"/>
      <c r="R5" s="60"/>
      <c r="S5" s="60"/>
      <c r="T5" s="60"/>
      <c r="U5" s="60"/>
      <c r="V5" s="392"/>
    </row>
    <row r="6" spans="1:22" s="12" customFormat="1" ht="20.25" customHeight="1">
      <c r="A6" s="9"/>
      <c r="B6" s="13"/>
      <c r="C6" s="59"/>
      <c r="D6" s="59"/>
      <c r="E6" s="11"/>
      <c r="F6" s="11"/>
      <c r="G6" s="11"/>
      <c r="H6" s="15"/>
      <c r="I6" s="11"/>
      <c r="K6" s="15"/>
      <c r="L6" s="11"/>
      <c r="N6" s="35"/>
      <c r="O6" s="226"/>
      <c r="Q6" s="393"/>
      <c r="R6" s="60"/>
      <c r="S6" s="60"/>
      <c r="T6" s="60"/>
      <c r="U6" s="60"/>
      <c r="V6" s="392"/>
    </row>
    <row r="7" spans="1:22" s="370" customFormat="1" ht="12" customHeight="1" thickBot="1">
      <c r="A7" s="319"/>
      <c r="B7" s="387"/>
      <c r="C7" s="388"/>
      <c r="D7" s="388"/>
      <c r="E7" s="388"/>
      <c r="F7" s="388"/>
      <c r="G7" s="388"/>
      <c r="H7" s="388"/>
      <c r="I7" s="388"/>
      <c r="J7" s="388"/>
      <c r="K7" s="388"/>
      <c r="L7" s="388"/>
      <c r="M7" s="388"/>
      <c r="N7" s="388"/>
      <c r="O7" s="389"/>
      <c r="P7" s="389"/>
      <c r="Q7" s="389"/>
      <c r="R7" s="389"/>
      <c r="S7" s="389"/>
      <c r="T7" s="389"/>
      <c r="U7" s="389"/>
      <c r="V7" s="388"/>
    </row>
    <row r="8" spans="1:22" s="12" customFormat="1" ht="15" customHeight="1">
      <c r="B8" s="16" t="s">
        <v>15</v>
      </c>
      <c r="C8" s="17"/>
      <c r="D8" s="17"/>
      <c r="E8" s="17"/>
      <c r="F8" s="17"/>
      <c r="G8" s="17" t="s">
        <v>27</v>
      </c>
      <c r="H8" s="17"/>
      <c r="I8" s="17"/>
      <c r="J8" s="17"/>
      <c r="K8" s="17"/>
      <c r="L8" s="17"/>
      <c r="M8" s="17"/>
      <c r="N8" s="17"/>
      <c r="O8" s="17"/>
      <c r="P8" s="17" t="s">
        <v>28</v>
      </c>
      <c r="Q8" s="17"/>
      <c r="R8" s="17"/>
      <c r="S8" s="17"/>
      <c r="T8" s="17"/>
      <c r="U8" s="17"/>
      <c r="V8" s="320" t="s">
        <v>16</v>
      </c>
    </row>
    <row r="9" spans="1:22" s="12" customFormat="1" ht="15" customHeight="1" thickBot="1">
      <c r="B9" s="20" t="str">
        <f>"Field "&amp;COLUMN()-1</f>
        <v>Field 1</v>
      </c>
      <c r="C9" s="21" t="str">
        <f>"Field "&amp;COLUMN()-1-COUNTBLANK($B$9:B9)</f>
        <v>Field 2</v>
      </c>
      <c r="D9" s="21" t="str">
        <f>"Field "&amp;COLUMN()-1-COUNTBLANK($B$9:C9)</f>
        <v>Field 3</v>
      </c>
      <c r="E9" s="21" t="str">
        <f>"Field "&amp;COLUMN()-1-COUNTBLANK($B$9:D9)</f>
        <v>Field 4</v>
      </c>
      <c r="F9" s="21" t="str">
        <f>"Field "&amp;COLUMN()-1-COUNTBLANK($B$9:E9)</f>
        <v>Field 5</v>
      </c>
      <c r="G9" s="21" t="str">
        <f>"Field "&amp;COLUMN()-1-COUNTBLANK($B$9:F9)</f>
        <v>Field 6</v>
      </c>
      <c r="H9" s="21" t="str">
        <f>"Field "&amp;COLUMN()-1-COUNTBLANK($B$9:G9)</f>
        <v>Field 7</v>
      </c>
      <c r="I9" s="21" t="str">
        <f>"Field "&amp;COLUMN()-1-COUNTBLANK($B$9:H9)</f>
        <v>Field 8</v>
      </c>
      <c r="J9" s="21" t="str">
        <f>"Field "&amp;COLUMN()-1-COUNTBLANK($B$9:I9)</f>
        <v>Field 9</v>
      </c>
      <c r="K9" s="21" t="str">
        <f>"Field "&amp;COLUMN()-1-COUNTBLANK($B$9:J9)</f>
        <v>Field 10</v>
      </c>
      <c r="L9" s="21" t="str">
        <f>"Field "&amp;COLUMN()-1-COUNTBLANK($B$9:K9)</f>
        <v>Field 11</v>
      </c>
      <c r="M9" s="21" t="str">
        <f>"Field "&amp;COLUMN()-1-COUNTBLANK($B$9:L9)</f>
        <v>Field 12</v>
      </c>
      <c r="N9" s="21" t="str">
        <f>"Field "&amp;COLUMN()-1-COUNTBLANK($B$9:M9)</f>
        <v>Field 13</v>
      </c>
      <c r="O9" s="21" t="str">
        <f>"Field "&amp;COLUMN()-1-COUNTBLANK($B$9:N9)</f>
        <v>Field 14</v>
      </c>
      <c r="P9" s="21" t="str">
        <f>"Field "&amp;COLUMN()-1-COUNTBLANK($B$9:O9)</f>
        <v>Field 15</v>
      </c>
      <c r="Q9" s="21" t="str">
        <f>"Field "&amp;COLUMN()-1-COUNTBLANK($B$9:P9)</f>
        <v>Field 16</v>
      </c>
      <c r="R9" s="21" t="str">
        <f>"Field "&amp;COLUMN()-1-COUNTBLANK($B$9:Q9)</f>
        <v>Field 17</v>
      </c>
      <c r="S9" s="21" t="str">
        <f>"Field "&amp;COLUMN()-1-COUNTBLANK($B$9:R9)</f>
        <v>Field 18</v>
      </c>
      <c r="T9" s="21" t="str">
        <f>"Field "&amp;COLUMN()-1-COUNTBLANK($B$9:S9)</f>
        <v>Field 19</v>
      </c>
      <c r="U9" s="21" t="str">
        <f>"Field "&amp;COLUMN()-1-COUNTBLANK($B$9:T9)</f>
        <v>Field 20</v>
      </c>
      <c r="V9" s="22" t="str">
        <f>"Field "&amp;COLUMN()-1-COUNTBLANK($B$9:U9)</f>
        <v>Field 21</v>
      </c>
    </row>
    <row r="10" spans="1:22" s="62" customFormat="1" ht="37.5" customHeight="1" thickBot="1">
      <c r="A10" s="12"/>
      <c r="B10" s="23" t="s">
        <v>17</v>
      </c>
      <c r="C10" s="24" t="s">
        <v>6</v>
      </c>
      <c r="D10" s="25" t="s">
        <v>398</v>
      </c>
      <c r="E10" s="25" t="s">
        <v>18</v>
      </c>
      <c r="F10" s="61" t="s">
        <v>38</v>
      </c>
      <c r="G10" s="25" t="s">
        <v>19</v>
      </c>
      <c r="H10" s="25" t="s">
        <v>20</v>
      </c>
      <c r="I10" s="61" t="s">
        <v>29</v>
      </c>
      <c r="J10" s="25" t="s">
        <v>169</v>
      </c>
      <c r="K10" s="25" t="s">
        <v>30</v>
      </c>
      <c r="L10" s="25" t="s">
        <v>31</v>
      </c>
      <c r="M10" s="25" t="s">
        <v>32</v>
      </c>
      <c r="N10" s="25" t="s">
        <v>21</v>
      </c>
      <c r="O10" s="25" t="s">
        <v>33</v>
      </c>
      <c r="P10" s="25" t="s">
        <v>21</v>
      </c>
      <c r="Q10" s="25" t="s">
        <v>34</v>
      </c>
      <c r="R10" s="25" t="s">
        <v>35</v>
      </c>
      <c r="S10" s="25" t="s">
        <v>36</v>
      </c>
      <c r="T10" s="25" t="s">
        <v>37</v>
      </c>
      <c r="U10" s="25" t="s">
        <v>285</v>
      </c>
      <c r="V10" s="37" t="s">
        <v>16</v>
      </c>
    </row>
    <row r="11" spans="1:22" s="270" customFormat="1" ht="15" customHeight="1">
      <c r="A11" s="317"/>
      <c r="B11" s="334">
        <f t="shared" ref="B11:B24" si="0">ROW()-10</f>
        <v>1</v>
      </c>
      <c r="C11" s="289" t="s">
        <v>416</v>
      </c>
      <c r="D11" s="330" t="s">
        <v>270</v>
      </c>
      <c r="E11" s="289" t="s">
        <v>228</v>
      </c>
      <c r="F11" s="360" t="s">
        <v>718</v>
      </c>
      <c r="G11" s="500">
        <v>1</v>
      </c>
      <c r="H11" s="501" t="s">
        <v>422</v>
      </c>
      <c r="I11" s="502" t="s">
        <v>799</v>
      </c>
      <c r="J11" s="503">
        <v>8.72E-2</v>
      </c>
      <c r="K11" s="504">
        <v>43378</v>
      </c>
      <c r="L11" s="504">
        <v>45905</v>
      </c>
      <c r="M11" s="504">
        <v>45630</v>
      </c>
      <c r="N11" s="505" t="s">
        <v>196</v>
      </c>
      <c r="O11" s="506">
        <v>268000000</v>
      </c>
      <c r="P11" s="507" t="s">
        <v>196</v>
      </c>
      <c r="Q11" s="508">
        <v>180971638</v>
      </c>
      <c r="R11" s="508">
        <v>180971638</v>
      </c>
      <c r="S11" s="508">
        <v>0</v>
      </c>
      <c r="T11" s="509">
        <v>180971638</v>
      </c>
      <c r="U11" s="506">
        <v>12386827</v>
      </c>
      <c r="V11" s="510"/>
    </row>
    <row r="12" spans="1:22" s="270" customFormat="1" ht="15" customHeight="1">
      <c r="A12" s="317"/>
      <c r="B12" s="334">
        <f t="shared" si="0"/>
        <v>2</v>
      </c>
      <c r="C12" s="289" t="s">
        <v>416</v>
      </c>
      <c r="D12" s="330" t="s">
        <v>270</v>
      </c>
      <c r="E12" s="289" t="s">
        <v>228</v>
      </c>
      <c r="F12" s="360" t="s">
        <v>718</v>
      </c>
      <c r="G12" s="500">
        <v>2</v>
      </c>
      <c r="H12" s="501" t="s">
        <v>212</v>
      </c>
      <c r="I12" s="502" t="s">
        <v>800</v>
      </c>
      <c r="J12" s="503">
        <v>8.9200000000000002E-2</v>
      </c>
      <c r="K12" s="504">
        <v>43455</v>
      </c>
      <c r="L12" s="504">
        <v>45647</v>
      </c>
      <c r="M12" s="504">
        <v>45648</v>
      </c>
      <c r="N12" s="505" t="s">
        <v>196</v>
      </c>
      <c r="O12" s="506">
        <v>500000000</v>
      </c>
      <c r="P12" s="507" t="s">
        <v>196</v>
      </c>
      <c r="Q12" s="508">
        <v>500000000</v>
      </c>
      <c r="R12" s="508">
        <v>500000000</v>
      </c>
      <c r="S12" s="508">
        <v>0</v>
      </c>
      <c r="T12" s="509">
        <v>500000000</v>
      </c>
      <c r="U12" s="506">
        <v>26710169</v>
      </c>
      <c r="V12" s="510"/>
    </row>
    <row r="13" spans="1:22" s="270" customFormat="1" ht="15" customHeight="1">
      <c r="A13" s="317"/>
      <c r="B13" s="334">
        <f t="shared" si="0"/>
        <v>3</v>
      </c>
      <c r="C13" s="289" t="s">
        <v>416</v>
      </c>
      <c r="D13" s="330" t="s">
        <v>270</v>
      </c>
      <c r="E13" s="289" t="s">
        <v>228</v>
      </c>
      <c r="F13" s="360" t="s">
        <v>718</v>
      </c>
      <c r="G13" s="500">
        <v>3</v>
      </c>
      <c r="H13" s="501" t="s">
        <v>212</v>
      </c>
      <c r="I13" s="502" t="s">
        <v>801</v>
      </c>
      <c r="J13" s="503">
        <v>9.3100000000000002E-2</v>
      </c>
      <c r="K13" s="504">
        <v>43553</v>
      </c>
      <c r="L13" s="504">
        <v>45745</v>
      </c>
      <c r="M13" s="504">
        <v>45624</v>
      </c>
      <c r="N13" s="505" t="s">
        <v>196</v>
      </c>
      <c r="O13" s="506">
        <v>1350000000</v>
      </c>
      <c r="P13" s="507" t="s">
        <v>196</v>
      </c>
      <c r="Q13" s="508">
        <v>1350000000</v>
      </c>
      <c r="R13" s="508">
        <v>1350000000</v>
      </c>
      <c r="S13" s="508">
        <v>0</v>
      </c>
      <c r="T13" s="509">
        <v>1350000000</v>
      </c>
      <c r="U13" s="506">
        <v>78511227</v>
      </c>
      <c r="V13" s="510"/>
    </row>
    <row r="14" spans="1:22" s="270" customFormat="1" ht="15" customHeight="1">
      <c r="A14" s="317"/>
      <c r="B14" s="334">
        <f t="shared" si="0"/>
        <v>4</v>
      </c>
      <c r="C14" s="289" t="s">
        <v>416</v>
      </c>
      <c r="D14" s="330" t="s">
        <v>270</v>
      </c>
      <c r="E14" s="289" t="s">
        <v>228</v>
      </c>
      <c r="F14" s="360" t="s">
        <v>718</v>
      </c>
      <c r="G14" s="500">
        <v>4</v>
      </c>
      <c r="H14" s="501" t="s">
        <v>422</v>
      </c>
      <c r="I14" s="502" t="s">
        <v>802</v>
      </c>
      <c r="J14" s="503">
        <v>8.5699999999999998E-2</v>
      </c>
      <c r="K14" s="504">
        <v>43553</v>
      </c>
      <c r="L14" s="504">
        <v>45745</v>
      </c>
      <c r="M14" s="504">
        <v>45624</v>
      </c>
      <c r="N14" s="505" t="s">
        <v>196</v>
      </c>
      <c r="O14" s="506">
        <v>690000000</v>
      </c>
      <c r="P14" s="507" t="s">
        <v>196</v>
      </c>
      <c r="Q14" s="508">
        <v>475000000</v>
      </c>
      <c r="R14" s="508">
        <v>475000000</v>
      </c>
      <c r="S14" s="508">
        <v>0</v>
      </c>
      <c r="T14" s="509">
        <v>475000000</v>
      </c>
      <c r="U14" s="506">
        <v>25597852</v>
      </c>
      <c r="V14" s="510"/>
    </row>
    <row r="15" spans="1:22" s="270" customFormat="1" ht="15" customHeight="1">
      <c r="A15" s="317"/>
      <c r="B15" s="334">
        <f t="shared" si="0"/>
        <v>5</v>
      </c>
      <c r="C15" s="289" t="s">
        <v>416</v>
      </c>
      <c r="D15" s="330" t="s">
        <v>270</v>
      </c>
      <c r="E15" s="289" t="s">
        <v>228</v>
      </c>
      <c r="F15" s="360" t="s">
        <v>718</v>
      </c>
      <c r="G15" s="500">
        <v>5</v>
      </c>
      <c r="H15" s="501" t="s">
        <v>422</v>
      </c>
      <c r="I15" s="502" t="s">
        <v>803</v>
      </c>
      <c r="J15" s="503">
        <v>8.1799999999999998E-2</v>
      </c>
      <c r="K15" s="504">
        <v>43787</v>
      </c>
      <c r="L15" s="504">
        <v>45953</v>
      </c>
      <c r="M15" s="504">
        <v>45618</v>
      </c>
      <c r="N15" s="505" t="s">
        <v>196</v>
      </c>
      <c r="O15" s="506">
        <v>2200000000</v>
      </c>
      <c r="P15" s="507" t="s">
        <v>196</v>
      </c>
      <c r="Q15" s="508">
        <v>2200000000</v>
      </c>
      <c r="R15" s="508">
        <v>2200000000</v>
      </c>
      <c r="S15" s="508">
        <v>0</v>
      </c>
      <c r="T15" s="509">
        <v>2200000000</v>
      </c>
      <c r="U15" s="506">
        <v>115331535</v>
      </c>
      <c r="V15" s="510"/>
    </row>
    <row r="16" spans="1:22" s="270" customFormat="1" ht="15" customHeight="1">
      <c r="A16" s="317"/>
      <c r="B16" s="334">
        <f t="shared" si="0"/>
        <v>6</v>
      </c>
      <c r="C16" s="289" t="s">
        <v>416</v>
      </c>
      <c r="D16" s="330" t="s">
        <v>270</v>
      </c>
      <c r="E16" s="289" t="s">
        <v>228</v>
      </c>
      <c r="F16" s="360" t="s">
        <v>718</v>
      </c>
      <c r="G16" s="500">
        <v>6</v>
      </c>
      <c r="H16" s="501" t="s">
        <v>212</v>
      </c>
      <c r="I16" s="502" t="s">
        <v>804</v>
      </c>
      <c r="J16" s="503">
        <v>9.0500000000000011E-2</v>
      </c>
      <c r="K16" s="504">
        <v>43818</v>
      </c>
      <c r="L16" s="504">
        <v>45646</v>
      </c>
      <c r="M16" s="504">
        <v>45615</v>
      </c>
      <c r="N16" s="505" t="s">
        <v>196</v>
      </c>
      <c r="O16" s="506">
        <v>500000000</v>
      </c>
      <c r="P16" s="507" t="s">
        <v>196</v>
      </c>
      <c r="Q16" s="508">
        <v>500000000</v>
      </c>
      <c r="R16" s="508">
        <v>500000000</v>
      </c>
      <c r="S16" s="508">
        <v>0</v>
      </c>
      <c r="T16" s="509">
        <v>500000000</v>
      </c>
      <c r="U16" s="506">
        <v>29316452</v>
      </c>
      <c r="V16" s="510"/>
    </row>
    <row r="17" spans="1:22" s="270" customFormat="1" ht="15" customHeight="1">
      <c r="A17" s="317"/>
      <c r="B17" s="334">
        <f t="shared" si="0"/>
        <v>7</v>
      </c>
      <c r="C17" s="289" t="s">
        <v>416</v>
      </c>
      <c r="D17" s="330" t="s">
        <v>270</v>
      </c>
      <c r="E17" s="289" t="s">
        <v>228</v>
      </c>
      <c r="F17" s="360" t="s">
        <v>718</v>
      </c>
      <c r="G17" s="500">
        <v>7</v>
      </c>
      <c r="H17" s="501" t="s">
        <v>212</v>
      </c>
      <c r="I17" s="502" t="s">
        <v>805</v>
      </c>
      <c r="J17" s="503">
        <v>8.539999999999999E-2</v>
      </c>
      <c r="K17" s="504">
        <v>44077</v>
      </c>
      <c r="L17" s="504">
        <v>45903</v>
      </c>
      <c r="M17" s="504">
        <v>45630</v>
      </c>
      <c r="N17" s="505" t="s">
        <v>196</v>
      </c>
      <c r="O17" s="506">
        <v>400000000</v>
      </c>
      <c r="P17" s="507" t="s">
        <v>196</v>
      </c>
      <c r="Q17" s="508">
        <v>360000000</v>
      </c>
      <c r="R17" s="508">
        <v>360000000</v>
      </c>
      <c r="S17" s="508">
        <v>0</v>
      </c>
      <c r="T17" s="509">
        <v>360000000</v>
      </c>
      <c r="U17" s="506">
        <v>19066911</v>
      </c>
      <c r="V17" s="510"/>
    </row>
    <row r="18" spans="1:22" s="270" customFormat="1" ht="15" customHeight="1">
      <c r="A18" s="317"/>
      <c r="B18" s="334">
        <f t="shared" si="0"/>
        <v>8</v>
      </c>
      <c r="C18" s="289" t="s">
        <v>416</v>
      </c>
      <c r="D18" s="330" t="s">
        <v>270</v>
      </c>
      <c r="E18" s="289" t="s">
        <v>228</v>
      </c>
      <c r="F18" s="360" t="s">
        <v>718</v>
      </c>
      <c r="G18" s="500">
        <v>8</v>
      </c>
      <c r="H18" s="501" t="s">
        <v>212</v>
      </c>
      <c r="I18" s="502" t="s">
        <v>806</v>
      </c>
      <c r="J18" s="503">
        <v>9.3200000000000005E-2</v>
      </c>
      <c r="K18" s="504">
        <v>44195</v>
      </c>
      <c r="L18" s="504">
        <v>45659</v>
      </c>
      <c r="M18" s="504">
        <v>45627</v>
      </c>
      <c r="N18" s="505" t="s">
        <v>196</v>
      </c>
      <c r="O18" s="506">
        <v>1000000000</v>
      </c>
      <c r="P18" s="507" t="s">
        <v>196</v>
      </c>
      <c r="Q18" s="508">
        <v>1000000000</v>
      </c>
      <c r="R18" s="508">
        <v>1000000000</v>
      </c>
      <c r="S18" s="508">
        <v>0</v>
      </c>
      <c r="T18" s="509">
        <v>1000000000</v>
      </c>
      <c r="U18" s="506">
        <v>57837698</v>
      </c>
      <c r="V18" s="510"/>
    </row>
    <row r="19" spans="1:22" s="270" customFormat="1" ht="15" customHeight="1">
      <c r="A19" s="317"/>
      <c r="B19" s="334">
        <f t="shared" si="0"/>
        <v>9</v>
      </c>
      <c r="C19" s="289" t="s">
        <v>416</v>
      </c>
      <c r="D19" s="330" t="s">
        <v>270</v>
      </c>
      <c r="E19" s="289" t="s">
        <v>228</v>
      </c>
      <c r="F19" s="360" t="s">
        <v>718</v>
      </c>
      <c r="G19" s="500">
        <v>9</v>
      </c>
      <c r="H19" s="501" t="s">
        <v>212</v>
      </c>
      <c r="I19" s="502" t="s">
        <v>807</v>
      </c>
      <c r="J19" s="503">
        <v>9.2499999999999999E-2</v>
      </c>
      <c r="K19" s="504">
        <v>44232</v>
      </c>
      <c r="L19" s="504">
        <v>45695</v>
      </c>
      <c r="M19" s="504">
        <v>45608</v>
      </c>
      <c r="N19" s="505" t="s">
        <v>196</v>
      </c>
      <c r="O19" s="506">
        <v>1000000000</v>
      </c>
      <c r="P19" s="507" t="s">
        <v>196</v>
      </c>
      <c r="Q19" s="508">
        <v>1000000000</v>
      </c>
      <c r="R19" s="508">
        <v>1000000000</v>
      </c>
      <c r="S19" s="508">
        <v>0</v>
      </c>
      <c r="T19" s="509">
        <v>1000000000</v>
      </c>
      <c r="U19" s="506">
        <v>60464450</v>
      </c>
      <c r="V19" s="510"/>
    </row>
    <row r="20" spans="1:22" s="270" customFormat="1" ht="15" customHeight="1">
      <c r="A20" s="317"/>
      <c r="B20" s="334">
        <f t="shared" si="0"/>
        <v>10</v>
      </c>
      <c r="C20" s="289" t="s">
        <v>416</v>
      </c>
      <c r="D20" s="330" t="s">
        <v>270</v>
      </c>
      <c r="E20" s="289" t="s">
        <v>228</v>
      </c>
      <c r="F20" s="360" t="s">
        <v>718</v>
      </c>
      <c r="G20" s="500">
        <v>10</v>
      </c>
      <c r="H20" s="501" t="s">
        <v>422</v>
      </c>
      <c r="I20" s="502" t="s">
        <v>808</v>
      </c>
      <c r="J20" s="503">
        <v>7.980000000000001E-2</v>
      </c>
      <c r="K20" s="504">
        <v>44819</v>
      </c>
      <c r="L20" s="504">
        <v>45915</v>
      </c>
      <c r="M20" s="504">
        <v>45614</v>
      </c>
      <c r="N20" s="505" t="s">
        <v>196</v>
      </c>
      <c r="O20" s="506">
        <v>3773000000</v>
      </c>
      <c r="P20" s="507" t="s">
        <v>196</v>
      </c>
      <c r="Q20" s="508">
        <v>3773000000</v>
      </c>
      <c r="R20" s="508">
        <v>3773000000</v>
      </c>
      <c r="S20" s="508">
        <v>0</v>
      </c>
      <c r="T20" s="509">
        <v>3773000000</v>
      </c>
      <c r="U20" s="506">
        <v>195403463</v>
      </c>
      <c r="V20" s="510"/>
    </row>
    <row r="21" spans="1:22" s="270" customFormat="1" ht="15" customHeight="1">
      <c r="A21" s="317"/>
      <c r="B21" s="334">
        <f t="shared" si="0"/>
        <v>11</v>
      </c>
      <c r="C21" s="289" t="s">
        <v>416</v>
      </c>
      <c r="D21" s="330" t="s">
        <v>270</v>
      </c>
      <c r="E21" s="289" t="s">
        <v>228</v>
      </c>
      <c r="F21" s="360" t="s">
        <v>718</v>
      </c>
      <c r="G21" s="500">
        <v>11</v>
      </c>
      <c r="H21" s="501" t="s">
        <v>441</v>
      </c>
      <c r="I21" s="502" t="s">
        <v>809</v>
      </c>
      <c r="J21" s="503"/>
      <c r="K21" s="504">
        <v>45796</v>
      </c>
      <c r="L21" s="504"/>
      <c r="M21" s="504"/>
      <c r="N21" s="505" t="s">
        <v>196</v>
      </c>
      <c r="O21" s="506">
        <v>6466200</v>
      </c>
      <c r="P21" s="507" t="s">
        <v>196</v>
      </c>
      <c r="Q21" s="508">
        <v>0</v>
      </c>
      <c r="R21" s="508">
        <v>0</v>
      </c>
      <c r="S21" s="508">
        <v>6466200</v>
      </c>
      <c r="T21" s="509">
        <v>6466200</v>
      </c>
      <c r="U21" s="506">
        <v>0</v>
      </c>
      <c r="V21" s="510" t="s">
        <v>439</v>
      </c>
    </row>
    <row r="22" spans="1:22" s="270" customFormat="1" ht="15" customHeight="1">
      <c r="A22" s="317"/>
      <c r="B22" s="334">
        <f t="shared" si="0"/>
        <v>12</v>
      </c>
      <c r="C22" s="289" t="s">
        <v>416</v>
      </c>
      <c r="D22" s="330" t="s">
        <v>270</v>
      </c>
      <c r="E22" s="289" t="s">
        <v>228</v>
      </c>
      <c r="F22" s="360" t="s">
        <v>718</v>
      </c>
      <c r="G22" s="500">
        <v>12</v>
      </c>
      <c r="H22" s="501" t="s">
        <v>441</v>
      </c>
      <c r="I22" s="502" t="s">
        <v>810</v>
      </c>
      <c r="J22" s="503"/>
      <c r="K22" s="504">
        <v>45799</v>
      </c>
      <c r="L22" s="504"/>
      <c r="M22" s="504"/>
      <c r="N22" s="505" t="s">
        <v>196</v>
      </c>
      <c r="O22" s="506">
        <v>35871800</v>
      </c>
      <c r="P22" s="507" t="s">
        <v>196</v>
      </c>
      <c r="Q22" s="508">
        <v>0</v>
      </c>
      <c r="R22" s="508">
        <v>0</v>
      </c>
      <c r="S22" s="508">
        <v>35871800</v>
      </c>
      <c r="T22" s="509">
        <v>35871800</v>
      </c>
      <c r="U22" s="506">
        <v>0</v>
      </c>
      <c r="V22" s="510" t="s">
        <v>439</v>
      </c>
    </row>
    <row r="23" spans="1:22" s="270" customFormat="1" ht="15" customHeight="1">
      <c r="A23" s="317"/>
      <c r="B23" s="334">
        <f t="shared" si="0"/>
        <v>13</v>
      </c>
      <c r="C23" s="289" t="s">
        <v>416</v>
      </c>
      <c r="D23" s="330" t="s">
        <v>270</v>
      </c>
      <c r="E23" s="289" t="s">
        <v>228</v>
      </c>
      <c r="F23" s="360" t="s">
        <v>718</v>
      </c>
      <c r="G23" s="500">
        <v>13</v>
      </c>
      <c r="H23" s="501" t="s">
        <v>441</v>
      </c>
      <c r="I23" s="502" t="s">
        <v>811</v>
      </c>
      <c r="J23" s="503"/>
      <c r="K23" s="504">
        <v>45799</v>
      </c>
      <c r="L23" s="504"/>
      <c r="M23" s="504"/>
      <c r="N23" s="505" t="s">
        <v>196</v>
      </c>
      <c r="O23" s="506">
        <v>4545350</v>
      </c>
      <c r="P23" s="507" t="s">
        <v>196</v>
      </c>
      <c r="Q23" s="508">
        <v>0</v>
      </c>
      <c r="R23" s="508">
        <v>0</v>
      </c>
      <c r="S23" s="508">
        <v>4545350</v>
      </c>
      <c r="T23" s="509">
        <v>4545350</v>
      </c>
      <c r="U23" s="506">
        <v>0</v>
      </c>
      <c r="V23" s="510" t="s">
        <v>439</v>
      </c>
    </row>
    <row r="24" spans="1:22" s="270" customFormat="1" ht="15" customHeight="1">
      <c r="A24" s="317"/>
      <c r="B24" s="334">
        <f t="shared" si="0"/>
        <v>14</v>
      </c>
      <c r="C24" s="289" t="s">
        <v>416</v>
      </c>
      <c r="D24" s="330" t="s">
        <v>270</v>
      </c>
      <c r="E24" s="289" t="s">
        <v>228</v>
      </c>
      <c r="F24" s="360" t="s">
        <v>718</v>
      </c>
      <c r="G24" s="500">
        <v>14</v>
      </c>
      <c r="H24" s="501" t="s">
        <v>441</v>
      </c>
      <c r="I24" s="502" t="s">
        <v>812</v>
      </c>
      <c r="J24" s="503"/>
      <c r="K24" s="504">
        <v>45799</v>
      </c>
      <c r="L24" s="504"/>
      <c r="M24" s="504"/>
      <c r="N24" s="505" t="s">
        <v>196</v>
      </c>
      <c r="O24" s="506">
        <v>5652400</v>
      </c>
      <c r="P24" s="507" t="s">
        <v>196</v>
      </c>
      <c r="Q24" s="508">
        <v>0</v>
      </c>
      <c r="R24" s="508">
        <v>0</v>
      </c>
      <c r="S24" s="508">
        <v>5652400</v>
      </c>
      <c r="T24" s="509">
        <v>5652400</v>
      </c>
      <c r="U24" s="506">
        <v>0</v>
      </c>
      <c r="V24" s="510" t="s">
        <v>439</v>
      </c>
    </row>
    <row r="25" spans="1:22" s="270" customFormat="1" ht="15" customHeight="1">
      <c r="A25" s="317"/>
      <c r="B25" s="334">
        <f t="shared" ref="B25:B66" si="1">ROW()-10</f>
        <v>15</v>
      </c>
      <c r="C25" s="289" t="s">
        <v>416</v>
      </c>
      <c r="D25" s="330" t="s">
        <v>270</v>
      </c>
      <c r="E25" s="289" t="s">
        <v>228</v>
      </c>
      <c r="F25" s="360" t="s">
        <v>718</v>
      </c>
      <c r="G25" s="500">
        <v>15</v>
      </c>
      <c r="H25" s="501" t="s">
        <v>441</v>
      </c>
      <c r="I25" s="502" t="s">
        <v>813</v>
      </c>
      <c r="J25" s="503"/>
      <c r="K25" s="504">
        <v>45805</v>
      </c>
      <c r="L25" s="504"/>
      <c r="M25" s="504"/>
      <c r="N25" s="505" t="s">
        <v>196</v>
      </c>
      <c r="O25" s="506">
        <v>9621700</v>
      </c>
      <c r="P25" s="507" t="s">
        <v>196</v>
      </c>
      <c r="Q25" s="508">
        <v>0</v>
      </c>
      <c r="R25" s="508">
        <v>0</v>
      </c>
      <c r="S25" s="508">
        <v>9621700</v>
      </c>
      <c r="T25" s="509">
        <v>9621700</v>
      </c>
      <c r="U25" s="506">
        <v>0</v>
      </c>
      <c r="V25" s="510" t="s">
        <v>439</v>
      </c>
    </row>
    <row r="26" spans="1:22" s="270" customFormat="1" ht="15" customHeight="1">
      <c r="A26" s="317"/>
      <c r="B26" s="334">
        <f t="shared" si="1"/>
        <v>16</v>
      </c>
      <c r="C26" s="289" t="s">
        <v>416</v>
      </c>
      <c r="D26" s="330" t="s">
        <v>270</v>
      </c>
      <c r="E26" s="289" t="s">
        <v>228</v>
      </c>
      <c r="F26" s="360" t="s">
        <v>718</v>
      </c>
      <c r="G26" s="500">
        <v>16</v>
      </c>
      <c r="H26" s="501" t="s">
        <v>441</v>
      </c>
      <c r="I26" s="502" t="s">
        <v>814</v>
      </c>
      <c r="J26" s="503"/>
      <c r="K26" s="504">
        <v>45832</v>
      </c>
      <c r="L26" s="504"/>
      <c r="M26" s="504"/>
      <c r="N26" s="505" t="s">
        <v>196</v>
      </c>
      <c r="O26" s="506">
        <v>1350000</v>
      </c>
      <c r="P26" s="507" t="s">
        <v>196</v>
      </c>
      <c r="Q26" s="508">
        <v>0</v>
      </c>
      <c r="R26" s="508">
        <v>0</v>
      </c>
      <c r="S26" s="508">
        <v>1350000</v>
      </c>
      <c r="T26" s="509">
        <v>1350000</v>
      </c>
      <c r="U26" s="506">
        <v>0</v>
      </c>
      <c r="V26" s="510" t="s">
        <v>439</v>
      </c>
    </row>
    <row r="27" spans="1:22" s="270" customFormat="1" ht="15" customHeight="1">
      <c r="A27" s="317"/>
      <c r="B27" s="334">
        <f t="shared" si="1"/>
        <v>17</v>
      </c>
      <c r="C27" s="289" t="s">
        <v>416</v>
      </c>
      <c r="D27" s="330" t="s">
        <v>270</v>
      </c>
      <c r="E27" s="289" t="s">
        <v>210</v>
      </c>
      <c r="F27" s="360" t="s">
        <v>719</v>
      </c>
      <c r="G27" s="500">
        <v>1</v>
      </c>
      <c r="H27" s="501" t="s">
        <v>212</v>
      </c>
      <c r="I27" s="502" t="s">
        <v>815</v>
      </c>
      <c r="J27" s="503">
        <v>9.6500000000000002E-2</v>
      </c>
      <c r="K27" s="504">
        <v>43781</v>
      </c>
      <c r="L27" s="504">
        <v>45975</v>
      </c>
      <c r="M27" s="504">
        <v>45701</v>
      </c>
      <c r="N27" s="505" t="s">
        <v>196</v>
      </c>
      <c r="O27" s="506">
        <v>100000000</v>
      </c>
      <c r="P27" s="507" t="s">
        <v>196</v>
      </c>
      <c r="Q27" s="508">
        <v>76000000</v>
      </c>
      <c r="R27" s="508">
        <v>76000000</v>
      </c>
      <c r="S27" s="508">
        <v>0</v>
      </c>
      <c r="T27" s="509">
        <v>76000000</v>
      </c>
      <c r="U27" s="506">
        <v>3089779</v>
      </c>
      <c r="V27" s="510"/>
    </row>
    <row r="28" spans="1:22" s="270" customFormat="1" ht="15" customHeight="1">
      <c r="A28" s="317"/>
      <c r="B28" s="334">
        <f t="shared" si="1"/>
        <v>18</v>
      </c>
      <c r="C28" s="289" t="s">
        <v>416</v>
      </c>
      <c r="D28" s="330" t="s">
        <v>270</v>
      </c>
      <c r="E28" s="289" t="s">
        <v>210</v>
      </c>
      <c r="F28" s="360" t="s">
        <v>719</v>
      </c>
      <c r="G28" s="500">
        <v>2</v>
      </c>
      <c r="H28" s="501" t="s">
        <v>212</v>
      </c>
      <c r="I28" s="502" t="s">
        <v>816</v>
      </c>
      <c r="J28" s="503">
        <v>0.11</v>
      </c>
      <c r="K28" s="504">
        <v>44804</v>
      </c>
      <c r="L28" s="504">
        <v>45838</v>
      </c>
      <c r="M28" s="504">
        <v>45687</v>
      </c>
      <c r="N28" s="505" t="s">
        <v>196</v>
      </c>
      <c r="O28" s="506">
        <v>1900000000</v>
      </c>
      <c r="P28" s="507" t="s">
        <v>196</v>
      </c>
      <c r="Q28" s="508">
        <v>1900000000</v>
      </c>
      <c r="R28" s="508">
        <v>1900000000</v>
      </c>
      <c r="S28" s="508">
        <v>0</v>
      </c>
      <c r="T28" s="509">
        <v>1900000000</v>
      </c>
      <c r="U28" s="506">
        <v>100341981</v>
      </c>
      <c r="V28" s="510"/>
    </row>
    <row r="29" spans="1:22" s="270" customFormat="1" ht="15" customHeight="1">
      <c r="A29" s="317"/>
      <c r="B29" s="334">
        <f t="shared" si="1"/>
        <v>19</v>
      </c>
      <c r="C29" s="289" t="s">
        <v>416</v>
      </c>
      <c r="D29" s="330" t="s">
        <v>270</v>
      </c>
      <c r="E29" s="289" t="s">
        <v>210</v>
      </c>
      <c r="F29" s="360" t="s">
        <v>719</v>
      </c>
      <c r="G29" s="500">
        <v>3</v>
      </c>
      <c r="H29" s="501" t="s">
        <v>422</v>
      </c>
      <c r="I29" s="502" t="s">
        <v>817</v>
      </c>
      <c r="J29" s="503">
        <v>6.6199999999999995E-2</v>
      </c>
      <c r="K29" s="504">
        <v>44826</v>
      </c>
      <c r="L29" s="504">
        <v>45922</v>
      </c>
      <c r="M29" s="504">
        <v>45678</v>
      </c>
      <c r="N29" s="505" t="s">
        <v>196</v>
      </c>
      <c r="O29" s="506">
        <v>7600000000</v>
      </c>
      <c r="P29" s="507" t="s">
        <v>196</v>
      </c>
      <c r="Q29" s="508">
        <v>7400000000</v>
      </c>
      <c r="R29" s="508">
        <v>7400000000</v>
      </c>
      <c r="S29" s="508">
        <v>0</v>
      </c>
      <c r="T29" s="509">
        <v>7400000000</v>
      </c>
      <c r="U29" s="506">
        <v>225988765</v>
      </c>
      <c r="V29" s="510"/>
    </row>
    <row r="30" spans="1:22" s="270" customFormat="1" ht="15" customHeight="1">
      <c r="A30" s="317"/>
      <c r="B30" s="334">
        <f t="shared" si="1"/>
        <v>20</v>
      </c>
      <c r="C30" s="289" t="s">
        <v>416</v>
      </c>
      <c r="D30" s="330" t="s">
        <v>270</v>
      </c>
      <c r="E30" s="289" t="s">
        <v>210</v>
      </c>
      <c r="F30" s="360" t="s">
        <v>719</v>
      </c>
      <c r="G30" s="500">
        <v>4</v>
      </c>
      <c r="H30" s="501" t="s">
        <v>433</v>
      </c>
      <c r="I30" s="502" t="s">
        <v>818</v>
      </c>
      <c r="J30" s="503">
        <v>8.7100000000000011E-2</v>
      </c>
      <c r="K30" s="504">
        <v>45554</v>
      </c>
      <c r="L30" s="504">
        <v>45733</v>
      </c>
      <c r="M30" s="504">
        <v>45687</v>
      </c>
      <c r="N30" s="505" t="s">
        <v>196</v>
      </c>
      <c r="O30" s="506">
        <v>285000000</v>
      </c>
      <c r="P30" s="507" t="s">
        <v>196</v>
      </c>
      <c r="Q30" s="508">
        <v>28500000</v>
      </c>
      <c r="R30" s="508">
        <v>28500000</v>
      </c>
      <c r="S30" s="508">
        <v>0</v>
      </c>
      <c r="T30" s="509">
        <v>28500000</v>
      </c>
      <c r="U30" s="506">
        <v>3306495</v>
      </c>
      <c r="V30" s="510"/>
    </row>
    <row r="31" spans="1:22" s="270" customFormat="1" ht="15" customHeight="1">
      <c r="A31" s="317"/>
      <c r="B31" s="334">
        <f t="shared" si="1"/>
        <v>21</v>
      </c>
      <c r="C31" s="289" t="s">
        <v>416</v>
      </c>
      <c r="D31" s="330" t="s">
        <v>270</v>
      </c>
      <c r="E31" s="289" t="s">
        <v>210</v>
      </c>
      <c r="F31" s="360" t="s">
        <v>719</v>
      </c>
      <c r="G31" s="500">
        <v>5</v>
      </c>
      <c r="H31" s="501" t="s">
        <v>441</v>
      </c>
      <c r="I31" s="502" t="s">
        <v>819</v>
      </c>
      <c r="J31" s="503"/>
      <c r="K31" s="504">
        <v>45859</v>
      </c>
      <c r="L31" s="504"/>
      <c r="M31" s="504"/>
      <c r="N31" s="505" t="s">
        <v>196</v>
      </c>
      <c r="O31" s="506">
        <v>32238100</v>
      </c>
      <c r="P31" s="507" t="s">
        <v>196</v>
      </c>
      <c r="Q31" s="508">
        <v>0</v>
      </c>
      <c r="R31" s="508">
        <v>0</v>
      </c>
      <c r="S31" s="508">
        <v>32238100</v>
      </c>
      <c r="T31" s="509">
        <v>32238100</v>
      </c>
      <c r="U31" s="506">
        <v>0</v>
      </c>
      <c r="V31" s="510" t="s">
        <v>439</v>
      </c>
    </row>
    <row r="32" spans="1:22" s="270" customFormat="1" ht="15" customHeight="1">
      <c r="A32" s="317"/>
      <c r="B32" s="334">
        <f t="shared" si="1"/>
        <v>22</v>
      </c>
      <c r="C32" s="289" t="s">
        <v>416</v>
      </c>
      <c r="D32" s="330" t="s">
        <v>270</v>
      </c>
      <c r="E32" s="289" t="s">
        <v>229</v>
      </c>
      <c r="F32" s="360" t="s">
        <v>720</v>
      </c>
      <c r="G32" s="500">
        <v>1</v>
      </c>
      <c r="H32" s="501" t="s">
        <v>422</v>
      </c>
      <c r="I32" s="502" t="s">
        <v>820</v>
      </c>
      <c r="J32" s="503">
        <v>8.9099999999999999E-2</v>
      </c>
      <c r="K32" s="504">
        <v>45128</v>
      </c>
      <c r="L32" s="504">
        <v>48763</v>
      </c>
      <c r="M32" s="504">
        <v>45708</v>
      </c>
      <c r="N32" s="505" t="s">
        <v>196</v>
      </c>
      <c r="O32" s="506">
        <v>2223000000</v>
      </c>
      <c r="P32" s="507" t="s">
        <v>196</v>
      </c>
      <c r="Q32" s="508">
        <v>2223000000</v>
      </c>
      <c r="R32" s="508">
        <v>2223000000</v>
      </c>
      <c r="S32" s="508">
        <v>0</v>
      </c>
      <c r="T32" s="509">
        <v>2223000000</v>
      </c>
      <c r="U32" s="506">
        <v>79733470</v>
      </c>
      <c r="V32" s="510"/>
    </row>
    <row r="33" spans="1:22" s="270" customFormat="1" ht="15" customHeight="1">
      <c r="A33" s="317"/>
      <c r="B33" s="334">
        <f t="shared" si="1"/>
        <v>23</v>
      </c>
      <c r="C33" s="289" t="s">
        <v>416</v>
      </c>
      <c r="D33" s="330" t="s">
        <v>270</v>
      </c>
      <c r="E33" s="289" t="s">
        <v>229</v>
      </c>
      <c r="F33" s="360" t="s">
        <v>720</v>
      </c>
      <c r="G33" s="500">
        <v>2</v>
      </c>
      <c r="H33" s="501" t="s">
        <v>212</v>
      </c>
      <c r="I33" s="502" t="s">
        <v>821</v>
      </c>
      <c r="J33" s="503">
        <v>8.5299999999999987E-2</v>
      </c>
      <c r="K33" s="504">
        <v>45128</v>
      </c>
      <c r="L33" s="504">
        <v>45841</v>
      </c>
      <c r="M33" s="504">
        <v>45869</v>
      </c>
      <c r="N33" s="505" t="s">
        <v>196</v>
      </c>
      <c r="O33" s="506">
        <v>130000000</v>
      </c>
      <c r="P33" s="507" t="s">
        <v>196</v>
      </c>
      <c r="Q33" s="508">
        <v>13000000</v>
      </c>
      <c r="R33" s="508">
        <v>13000000</v>
      </c>
      <c r="S33" s="508">
        <v>0</v>
      </c>
      <c r="T33" s="509">
        <v>13000000</v>
      </c>
      <c r="U33" s="506">
        <v>103350</v>
      </c>
      <c r="V33" s="510"/>
    </row>
    <row r="34" spans="1:22" s="270" customFormat="1" ht="15" customHeight="1">
      <c r="A34" s="317"/>
      <c r="B34" s="334">
        <f t="shared" si="1"/>
        <v>24</v>
      </c>
      <c r="C34" s="289" t="s">
        <v>416</v>
      </c>
      <c r="D34" s="330" t="s">
        <v>270</v>
      </c>
      <c r="E34" s="289" t="s">
        <v>229</v>
      </c>
      <c r="F34" s="360" t="s">
        <v>720</v>
      </c>
      <c r="G34" s="500">
        <v>3</v>
      </c>
      <c r="H34" s="501" t="s">
        <v>212</v>
      </c>
      <c r="I34" s="502" t="s">
        <v>821</v>
      </c>
      <c r="J34" s="503">
        <v>8.5299999999999987E-2</v>
      </c>
      <c r="K34" s="504">
        <v>45128</v>
      </c>
      <c r="L34" s="504">
        <v>45841</v>
      </c>
      <c r="M34" s="504">
        <v>45718</v>
      </c>
      <c r="N34" s="505" t="s">
        <v>196</v>
      </c>
      <c r="O34" s="506">
        <v>130000000</v>
      </c>
      <c r="P34" s="507" t="s">
        <v>196</v>
      </c>
      <c r="Q34" s="508">
        <v>117000000</v>
      </c>
      <c r="R34" s="508">
        <v>117000000</v>
      </c>
      <c r="S34" s="508">
        <v>0</v>
      </c>
      <c r="T34" s="509">
        <v>117000000</v>
      </c>
      <c r="U34" s="506">
        <v>4146364</v>
      </c>
      <c r="V34" s="510"/>
    </row>
    <row r="35" spans="1:22" s="270" customFormat="1" ht="15" customHeight="1">
      <c r="A35" s="317"/>
      <c r="B35" s="334">
        <f t="shared" si="1"/>
        <v>25</v>
      </c>
      <c r="C35" s="289" t="s">
        <v>416</v>
      </c>
      <c r="D35" s="330" t="s">
        <v>270</v>
      </c>
      <c r="E35" s="289" t="s">
        <v>229</v>
      </c>
      <c r="F35" s="360" t="s">
        <v>720</v>
      </c>
      <c r="G35" s="500">
        <v>4</v>
      </c>
      <c r="H35" s="501" t="s">
        <v>212</v>
      </c>
      <c r="I35" s="502" t="s">
        <v>822</v>
      </c>
      <c r="J35" s="503">
        <v>4.4800000000000006E-2</v>
      </c>
      <c r="K35" s="504">
        <v>45128</v>
      </c>
      <c r="L35" s="504">
        <v>45841</v>
      </c>
      <c r="M35" s="504">
        <v>45869</v>
      </c>
      <c r="N35" s="505" t="s">
        <v>196</v>
      </c>
      <c r="O35" s="506">
        <v>200000000</v>
      </c>
      <c r="P35" s="507" t="s">
        <v>196</v>
      </c>
      <c r="Q35" s="508">
        <v>20000000</v>
      </c>
      <c r="R35" s="508">
        <v>20000000</v>
      </c>
      <c r="S35" s="508">
        <v>0</v>
      </c>
      <c r="T35" s="509">
        <v>20000000</v>
      </c>
      <c r="U35" s="506">
        <v>83511</v>
      </c>
      <c r="V35" s="510"/>
    </row>
    <row r="36" spans="1:22" s="270" customFormat="1" ht="15" customHeight="1">
      <c r="A36" s="317"/>
      <c r="B36" s="334">
        <f t="shared" si="1"/>
        <v>26</v>
      </c>
      <c r="C36" s="289" t="s">
        <v>416</v>
      </c>
      <c r="D36" s="330" t="s">
        <v>270</v>
      </c>
      <c r="E36" s="289" t="s">
        <v>229</v>
      </c>
      <c r="F36" s="360" t="s">
        <v>720</v>
      </c>
      <c r="G36" s="500">
        <v>5</v>
      </c>
      <c r="H36" s="501" t="s">
        <v>212</v>
      </c>
      <c r="I36" s="502" t="s">
        <v>822</v>
      </c>
      <c r="J36" s="503">
        <v>4.4800000000000006E-2</v>
      </c>
      <c r="K36" s="504">
        <v>45128</v>
      </c>
      <c r="L36" s="504">
        <v>45841</v>
      </c>
      <c r="M36" s="504">
        <v>45718</v>
      </c>
      <c r="N36" s="505" t="s">
        <v>196</v>
      </c>
      <c r="O36" s="506">
        <v>200000000</v>
      </c>
      <c r="P36" s="507" t="s">
        <v>196</v>
      </c>
      <c r="Q36" s="508">
        <v>180000000</v>
      </c>
      <c r="R36" s="508">
        <v>180000000</v>
      </c>
      <c r="S36" s="508">
        <v>0</v>
      </c>
      <c r="T36" s="509">
        <v>180000000</v>
      </c>
      <c r="U36" s="506">
        <v>3124103</v>
      </c>
      <c r="V36" s="510"/>
    </row>
    <row r="37" spans="1:22" s="270" customFormat="1" ht="15" customHeight="1">
      <c r="A37" s="317"/>
      <c r="B37" s="334">
        <f t="shared" si="1"/>
        <v>27</v>
      </c>
      <c r="C37" s="289" t="s">
        <v>416</v>
      </c>
      <c r="D37" s="330" t="s">
        <v>270</v>
      </c>
      <c r="E37" s="289" t="s">
        <v>229</v>
      </c>
      <c r="F37" s="360" t="s">
        <v>720</v>
      </c>
      <c r="G37" s="500">
        <v>6</v>
      </c>
      <c r="H37" s="501" t="s">
        <v>422</v>
      </c>
      <c r="I37" s="502" t="s">
        <v>823</v>
      </c>
      <c r="J37" s="503">
        <v>0.11</v>
      </c>
      <c r="K37" s="504">
        <v>45128</v>
      </c>
      <c r="L37" s="504">
        <v>46955</v>
      </c>
      <c r="M37" s="504">
        <v>45708</v>
      </c>
      <c r="N37" s="505" t="s">
        <v>196</v>
      </c>
      <c r="O37" s="506">
        <v>490000000</v>
      </c>
      <c r="P37" s="507" t="s">
        <v>196</v>
      </c>
      <c r="Q37" s="508">
        <v>313233008</v>
      </c>
      <c r="R37" s="508">
        <v>313233008</v>
      </c>
      <c r="S37" s="508">
        <v>0</v>
      </c>
      <c r="T37" s="509">
        <v>313233008</v>
      </c>
      <c r="U37" s="506">
        <v>14487968</v>
      </c>
      <c r="V37" s="510"/>
    </row>
    <row r="38" spans="1:22" s="270" customFormat="1" ht="15" customHeight="1">
      <c r="A38" s="317"/>
      <c r="B38" s="334">
        <f t="shared" si="1"/>
        <v>28</v>
      </c>
      <c r="C38" s="289" t="s">
        <v>416</v>
      </c>
      <c r="D38" s="330" t="s">
        <v>270</v>
      </c>
      <c r="E38" s="289" t="s">
        <v>229</v>
      </c>
      <c r="F38" s="360" t="s">
        <v>720</v>
      </c>
      <c r="G38" s="500">
        <v>7</v>
      </c>
      <c r="H38" s="501" t="s">
        <v>212</v>
      </c>
      <c r="I38" s="502" t="s">
        <v>824</v>
      </c>
      <c r="J38" s="503">
        <v>5.28E-2</v>
      </c>
      <c r="K38" s="504">
        <v>45127</v>
      </c>
      <c r="L38" s="504">
        <v>45856</v>
      </c>
      <c r="M38" s="504">
        <v>45869</v>
      </c>
      <c r="N38" s="505" t="s">
        <v>196</v>
      </c>
      <c r="O38" s="506">
        <v>400000000</v>
      </c>
      <c r="P38" s="507" t="s">
        <v>196</v>
      </c>
      <c r="Q38" s="508">
        <v>20000000</v>
      </c>
      <c r="R38" s="508">
        <v>20000000</v>
      </c>
      <c r="S38" s="508">
        <v>0</v>
      </c>
      <c r="T38" s="509">
        <v>20000000</v>
      </c>
      <c r="U38" s="506">
        <v>98404</v>
      </c>
      <c r="V38" s="510"/>
    </row>
    <row r="39" spans="1:22" s="270" customFormat="1" ht="15" customHeight="1">
      <c r="A39" s="317"/>
      <c r="B39" s="334">
        <f t="shared" si="1"/>
        <v>29</v>
      </c>
      <c r="C39" s="289" t="s">
        <v>416</v>
      </c>
      <c r="D39" s="330" t="s">
        <v>270</v>
      </c>
      <c r="E39" s="289" t="s">
        <v>229</v>
      </c>
      <c r="F39" s="360" t="s">
        <v>720</v>
      </c>
      <c r="G39" s="500">
        <v>8</v>
      </c>
      <c r="H39" s="501" t="s">
        <v>212</v>
      </c>
      <c r="I39" s="502" t="s">
        <v>824</v>
      </c>
      <c r="J39" s="503">
        <v>5.28E-2</v>
      </c>
      <c r="K39" s="504">
        <v>45127</v>
      </c>
      <c r="L39" s="504">
        <v>45856</v>
      </c>
      <c r="M39" s="504">
        <v>45705</v>
      </c>
      <c r="N39" s="505" t="s">
        <v>196</v>
      </c>
      <c r="O39" s="506">
        <v>400000000</v>
      </c>
      <c r="P39" s="507" t="s">
        <v>196</v>
      </c>
      <c r="Q39" s="508">
        <v>380000000</v>
      </c>
      <c r="R39" s="508">
        <v>380000000</v>
      </c>
      <c r="S39" s="508">
        <v>0</v>
      </c>
      <c r="T39" s="509">
        <v>380000000</v>
      </c>
      <c r="U39" s="506">
        <v>7957333</v>
      </c>
      <c r="V39" s="510"/>
    </row>
    <row r="40" spans="1:22" s="270" customFormat="1" ht="15" customHeight="1">
      <c r="A40" s="317"/>
      <c r="B40" s="334">
        <f t="shared" si="1"/>
        <v>30</v>
      </c>
      <c r="C40" s="289" t="s">
        <v>416</v>
      </c>
      <c r="D40" s="330" t="s">
        <v>270</v>
      </c>
      <c r="E40" s="289" t="s">
        <v>229</v>
      </c>
      <c r="F40" s="360" t="s">
        <v>720</v>
      </c>
      <c r="G40" s="500">
        <v>9</v>
      </c>
      <c r="H40" s="501" t="s">
        <v>212</v>
      </c>
      <c r="I40" s="502" t="s">
        <v>825</v>
      </c>
      <c r="J40" s="503">
        <v>8.3100000000000007E-2</v>
      </c>
      <c r="K40" s="504">
        <v>45127</v>
      </c>
      <c r="L40" s="504">
        <v>45856</v>
      </c>
      <c r="M40" s="504">
        <v>45869</v>
      </c>
      <c r="N40" s="505" t="s">
        <v>196</v>
      </c>
      <c r="O40" s="506">
        <v>100000000</v>
      </c>
      <c r="P40" s="507" t="s">
        <v>196</v>
      </c>
      <c r="Q40" s="508">
        <v>5000000</v>
      </c>
      <c r="R40" s="508">
        <v>5000000</v>
      </c>
      <c r="S40" s="508">
        <v>0</v>
      </c>
      <c r="T40" s="509">
        <v>5000000</v>
      </c>
      <c r="U40" s="506">
        <v>38727</v>
      </c>
      <c r="V40" s="510"/>
    </row>
    <row r="41" spans="1:22" s="270" customFormat="1" ht="15" customHeight="1">
      <c r="A41" s="317"/>
      <c r="B41" s="334">
        <f t="shared" si="1"/>
        <v>31</v>
      </c>
      <c r="C41" s="289" t="s">
        <v>416</v>
      </c>
      <c r="D41" s="330" t="s">
        <v>270</v>
      </c>
      <c r="E41" s="289" t="s">
        <v>229</v>
      </c>
      <c r="F41" s="360" t="s">
        <v>720</v>
      </c>
      <c r="G41" s="500">
        <v>10</v>
      </c>
      <c r="H41" s="501" t="s">
        <v>212</v>
      </c>
      <c r="I41" s="502" t="s">
        <v>825</v>
      </c>
      <c r="J41" s="503">
        <v>8.3100000000000007E-2</v>
      </c>
      <c r="K41" s="504">
        <v>45127</v>
      </c>
      <c r="L41" s="504">
        <v>45856</v>
      </c>
      <c r="M41" s="504">
        <v>45705</v>
      </c>
      <c r="N41" s="505" t="s">
        <v>196</v>
      </c>
      <c r="O41" s="506">
        <v>100000000</v>
      </c>
      <c r="P41" s="507" t="s">
        <v>196</v>
      </c>
      <c r="Q41" s="508">
        <v>95000000</v>
      </c>
      <c r="R41" s="508">
        <v>95000000</v>
      </c>
      <c r="S41" s="508">
        <v>0</v>
      </c>
      <c r="T41" s="509">
        <v>95000000</v>
      </c>
      <c r="U41" s="506">
        <v>3330546</v>
      </c>
      <c r="V41" s="510"/>
    </row>
    <row r="42" spans="1:22" s="270" customFormat="1" ht="15" customHeight="1">
      <c r="A42" s="317"/>
      <c r="B42" s="334">
        <f t="shared" si="1"/>
        <v>32</v>
      </c>
      <c r="C42" s="289" t="s">
        <v>416</v>
      </c>
      <c r="D42" s="330" t="s">
        <v>270</v>
      </c>
      <c r="E42" s="289" t="s">
        <v>229</v>
      </c>
      <c r="F42" s="360" t="s">
        <v>720</v>
      </c>
      <c r="G42" s="500">
        <v>11</v>
      </c>
      <c r="H42" s="501" t="s">
        <v>422</v>
      </c>
      <c r="I42" s="502" t="s">
        <v>826</v>
      </c>
      <c r="J42" s="503">
        <v>8.8800000000000004E-2</v>
      </c>
      <c r="K42" s="504">
        <v>45443</v>
      </c>
      <c r="L42" s="504">
        <v>48341</v>
      </c>
      <c r="M42" s="504">
        <v>45715</v>
      </c>
      <c r="N42" s="505" t="s">
        <v>196</v>
      </c>
      <c r="O42" s="506">
        <v>990000000</v>
      </c>
      <c r="P42" s="507" t="s">
        <v>196</v>
      </c>
      <c r="Q42" s="508">
        <v>990000000</v>
      </c>
      <c r="R42" s="508">
        <v>990000000</v>
      </c>
      <c r="S42" s="508">
        <v>0</v>
      </c>
      <c r="T42" s="509">
        <v>990000000</v>
      </c>
      <c r="U42" s="506">
        <v>34246946</v>
      </c>
      <c r="V42" s="510"/>
    </row>
    <row r="43" spans="1:22" s="270" customFormat="1" ht="15" customHeight="1">
      <c r="A43" s="317"/>
      <c r="B43" s="334">
        <f t="shared" si="1"/>
        <v>33</v>
      </c>
      <c r="C43" s="289" t="s">
        <v>416</v>
      </c>
      <c r="D43" s="330" t="s">
        <v>270</v>
      </c>
      <c r="E43" s="289" t="s">
        <v>229</v>
      </c>
      <c r="F43" s="360" t="s">
        <v>720</v>
      </c>
      <c r="G43" s="500">
        <v>12</v>
      </c>
      <c r="H43" s="501" t="s">
        <v>422</v>
      </c>
      <c r="I43" s="502" t="s">
        <v>827</v>
      </c>
      <c r="J43" s="503">
        <v>9.0200000000000002E-2</v>
      </c>
      <c r="K43" s="504">
        <v>45443</v>
      </c>
      <c r="L43" s="504">
        <v>48341</v>
      </c>
      <c r="M43" s="504">
        <v>45715</v>
      </c>
      <c r="N43" s="505" t="s">
        <v>196</v>
      </c>
      <c r="O43" s="506">
        <v>120000000</v>
      </c>
      <c r="P43" s="507" t="s">
        <v>196</v>
      </c>
      <c r="Q43" s="508">
        <v>120000000</v>
      </c>
      <c r="R43" s="508">
        <v>120000000</v>
      </c>
      <c r="S43" s="508">
        <v>0</v>
      </c>
      <c r="T43" s="509">
        <v>120000000</v>
      </c>
      <c r="U43" s="506">
        <v>4223578</v>
      </c>
      <c r="V43" s="510"/>
    </row>
    <row r="44" spans="1:22" s="270" customFormat="1" ht="15" customHeight="1">
      <c r="A44" s="317"/>
      <c r="B44" s="334">
        <f t="shared" si="1"/>
        <v>34</v>
      </c>
      <c r="C44" s="289" t="s">
        <v>416</v>
      </c>
      <c r="D44" s="330" t="s">
        <v>270</v>
      </c>
      <c r="E44" s="289" t="s">
        <v>229</v>
      </c>
      <c r="F44" s="360" t="s">
        <v>720</v>
      </c>
      <c r="G44" s="500">
        <v>13</v>
      </c>
      <c r="H44" s="501" t="s">
        <v>422</v>
      </c>
      <c r="I44" s="502" t="s">
        <v>828</v>
      </c>
      <c r="J44" s="503">
        <v>0.11</v>
      </c>
      <c r="K44" s="504">
        <v>45700</v>
      </c>
      <c r="L44" s="504">
        <v>48622</v>
      </c>
      <c r="M44" s="504"/>
      <c r="N44" s="505" t="s">
        <v>196</v>
      </c>
      <c r="O44" s="506">
        <v>700000000</v>
      </c>
      <c r="P44" s="507" t="s">
        <v>196</v>
      </c>
      <c r="Q44" s="508">
        <v>700000000</v>
      </c>
      <c r="R44" s="508">
        <v>700000000</v>
      </c>
      <c r="S44" s="508">
        <v>0</v>
      </c>
      <c r="T44" s="509">
        <v>700000000</v>
      </c>
      <c r="U44" s="506">
        <v>33598680</v>
      </c>
      <c r="V44" s="510"/>
    </row>
    <row r="45" spans="1:22" s="270" customFormat="1" ht="15" customHeight="1">
      <c r="A45" s="317"/>
      <c r="B45" s="334">
        <f t="shared" si="1"/>
        <v>35</v>
      </c>
      <c r="C45" s="289" t="s">
        <v>416</v>
      </c>
      <c r="D45" s="330" t="s">
        <v>270</v>
      </c>
      <c r="E45" s="289" t="s">
        <v>229</v>
      </c>
      <c r="F45" s="360" t="s">
        <v>720</v>
      </c>
      <c r="G45" s="500">
        <v>14</v>
      </c>
      <c r="H45" s="501" t="s">
        <v>422</v>
      </c>
      <c r="I45" s="502" t="s">
        <v>829</v>
      </c>
      <c r="J45" s="503">
        <v>8.0399999999999985E-2</v>
      </c>
      <c r="K45" s="504">
        <v>45707</v>
      </c>
      <c r="L45" s="504">
        <v>48616</v>
      </c>
      <c r="M45" s="504">
        <v>45869</v>
      </c>
      <c r="N45" s="505" t="s">
        <v>196</v>
      </c>
      <c r="O45" s="506">
        <v>500000000</v>
      </c>
      <c r="P45" s="507" t="s">
        <v>196</v>
      </c>
      <c r="Q45" s="508">
        <v>25000000</v>
      </c>
      <c r="R45" s="508">
        <v>25000000</v>
      </c>
      <c r="S45" s="508">
        <v>0</v>
      </c>
      <c r="T45" s="509">
        <v>25000000</v>
      </c>
      <c r="U45" s="506">
        <v>187256</v>
      </c>
      <c r="V45" s="510"/>
    </row>
    <row r="46" spans="1:22" s="270" customFormat="1" ht="15" customHeight="1">
      <c r="A46" s="317"/>
      <c r="B46" s="334">
        <f t="shared" si="1"/>
        <v>36</v>
      </c>
      <c r="C46" s="289" t="s">
        <v>416</v>
      </c>
      <c r="D46" s="330" t="s">
        <v>270</v>
      </c>
      <c r="E46" s="289" t="s">
        <v>229</v>
      </c>
      <c r="F46" s="360" t="s">
        <v>720</v>
      </c>
      <c r="G46" s="500">
        <v>15</v>
      </c>
      <c r="H46" s="501" t="s">
        <v>422</v>
      </c>
      <c r="I46" s="502" t="s">
        <v>829</v>
      </c>
      <c r="J46" s="503">
        <v>8.0399999999999985E-2</v>
      </c>
      <c r="K46" s="504">
        <v>45707</v>
      </c>
      <c r="L46" s="504">
        <v>48616</v>
      </c>
      <c r="M46" s="504"/>
      <c r="N46" s="505" t="s">
        <v>196</v>
      </c>
      <c r="O46" s="506">
        <v>500000000</v>
      </c>
      <c r="P46" s="507" t="s">
        <v>196</v>
      </c>
      <c r="Q46" s="508">
        <v>475000000</v>
      </c>
      <c r="R46" s="508">
        <v>475000000</v>
      </c>
      <c r="S46" s="508">
        <v>0</v>
      </c>
      <c r="T46" s="509">
        <v>475000000</v>
      </c>
      <c r="U46" s="506">
        <v>15977332</v>
      </c>
      <c r="V46" s="510"/>
    </row>
    <row r="47" spans="1:22" s="270" customFormat="1" ht="15" customHeight="1">
      <c r="A47" s="317"/>
      <c r="B47" s="334">
        <f t="shared" si="1"/>
        <v>37</v>
      </c>
      <c r="C47" s="289" t="s">
        <v>416</v>
      </c>
      <c r="D47" s="330" t="s">
        <v>270</v>
      </c>
      <c r="E47" s="289" t="s">
        <v>229</v>
      </c>
      <c r="F47" s="360" t="s">
        <v>720</v>
      </c>
      <c r="G47" s="500">
        <v>16</v>
      </c>
      <c r="H47" s="501" t="s">
        <v>212</v>
      </c>
      <c r="I47" s="502" t="s">
        <v>830</v>
      </c>
      <c r="J47" s="503">
        <v>7.4700000000000003E-2</v>
      </c>
      <c r="K47" s="504">
        <v>45702</v>
      </c>
      <c r="L47" s="504">
        <v>46059</v>
      </c>
      <c r="M47" s="504"/>
      <c r="N47" s="505" t="s">
        <v>196</v>
      </c>
      <c r="O47" s="506">
        <v>550000000</v>
      </c>
      <c r="P47" s="507" t="s">
        <v>196</v>
      </c>
      <c r="Q47" s="508">
        <v>550000000</v>
      </c>
      <c r="R47" s="508">
        <v>550000000</v>
      </c>
      <c r="S47" s="508">
        <v>0</v>
      </c>
      <c r="T47" s="509">
        <v>550000000</v>
      </c>
      <c r="U47" s="506">
        <v>16882780</v>
      </c>
      <c r="V47" s="510"/>
    </row>
    <row r="48" spans="1:22" s="270" customFormat="1" ht="15" customHeight="1">
      <c r="A48" s="317"/>
      <c r="B48" s="334">
        <f t="shared" si="1"/>
        <v>38</v>
      </c>
      <c r="C48" s="289" t="s">
        <v>416</v>
      </c>
      <c r="D48" s="330" t="s">
        <v>270</v>
      </c>
      <c r="E48" s="289" t="s">
        <v>229</v>
      </c>
      <c r="F48" s="360" t="s">
        <v>720</v>
      </c>
      <c r="G48" s="500">
        <v>17</v>
      </c>
      <c r="H48" s="501" t="s">
        <v>429</v>
      </c>
      <c r="I48" s="502" t="s">
        <v>831</v>
      </c>
      <c r="J48" s="503">
        <v>5.5999999999999994E-2</v>
      </c>
      <c r="K48" s="504">
        <v>45128</v>
      </c>
      <c r="L48" s="504">
        <v>47574</v>
      </c>
      <c r="M48" s="504">
        <v>45657</v>
      </c>
      <c r="N48" s="505" t="s">
        <v>196</v>
      </c>
      <c r="O48" s="506">
        <v>890000000</v>
      </c>
      <c r="P48" s="507" t="s">
        <v>196</v>
      </c>
      <c r="Q48" s="508">
        <v>815826000</v>
      </c>
      <c r="R48" s="508">
        <v>815826000</v>
      </c>
      <c r="S48" s="508">
        <v>0</v>
      </c>
      <c r="T48" s="509">
        <v>815826000</v>
      </c>
      <c r="U48" s="506">
        <v>20828148</v>
      </c>
      <c r="V48" s="510"/>
    </row>
    <row r="49" spans="1:22" s="270" customFormat="1" ht="15" customHeight="1">
      <c r="A49" s="317"/>
      <c r="B49" s="334">
        <f t="shared" si="1"/>
        <v>39</v>
      </c>
      <c r="C49" s="289" t="s">
        <v>416</v>
      </c>
      <c r="D49" s="330" t="s">
        <v>270</v>
      </c>
      <c r="E49" s="289" t="s">
        <v>229</v>
      </c>
      <c r="F49" s="360" t="s">
        <v>720</v>
      </c>
      <c r="G49" s="500">
        <v>18</v>
      </c>
      <c r="H49" s="501" t="s">
        <v>427</v>
      </c>
      <c r="I49" s="502" t="s">
        <v>832</v>
      </c>
      <c r="J49" s="503">
        <v>0.06</v>
      </c>
      <c r="K49" s="504">
        <v>45450</v>
      </c>
      <c r="L49" s="504">
        <v>48319</v>
      </c>
      <c r="M49" s="504">
        <v>45869</v>
      </c>
      <c r="N49" s="505" t="s">
        <v>196</v>
      </c>
      <c r="O49" s="506">
        <v>1790000000</v>
      </c>
      <c r="P49" s="507" t="s">
        <v>196</v>
      </c>
      <c r="Q49" s="508">
        <v>222055000</v>
      </c>
      <c r="R49" s="508">
        <v>222055000</v>
      </c>
      <c r="S49" s="508">
        <v>0</v>
      </c>
      <c r="T49" s="509">
        <v>222055000</v>
      </c>
      <c r="U49" s="506">
        <v>1241074</v>
      </c>
      <c r="V49" s="510"/>
    </row>
    <row r="50" spans="1:22" s="270" customFormat="1" ht="15" customHeight="1">
      <c r="A50" s="317"/>
      <c r="B50" s="334">
        <f t="shared" si="1"/>
        <v>40</v>
      </c>
      <c r="C50" s="289" t="s">
        <v>416</v>
      </c>
      <c r="D50" s="330" t="s">
        <v>270</v>
      </c>
      <c r="E50" s="289" t="s">
        <v>229</v>
      </c>
      <c r="F50" s="360" t="s">
        <v>720</v>
      </c>
      <c r="G50" s="500">
        <v>19</v>
      </c>
      <c r="H50" s="501" t="s">
        <v>427</v>
      </c>
      <c r="I50" s="502" t="s">
        <v>832</v>
      </c>
      <c r="J50" s="503">
        <v>0.06</v>
      </c>
      <c r="K50" s="504">
        <v>45450</v>
      </c>
      <c r="L50" s="504">
        <v>48319</v>
      </c>
      <c r="M50" s="504">
        <v>45671</v>
      </c>
      <c r="N50" s="505" t="s">
        <v>196</v>
      </c>
      <c r="O50" s="506">
        <v>1790000000</v>
      </c>
      <c r="P50" s="507" t="s">
        <v>196</v>
      </c>
      <c r="Q50" s="508">
        <v>1567945000</v>
      </c>
      <c r="R50" s="508">
        <v>1567945000</v>
      </c>
      <c r="S50" s="508">
        <v>0</v>
      </c>
      <c r="T50" s="509">
        <v>1567945000</v>
      </c>
      <c r="U50" s="506">
        <v>45270430</v>
      </c>
      <c r="V50" s="510"/>
    </row>
    <row r="51" spans="1:22" s="270" customFormat="1" ht="15" customHeight="1">
      <c r="A51" s="317"/>
      <c r="B51" s="334">
        <f t="shared" si="1"/>
        <v>41</v>
      </c>
      <c r="C51" s="289" t="s">
        <v>416</v>
      </c>
      <c r="D51" s="330" t="s">
        <v>270</v>
      </c>
      <c r="E51" s="289" t="s">
        <v>229</v>
      </c>
      <c r="F51" s="360" t="s">
        <v>720</v>
      </c>
      <c r="G51" s="500">
        <v>20</v>
      </c>
      <c r="H51" s="501" t="s">
        <v>441</v>
      </c>
      <c r="I51" s="502" t="s">
        <v>833</v>
      </c>
      <c r="J51" s="503"/>
      <c r="K51" s="504">
        <v>45785</v>
      </c>
      <c r="L51" s="504"/>
      <c r="M51" s="504"/>
      <c r="N51" s="505" t="s">
        <v>196</v>
      </c>
      <c r="O51" s="506">
        <v>38447110</v>
      </c>
      <c r="P51" s="507" t="s">
        <v>196</v>
      </c>
      <c r="Q51" s="508">
        <v>0</v>
      </c>
      <c r="R51" s="508">
        <v>0</v>
      </c>
      <c r="S51" s="508">
        <v>38447110</v>
      </c>
      <c r="T51" s="509">
        <v>38447110</v>
      </c>
      <c r="U51" s="506">
        <v>0</v>
      </c>
      <c r="V51" s="510" t="s">
        <v>439</v>
      </c>
    </row>
    <row r="52" spans="1:22" s="270" customFormat="1" ht="15" customHeight="1">
      <c r="A52" s="317"/>
      <c r="B52" s="334">
        <f t="shared" si="1"/>
        <v>42</v>
      </c>
      <c r="C52" s="289" t="s">
        <v>416</v>
      </c>
      <c r="D52" s="330" t="s">
        <v>270</v>
      </c>
      <c r="E52" s="289" t="s">
        <v>229</v>
      </c>
      <c r="F52" s="360" t="s">
        <v>720</v>
      </c>
      <c r="G52" s="500">
        <v>21</v>
      </c>
      <c r="H52" s="501" t="s">
        <v>441</v>
      </c>
      <c r="I52" s="502" t="s">
        <v>834</v>
      </c>
      <c r="J52" s="503"/>
      <c r="K52" s="504">
        <v>45839</v>
      </c>
      <c r="L52" s="504"/>
      <c r="M52" s="504"/>
      <c r="N52" s="505" t="s">
        <v>196</v>
      </c>
      <c r="O52" s="506">
        <v>759000</v>
      </c>
      <c r="P52" s="507" t="s">
        <v>196</v>
      </c>
      <c r="Q52" s="508">
        <v>0</v>
      </c>
      <c r="R52" s="508">
        <v>0</v>
      </c>
      <c r="S52" s="508">
        <v>759000</v>
      </c>
      <c r="T52" s="509">
        <v>759000</v>
      </c>
      <c r="U52" s="506">
        <v>0</v>
      </c>
      <c r="V52" s="510" t="s">
        <v>437</v>
      </c>
    </row>
    <row r="53" spans="1:22" s="270" customFormat="1" ht="15" customHeight="1">
      <c r="A53" s="317"/>
      <c r="B53" s="334">
        <f t="shared" si="1"/>
        <v>43</v>
      </c>
      <c r="C53" s="289" t="s">
        <v>416</v>
      </c>
      <c r="D53" s="330" t="s">
        <v>270</v>
      </c>
      <c r="E53" s="289" t="s">
        <v>229</v>
      </c>
      <c r="F53" s="360" t="s">
        <v>720</v>
      </c>
      <c r="G53" s="500">
        <v>22</v>
      </c>
      <c r="H53" s="501" t="s">
        <v>441</v>
      </c>
      <c r="I53" s="502" t="s">
        <v>835</v>
      </c>
      <c r="J53" s="503"/>
      <c r="K53" s="504">
        <v>45749</v>
      </c>
      <c r="L53" s="504"/>
      <c r="M53" s="504"/>
      <c r="N53" s="505" t="s">
        <v>196</v>
      </c>
      <c r="O53" s="506">
        <v>379500</v>
      </c>
      <c r="P53" s="507" t="s">
        <v>196</v>
      </c>
      <c r="Q53" s="508">
        <v>0</v>
      </c>
      <c r="R53" s="508">
        <v>0</v>
      </c>
      <c r="S53" s="508">
        <v>379500</v>
      </c>
      <c r="T53" s="509">
        <v>379500</v>
      </c>
      <c r="U53" s="506">
        <v>0</v>
      </c>
      <c r="V53" s="510" t="s">
        <v>440</v>
      </c>
    </row>
    <row r="54" spans="1:22" s="270" customFormat="1" ht="15" customHeight="1">
      <c r="A54" s="317"/>
      <c r="B54" s="334">
        <f t="shared" si="1"/>
        <v>44</v>
      </c>
      <c r="C54" s="289" t="s">
        <v>416</v>
      </c>
      <c r="D54" s="330" t="s">
        <v>270</v>
      </c>
      <c r="E54" s="289" t="s">
        <v>229</v>
      </c>
      <c r="F54" s="360" t="s">
        <v>720</v>
      </c>
      <c r="G54" s="500">
        <v>23</v>
      </c>
      <c r="H54" s="501" t="s">
        <v>441</v>
      </c>
      <c r="I54" s="502" t="s">
        <v>836</v>
      </c>
      <c r="J54" s="503"/>
      <c r="K54" s="504">
        <v>45779</v>
      </c>
      <c r="L54" s="504"/>
      <c r="M54" s="504"/>
      <c r="N54" s="505" t="s">
        <v>196</v>
      </c>
      <c r="O54" s="506">
        <v>759000</v>
      </c>
      <c r="P54" s="507" t="s">
        <v>196</v>
      </c>
      <c r="Q54" s="508">
        <v>0</v>
      </c>
      <c r="R54" s="508">
        <v>0</v>
      </c>
      <c r="S54" s="508">
        <v>759000</v>
      </c>
      <c r="T54" s="509">
        <v>759000</v>
      </c>
      <c r="U54" s="506">
        <v>0</v>
      </c>
      <c r="V54" s="510" t="s">
        <v>440</v>
      </c>
    </row>
    <row r="55" spans="1:22" s="270" customFormat="1" ht="15" customHeight="1">
      <c r="A55" s="317"/>
      <c r="B55" s="334">
        <f t="shared" si="1"/>
        <v>45</v>
      </c>
      <c r="C55" s="289" t="s">
        <v>416</v>
      </c>
      <c r="D55" s="330" t="s">
        <v>270</v>
      </c>
      <c r="E55" s="289" t="s">
        <v>229</v>
      </c>
      <c r="F55" s="360" t="s">
        <v>720</v>
      </c>
      <c r="G55" s="500">
        <v>24</v>
      </c>
      <c r="H55" s="501" t="s">
        <v>441</v>
      </c>
      <c r="I55" s="502" t="s">
        <v>837</v>
      </c>
      <c r="J55" s="503"/>
      <c r="K55" s="504">
        <v>45812</v>
      </c>
      <c r="L55" s="504"/>
      <c r="M55" s="504"/>
      <c r="N55" s="505" t="s">
        <v>196</v>
      </c>
      <c r="O55" s="506">
        <v>784300</v>
      </c>
      <c r="P55" s="507" t="s">
        <v>196</v>
      </c>
      <c r="Q55" s="508">
        <v>0</v>
      </c>
      <c r="R55" s="508">
        <v>0</v>
      </c>
      <c r="S55" s="508">
        <v>784300</v>
      </c>
      <c r="T55" s="509">
        <v>784300</v>
      </c>
      <c r="U55" s="506">
        <v>0</v>
      </c>
      <c r="V55" s="510" t="s">
        <v>440</v>
      </c>
    </row>
    <row r="56" spans="1:22" s="270" customFormat="1" ht="15" customHeight="1">
      <c r="A56" s="317"/>
      <c r="B56" s="334">
        <f t="shared" si="1"/>
        <v>46</v>
      </c>
      <c r="C56" s="289" t="s">
        <v>416</v>
      </c>
      <c r="D56" s="330" t="s">
        <v>270</v>
      </c>
      <c r="E56" s="289" t="s">
        <v>229</v>
      </c>
      <c r="F56" s="360" t="s">
        <v>720</v>
      </c>
      <c r="G56" s="500">
        <v>25</v>
      </c>
      <c r="H56" s="501" t="s">
        <v>441</v>
      </c>
      <c r="I56" s="502" t="s">
        <v>838</v>
      </c>
      <c r="J56" s="503"/>
      <c r="K56" s="504">
        <v>45744</v>
      </c>
      <c r="L56" s="504"/>
      <c r="M56" s="504"/>
      <c r="N56" s="505" t="s">
        <v>196</v>
      </c>
      <c r="O56" s="506">
        <v>5592700</v>
      </c>
      <c r="P56" s="507" t="s">
        <v>196</v>
      </c>
      <c r="Q56" s="508">
        <v>0</v>
      </c>
      <c r="R56" s="508">
        <v>0</v>
      </c>
      <c r="S56" s="508">
        <v>5592700</v>
      </c>
      <c r="T56" s="509">
        <v>5592700</v>
      </c>
      <c r="U56" s="506">
        <v>0</v>
      </c>
      <c r="V56" s="510" t="s">
        <v>438</v>
      </c>
    </row>
    <row r="57" spans="1:22" s="270" customFormat="1" ht="15" customHeight="1">
      <c r="A57" s="317"/>
      <c r="B57" s="334">
        <f t="shared" si="1"/>
        <v>47</v>
      </c>
      <c r="C57" s="289" t="s">
        <v>416</v>
      </c>
      <c r="D57" s="330" t="s">
        <v>270</v>
      </c>
      <c r="E57" s="289" t="s">
        <v>229</v>
      </c>
      <c r="F57" s="360" t="s">
        <v>720</v>
      </c>
      <c r="G57" s="500">
        <v>26</v>
      </c>
      <c r="H57" s="501" t="s">
        <v>441</v>
      </c>
      <c r="I57" s="502" t="s">
        <v>839</v>
      </c>
      <c r="J57" s="503"/>
      <c r="K57" s="504">
        <v>45747</v>
      </c>
      <c r="L57" s="504"/>
      <c r="M57" s="504"/>
      <c r="N57" s="505" t="s">
        <v>196</v>
      </c>
      <c r="O57" s="506">
        <v>546000</v>
      </c>
      <c r="P57" s="507" t="s">
        <v>196</v>
      </c>
      <c r="Q57" s="508">
        <v>0</v>
      </c>
      <c r="R57" s="508">
        <v>0</v>
      </c>
      <c r="S57" s="508">
        <v>546000</v>
      </c>
      <c r="T57" s="509">
        <v>546000</v>
      </c>
      <c r="U57" s="506">
        <v>0</v>
      </c>
      <c r="V57" s="510" t="s">
        <v>438</v>
      </c>
    </row>
    <row r="58" spans="1:22" s="270" customFormat="1" ht="15" customHeight="1">
      <c r="A58" s="317"/>
      <c r="B58" s="334">
        <f t="shared" si="1"/>
        <v>48</v>
      </c>
      <c r="C58" s="289" t="s">
        <v>416</v>
      </c>
      <c r="D58" s="330" t="s">
        <v>270</v>
      </c>
      <c r="E58" s="289" t="s">
        <v>230</v>
      </c>
      <c r="F58" s="360" t="s">
        <v>721</v>
      </c>
      <c r="G58" s="500">
        <v>1</v>
      </c>
      <c r="H58" s="501" t="s">
        <v>212</v>
      </c>
      <c r="I58" s="502" t="s">
        <v>840</v>
      </c>
      <c r="J58" s="503">
        <v>0.10009999999999999</v>
      </c>
      <c r="K58" s="504">
        <v>43938</v>
      </c>
      <c r="L58" s="504">
        <v>45758</v>
      </c>
      <c r="M58" s="504">
        <v>45721</v>
      </c>
      <c r="N58" s="505" t="s">
        <v>196</v>
      </c>
      <c r="O58" s="506">
        <v>180000000</v>
      </c>
      <c r="P58" s="507" t="s">
        <v>196</v>
      </c>
      <c r="Q58" s="508">
        <v>179372317</v>
      </c>
      <c r="R58" s="508">
        <v>179372317</v>
      </c>
      <c r="S58" s="508">
        <v>0</v>
      </c>
      <c r="T58" s="509">
        <v>179372317</v>
      </c>
      <c r="U58" s="506">
        <v>7253279</v>
      </c>
      <c r="V58" s="510"/>
    </row>
    <row r="59" spans="1:22" s="270" customFormat="1" ht="15" customHeight="1">
      <c r="A59" s="317"/>
      <c r="B59" s="334">
        <f t="shared" si="1"/>
        <v>49</v>
      </c>
      <c r="C59" s="289" t="s">
        <v>416</v>
      </c>
      <c r="D59" s="330" t="s">
        <v>270</v>
      </c>
      <c r="E59" s="289" t="s">
        <v>230</v>
      </c>
      <c r="F59" s="360" t="s">
        <v>721</v>
      </c>
      <c r="G59" s="500">
        <v>2</v>
      </c>
      <c r="H59" s="501" t="s">
        <v>212</v>
      </c>
      <c r="I59" s="502" t="s">
        <v>841</v>
      </c>
      <c r="J59" s="503">
        <v>9.5399999999999985E-2</v>
      </c>
      <c r="K59" s="504">
        <v>43166</v>
      </c>
      <c r="L59" s="504">
        <v>45727</v>
      </c>
      <c r="M59" s="504">
        <v>45667</v>
      </c>
      <c r="N59" s="505" t="s">
        <v>196</v>
      </c>
      <c r="O59" s="506">
        <v>180000000</v>
      </c>
      <c r="P59" s="507" t="s">
        <v>196</v>
      </c>
      <c r="Q59" s="508">
        <v>130000000</v>
      </c>
      <c r="R59" s="508">
        <v>130000000</v>
      </c>
      <c r="S59" s="508">
        <v>0</v>
      </c>
      <c r="T59" s="509">
        <v>130000000</v>
      </c>
      <c r="U59" s="506">
        <v>6342877</v>
      </c>
      <c r="V59" s="510"/>
    </row>
    <row r="60" spans="1:22" s="270" customFormat="1" ht="15" customHeight="1">
      <c r="A60" s="317"/>
      <c r="B60" s="334">
        <f t="shared" si="1"/>
        <v>50</v>
      </c>
      <c r="C60" s="289" t="s">
        <v>416</v>
      </c>
      <c r="D60" s="330" t="s">
        <v>270</v>
      </c>
      <c r="E60" s="289" t="s">
        <v>230</v>
      </c>
      <c r="F60" s="360" t="s">
        <v>721</v>
      </c>
      <c r="G60" s="500">
        <v>3</v>
      </c>
      <c r="H60" s="501" t="s">
        <v>422</v>
      </c>
      <c r="I60" s="502" t="s">
        <v>842</v>
      </c>
      <c r="J60" s="503">
        <v>7.5399999999999995E-2</v>
      </c>
      <c r="K60" s="504">
        <v>43584</v>
      </c>
      <c r="L60" s="504">
        <v>45766</v>
      </c>
      <c r="M60" s="504">
        <v>45648</v>
      </c>
      <c r="N60" s="505" t="s">
        <v>196</v>
      </c>
      <c r="O60" s="506">
        <v>1500000000</v>
      </c>
      <c r="P60" s="507" t="s">
        <v>196</v>
      </c>
      <c r="Q60" s="508">
        <v>1500000000</v>
      </c>
      <c r="R60" s="508">
        <v>1500000000</v>
      </c>
      <c r="S60" s="508">
        <v>0</v>
      </c>
      <c r="T60" s="509">
        <v>1500000000</v>
      </c>
      <c r="U60" s="506">
        <v>62932729</v>
      </c>
      <c r="V60" s="510"/>
    </row>
    <row r="61" spans="1:22" s="270" customFormat="1" ht="15" customHeight="1">
      <c r="A61" s="317"/>
      <c r="B61" s="334">
        <f t="shared" si="1"/>
        <v>51</v>
      </c>
      <c r="C61" s="289" t="s">
        <v>416</v>
      </c>
      <c r="D61" s="330" t="s">
        <v>270</v>
      </c>
      <c r="E61" s="289" t="s">
        <v>230</v>
      </c>
      <c r="F61" s="360" t="s">
        <v>721</v>
      </c>
      <c r="G61" s="500">
        <v>4</v>
      </c>
      <c r="H61" s="501" t="s">
        <v>422</v>
      </c>
      <c r="I61" s="502" t="s">
        <v>843</v>
      </c>
      <c r="J61" s="503">
        <v>8.3699999999999997E-2</v>
      </c>
      <c r="K61" s="504">
        <v>43584</v>
      </c>
      <c r="L61" s="504">
        <v>45766</v>
      </c>
      <c r="M61" s="504">
        <v>45644</v>
      </c>
      <c r="N61" s="505" t="s">
        <v>196</v>
      </c>
      <c r="O61" s="506">
        <v>500000000</v>
      </c>
      <c r="P61" s="507" t="s">
        <v>196</v>
      </c>
      <c r="Q61" s="508">
        <v>427000000</v>
      </c>
      <c r="R61" s="508">
        <v>427000000</v>
      </c>
      <c r="S61" s="508">
        <v>0</v>
      </c>
      <c r="T61" s="509">
        <v>427000000</v>
      </c>
      <c r="U61" s="506">
        <v>20290653</v>
      </c>
      <c r="V61" s="510"/>
    </row>
    <row r="62" spans="1:22" s="270" customFormat="1" ht="15" customHeight="1">
      <c r="A62" s="317"/>
      <c r="B62" s="334">
        <f t="shared" si="1"/>
        <v>52</v>
      </c>
      <c r="C62" s="289" t="s">
        <v>416</v>
      </c>
      <c r="D62" s="330" t="s">
        <v>270</v>
      </c>
      <c r="E62" s="289" t="s">
        <v>230</v>
      </c>
      <c r="F62" s="360" t="s">
        <v>721</v>
      </c>
      <c r="G62" s="500">
        <v>5</v>
      </c>
      <c r="H62" s="501" t="s">
        <v>212</v>
      </c>
      <c r="I62" s="502" t="s">
        <v>844</v>
      </c>
      <c r="J62" s="503">
        <v>0.1002</v>
      </c>
      <c r="K62" s="504">
        <v>43910</v>
      </c>
      <c r="L62" s="504">
        <v>45736</v>
      </c>
      <c r="M62" s="504">
        <v>45647</v>
      </c>
      <c r="N62" s="505" t="s">
        <v>196</v>
      </c>
      <c r="O62" s="506">
        <v>400000000</v>
      </c>
      <c r="P62" s="507" t="s">
        <v>196</v>
      </c>
      <c r="Q62" s="508">
        <v>400000000</v>
      </c>
      <c r="R62" s="508">
        <v>400000000</v>
      </c>
      <c r="S62" s="508">
        <v>0</v>
      </c>
      <c r="T62" s="509">
        <v>400000000</v>
      </c>
      <c r="U62" s="506">
        <v>22784396</v>
      </c>
      <c r="V62" s="510"/>
    </row>
    <row r="63" spans="1:22" s="270" customFormat="1" ht="15" customHeight="1">
      <c r="A63" s="317"/>
      <c r="B63" s="334">
        <f t="shared" si="1"/>
        <v>53</v>
      </c>
      <c r="C63" s="289" t="s">
        <v>416</v>
      </c>
      <c r="D63" s="330" t="s">
        <v>270</v>
      </c>
      <c r="E63" s="289" t="s">
        <v>230</v>
      </c>
      <c r="F63" s="360" t="s">
        <v>721</v>
      </c>
      <c r="G63" s="500">
        <v>6</v>
      </c>
      <c r="H63" s="501" t="s">
        <v>422</v>
      </c>
      <c r="I63" s="502" t="s">
        <v>845</v>
      </c>
      <c r="J63" s="503">
        <v>8.1099999999999992E-2</v>
      </c>
      <c r="K63" s="504">
        <v>44131</v>
      </c>
      <c r="L63" s="504">
        <v>45957</v>
      </c>
      <c r="M63" s="504">
        <v>45653</v>
      </c>
      <c r="N63" s="505" t="s">
        <v>196</v>
      </c>
      <c r="O63" s="506">
        <v>500000000</v>
      </c>
      <c r="P63" s="507" t="s">
        <v>196</v>
      </c>
      <c r="Q63" s="508">
        <v>500000000</v>
      </c>
      <c r="R63" s="508">
        <v>500000000</v>
      </c>
      <c r="S63" s="508">
        <v>0</v>
      </c>
      <c r="T63" s="509">
        <v>500000000</v>
      </c>
      <c r="U63" s="506">
        <v>21829557</v>
      </c>
      <c r="V63" s="510"/>
    </row>
    <row r="64" spans="1:22" s="270" customFormat="1" ht="15" customHeight="1">
      <c r="A64" s="317"/>
      <c r="B64" s="334">
        <f t="shared" si="1"/>
        <v>54</v>
      </c>
      <c r="C64" s="289" t="s">
        <v>416</v>
      </c>
      <c r="D64" s="330" t="s">
        <v>270</v>
      </c>
      <c r="E64" s="289" t="s">
        <v>230</v>
      </c>
      <c r="F64" s="360" t="s">
        <v>721</v>
      </c>
      <c r="G64" s="500">
        <v>7</v>
      </c>
      <c r="H64" s="501" t="s">
        <v>422</v>
      </c>
      <c r="I64" s="502" t="s">
        <v>846</v>
      </c>
      <c r="J64" s="503">
        <v>8.6800000000000002E-2</v>
      </c>
      <c r="K64" s="504">
        <v>44245</v>
      </c>
      <c r="L64" s="504">
        <v>45697</v>
      </c>
      <c r="M64" s="504">
        <v>45669</v>
      </c>
      <c r="N64" s="505" t="s">
        <v>196</v>
      </c>
      <c r="O64" s="506">
        <v>1000000000</v>
      </c>
      <c r="P64" s="507" t="s">
        <v>196</v>
      </c>
      <c r="Q64" s="508">
        <v>1000000000</v>
      </c>
      <c r="R64" s="508">
        <v>1000000000</v>
      </c>
      <c r="S64" s="508">
        <v>0</v>
      </c>
      <c r="T64" s="509">
        <v>1000000000</v>
      </c>
      <c r="U64" s="506">
        <v>44954448</v>
      </c>
      <c r="V64" s="510"/>
    </row>
    <row r="65" spans="1:22" s="270" customFormat="1" ht="15" customHeight="1">
      <c r="A65" s="317"/>
      <c r="B65" s="334">
        <f t="shared" si="1"/>
        <v>55</v>
      </c>
      <c r="C65" s="289" t="s">
        <v>416</v>
      </c>
      <c r="D65" s="330" t="s">
        <v>270</v>
      </c>
      <c r="E65" s="289" t="s">
        <v>230</v>
      </c>
      <c r="F65" s="360" t="s">
        <v>721</v>
      </c>
      <c r="G65" s="500">
        <v>8</v>
      </c>
      <c r="H65" s="501" t="s">
        <v>212</v>
      </c>
      <c r="I65" s="502" t="s">
        <v>847</v>
      </c>
      <c r="J65" s="503">
        <v>8.3900000000000002E-2</v>
      </c>
      <c r="K65" s="504">
        <v>44386</v>
      </c>
      <c r="L65" s="504">
        <v>45849</v>
      </c>
      <c r="M65" s="504">
        <v>45642</v>
      </c>
      <c r="N65" s="505" t="s">
        <v>196</v>
      </c>
      <c r="O65" s="506">
        <v>470000000</v>
      </c>
      <c r="P65" s="507" t="s">
        <v>196</v>
      </c>
      <c r="Q65" s="508">
        <v>470000000</v>
      </c>
      <c r="R65" s="508">
        <v>470000000</v>
      </c>
      <c r="S65" s="508">
        <v>0</v>
      </c>
      <c r="T65" s="509">
        <v>470000000</v>
      </c>
      <c r="U65" s="506">
        <v>22643383</v>
      </c>
      <c r="V65" s="510"/>
    </row>
    <row r="66" spans="1:22" s="270" customFormat="1" ht="15" customHeight="1">
      <c r="A66" s="317"/>
      <c r="B66" s="334">
        <f t="shared" si="1"/>
        <v>56</v>
      </c>
      <c r="C66" s="289" t="s">
        <v>416</v>
      </c>
      <c r="D66" s="330" t="s">
        <v>270</v>
      </c>
      <c r="E66" s="289" t="s">
        <v>230</v>
      </c>
      <c r="F66" s="360" t="s">
        <v>721</v>
      </c>
      <c r="G66" s="500">
        <v>9</v>
      </c>
      <c r="H66" s="501" t="s">
        <v>212</v>
      </c>
      <c r="I66" s="502" t="s">
        <v>848</v>
      </c>
      <c r="J66" s="503">
        <v>8.4600000000000009E-2</v>
      </c>
      <c r="K66" s="504">
        <v>44386</v>
      </c>
      <c r="L66" s="504">
        <v>45849</v>
      </c>
      <c r="M66" s="504">
        <v>45670</v>
      </c>
      <c r="N66" s="505" t="s">
        <v>196</v>
      </c>
      <c r="O66" s="506">
        <v>530000000</v>
      </c>
      <c r="P66" s="507" t="s">
        <v>196</v>
      </c>
      <c r="Q66" s="508">
        <v>30000000</v>
      </c>
      <c r="R66" s="508">
        <v>30000000</v>
      </c>
      <c r="S66" s="508">
        <v>0</v>
      </c>
      <c r="T66" s="509">
        <v>30000000</v>
      </c>
      <c r="U66" s="506">
        <v>1271318</v>
      </c>
      <c r="V66" s="510"/>
    </row>
    <row r="67" spans="1:22" s="270" customFormat="1" ht="15" customHeight="1">
      <c r="A67" s="317"/>
      <c r="B67" s="334">
        <f t="shared" ref="B67:B114" si="2">ROW()-10</f>
        <v>57</v>
      </c>
      <c r="C67" s="289" t="s">
        <v>416</v>
      </c>
      <c r="D67" s="330" t="s">
        <v>270</v>
      </c>
      <c r="E67" s="289" t="s">
        <v>230</v>
      </c>
      <c r="F67" s="360" t="s">
        <v>721</v>
      </c>
      <c r="G67" s="500">
        <v>10</v>
      </c>
      <c r="H67" s="501" t="s">
        <v>422</v>
      </c>
      <c r="I67" s="502" t="s">
        <v>849</v>
      </c>
      <c r="J67" s="503">
        <v>7.9699999999999993E-2</v>
      </c>
      <c r="K67" s="504">
        <v>44531</v>
      </c>
      <c r="L67" s="504">
        <v>45992</v>
      </c>
      <c r="M67" s="504">
        <v>45679</v>
      </c>
      <c r="N67" s="505" t="s">
        <v>196</v>
      </c>
      <c r="O67" s="506">
        <v>3200000000</v>
      </c>
      <c r="P67" s="507" t="s">
        <v>196</v>
      </c>
      <c r="Q67" s="508">
        <v>3200000000</v>
      </c>
      <c r="R67" s="508">
        <v>3200000000</v>
      </c>
      <c r="S67" s="508">
        <v>0</v>
      </c>
      <c r="T67" s="509">
        <v>3200000000</v>
      </c>
      <c r="U67" s="506">
        <v>132194366</v>
      </c>
      <c r="V67" s="510"/>
    </row>
    <row r="68" spans="1:22" s="270" customFormat="1" ht="15" customHeight="1">
      <c r="A68" s="317"/>
      <c r="B68" s="334">
        <f t="shared" si="2"/>
        <v>58</v>
      </c>
      <c r="C68" s="289" t="s">
        <v>416</v>
      </c>
      <c r="D68" s="330" t="s">
        <v>270</v>
      </c>
      <c r="E68" s="289" t="s">
        <v>230</v>
      </c>
      <c r="F68" s="360" t="s">
        <v>721</v>
      </c>
      <c r="G68" s="500">
        <v>11</v>
      </c>
      <c r="H68" s="501" t="s">
        <v>212</v>
      </c>
      <c r="I68" s="502" t="s">
        <v>850</v>
      </c>
      <c r="J68" s="503">
        <v>9.9000000000000005E-2</v>
      </c>
      <c r="K68" s="504">
        <v>45002</v>
      </c>
      <c r="L68" s="504">
        <v>45733</v>
      </c>
      <c r="M68" s="504">
        <v>45656</v>
      </c>
      <c r="N68" s="505" t="s">
        <v>196</v>
      </c>
      <c r="O68" s="506">
        <v>340000000</v>
      </c>
      <c r="P68" s="507" t="s">
        <v>196</v>
      </c>
      <c r="Q68" s="508">
        <v>340000000</v>
      </c>
      <c r="R68" s="508">
        <v>340000000</v>
      </c>
      <c r="S68" s="508">
        <v>0</v>
      </c>
      <c r="T68" s="509">
        <v>340000000</v>
      </c>
      <c r="U68" s="506">
        <v>18586477</v>
      </c>
      <c r="V68" s="510"/>
    </row>
    <row r="69" spans="1:22" s="270" customFormat="1" ht="15" customHeight="1">
      <c r="A69" s="317"/>
      <c r="B69" s="334">
        <f t="shared" si="2"/>
        <v>59</v>
      </c>
      <c r="C69" s="289" t="s">
        <v>416</v>
      </c>
      <c r="D69" s="330" t="s">
        <v>270</v>
      </c>
      <c r="E69" s="289" t="s">
        <v>230</v>
      </c>
      <c r="F69" s="360" t="s">
        <v>721</v>
      </c>
      <c r="G69" s="500">
        <v>12</v>
      </c>
      <c r="H69" s="501" t="s">
        <v>441</v>
      </c>
      <c r="I69" s="502" t="s">
        <v>851</v>
      </c>
      <c r="J69" s="503"/>
      <c r="K69" s="504">
        <v>45733</v>
      </c>
      <c r="L69" s="504"/>
      <c r="M69" s="504"/>
      <c r="N69" s="505" t="s">
        <v>196</v>
      </c>
      <c r="O69" s="506">
        <v>823400</v>
      </c>
      <c r="P69" s="507" t="s">
        <v>196</v>
      </c>
      <c r="Q69" s="508">
        <v>0</v>
      </c>
      <c r="R69" s="508">
        <v>0</v>
      </c>
      <c r="S69" s="508">
        <v>823400</v>
      </c>
      <c r="T69" s="509">
        <v>823400</v>
      </c>
      <c r="U69" s="506">
        <v>0</v>
      </c>
      <c r="V69" s="510" t="s">
        <v>438</v>
      </c>
    </row>
    <row r="70" spans="1:22" s="270" customFormat="1" ht="15" customHeight="1">
      <c r="A70" s="317"/>
      <c r="B70" s="334">
        <f t="shared" si="2"/>
        <v>60</v>
      </c>
      <c r="C70" s="289" t="s">
        <v>416</v>
      </c>
      <c r="D70" s="330" t="s">
        <v>270</v>
      </c>
      <c r="E70" s="289" t="s">
        <v>230</v>
      </c>
      <c r="F70" s="360" t="s">
        <v>721</v>
      </c>
      <c r="G70" s="500">
        <v>13</v>
      </c>
      <c r="H70" s="501" t="s">
        <v>441</v>
      </c>
      <c r="I70" s="502" t="s">
        <v>852</v>
      </c>
      <c r="J70" s="503"/>
      <c r="K70" s="504">
        <v>45810</v>
      </c>
      <c r="L70" s="504"/>
      <c r="M70" s="504"/>
      <c r="N70" s="505" t="s">
        <v>196</v>
      </c>
      <c r="O70" s="506">
        <v>13285700</v>
      </c>
      <c r="P70" s="507" t="s">
        <v>196</v>
      </c>
      <c r="Q70" s="508">
        <v>0</v>
      </c>
      <c r="R70" s="508">
        <v>0</v>
      </c>
      <c r="S70" s="508">
        <v>13285700</v>
      </c>
      <c r="T70" s="509">
        <v>13285700</v>
      </c>
      <c r="U70" s="506">
        <v>0</v>
      </c>
      <c r="V70" s="510" t="s">
        <v>439</v>
      </c>
    </row>
    <row r="71" spans="1:22" s="270" customFormat="1" ht="15" customHeight="1">
      <c r="A71" s="317"/>
      <c r="B71" s="334">
        <f t="shared" si="2"/>
        <v>61</v>
      </c>
      <c r="C71" s="289" t="s">
        <v>416</v>
      </c>
      <c r="D71" s="330" t="s">
        <v>270</v>
      </c>
      <c r="E71" s="289" t="s">
        <v>230</v>
      </c>
      <c r="F71" s="360" t="s">
        <v>721</v>
      </c>
      <c r="G71" s="500">
        <v>14</v>
      </c>
      <c r="H71" s="501" t="s">
        <v>441</v>
      </c>
      <c r="I71" s="502" t="s">
        <v>853</v>
      </c>
      <c r="J71" s="503"/>
      <c r="K71" s="504">
        <v>45810</v>
      </c>
      <c r="L71" s="504"/>
      <c r="M71" s="504"/>
      <c r="N71" s="505" t="s">
        <v>196</v>
      </c>
      <c r="O71" s="506">
        <v>7708300</v>
      </c>
      <c r="P71" s="507" t="s">
        <v>196</v>
      </c>
      <c r="Q71" s="508">
        <v>0</v>
      </c>
      <c r="R71" s="508">
        <v>0</v>
      </c>
      <c r="S71" s="508">
        <v>7708300</v>
      </c>
      <c r="T71" s="509">
        <v>7708300</v>
      </c>
      <c r="U71" s="506">
        <v>0</v>
      </c>
      <c r="V71" s="510" t="s">
        <v>439</v>
      </c>
    </row>
    <row r="72" spans="1:22" s="270" customFormat="1" ht="15" customHeight="1">
      <c r="A72" s="317"/>
      <c r="B72" s="334">
        <f t="shared" si="2"/>
        <v>62</v>
      </c>
      <c r="C72" s="289" t="s">
        <v>416</v>
      </c>
      <c r="D72" s="330" t="s">
        <v>270</v>
      </c>
      <c r="E72" s="289" t="s">
        <v>230</v>
      </c>
      <c r="F72" s="360" t="s">
        <v>721</v>
      </c>
      <c r="G72" s="500">
        <v>15</v>
      </c>
      <c r="H72" s="501" t="s">
        <v>441</v>
      </c>
      <c r="I72" s="502" t="s">
        <v>854</v>
      </c>
      <c r="J72" s="503"/>
      <c r="K72" s="504">
        <v>45810</v>
      </c>
      <c r="L72" s="504"/>
      <c r="M72" s="504"/>
      <c r="N72" s="505" t="s">
        <v>196</v>
      </c>
      <c r="O72" s="506">
        <v>16751100</v>
      </c>
      <c r="P72" s="507" t="s">
        <v>196</v>
      </c>
      <c r="Q72" s="508">
        <v>0</v>
      </c>
      <c r="R72" s="508">
        <v>0</v>
      </c>
      <c r="S72" s="508">
        <v>16751100</v>
      </c>
      <c r="T72" s="509">
        <v>16751100</v>
      </c>
      <c r="U72" s="506">
        <v>0</v>
      </c>
      <c r="V72" s="510" t="s">
        <v>439</v>
      </c>
    </row>
    <row r="73" spans="1:22" s="270" customFormat="1" ht="15" customHeight="1">
      <c r="A73" s="317"/>
      <c r="B73" s="334">
        <f t="shared" si="2"/>
        <v>63</v>
      </c>
      <c r="C73" s="289" t="s">
        <v>416</v>
      </c>
      <c r="D73" s="330" t="s">
        <v>270</v>
      </c>
      <c r="E73" s="289" t="s">
        <v>230</v>
      </c>
      <c r="F73" s="360" t="s">
        <v>721</v>
      </c>
      <c r="G73" s="500">
        <v>16</v>
      </c>
      <c r="H73" s="501" t="s">
        <v>441</v>
      </c>
      <c r="I73" s="502" t="s">
        <v>855</v>
      </c>
      <c r="J73" s="503"/>
      <c r="K73" s="504">
        <v>45812</v>
      </c>
      <c r="L73" s="504"/>
      <c r="M73" s="504"/>
      <c r="N73" s="505" t="s">
        <v>196</v>
      </c>
      <c r="O73" s="506">
        <v>13325630</v>
      </c>
      <c r="P73" s="507" t="s">
        <v>196</v>
      </c>
      <c r="Q73" s="508">
        <v>0</v>
      </c>
      <c r="R73" s="508">
        <v>0</v>
      </c>
      <c r="S73" s="508">
        <v>13325630</v>
      </c>
      <c r="T73" s="509">
        <v>13325630</v>
      </c>
      <c r="U73" s="506">
        <v>0</v>
      </c>
      <c r="V73" s="510" t="s">
        <v>439</v>
      </c>
    </row>
    <row r="74" spans="1:22" s="270" customFormat="1" ht="15" customHeight="1">
      <c r="A74" s="317"/>
      <c r="B74" s="334">
        <f t="shared" si="2"/>
        <v>64</v>
      </c>
      <c r="C74" s="289" t="s">
        <v>416</v>
      </c>
      <c r="D74" s="330" t="s">
        <v>270</v>
      </c>
      <c r="E74" s="289" t="s">
        <v>231</v>
      </c>
      <c r="F74" s="360" t="s">
        <v>722</v>
      </c>
      <c r="G74" s="500">
        <v>1</v>
      </c>
      <c r="H74" s="501" t="s">
        <v>212</v>
      </c>
      <c r="I74" s="502" t="s">
        <v>856</v>
      </c>
      <c r="J74" s="503">
        <v>7.8200000000000006E-2</v>
      </c>
      <c r="K74" s="504">
        <v>44783</v>
      </c>
      <c r="L74" s="504">
        <v>45874</v>
      </c>
      <c r="M74" s="504">
        <v>45869</v>
      </c>
      <c r="N74" s="505" t="s">
        <v>196</v>
      </c>
      <c r="O74" s="506">
        <v>1500000000</v>
      </c>
      <c r="P74" s="507" t="s">
        <v>196</v>
      </c>
      <c r="Q74" s="508">
        <v>150000000</v>
      </c>
      <c r="R74" s="508">
        <v>150000000</v>
      </c>
      <c r="S74" s="508">
        <v>0</v>
      </c>
      <c r="T74" s="509">
        <v>150000000</v>
      </c>
      <c r="U74" s="506">
        <v>1092657</v>
      </c>
      <c r="V74" s="510"/>
    </row>
    <row r="75" spans="1:22" s="270" customFormat="1" ht="15" customHeight="1">
      <c r="A75" s="317"/>
      <c r="B75" s="334">
        <f t="shared" si="2"/>
        <v>65</v>
      </c>
      <c r="C75" s="289" t="s">
        <v>416</v>
      </c>
      <c r="D75" s="330" t="s">
        <v>270</v>
      </c>
      <c r="E75" s="289" t="s">
        <v>231</v>
      </c>
      <c r="F75" s="360" t="s">
        <v>722</v>
      </c>
      <c r="G75" s="500">
        <v>2</v>
      </c>
      <c r="H75" s="501" t="s">
        <v>212</v>
      </c>
      <c r="I75" s="502" t="s">
        <v>856</v>
      </c>
      <c r="J75" s="503">
        <v>7.8200000000000006E-2</v>
      </c>
      <c r="K75" s="504">
        <v>44783</v>
      </c>
      <c r="L75" s="504">
        <v>45874</v>
      </c>
      <c r="M75" s="504">
        <v>45726</v>
      </c>
      <c r="N75" s="505" t="s">
        <v>196</v>
      </c>
      <c r="O75" s="506">
        <v>1500000000</v>
      </c>
      <c r="P75" s="507" t="s">
        <v>196</v>
      </c>
      <c r="Q75" s="508">
        <v>1350000000</v>
      </c>
      <c r="R75" s="508">
        <v>1350000000</v>
      </c>
      <c r="S75" s="508">
        <v>0</v>
      </c>
      <c r="T75" s="509">
        <v>1350000000</v>
      </c>
      <c r="U75" s="506">
        <v>38887729</v>
      </c>
      <c r="V75" s="510"/>
    </row>
    <row r="76" spans="1:22" s="270" customFormat="1" ht="15" customHeight="1">
      <c r="A76" s="317"/>
      <c r="B76" s="334">
        <f t="shared" si="2"/>
        <v>66</v>
      </c>
      <c r="C76" s="289" t="s">
        <v>416</v>
      </c>
      <c r="D76" s="330" t="s">
        <v>270</v>
      </c>
      <c r="E76" s="289" t="s">
        <v>231</v>
      </c>
      <c r="F76" s="360" t="s">
        <v>722</v>
      </c>
      <c r="G76" s="500">
        <v>3</v>
      </c>
      <c r="H76" s="501" t="s">
        <v>212</v>
      </c>
      <c r="I76" s="502" t="s">
        <v>857</v>
      </c>
      <c r="J76" s="503">
        <v>0.10920000000000001</v>
      </c>
      <c r="K76" s="504">
        <v>45065</v>
      </c>
      <c r="L76" s="504">
        <v>46161</v>
      </c>
      <c r="M76" s="504">
        <v>45869</v>
      </c>
      <c r="N76" s="505" t="s">
        <v>196</v>
      </c>
      <c r="O76" s="506">
        <v>350000000</v>
      </c>
      <c r="P76" s="507" t="s">
        <v>196</v>
      </c>
      <c r="Q76" s="508">
        <v>174900000</v>
      </c>
      <c r="R76" s="508">
        <v>174900000</v>
      </c>
      <c r="S76" s="508">
        <v>0</v>
      </c>
      <c r="T76" s="509">
        <v>174900000</v>
      </c>
      <c r="U76" s="506">
        <v>7727168</v>
      </c>
      <c r="V76" s="510"/>
    </row>
    <row r="77" spans="1:22" s="270" customFormat="1" ht="15" customHeight="1">
      <c r="A77" s="317"/>
      <c r="B77" s="334">
        <f t="shared" si="2"/>
        <v>67</v>
      </c>
      <c r="C77" s="289" t="s">
        <v>416</v>
      </c>
      <c r="D77" s="330" t="s">
        <v>270</v>
      </c>
      <c r="E77" s="289" t="s">
        <v>231</v>
      </c>
      <c r="F77" s="360" t="s">
        <v>722</v>
      </c>
      <c r="G77" s="500">
        <v>4</v>
      </c>
      <c r="H77" s="501" t="s">
        <v>422</v>
      </c>
      <c r="I77" s="502" t="s">
        <v>858</v>
      </c>
      <c r="J77" s="503">
        <v>7.6299999999999993E-2</v>
      </c>
      <c r="K77" s="504">
        <v>45250</v>
      </c>
      <c r="L77" s="504">
        <v>45981</v>
      </c>
      <c r="M77" s="504">
        <v>45707</v>
      </c>
      <c r="N77" s="505" t="s">
        <v>196</v>
      </c>
      <c r="O77" s="506">
        <v>1668000000</v>
      </c>
      <c r="P77" s="507" t="s">
        <v>196</v>
      </c>
      <c r="Q77" s="508">
        <v>1668000000</v>
      </c>
      <c r="R77" s="508">
        <v>1668000000</v>
      </c>
      <c r="S77" s="508">
        <v>0</v>
      </c>
      <c r="T77" s="509">
        <v>1668000000</v>
      </c>
      <c r="U77" s="506">
        <v>50266408</v>
      </c>
      <c r="V77" s="510"/>
    </row>
    <row r="78" spans="1:22" s="270" customFormat="1" ht="15" customHeight="1">
      <c r="A78" s="317"/>
      <c r="B78" s="334">
        <f t="shared" si="2"/>
        <v>68</v>
      </c>
      <c r="C78" s="289" t="s">
        <v>416</v>
      </c>
      <c r="D78" s="330" t="s">
        <v>270</v>
      </c>
      <c r="E78" s="289" t="s">
        <v>231</v>
      </c>
      <c r="F78" s="360" t="s">
        <v>722</v>
      </c>
      <c r="G78" s="500">
        <v>5</v>
      </c>
      <c r="H78" s="501" t="s">
        <v>212</v>
      </c>
      <c r="I78" s="502" t="s">
        <v>859</v>
      </c>
      <c r="J78" s="503">
        <v>9.3699999999999992E-2</v>
      </c>
      <c r="K78" s="504">
        <v>45250</v>
      </c>
      <c r="L78" s="504">
        <v>45981</v>
      </c>
      <c r="M78" s="504">
        <v>45707</v>
      </c>
      <c r="N78" s="505" t="s">
        <v>196</v>
      </c>
      <c r="O78" s="506">
        <v>1500000000</v>
      </c>
      <c r="P78" s="507" t="s">
        <v>196</v>
      </c>
      <c r="Q78" s="508">
        <v>1500000000</v>
      </c>
      <c r="R78" s="508">
        <v>1500000000</v>
      </c>
      <c r="S78" s="508">
        <v>0</v>
      </c>
      <c r="T78" s="509">
        <v>1500000000</v>
      </c>
      <c r="U78" s="506">
        <v>56760077</v>
      </c>
      <c r="V78" s="510"/>
    </row>
    <row r="79" spans="1:22" s="270" customFormat="1" ht="15" customHeight="1">
      <c r="A79" s="317"/>
      <c r="B79" s="334">
        <f t="shared" si="2"/>
        <v>69</v>
      </c>
      <c r="C79" s="289" t="s">
        <v>416</v>
      </c>
      <c r="D79" s="330" t="s">
        <v>270</v>
      </c>
      <c r="E79" s="289" t="s">
        <v>231</v>
      </c>
      <c r="F79" s="360" t="s">
        <v>722</v>
      </c>
      <c r="G79" s="500">
        <v>6</v>
      </c>
      <c r="H79" s="501" t="s">
        <v>212</v>
      </c>
      <c r="I79" s="502" t="s">
        <v>860</v>
      </c>
      <c r="J79" s="503">
        <v>7.9000000000000001E-2</v>
      </c>
      <c r="K79" s="504">
        <v>45251</v>
      </c>
      <c r="L79" s="504">
        <v>45982</v>
      </c>
      <c r="M79" s="504">
        <v>45708</v>
      </c>
      <c r="N79" s="505" t="s">
        <v>196</v>
      </c>
      <c r="O79" s="506">
        <v>500000000</v>
      </c>
      <c r="P79" s="507" t="s">
        <v>196</v>
      </c>
      <c r="Q79" s="508">
        <v>500000000</v>
      </c>
      <c r="R79" s="508">
        <v>500000000</v>
      </c>
      <c r="S79" s="508">
        <v>0</v>
      </c>
      <c r="T79" s="509">
        <v>500000000</v>
      </c>
      <c r="U79" s="506">
        <v>15558025</v>
      </c>
      <c r="V79" s="510"/>
    </row>
    <row r="80" spans="1:22" s="270" customFormat="1" ht="15" customHeight="1">
      <c r="A80" s="317"/>
      <c r="B80" s="334">
        <f t="shared" si="2"/>
        <v>70</v>
      </c>
      <c r="C80" s="289" t="s">
        <v>416</v>
      </c>
      <c r="D80" s="330" t="s">
        <v>270</v>
      </c>
      <c r="E80" s="289" t="s">
        <v>231</v>
      </c>
      <c r="F80" s="360" t="s">
        <v>722</v>
      </c>
      <c r="G80" s="500">
        <v>7</v>
      </c>
      <c r="H80" s="501" t="s">
        <v>212</v>
      </c>
      <c r="I80" s="502" t="s">
        <v>861</v>
      </c>
      <c r="J80" s="503">
        <v>7.4999999999999997E-2</v>
      </c>
      <c r="K80" s="504">
        <v>45359</v>
      </c>
      <c r="L80" s="504">
        <v>46084</v>
      </c>
      <c r="M80" s="504">
        <v>45869</v>
      </c>
      <c r="N80" s="505" t="s">
        <v>196</v>
      </c>
      <c r="O80" s="506">
        <v>500000000</v>
      </c>
      <c r="P80" s="507" t="s">
        <v>196</v>
      </c>
      <c r="Q80" s="508">
        <v>25000000</v>
      </c>
      <c r="R80" s="508">
        <v>25000000</v>
      </c>
      <c r="S80" s="508">
        <v>0</v>
      </c>
      <c r="T80" s="509">
        <v>25000000</v>
      </c>
      <c r="U80" s="506">
        <v>174825</v>
      </c>
      <c r="V80" s="510"/>
    </row>
    <row r="81" spans="1:22" s="270" customFormat="1" ht="15" customHeight="1">
      <c r="A81" s="317"/>
      <c r="B81" s="334">
        <f t="shared" si="2"/>
        <v>71</v>
      </c>
      <c r="C81" s="289" t="s">
        <v>416</v>
      </c>
      <c r="D81" s="330" t="s">
        <v>270</v>
      </c>
      <c r="E81" s="289" t="s">
        <v>231</v>
      </c>
      <c r="F81" s="360" t="s">
        <v>722</v>
      </c>
      <c r="G81" s="500">
        <v>8</v>
      </c>
      <c r="H81" s="501" t="s">
        <v>212</v>
      </c>
      <c r="I81" s="502" t="s">
        <v>861</v>
      </c>
      <c r="J81" s="503">
        <v>7.4999999999999997E-2</v>
      </c>
      <c r="K81" s="504">
        <v>45359</v>
      </c>
      <c r="L81" s="504">
        <v>46084</v>
      </c>
      <c r="M81" s="504">
        <v>45719</v>
      </c>
      <c r="N81" s="505" t="s">
        <v>196</v>
      </c>
      <c r="O81" s="506">
        <v>500000000</v>
      </c>
      <c r="P81" s="507" t="s">
        <v>196</v>
      </c>
      <c r="Q81" s="508">
        <v>475000000</v>
      </c>
      <c r="R81" s="508">
        <v>475000000</v>
      </c>
      <c r="S81" s="508">
        <v>0</v>
      </c>
      <c r="T81" s="509">
        <v>475000000</v>
      </c>
      <c r="U81" s="506">
        <v>13263187</v>
      </c>
      <c r="V81" s="510"/>
    </row>
    <row r="82" spans="1:22" s="270" customFormat="1" ht="15" customHeight="1">
      <c r="A82" s="317"/>
      <c r="B82" s="334">
        <f t="shared" si="2"/>
        <v>72</v>
      </c>
      <c r="C82" s="289" t="s">
        <v>416</v>
      </c>
      <c r="D82" s="330" t="s">
        <v>270</v>
      </c>
      <c r="E82" s="289" t="s">
        <v>231</v>
      </c>
      <c r="F82" s="360" t="s">
        <v>722</v>
      </c>
      <c r="G82" s="500">
        <v>9</v>
      </c>
      <c r="H82" s="501" t="s">
        <v>212</v>
      </c>
      <c r="I82" s="502" t="s">
        <v>862</v>
      </c>
      <c r="J82" s="503">
        <v>7.8100000000000003E-2</v>
      </c>
      <c r="K82" s="504">
        <v>45359</v>
      </c>
      <c r="L82" s="504">
        <v>46084</v>
      </c>
      <c r="M82" s="504">
        <v>45869</v>
      </c>
      <c r="N82" s="505" t="s">
        <v>196</v>
      </c>
      <c r="O82" s="506">
        <v>838000000</v>
      </c>
      <c r="P82" s="507" t="s">
        <v>196</v>
      </c>
      <c r="Q82" s="508">
        <v>125700000</v>
      </c>
      <c r="R82" s="508">
        <v>125700000</v>
      </c>
      <c r="S82" s="508">
        <v>0</v>
      </c>
      <c r="T82" s="509">
        <v>125700000</v>
      </c>
      <c r="U82" s="506">
        <v>914967</v>
      </c>
      <c r="V82" s="510"/>
    </row>
    <row r="83" spans="1:22" s="270" customFormat="1" ht="15" customHeight="1">
      <c r="A83" s="317"/>
      <c r="B83" s="334">
        <f t="shared" si="2"/>
        <v>73</v>
      </c>
      <c r="C83" s="289" t="s">
        <v>416</v>
      </c>
      <c r="D83" s="330" t="s">
        <v>270</v>
      </c>
      <c r="E83" s="289" t="s">
        <v>231</v>
      </c>
      <c r="F83" s="360" t="s">
        <v>722</v>
      </c>
      <c r="G83" s="500">
        <v>10</v>
      </c>
      <c r="H83" s="501" t="s">
        <v>212</v>
      </c>
      <c r="I83" s="502" t="s">
        <v>862</v>
      </c>
      <c r="J83" s="503">
        <v>7.8100000000000003E-2</v>
      </c>
      <c r="K83" s="504">
        <v>45359</v>
      </c>
      <c r="L83" s="504">
        <v>46084</v>
      </c>
      <c r="M83" s="504">
        <v>45719</v>
      </c>
      <c r="N83" s="505" t="s">
        <v>196</v>
      </c>
      <c r="O83" s="506">
        <v>838000000</v>
      </c>
      <c r="P83" s="507" t="s">
        <v>196</v>
      </c>
      <c r="Q83" s="508">
        <v>712300000</v>
      </c>
      <c r="R83" s="508">
        <v>712300000</v>
      </c>
      <c r="S83" s="508">
        <v>0</v>
      </c>
      <c r="T83" s="509">
        <v>712300000</v>
      </c>
      <c r="U83" s="506">
        <v>22658385</v>
      </c>
      <c r="V83" s="510"/>
    </row>
    <row r="84" spans="1:22" s="270" customFormat="1" ht="15" customHeight="1">
      <c r="A84" s="317"/>
      <c r="B84" s="334">
        <f t="shared" si="2"/>
        <v>74</v>
      </c>
      <c r="C84" s="289" t="s">
        <v>416</v>
      </c>
      <c r="D84" s="330" t="s">
        <v>270</v>
      </c>
      <c r="E84" s="289" t="s">
        <v>231</v>
      </c>
      <c r="F84" s="360" t="s">
        <v>722</v>
      </c>
      <c r="G84" s="500">
        <v>11</v>
      </c>
      <c r="H84" s="501" t="s">
        <v>212</v>
      </c>
      <c r="I84" s="502" t="s">
        <v>863</v>
      </c>
      <c r="J84" s="503">
        <v>7.6499999999999999E-2</v>
      </c>
      <c r="K84" s="504">
        <v>45359</v>
      </c>
      <c r="L84" s="504">
        <v>46084</v>
      </c>
      <c r="M84" s="504">
        <v>45869</v>
      </c>
      <c r="N84" s="505" t="s">
        <v>196</v>
      </c>
      <c r="O84" s="506">
        <v>300000000</v>
      </c>
      <c r="P84" s="507" t="s">
        <v>196</v>
      </c>
      <c r="Q84" s="508">
        <v>30000000</v>
      </c>
      <c r="R84" s="508">
        <v>30000000</v>
      </c>
      <c r="S84" s="508">
        <v>0</v>
      </c>
      <c r="T84" s="509">
        <v>30000000</v>
      </c>
      <c r="U84" s="506">
        <v>213926</v>
      </c>
      <c r="V84" s="510"/>
    </row>
    <row r="85" spans="1:22" s="270" customFormat="1" ht="15" customHeight="1">
      <c r="A85" s="317"/>
      <c r="B85" s="334">
        <f t="shared" si="2"/>
        <v>75</v>
      </c>
      <c r="C85" s="289" t="s">
        <v>416</v>
      </c>
      <c r="D85" s="330" t="s">
        <v>270</v>
      </c>
      <c r="E85" s="289" t="s">
        <v>231</v>
      </c>
      <c r="F85" s="360" t="s">
        <v>722</v>
      </c>
      <c r="G85" s="500">
        <v>12</v>
      </c>
      <c r="H85" s="501" t="s">
        <v>212</v>
      </c>
      <c r="I85" s="502" t="s">
        <v>863</v>
      </c>
      <c r="J85" s="503">
        <v>7.6499999999999999E-2</v>
      </c>
      <c r="K85" s="504">
        <v>45359</v>
      </c>
      <c r="L85" s="504">
        <v>46084</v>
      </c>
      <c r="M85" s="504">
        <v>45719</v>
      </c>
      <c r="N85" s="505" t="s">
        <v>196</v>
      </c>
      <c r="O85" s="506">
        <v>300000000</v>
      </c>
      <c r="P85" s="507" t="s">
        <v>196</v>
      </c>
      <c r="Q85" s="508">
        <v>270000000</v>
      </c>
      <c r="R85" s="508">
        <v>270000000</v>
      </c>
      <c r="S85" s="508">
        <v>0</v>
      </c>
      <c r="T85" s="509">
        <v>270000000</v>
      </c>
      <c r="U85" s="506">
        <v>8030306</v>
      </c>
      <c r="V85" s="510"/>
    </row>
    <row r="86" spans="1:22" s="270" customFormat="1" ht="15" customHeight="1">
      <c r="A86" s="317"/>
      <c r="B86" s="334">
        <f t="shared" si="2"/>
        <v>76</v>
      </c>
      <c r="C86" s="289" t="s">
        <v>416</v>
      </c>
      <c r="D86" s="330" t="s">
        <v>270</v>
      </c>
      <c r="E86" s="289" t="s">
        <v>231</v>
      </c>
      <c r="F86" s="360" t="s">
        <v>722</v>
      </c>
      <c r="G86" s="500">
        <v>13</v>
      </c>
      <c r="H86" s="501" t="s">
        <v>212</v>
      </c>
      <c r="I86" s="502" t="s">
        <v>864</v>
      </c>
      <c r="J86" s="503">
        <v>9.7100000000000006E-2</v>
      </c>
      <c r="K86" s="504">
        <v>45422</v>
      </c>
      <c r="L86" s="504">
        <v>46152</v>
      </c>
      <c r="M86" s="504">
        <v>45869</v>
      </c>
      <c r="N86" s="505" t="s">
        <v>196</v>
      </c>
      <c r="O86" s="506">
        <v>1100000000</v>
      </c>
      <c r="P86" s="507" t="s">
        <v>196</v>
      </c>
      <c r="Q86" s="508">
        <v>1100000000</v>
      </c>
      <c r="R86" s="508">
        <v>1100000000</v>
      </c>
      <c r="S86" s="508">
        <v>0</v>
      </c>
      <c r="T86" s="509">
        <v>1100000000</v>
      </c>
      <c r="U86" s="506">
        <v>37719181</v>
      </c>
      <c r="V86" s="510"/>
    </row>
    <row r="87" spans="1:22" s="270" customFormat="1" ht="15" customHeight="1">
      <c r="A87" s="317"/>
      <c r="B87" s="334">
        <f t="shared" si="2"/>
        <v>77</v>
      </c>
      <c r="C87" s="289" t="s">
        <v>416</v>
      </c>
      <c r="D87" s="330" t="s">
        <v>270</v>
      </c>
      <c r="E87" s="289" t="s">
        <v>231</v>
      </c>
      <c r="F87" s="360" t="s">
        <v>722</v>
      </c>
      <c r="G87" s="500">
        <v>14</v>
      </c>
      <c r="H87" s="501" t="s">
        <v>441</v>
      </c>
      <c r="I87" s="502" t="s">
        <v>865</v>
      </c>
      <c r="J87" s="503"/>
      <c r="K87" s="504">
        <v>45859</v>
      </c>
      <c r="L87" s="504"/>
      <c r="M87" s="504"/>
      <c r="N87" s="505" t="s">
        <v>196</v>
      </c>
      <c r="O87" s="506">
        <v>18274350</v>
      </c>
      <c r="P87" s="507" t="s">
        <v>196</v>
      </c>
      <c r="Q87" s="508">
        <v>0</v>
      </c>
      <c r="R87" s="508">
        <v>0</v>
      </c>
      <c r="S87" s="508">
        <v>18274350</v>
      </c>
      <c r="T87" s="509">
        <v>18274350</v>
      </c>
      <c r="U87" s="506">
        <v>0</v>
      </c>
      <c r="V87" s="510" t="s">
        <v>439</v>
      </c>
    </row>
    <row r="88" spans="1:22" s="270" customFormat="1" ht="15" customHeight="1">
      <c r="A88" s="317"/>
      <c r="B88" s="334">
        <f t="shared" si="2"/>
        <v>78</v>
      </c>
      <c r="C88" s="289" t="s">
        <v>416</v>
      </c>
      <c r="D88" s="330" t="s">
        <v>270</v>
      </c>
      <c r="E88" s="289" t="s">
        <v>231</v>
      </c>
      <c r="F88" s="360" t="s">
        <v>722</v>
      </c>
      <c r="G88" s="500">
        <v>15</v>
      </c>
      <c r="H88" s="501" t="s">
        <v>441</v>
      </c>
      <c r="I88" s="502" t="s">
        <v>866</v>
      </c>
      <c r="J88" s="503"/>
      <c r="K88" s="504">
        <v>45798</v>
      </c>
      <c r="L88" s="504"/>
      <c r="M88" s="504"/>
      <c r="N88" s="505" t="s">
        <v>196</v>
      </c>
      <c r="O88" s="506">
        <v>4493640</v>
      </c>
      <c r="P88" s="507" t="s">
        <v>196</v>
      </c>
      <c r="Q88" s="508">
        <v>0</v>
      </c>
      <c r="R88" s="508">
        <v>0</v>
      </c>
      <c r="S88" s="508">
        <v>4468266</v>
      </c>
      <c r="T88" s="509">
        <v>4468266</v>
      </c>
      <c r="U88" s="506">
        <v>0</v>
      </c>
      <c r="V88" s="510" t="s">
        <v>437</v>
      </c>
    </row>
    <row r="89" spans="1:22" s="270" customFormat="1" ht="15" customHeight="1">
      <c r="A89" s="317"/>
      <c r="B89" s="334">
        <f t="shared" si="2"/>
        <v>79</v>
      </c>
      <c r="C89" s="289" t="s">
        <v>416</v>
      </c>
      <c r="D89" s="330" t="s">
        <v>270</v>
      </c>
      <c r="E89" s="289" t="s">
        <v>232</v>
      </c>
      <c r="F89" s="360" t="s">
        <v>723</v>
      </c>
      <c r="G89" s="500">
        <v>1</v>
      </c>
      <c r="H89" s="501" t="s">
        <v>212</v>
      </c>
      <c r="I89" s="502" t="s">
        <v>867</v>
      </c>
      <c r="J89" s="503">
        <v>8.3800000000000013E-2</v>
      </c>
      <c r="K89" s="504">
        <v>44147</v>
      </c>
      <c r="L89" s="504">
        <v>45968</v>
      </c>
      <c r="M89" s="504">
        <v>45695</v>
      </c>
      <c r="N89" s="505" t="s">
        <v>196</v>
      </c>
      <c r="O89" s="506">
        <v>500000000</v>
      </c>
      <c r="P89" s="507" t="s">
        <v>196</v>
      </c>
      <c r="Q89" s="508">
        <v>500000000</v>
      </c>
      <c r="R89" s="508">
        <v>500000000</v>
      </c>
      <c r="S89" s="508">
        <v>0</v>
      </c>
      <c r="T89" s="509">
        <v>500000000</v>
      </c>
      <c r="U89" s="506">
        <v>15730037</v>
      </c>
      <c r="V89" s="510"/>
    </row>
    <row r="90" spans="1:22" s="270" customFormat="1" ht="15" customHeight="1">
      <c r="A90" s="317"/>
      <c r="B90" s="334">
        <f t="shared" si="2"/>
        <v>80</v>
      </c>
      <c r="C90" s="289" t="s">
        <v>416</v>
      </c>
      <c r="D90" s="330" t="s">
        <v>270</v>
      </c>
      <c r="E90" s="289" t="s">
        <v>232</v>
      </c>
      <c r="F90" s="360" t="s">
        <v>723</v>
      </c>
      <c r="G90" s="500">
        <v>2</v>
      </c>
      <c r="H90" s="501" t="s">
        <v>212</v>
      </c>
      <c r="I90" s="502" t="s">
        <v>868</v>
      </c>
      <c r="J90" s="503">
        <v>0.11</v>
      </c>
      <c r="K90" s="504">
        <v>44147</v>
      </c>
      <c r="L90" s="504">
        <v>45971</v>
      </c>
      <c r="M90" s="504">
        <v>45698</v>
      </c>
      <c r="N90" s="505" t="s">
        <v>196</v>
      </c>
      <c r="O90" s="506">
        <v>100000000</v>
      </c>
      <c r="P90" s="507" t="s">
        <v>196</v>
      </c>
      <c r="Q90" s="508">
        <v>100000000</v>
      </c>
      <c r="R90" s="508">
        <v>100000000</v>
      </c>
      <c r="S90" s="508">
        <v>0</v>
      </c>
      <c r="T90" s="509">
        <v>100000000</v>
      </c>
      <c r="U90" s="506">
        <v>3608964</v>
      </c>
      <c r="V90" s="510"/>
    </row>
    <row r="91" spans="1:22" s="270" customFormat="1" ht="15" customHeight="1">
      <c r="A91" s="317"/>
      <c r="B91" s="334">
        <f t="shared" si="2"/>
        <v>81</v>
      </c>
      <c r="C91" s="289" t="s">
        <v>416</v>
      </c>
      <c r="D91" s="330" t="s">
        <v>270</v>
      </c>
      <c r="E91" s="289" t="s">
        <v>232</v>
      </c>
      <c r="F91" s="360" t="s">
        <v>723</v>
      </c>
      <c r="G91" s="500">
        <v>3</v>
      </c>
      <c r="H91" s="501" t="s">
        <v>212</v>
      </c>
      <c r="I91" s="502" t="s">
        <v>869</v>
      </c>
      <c r="J91" s="503">
        <v>0.11</v>
      </c>
      <c r="K91" s="504">
        <v>44186</v>
      </c>
      <c r="L91" s="504">
        <v>46010</v>
      </c>
      <c r="M91" s="504">
        <v>45710</v>
      </c>
      <c r="N91" s="505" t="s">
        <v>196</v>
      </c>
      <c r="O91" s="506">
        <v>100000000</v>
      </c>
      <c r="P91" s="507" t="s">
        <v>196</v>
      </c>
      <c r="Q91" s="508">
        <v>100000000</v>
      </c>
      <c r="R91" s="508">
        <v>100000000</v>
      </c>
      <c r="S91" s="508">
        <v>0</v>
      </c>
      <c r="T91" s="509">
        <v>100000000</v>
      </c>
      <c r="U91" s="506">
        <v>3378498</v>
      </c>
      <c r="V91" s="510"/>
    </row>
    <row r="92" spans="1:22" s="270" customFormat="1" ht="15" customHeight="1">
      <c r="A92" s="317"/>
      <c r="B92" s="334">
        <f t="shared" si="2"/>
        <v>82</v>
      </c>
      <c r="C92" s="289" t="s">
        <v>416</v>
      </c>
      <c r="D92" s="330" t="s">
        <v>270</v>
      </c>
      <c r="E92" s="289" t="s">
        <v>232</v>
      </c>
      <c r="F92" s="360" t="s">
        <v>723</v>
      </c>
      <c r="G92" s="500">
        <v>4</v>
      </c>
      <c r="H92" s="501" t="s">
        <v>212</v>
      </c>
      <c r="I92" s="502" t="s">
        <v>870</v>
      </c>
      <c r="J92" s="503">
        <v>0.11</v>
      </c>
      <c r="K92" s="504">
        <v>44211</v>
      </c>
      <c r="L92" s="504">
        <v>46037</v>
      </c>
      <c r="M92" s="504">
        <v>45711</v>
      </c>
      <c r="N92" s="505" t="s">
        <v>196</v>
      </c>
      <c r="O92" s="506">
        <v>100000000</v>
      </c>
      <c r="P92" s="507" t="s">
        <v>196</v>
      </c>
      <c r="Q92" s="508">
        <v>100000000</v>
      </c>
      <c r="R92" s="508">
        <v>100000000</v>
      </c>
      <c r="S92" s="508">
        <v>0</v>
      </c>
      <c r="T92" s="509">
        <v>100000000</v>
      </c>
      <c r="U92" s="506">
        <v>3368197</v>
      </c>
      <c r="V92" s="510"/>
    </row>
    <row r="93" spans="1:22" s="270" customFormat="1" ht="15" customHeight="1">
      <c r="A93" s="317"/>
      <c r="B93" s="334">
        <f t="shared" si="2"/>
        <v>83</v>
      </c>
      <c r="C93" s="289" t="s">
        <v>416</v>
      </c>
      <c r="D93" s="330" t="s">
        <v>270</v>
      </c>
      <c r="E93" s="289" t="s">
        <v>232</v>
      </c>
      <c r="F93" s="360" t="s">
        <v>723</v>
      </c>
      <c r="G93" s="500">
        <v>5</v>
      </c>
      <c r="H93" s="501" t="s">
        <v>422</v>
      </c>
      <c r="I93" s="502" t="s">
        <v>871</v>
      </c>
      <c r="J93" s="503">
        <v>8.3400000000000002E-2</v>
      </c>
      <c r="K93" s="504">
        <v>44378</v>
      </c>
      <c r="L93" s="504">
        <v>48761</v>
      </c>
      <c r="M93" s="504">
        <v>45688</v>
      </c>
      <c r="N93" s="505" t="s">
        <v>196</v>
      </c>
      <c r="O93" s="506">
        <v>1400000000</v>
      </c>
      <c r="P93" s="507" t="s">
        <v>196</v>
      </c>
      <c r="Q93" s="508">
        <v>1400000000</v>
      </c>
      <c r="R93" s="508">
        <v>1400000000</v>
      </c>
      <c r="S93" s="508">
        <v>0</v>
      </c>
      <c r="T93" s="509">
        <v>1400000000</v>
      </c>
      <c r="U93" s="506">
        <v>45652768</v>
      </c>
      <c r="V93" s="510"/>
    </row>
    <row r="94" spans="1:22" s="270" customFormat="1" ht="15" customHeight="1">
      <c r="A94" s="317"/>
      <c r="B94" s="334">
        <f t="shared" si="2"/>
        <v>84</v>
      </c>
      <c r="C94" s="289" t="s">
        <v>416</v>
      </c>
      <c r="D94" s="330" t="s">
        <v>270</v>
      </c>
      <c r="E94" s="289" t="s">
        <v>232</v>
      </c>
      <c r="F94" s="360" t="s">
        <v>723</v>
      </c>
      <c r="G94" s="500">
        <v>6</v>
      </c>
      <c r="H94" s="501" t="s">
        <v>212</v>
      </c>
      <c r="I94" s="502" t="s">
        <v>872</v>
      </c>
      <c r="J94" s="503">
        <v>0.11</v>
      </c>
      <c r="K94" s="504">
        <v>44434</v>
      </c>
      <c r="L94" s="504">
        <v>45716</v>
      </c>
      <c r="M94" s="504">
        <v>45684</v>
      </c>
      <c r="N94" s="505" t="s">
        <v>196</v>
      </c>
      <c r="O94" s="506">
        <v>100000000</v>
      </c>
      <c r="P94" s="507" t="s">
        <v>196</v>
      </c>
      <c r="Q94" s="508">
        <v>100000000</v>
      </c>
      <c r="R94" s="508">
        <v>100000000</v>
      </c>
      <c r="S94" s="508">
        <v>0</v>
      </c>
      <c r="T94" s="509">
        <v>100000000</v>
      </c>
      <c r="U94" s="506">
        <v>3957915</v>
      </c>
      <c r="V94" s="510"/>
    </row>
    <row r="95" spans="1:22" s="270" customFormat="1" ht="15" customHeight="1">
      <c r="A95" s="317"/>
      <c r="B95" s="334">
        <f t="shared" si="2"/>
        <v>85</v>
      </c>
      <c r="C95" s="289" t="s">
        <v>416</v>
      </c>
      <c r="D95" s="330" t="s">
        <v>270</v>
      </c>
      <c r="E95" s="289" t="s">
        <v>232</v>
      </c>
      <c r="F95" s="360" t="s">
        <v>723</v>
      </c>
      <c r="G95" s="500">
        <v>7</v>
      </c>
      <c r="H95" s="501" t="s">
        <v>212</v>
      </c>
      <c r="I95" s="502" t="s">
        <v>873</v>
      </c>
      <c r="J95" s="503">
        <v>0.11</v>
      </c>
      <c r="K95" s="504">
        <v>44456</v>
      </c>
      <c r="L95" s="504">
        <v>45736</v>
      </c>
      <c r="M95" s="504">
        <v>45707</v>
      </c>
      <c r="N95" s="505" t="s">
        <v>196</v>
      </c>
      <c r="O95" s="506">
        <v>50000000</v>
      </c>
      <c r="P95" s="507" t="s">
        <v>196</v>
      </c>
      <c r="Q95" s="508">
        <v>50000000</v>
      </c>
      <c r="R95" s="508">
        <v>50000000</v>
      </c>
      <c r="S95" s="508">
        <v>0</v>
      </c>
      <c r="T95" s="509">
        <v>50000000</v>
      </c>
      <c r="U95" s="506">
        <v>1778298</v>
      </c>
      <c r="V95" s="510"/>
    </row>
    <row r="96" spans="1:22" s="270" customFormat="1" ht="15" customHeight="1">
      <c r="A96" s="317"/>
      <c r="B96" s="334">
        <f t="shared" si="2"/>
        <v>86</v>
      </c>
      <c r="C96" s="289" t="s">
        <v>416</v>
      </c>
      <c r="D96" s="330" t="s">
        <v>270</v>
      </c>
      <c r="E96" s="289" t="s">
        <v>232</v>
      </c>
      <c r="F96" s="360" t="s">
        <v>723</v>
      </c>
      <c r="G96" s="500">
        <v>8</v>
      </c>
      <c r="H96" s="501" t="s">
        <v>422</v>
      </c>
      <c r="I96" s="502" t="s">
        <v>874</v>
      </c>
      <c r="J96" s="503">
        <v>8.4100000000000008E-2</v>
      </c>
      <c r="K96" s="504">
        <v>44497</v>
      </c>
      <c r="L96" s="504">
        <v>48872</v>
      </c>
      <c r="M96" s="504">
        <v>45684</v>
      </c>
      <c r="N96" s="505" t="s">
        <v>196</v>
      </c>
      <c r="O96" s="506">
        <v>2250000000</v>
      </c>
      <c r="P96" s="507" t="s">
        <v>196</v>
      </c>
      <c r="Q96" s="508">
        <v>2250000000</v>
      </c>
      <c r="R96" s="508">
        <v>2250000000</v>
      </c>
      <c r="S96" s="508">
        <v>0</v>
      </c>
      <c r="T96" s="509">
        <v>2250000000</v>
      </c>
      <c r="U96" s="506">
        <v>75319655</v>
      </c>
      <c r="V96" s="510"/>
    </row>
    <row r="97" spans="1:22" s="270" customFormat="1" ht="15" customHeight="1">
      <c r="A97" s="317"/>
      <c r="B97" s="334">
        <f t="shared" si="2"/>
        <v>87</v>
      </c>
      <c r="C97" s="289" t="s">
        <v>416</v>
      </c>
      <c r="D97" s="330" t="s">
        <v>270</v>
      </c>
      <c r="E97" s="289" t="s">
        <v>232</v>
      </c>
      <c r="F97" s="360" t="s">
        <v>723</v>
      </c>
      <c r="G97" s="500">
        <v>9</v>
      </c>
      <c r="H97" s="501" t="s">
        <v>212</v>
      </c>
      <c r="I97" s="502" t="s">
        <v>875</v>
      </c>
      <c r="J97" s="503">
        <v>8.5099999999999995E-2</v>
      </c>
      <c r="K97" s="504">
        <v>44497</v>
      </c>
      <c r="L97" s="504">
        <v>45940</v>
      </c>
      <c r="M97" s="504">
        <v>45698</v>
      </c>
      <c r="N97" s="505" t="s">
        <v>196</v>
      </c>
      <c r="O97" s="506">
        <v>250000000</v>
      </c>
      <c r="P97" s="507" t="s">
        <v>196</v>
      </c>
      <c r="Q97" s="508">
        <v>250000000</v>
      </c>
      <c r="R97" s="508">
        <v>250000000</v>
      </c>
      <c r="S97" s="508">
        <v>0</v>
      </c>
      <c r="T97" s="509">
        <v>250000000</v>
      </c>
      <c r="U97" s="506">
        <v>7830976</v>
      </c>
      <c r="V97" s="510"/>
    </row>
    <row r="98" spans="1:22" s="270" customFormat="1" ht="15" customHeight="1">
      <c r="A98" s="317"/>
      <c r="B98" s="334">
        <f t="shared" si="2"/>
        <v>88</v>
      </c>
      <c r="C98" s="289" t="s">
        <v>416</v>
      </c>
      <c r="D98" s="330" t="s">
        <v>270</v>
      </c>
      <c r="E98" s="289" t="s">
        <v>232</v>
      </c>
      <c r="F98" s="360" t="s">
        <v>723</v>
      </c>
      <c r="G98" s="500">
        <v>10</v>
      </c>
      <c r="H98" s="501" t="s">
        <v>212</v>
      </c>
      <c r="I98" s="502" t="s">
        <v>876</v>
      </c>
      <c r="J98" s="503">
        <v>8.5099999999999995E-2</v>
      </c>
      <c r="K98" s="504">
        <v>44497</v>
      </c>
      <c r="L98" s="504">
        <v>45940</v>
      </c>
      <c r="M98" s="504">
        <v>45698</v>
      </c>
      <c r="N98" s="505" t="s">
        <v>196</v>
      </c>
      <c r="O98" s="506">
        <v>250000000</v>
      </c>
      <c r="P98" s="507" t="s">
        <v>196</v>
      </c>
      <c r="Q98" s="508">
        <v>250000000</v>
      </c>
      <c r="R98" s="508">
        <v>250000000</v>
      </c>
      <c r="S98" s="508">
        <v>0</v>
      </c>
      <c r="T98" s="509">
        <v>250000000</v>
      </c>
      <c r="U98" s="506">
        <v>7830976</v>
      </c>
      <c r="V98" s="510"/>
    </row>
    <row r="99" spans="1:22" s="270" customFormat="1" ht="15" customHeight="1">
      <c r="A99" s="317"/>
      <c r="B99" s="334">
        <f t="shared" si="2"/>
        <v>89</v>
      </c>
      <c r="C99" s="289" t="s">
        <v>416</v>
      </c>
      <c r="D99" s="330" t="s">
        <v>270</v>
      </c>
      <c r="E99" s="289" t="s">
        <v>232</v>
      </c>
      <c r="F99" s="360" t="s">
        <v>723</v>
      </c>
      <c r="G99" s="500">
        <v>11</v>
      </c>
      <c r="H99" s="501" t="s">
        <v>212</v>
      </c>
      <c r="I99" s="502" t="s">
        <v>877</v>
      </c>
      <c r="J99" s="503">
        <v>0.11</v>
      </c>
      <c r="K99" s="504">
        <v>44810</v>
      </c>
      <c r="L99" s="504">
        <v>45838</v>
      </c>
      <c r="M99" s="504">
        <v>45688</v>
      </c>
      <c r="N99" s="505" t="s">
        <v>196</v>
      </c>
      <c r="O99" s="506">
        <v>300000000</v>
      </c>
      <c r="P99" s="507" t="s">
        <v>196</v>
      </c>
      <c r="Q99" s="508">
        <v>300000000</v>
      </c>
      <c r="R99" s="508">
        <v>300000000</v>
      </c>
      <c r="S99" s="508">
        <v>0</v>
      </c>
      <c r="T99" s="509">
        <v>300000000</v>
      </c>
      <c r="U99" s="506">
        <v>11308542</v>
      </c>
      <c r="V99" s="510"/>
    </row>
    <row r="100" spans="1:22" s="270" customFormat="1" ht="15" customHeight="1">
      <c r="A100" s="317"/>
      <c r="B100" s="334">
        <f t="shared" si="2"/>
        <v>90</v>
      </c>
      <c r="C100" s="289" t="s">
        <v>416</v>
      </c>
      <c r="D100" s="330" t="s">
        <v>270</v>
      </c>
      <c r="E100" s="289" t="s">
        <v>232</v>
      </c>
      <c r="F100" s="360" t="s">
        <v>723</v>
      </c>
      <c r="G100" s="500">
        <v>12</v>
      </c>
      <c r="H100" s="501" t="s">
        <v>212</v>
      </c>
      <c r="I100" s="502" t="s">
        <v>878</v>
      </c>
      <c r="J100" s="503">
        <v>0.11</v>
      </c>
      <c r="K100" s="504">
        <v>44812</v>
      </c>
      <c r="L100" s="504">
        <v>45758</v>
      </c>
      <c r="M100" s="504">
        <v>45698</v>
      </c>
      <c r="N100" s="505" t="s">
        <v>196</v>
      </c>
      <c r="O100" s="506">
        <v>100000000</v>
      </c>
      <c r="P100" s="507" t="s">
        <v>196</v>
      </c>
      <c r="Q100" s="508">
        <v>95000000</v>
      </c>
      <c r="R100" s="508">
        <v>95000000</v>
      </c>
      <c r="S100" s="508">
        <v>0</v>
      </c>
      <c r="T100" s="509">
        <v>95000000</v>
      </c>
      <c r="U100" s="506">
        <v>3428515</v>
      </c>
      <c r="V100" s="510"/>
    </row>
    <row r="101" spans="1:22" s="270" customFormat="1" ht="15" customHeight="1">
      <c r="A101" s="317"/>
      <c r="B101" s="334">
        <f t="shared" si="2"/>
        <v>91</v>
      </c>
      <c r="C101" s="289" t="s">
        <v>416</v>
      </c>
      <c r="D101" s="330" t="s">
        <v>270</v>
      </c>
      <c r="E101" s="289" t="s">
        <v>232</v>
      </c>
      <c r="F101" s="360" t="s">
        <v>723</v>
      </c>
      <c r="G101" s="500">
        <v>13</v>
      </c>
      <c r="H101" s="501" t="s">
        <v>212</v>
      </c>
      <c r="I101" s="502" t="s">
        <v>879</v>
      </c>
      <c r="J101" s="503">
        <v>8.48E-2</v>
      </c>
      <c r="K101" s="504">
        <v>44858</v>
      </c>
      <c r="L101" s="504">
        <v>45952</v>
      </c>
      <c r="M101" s="504">
        <v>45688</v>
      </c>
      <c r="N101" s="505" t="s">
        <v>196</v>
      </c>
      <c r="O101" s="506">
        <v>200000000</v>
      </c>
      <c r="P101" s="507" t="s">
        <v>196</v>
      </c>
      <c r="Q101" s="508">
        <v>200000000</v>
      </c>
      <c r="R101" s="508">
        <v>200000000</v>
      </c>
      <c r="S101" s="508">
        <v>0</v>
      </c>
      <c r="T101" s="509">
        <v>200000000</v>
      </c>
      <c r="U101" s="506">
        <v>6575137</v>
      </c>
      <c r="V101" s="510"/>
    </row>
    <row r="102" spans="1:22" s="270" customFormat="1" ht="15" customHeight="1">
      <c r="A102" s="317"/>
      <c r="B102" s="334">
        <f t="shared" si="2"/>
        <v>92</v>
      </c>
      <c r="C102" s="289" t="s">
        <v>416</v>
      </c>
      <c r="D102" s="330" t="s">
        <v>270</v>
      </c>
      <c r="E102" s="289" t="s">
        <v>232</v>
      </c>
      <c r="F102" s="360" t="s">
        <v>723</v>
      </c>
      <c r="G102" s="500">
        <v>14</v>
      </c>
      <c r="H102" s="501" t="s">
        <v>212</v>
      </c>
      <c r="I102" s="502" t="s">
        <v>880</v>
      </c>
      <c r="J102" s="503">
        <v>7.6999999999999999E-2</v>
      </c>
      <c r="K102" s="504">
        <v>44860</v>
      </c>
      <c r="L102" s="504">
        <v>45952</v>
      </c>
      <c r="M102" s="504">
        <v>45688</v>
      </c>
      <c r="N102" s="505" t="s">
        <v>196</v>
      </c>
      <c r="O102" s="506">
        <v>1100000000</v>
      </c>
      <c r="P102" s="507" t="s">
        <v>196</v>
      </c>
      <c r="Q102" s="508">
        <v>1100000000</v>
      </c>
      <c r="R102" s="508">
        <v>1100000000</v>
      </c>
      <c r="S102" s="508">
        <v>0</v>
      </c>
      <c r="T102" s="509">
        <v>1100000000</v>
      </c>
      <c r="U102" s="506">
        <v>34517785</v>
      </c>
      <c r="V102" s="510"/>
    </row>
    <row r="103" spans="1:22" s="270" customFormat="1" ht="15" customHeight="1">
      <c r="A103" s="317"/>
      <c r="B103" s="334">
        <f t="shared" si="2"/>
        <v>93</v>
      </c>
      <c r="C103" s="289" t="s">
        <v>416</v>
      </c>
      <c r="D103" s="330" t="s">
        <v>270</v>
      </c>
      <c r="E103" s="289" t="s">
        <v>232</v>
      </c>
      <c r="F103" s="360" t="s">
        <v>723</v>
      </c>
      <c r="G103" s="500">
        <v>15</v>
      </c>
      <c r="H103" s="501" t="s">
        <v>212</v>
      </c>
      <c r="I103" s="502" t="s">
        <v>881</v>
      </c>
      <c r="J103" s="503">
        <v>0.11</v>
      </c>
      <c r="K103" s="504">
        <v>44978</v>
      </c>
      <c r="L103" s="504">
        <v>45808</v>
      </c>
      <c r="M103" s="504">
        <v>45687</v>
      </c>
      <c r="N103" s="505" t="s">
        <v>196</v>
      </c>
      <c r="O103" s="506">
        <v>180000000</v>
      </c>
      <c r="P103" s="507" t="s">
        <v>196</v>
      </c>
      <c r="Q103" s="508">
        <v>180000000</v>
      </c>
      <c r="R103" s="508">
        <v>180000000</v>
      </c>
      <c r="S103" s="508">
        <v>0</v>
      </c>
      <c r="T103" s="509">
        <v>180000000</v>
      </c>
      <c r="U103" s="506">
        <v>6862845</v>
      </c>
      <c r="V103" s="510"/>
    </row>
    <row r="104" spans="1:22" s="270" customFormat="1" ht="15" customHeight="1">
      <c r="A104" s="317"/>
      <c r="B104" s="334">
        <f t="shared" si="2"/>
        <v>94</v>
      </c>
      <c r="C104" s="289" t="s">
        <v>416</v>
      </c>
      <c r="D104" s="330" t="s">
        <v>270</v>
      </c>
      <c r="E104" s="289" t="s">
        <v>232</v>
      </c>
      <c r="F104" s="360" t="s">
        <v>723</v>
      </c>
      <c r="G104" s="500">
        <v>16</v>
      </c>
      <c r="H104" s="501" t="s">
        <v>212</v>
      </c>
      <c r="I104" s="502" t="s">
        <v>882</v>
      </c>
      <c r="J104" s="503">
        <v>0.11</v>
      </c>
      <c r="K104" s="504">
        <v>44978</v>
      </c>
      <c r="L104" s="504">
        <v>45808</v>
      </c>
      <c r="M104" s="504">
        <v>45687</v>
      </c>
      <c r="N104" s="505" t="s">
        <v>196</v>
      </c>
      <c r="O104" s="506">
        <v>53733900</v>
      </c>
      <c r="P104" s="507" t="s">
        <v>196</v>
      </c>
      <c r="Q104" s="508">
        <v>53733900</v>
      </c>
      <c r="R104" s="508">
        <v>53733900</v>
      </c>
      <c r="S104" s="508">
        <v>0</v>
      </c>
      <c r="T104" s="509">
        <v>53733900</v>
      </c>
      <c r="U104" s="506">
        <v>2048705</v>
      </c>
      <c r="V104" s="510"/>
    </row>
    <row r="105" spans="1:22" s="270" customFormat="1" ht="15" customHeight="1">
      <c r="A105" s="317"/>
      <c r="B105" s="334">
        <f t="shared" si="2"/>
        <v>95</v>
      </c>
      <c r="C105" s="289" t="s">
        <v>416</v>
      </c>
      <c r="D105" s="330" t="s">
        <v>270</v>
      </c>
      <c r="E105" s="289" t="s">
        <v>232</v>
      </c>
      <c r="F105" s="360" t="s">
        <v>723</v>
      </c>
      <c r="G105" s="500">
        <v>17</v>
      </c>
      <c r="H105" s="501" t="s">
        <v>212</v>
      </c>
      <c r="I105" s="502" t="s">
        <v>883</v>
      </c>
      <c r="J105" s="503">
        <v>0.11</v>
      </c>
      <c r="K105" s="504">
        <v>44978</v>
      </c>
      <c r="L105" s="504">
        <v>45808</v>
      </c>
      <c r="M105" s="504">
        <v>45687</v>
      </c>
      <c r="N105" s="505" t="s">
        <v>196</v>
      </c>
      <c r="O105" s="506">
        <v>100000000</v>
      </c>
      <c r="P105" s="507" t="s">
        <v>196</v>
      </c>
      <c r="Q105" s="508">
        <v>100000000</v>
      </c>
      <c r="R105" s="508">
        <v>100000000</v>
      </c>
      <c r="S105" s="508">
        <v>0</v>
      </c>
      <c r="T105" s="509">
        <v>100000000</v>
      </c>
      <c r="U105" s="506">
        <v>3812690</v>
      </c>
      <c r="V105" s="510"/>
    </row>
    <row r="106" spans="1:22" s="270" customFormat="1" ht="15" customHeight="1">
      <c r="A106" s="317"/>
      <c r="B106" s="334">
        <f t="shared" si="2"/>
        <v>96</v>
      </c>
      <c r="C106" s="289" t="s">
        <v>416</v>
      </c>
      <c r="D106" s="330" t="s">
        <v>270</v>
      </c>
      <c r="E106" s="289" t="s">
        <v>232</v>
      </c>
      <c r="F106" s="360" t="s">
        <v>723</v>
      </c>
      <c r="G106" s="500">
        <v>18</v>
      </c>
      <c r="H106" s="501" t="s">
        <v>212</v>
      </c>
      <c r="I106" s="502" t="s">
        <v>884</v>
      </c>
      <c r="J106" s="503">
        <v>0.11</v>
      </c>
      <c r="K106" s="504">
        <v>44978</v>
      </c>
      <c r="L106" s="504">
        <v>45808</v>
      </c>
      <c r="M106" s="504">
        <v>45687</v>
      </c>
      <c r="N106" s="505" t="s">
        <v>196</v>
      </c>
      <c r="O106" s="506">
        <v>1815000</v>
      </c>
      <c r="P106" s="507" t="s">
        <v>196</v>
      </c>
      <c r="Q106" s="508">
        <v>1815000</v>
      </c>
      <c r="R106" s="508">
        <v>1815000</v>
      </c>
      <c r="S106" s="508">
        <v>0</v>
      </c>
      <c r="T106" s="509">
        <v>1815000</v>
      </c>
      <c r="U106" s="506">
        <v>69198</v>
      </c>
      <c r="V106" s="510"/>
    </row>
    <row r="107" spans="1:22" s="270" customFormat="1" ht="15" customHeight="1">
      <c r="A107" s="317"/>
      <c r="B107" s="334">
        <f t="shared" si="2"/>
        <v>97</v>
      </c>
      <c r="C107" s="289" t="s">
        <v>416</v>
      </c>
      <c r="D107" s="330" t="s">
        <v>270</v>
      </c>
      <c r="E107" s="289" t="s">
        <v>232</v>
      </c>
      <c r="F107" s="360" t="s">
        <v>723</v>
      </c>
      <c r="G107" s="500">
        <v>19</v>
      </c>
      <c r="H107" s="501" t="s">
        <v>212</v>
      </c>
      <c r="I107" s="502" t="s">
        <v>885</v>
      </c>
      <c r="J107" s="503">
        <v>0.11</v>
      </c>
      <c r="K107" s="504">
        <v>44978</v>
      </c>
      <c r="L107" s="504">
        <v>45808</v>
      </c>
      <c r="M107" s="504">
        <v>45687</v>
      </c>
      <c r="N107" s="505" t="s">
        <v>196</v>
      </c>
      <c r="O107" s="506">
        <v>4411000</v>
      </c>
      <c r="P107" s="507" t="s">
        <v>196</v>
      </c>
      <c r="Q107" s="508">
        <v>4411000</v>
      </c>
      <c r="R107" s="508">
        <v>4411000</v>
      </c>
      <c r="S107" s="508">
        <v>0</v>
      </c>
      <c r="T107" s="509">
        <v>4411000</v>
      </c>
      <c r="U107" s="506">
        <v>168175</v>
      </c>
      <c r="V107" s="510"/>
    </row>
    <row r="108" spans="1:22" s="270" customFormat="1" ht="15" customHeight="1">
      <c r="A108" s="317"/>
      <c r="B108" s="334">
        <f t="shared" si="2"/>
        <v>98</v>
      </c>
      <c r="C108" s="289" t="s">
        <v>416</v>
      </c>
      <c r="D108" s="330" t="s">
        <v>270</v>
      </c>
      <c r="E108" s="289" t="s">
        <v>232</v>
      </c>
      <c r="F108" s="360" t="s">
        <v>723</v>
      </c>
      <c r="G108" s="500">
        <v>20</v>
      </c>
      <c r="H108" s="501" t="s">
        <v>212</v>
      </c>
      <c r="I108" s="502" t="s">
        <v>886</v>
      </c>
      <c r="J108" s="503">
        <v>0.11</v>
      </c>
      <c r="K108" s="504">
        <v>44978</v>
      </c>
      <c r="L108" s="504">
        <v>45808</v>
      </c>
      <c r="M108" s="504">
        <v>45687</v>
      </c>
      <c r="N108" s="505" t="s">
        <v>196</v>
      </c>
      <c r="O108" s="506">
        <v>42882565</v>
      </c>
      <c r="P108" s="507" t="s">
        <v>196</v>
      </c>
      <c r="Q108" s="508">
        <v>42882565</v>
      </c>
      <c r="R108" s="508">
        <v>42882565</v>
      </c>
      <c r="S108" s="508">
        <v>0</v>
      </c>
      <c r="T108" s="509">
        <v>42882565</v>
      </c>
      <c r="U108" s="506">
        <v>1634977</v>
      </c>
      <c r="V108" s="510"/>
    </row>
    <row r="109" spans="1:22" s="270" customFormat="1" ht="15" customHeight="1">
      <c r="A109" s="317"/>
      <c r="B109" s="334">
        <f t="shared" si="2"/>
        <v>99</v>
      </c>
      <c r="C109" s="289" t="s">
        <v>416</v>
      </c>
      <c r="D109" s="330" t="s">
        <v>270</v>
      </c>
      <c r="E109" s="289" t="s">
        <v>232</v>
      </c>
      <c r="F109" s="360" t="s">
        <v>723</v>
      </c>
      <c r="G109" s="500">
        <v>21</v>
      </c>
      <c r="H109" s="501" t="s">
        <v>212</v>
      </c>
      <c r="I109" s="502" t="s">
        <v>887</v>
      </c>
      <c r="J109" s="503">
        <v>0.11</v>
      </c>
      <c r="K109" s="504">
        <v>44978</v>
      </c>
      <c r="L109" s="504">
        <v>45808</v>
      </c>
      <c r="M109" s="504">
        <v>45687</v>
      </c>
      <c r="N109" s="505" t="s">
        <v>196</v>
      </c>
      <c r="O109" s="506">
        <v>16984000</v>
      </c>
      <c r="P109" s="507" t="s">
        <v>196</v>
      </c>
      <c r="Q109" s="508">
        <v>16984000</v>
      </c>
      <c r="R109" s="508">
        <v>16984000</v>
      </c>
      <c r="S109" s="508">
        <v>0</v>
      </c>
      <c r="T109" s="509">
        <v>16984000</v>
      </c>
      <c r="U109" s="506">
        <v>647545</v>
      </c>
      <c r="V109" s="510"/>
    </row>
    <row r="110" spans="1:22" s="270" customFormat="1" ht="15" customHeight="1">
      <c r="A110" s="317"/>
      <c r="B110" s="334">
        <f t="shared" si="2"/>
        <v>100</v>
      </c>
      <c r="C110" s="289" t="s">
        <v>416</v>
      </c>
      <c r="D110" s="330" t="s">
        <v>270</v>
      </c>
      <c r="E110" s="289" t="s">
        <v>232</v>
      </c>
      <c r="F110" s="360" t="s">
        <v>723</v>
      </c>
      <c r="G110" s="500">
        <v>22</v>
      </c>
      <c r="H110" s="501" t="s">
        <v>212</v>
      </c>
      <c r="I110" s="502" t="s">
        <v>888</v>
      </c>
      <c r="J110" s="503">
        <v>0.11</v>
      </c>
      <c r="K110" s="504">
        <v>44978</v>
      </c>
      <c r="L110" s="504">
        <v>45808</v>
      </c>
      <c r="M110" s="504">
        <v>45687</v>
      </c>
      <c r="N110" s="505" t="s">
        <v>196</v>
      </c>
      <c r="O110" s="506">
        <v>180000000</v>
      </c>
      <c r="P110" s="507" t="s">
        <v>196</v>
      </c>
      <c r="Q110" s="508">
        <v>180000000</v>
      </c>
      <c r="R110" s="508">
        <v>180000000</v>
      </c>
      <c r="S110" s="508">
        <v>0</v>
      </c>
      <c r="T110" s="509">
        <v>180000000</v>
      </c>
      <c r="U110" s="506">
        <v>6862845</v>
      </c>
      <c r="V110" s="510"/>
    </row>
    <row r="111" spans="1:22" s="270" customFormat="1" ht="15" customHeight="1">
      <c r="A111" s="317"/>
      <c r="B111" s="334">
        <f t="shared" si="2"/>
        <v>101</v>
      </c>
      <c r="C111" s="289" t="s">
        <v>416</v>
      </c>
      <c r="D111" s="330" t="s">
        <v>270</v>
      </c>
      <c r="E111" s="289" t="s">
        <v>232</v>
      </c>
      <c r="F111" s="360" t="s">
        <v>723</v>
      </c>
      <c r="G111" s="500">
        <v>23</v>
      </c>
      <c r="H111" s="501" t="s">
        <v>212</v>
      </c>
      <c r="I111" s="502" t="s">
        <v>889</v>
      </c>
      <c r="J111" s="503">
        <v>0.11</v>
      </c>
      <c r="K111" s="504">
        <v>45247</v>
      </c>
      <c r="L111" s="504">
        <v>45978</v>
      </c>
      <c r="M111" s="504">
        <v>45705</v>
      </c>
      <c r="N111" s="505" t="s">
        <v>196</v>
      </c>
      <c r="O111" s="506">
        <v>420000000</v>
      </c>
      <c r="P111" s="507" t="s">
        <v>196</v>
      </c>
      <c r="Q111" s="508">
        <v>420000000</v>
      </c>
      <c r="R111" s="508">
        <v>420000000</v>
      </c>
      <c r="S111" s="508">
        <v>0</v>
      </c>
      <c r="T111" s="509">
        <v>420000000</v>
      </c>
      <c r="U111" s="506">
        <v>14613156</v>
      </c>
      <c r="V111" s="510"/>
    </row>
    <row r="112" spans="1:22" s="270" customFormat="1" ht="15" customHeight="1">
      <c r="A112" s="317"/>
      <c r="B112" s="334">
        <f t="shared" si="2"/>
        <v>102</v>
      </c>
      <c r="C112" s="289" t="s">
        <v>416</v>
      </c>
      <c r="D112" s="330" t="s">
        <v>270</v>
      </c>
      <c r="E112" s="289" t="s">
        <v>232</v>
      </c>
      <c r="F112" s="360" t="s">
        <v>723</v>
      </c>
      <c r="G112" s="500">
        <v>24</v>
      </c>
      <c r="H112" s="501" t="s">
        <v>212</v>
      </c>
      <c r="I112" s="502" t="s">
        <v>890</v>
      </c>
      <c r="J112" s="503">
        <v>0.11</v>
      </c>
      <c r="K112" s="504">
        <v>45385</v>
      </c>
      <c r="L112" s="504">
        <v>45750</v>
      </c>
      <c r="M112" s="504">
        <v>45690</v>
      </c>
      <c r="N112" s="505" t="s">
        <v>196</v>
      </c>
      <c r="O112" s="506">
        <v>75000000</v>
      </c>
      <c r="P112" s="507" t="s">
        <v>196</v>
      </c>
      <c r="Q112" s="508">
        <v>75000000</v>
      </c>
      <c r="R112" s="508">
        <v>75000000</v>
      </c>
      <c r="S112" s="508">
        <v>0</v>
      </c>
      <c r="T112" s="509">
        <v>75000000</v>
      </c>
      <c r="U112" s="506">
        <v>2811681</v>
      </c>
      <c r="V112" s="510"/>
    </row>
    <row r="113" spans="1:22" s="270" customFormat="1" ht="15" customHeight="1">
      <c r="A113" s="317"/>
      <c r="B113" s="334">
        <f t="shared" si="2"/>
        <v>103</v>
      </c>
      <c r="C113" s="289" t="s">
        <v>416</v>
      </c>
      <c r="D113" s="330" t="s">
        <v>270</v>
      </c>
      <c r="E113" s="289" t="s">
        <v>232</v>
      </c>
      <c r="F113" s="360" t="s">
        <v>723</v>
      </c>
      <c r="G113" s="500">
        <v>25</v>
      </c>
      <c r="H113" s="501" t="s">
        <v>441</v>
      </c>
      <c r="I113" s="502" t="s">
        <v>891</v>
      </c>
      <c r="J113" s="503"/>
      <c r="K113" s="504">
        <v>45867</v>
      </c>
      <c r="L113" s="504"/>
      <c r="M113" s="504"/>
      <c r="N113" s="505" t="s">
        <v>196</v>
      </c>
      <c r="O113" s="506">
        <v>20195120</v>
      </c>
      <c r="P113" s="507" t="s">
        <v>196</v>
      </c>
      <c r="Q113" s="508">
        <v>0</v>
      </c>
      <c r="R113" s="508">
        <v>0</v>
      </c>
      <c r="S113" s="508">
        <v>20195120</v>
      </c>
      <c r="T113" s="509">
        <v>20195120</v>
      </c>
      <c r="U113" s="506">
        <v>0</v>
      </c>
      <c r="V113" s="510" t="s">
        <v>439</v>
      </c>
    </row>
    <row r="114" spans="1:22" s="270" customFormat="1" ht="15" customHeight="1">
      <c r="A114" s="317"/>
      <c r="B114" s="334">
        <f t="shared" si="2"/>
        <v>104</v>
      </c>
      <c r="C114" s="289" t="s">
        <v>416</v>
      </c>
      <c r="D114" s="330" t="s">
        <v>270</v>
      </c>
      <c r="E114" s="289" t="s">
        <v>232</v>
      </c>
      <c r="F114" s="360" t="s">
        <v>723</v>
      </c>
      <c r="G114" s="500">
        <v>26</v>
      </c>
      <c r="H114" s="501" t="s">
        <v>441</v>
      </c>
      <c r="I114" s="502" t="s">
        <v>892</v>
      </c>
      <c r="J114" s="503"/>
      <c r="K114" s="504">
        <v>45859</v>
      </c>
      <c r="L114" s="504"/>
      <c r="M114" s="504"/>
      <c r="N114" s="505" t="s">
        <v>196</v>
      </c>
      <c r="O114" s="506">
        <v>2637820</v>
      </c>
      <c r="P114" s="507" t="s">
        <v>196</v>
      </c>
      <c r="Q114" s="508">
        <v>0</v>
      </c>
      <c r="R114" s="508">
        <v>0</v>
      </c>
      <c r="S114" s="508">
        <v>2637820</v>
      </c>
      <c r="T114" s="509">
        <v>2637820</v>
      </c>
      <c r="U114" s="506">
        <v>0</v>
      </c>
      <c r="V114" s="510" t="s">
        <v>437</v>
      </c>
    </row>
    <row r="115" spans="1:22" s="270" customFormat="1" ht="15" customHeight="1">
      <c r="A115" s="317"/>
      <c r="B115" s="334">
        <f t="shared" ref="B115:B123" si="3">ROW()-10</f>
        <v>105</v>
      </c>
      <c r="C115" s="289" t="s">
        <v>416</v>
      </c>
      <c r="D115" s="330" t="s">
        <v>270</v>
      </c>
      <c r="E115" s="289" t="s">
        <v>233</v>
      </c>
      <c r="F115" s="360" t="s">
        <v>724</v>
      </c>
      <c r="G115" s="500">
        <v>1</v>
      </c>
      <c r="H115" s="501" t="s">
        <v>422</v>
      </c>
      <c r="I115" s="502" t="s">
        <v>893</v>
      </c>
      <c r="J115" s="503">
        <v>7.3800000000000004E-2</v>
      </c>
      <c r="K115" s="504">
        <v>44979</v>
      </c>
      <c r="L115" s="504">
        <v>46075</v>
      </c>
      <c r="M115" s="504">
        <v>45869</v>
      </c>
      <c r="N115" s="505" t="s">
        <v>196</v>
      </c>
      <c r="O115" s="506">
        <v>5000000000</v>
      </c>
      <c r="P115" s="507" t="s">
        <v>196</v>
      </c>
      <c r="Q115" s="508">
        <v>1962919350</v>
      </c>
      <c r="R115" s="508">
        <v>1962919350</v>
      </c>
      <c r="S115" s="508">
        <v>0</v>
      </c>
      <c r="T115" s="509">
        <v>1962919350</v>
      </c>
      <c r="U115" s="506">
        <v>13507842</v>
      </c>
      <c r="V115" s="510"/>
    </row>
    <row r="116" spans="1:22" s="270" customFormat="1" ht="15" customHeight="1">
      <c r="A116" s="317"/>
      <c r="B116" s="334">
        <f t="shared" si="3"/>
        <v>106</v>
      </c>
      <c r="C116" s="289" t="s">
        <v>416</v>
      </c>
      <c r="D116" s="330" t="s">
        <v>270</v>
      </c>
      <c r="E116" s="289" t="s">
        <v>233</v>
      </c>
      <c r="F116" s="360" t="s">
        <v>724</v>
      </c>
      <c r="G116" s="500">
        <v>2</v>
      </c>
      <c r="H116" s="501" t="s">
        <v>422</v>
      </c>
      <c r="I116" s="502" t="s">
        <v>893</v>
      </c>
      <c r="J116" s="503">
        <v>7.3800000000000004E-2</v>
      </c>
      <c r="K116" s="504">
        <v>44979</v>
      </c>
      <c r="L116" s="504">
        <v>46075</v>
      </c>
      <c r="M116" s="504">
        <v>45667</v>
      </c>
      <c r="N116" s="505" t="s">
        <v>196</v>
      </c>
      <c r="O116" s="506">
        <v>5000000000</v>
      </c>
      <c r="P116" s="507" t="s">
        <v>196</v>
      </c>
      <c r="Q116" s="508">
        <v>3037080650</v>
      </c>
      <c r="R116" s="508">
        <v>3037080650</v>
      </c>
      <c r="S116" s="508">
        <v>0</v>
      </c>
      <c r="T116" s="509">
        <v>3037080650</v>
      </c>
      <c r="U116" s="506">
        <v>179235202</v>
      </c>
      <c r="V116" s="510"/>
    </row>
    <row r="117" spans="1:22" s="270" customFormat="1" ht="15" customHeight="1">
      <c r="A117" s="317"/>
      <c r="B117" s="334">
        <f t="shared" si="3"/>
        <v>107</v>
      </c>
      <c r="C117" s="289" t="s">
        <v>416</v>
      </c>
      <c r="D117" s="330" t="s">
        <v>270</v>
      </c>
      <c r="E117" s="289" t="s">
        <v>233</v>
      </c>
      <c r="F117" s="360" t="s">
        <v>724</v>
      </c>
      <c r="G117" s="500">
        <v>3</v>
      </c>
      <c r="H117" s="501" t="s">
        <v>212</v>
      </c>
      <c r="I117" s="502" t="s">
        <v>894</v>
      </c>
      <c r="J117" s="503">
        <v>9.8599999999999993E-2</v>
      </c>
      <c r="K117" s="504">
        <v>45034</v>
      </c>
      <c r="L117" s="504">
        <v>45765</v>
      </c>
      <c r="M117" s="504">
        <v>45869</v>
      </c>
      <c r="N117" s="505" t="s">
        <v>196</v>
      </c>
      <c r="O117" s="506">
        <v>1000000000</v>
      </c>
      <c r="P117" s="507" t="s">
        <v>196</v>
      </c>
      <c r="Q117" s="508">
        <v>1000000000</v>
      </c>
      <c r="R117" s="508">
        <v>1000000000</v>
      </c>
      <c r="S117" s="508">
        <v>0</v>
      </c>
      <c r="T117" s="509">
        <v>1000000000</v>
      </c>
      <c r="U117" s="506">
        <v>48674386</v>
      </c>
      <c r="V117" s="510"/>
    </row>
    <row r="118" spans="1:22" s="270" customFormat="1" ht="15" customHeight="1">
      <c r="A118" s="317"/>
      <c r="B118" s="334">
        <f t="shared" si="3"/>
        <v>108</v>
      </c>
      <c r="C118" s="289" t="s">
        <v>416</v>
      </c>
      <c r="D118" s="330" t="s">
        <v>270</v>
      </c>
      <c r="E118" s="289" t="s">
        <v>233</v>
      </c>
      <c r="F118" s="360" t="s">
        <v>724</v>
      </c>
      <c r="G118" s="500">
        <v>4</v>
      </c>
      <c r="H118" s="501" t="s">
        <v>212</v>
      </c>
      <c r="I118" s="502" t="s">
        <v>895</v>
      </c>
      <c r="J118" s="503">
        <v>8.8900000000000007E-2</v>
      </c>
      <c r="K118" s="504">
        <v>45436</v>
      </c>
      <c r="L118" s="504">
        <v>46531</v>
      </c>
      <c r="M118" s="504">
        <v>45869</v>
      </c>
      <c r="N118" s="505" t="s">
        <v>196</v>
      </c>
      <c r="O118" s="506">
        <v>400000000</v>
      </c>
      <c r="P118" s="507" t="s">
        <v>196</v>
      </c>
      <c r="Q118" s="508">
        <v>386570000</v>
      </c>
      <c r="R118" s="508">
        <v>386570000</v>
      </c>
      <c r="S118" s="508">
        <v>0</v>
      </c>
      <c r="T118" s="509">
        <v>386570000</v>
      </c>
      <c r="U118" s="506">
        <v>17742447</v>
      </c>
      <c r="V118" s="510"/>
    </row>
    <row r="119" spans="1:22" s="270" customFormat="1" ht="15" customHeight="1">
      <c r="A119" s="317"/>
      <c r="B119" s="334">
        <f t="shared" si="3"/>
        <v>109</v>
      </c>
      <c r="C119" s="289" t="s">
        <v>416</v>
      </c>
      <c r="D119" s="330" t="s">
        <v>270</v>
      </c>
      <c r="E119" s="289" t="s">
        <v>233</v>
      </c>
      <c r="F119" s="360" t="s">
        <v>724</v>
      </c>
      <c r="G119" s="500">
        <v>5</v>
      </c>
      <c r="H119" s="501" t="s">
        <v>441</v>
      </c>
      <c r="I119" s="502" t="s">
        <v>896</v>
      </c>
      <c r="J119" s="503"/>
      <c r="K119" s="504">
        <v>45758</v>
      </c>
      <c r="L119" s="504"/>
      <c r="M119" s="504"/>
      <c r="N119" s="505" t="s">
        <v>196</v>
      </c>
      <c r="O119" s="506">
        <v>2263200</v>
      </c>
      <c r="P119" s="507" t="s">
        <v>196</v>
      </c>
      <c r="Q119" s="508">
        <v>0</v>
      </c>
      <c r="R119" s="508">
        <v>0</v>
      </c>
      <c r="S119" s="508">
        <v>2263200</v>
      </c>
      <c r="T119" s="509">
        <v>2263200</v>
      </c>
      <c r="U119" s="506">
        <v>0</v>
      </c>
      <c r="V119" s="510" t="s">
        <v>438</v>
      </c>
    </row>
    <row r="120" spans="1:22" s="270" customFormat="1" ht="15" customHeight="1">
      <c r="A120" s="317"/>
      <c r="B120" s="334">
        <f t="shared" si="3"/>
        <v>110</v>
      </c>
      <c r="C120" s="289" t="s">
        <v>416</v>
      </c>
      <c r="D120" s="330" t="s">
        <v>270</v>
      </c>
      <c r="E120" s="289" t="s">
        <v>233</v>
      </c>
      <c r="F120" s="360" t="s">
        <v>724</v>
      </c>
      <c r="G120" s="500">
        <v>6</v>
      </c>
      <c r="H120" s="501" t="s">
        <v>441</v>
      </c>
      <c r="I120" s="502" t="s">
        <v>897</v>
      </c>
      <c r="J120" s="503"/>
      <c r="K120" s="504">
        <v>45856</v>
      </c>
      <c r="L120" s="504"/>
      <c r="M120" s="504"/>
      <c r="N120" s="505" t="s">
        <v>196</v>
      </c>
      <c r="O120" s="506">
        <v>20593070</v>
      </c>
      <c r="P120" s="507" t="s">
        <v>196</v>
      </c>
      <c r="Q120" s="508">
        <v>0</v>
      </c>
      <c r="R120" s="508">
        <v>0</v>
      </c>
      <c r="S120" s="508">
        <v>20593070</v>
      </c>
      <c r="T120" s="509">
        <v>20593070</v>
      </c>
      <c r="U120" s="506">
        <v>0</v>
      </c>
      <c r="V120" s="510" t="s">
        <v>439</v>
      </c>
    </row>
    <row r="121" spans="1:22" s="270" customFormat="1" ht="15" customHeight="1">
      <c r="A121" s="317"/>
      <c r="B121" s="334">
        <f t="shared" si="3"/>
        <v>111</v>
      </c>
      <c r="C121" s="289" t="s">
        <v>416</v>
      </c>
      <c r="D121" s="330" t="s">
        <v>270</v>
      </c>
      <c r="E121" s="289" t="s">
        <v>233</v>
      </c>
      <c r="F121" s="360" t="s">
        <v>724</v>
      </c>
      <c r="G121" s="500">
        <v>7</v>
      </c>
      <c r="H121" s="501" t="s">
        <v>441</v>
      </c>
      <c r="I121" s="502" t="s">
        <v>898</v>
      </c>
      <c r="J121" s="503"/>
      <c r="K121" s="504">
        <v>45790</v>
      </c>
      <c r="L121" s="504"/>
      <c r="M121" s="504"/>
      <c r="N121" s="505" t="s">
        <v>196</v>
      </c>
      <c r="O121" s="506">
        <v>330090</v>
      </c>
      <c r="P121" s="507" t="s">
        <v>196</v>
      </c>
      <c r="Q121" s="508">
        <v>0</v>
      </c>
      <c r="R121" s="508">
        <v>0</v>
      </c>
      <c r="S121" s="508">
        <v>330090</v>
      </c>
      <c r="T121" s="509">
        <v>330090</v>
      </c>
      <c r="U121" s="506">
        <v>0</v>
      </c>
      <c r="V121" s="510" t="s">
        <v>440</v>
      </c>
    </row>
    <row r="122" spans="1:22" s="270" customFormat="1" ht="15" customHeight="1">
      <c r="A122" s="317"/>
      <c r="B122" s="334">
        <f t="shared" si="3"/>
        <v>112</v>
      </c>
      <c r="C122" s="289" t="s">
        <v>416</v>
      </c>
      <c r="D122" s="330" t="s">
        <v>270</v>
      </c>
      <c r="E122" s="289" t="s">
        <v>233</v>
      </c>
      <c r="F122" s="360" t="s">
        <v>724</v>
      </c>
      <c r="G122" s="500">
        <v>8</v>
      </c>
      <c r="H122" s="501" t="s">
        <v>441</v>
      </c>
      <c r="I122" s="502" t="s">
        <v>899</v>
      </c>
      <c r="J122" s="503"/>
      <c r="K122" s="504">
        <v>45820</v>
      </c>
      <c r="L122" s="504"/>
      <c r="M122" s="504"/>
      <c r="N122" s="505" t="s">
        <v>196</v>
      </c>
      <c r="O122" s="506">
        <v>3407700</v>
      </c>
      <c r="P122" s="507" t="s">
        <v>196</v>
      </c>
      <c r="Q122" s="508">
        <v>0</v>
      </c>
      <c r="R122" s="508">
        <v>0</v>
      </c>
      <c r="S122" s="508">
        <v>3407700</v>
      </c>
      <c r="T122" s="509">
        <v>3407700</v>
      </c>
      <c r="U122" s="506">
        <v>0</v>
      </c>
      <c r="V122" s="510" t="s">
        <v>440</v>
      </c>
    </row>
    <row r="123" spans="1:22" s="270" customFormat="1" ht="15" customHeight="1">
      <c r="A123" s="317"/>
      <c r="B123" s="334">
        <f t="shared" si="3"/>
        <v>113</v>
      </c>
      <c r="C123" s="289" t="s">
        <v>416</v>
      </c>
      <c r="D123" s="330" t="s">
        <v>270</v>
      </c>
      <c r="E123" s="289" t="s">
        <v>233</v>
      </c>
      <c r="F123" s="360" t="s">
        <v>724</v>
      </c>
      <c r="G123" s="500">
        <v>9</v>
      </c>
      <c r="H123" s="501" t="s">
        <v>441</v>
      </c>
      <c r="I123" s="502" t="s">
        <v>900</v>
      </c>
      <c r="J123" s="503"/>
      <c r="K123" s="504">
        <v>45848</v>
      </c>
      <c r="L123" s="504"/>
      <c r="M123" s="504"/>
      <c r="N123" s="505" t="s">
        <v>196</v>
      </c>
      <c r="O123" s="506">
        <v>3301000</v>
      </c>
      <c r="P123" s="507" t="s">
        <v>196</v>
      </c>
      <c r="Q123" s="508">
        <v>0</v>
      </c>
      <c r="R123" s="508">
        <v>0</v>
      </c>
      <c r="S123" s="508">
        <v>3301000</v>
      </c>
      <c r="T123" s="509">
        <v>3301000</v>
      </c>
      <c r="U123" s="506">
        <v>0</v>
      </c>
      <c r="V123" s="510" t="s">
        <v>440</v>
      </c>
    </row>
    <row r="124" spans="1:22" s="270" customFormat="1" ht="15" customHeight="1">
      <c r="A124" s="317"/>
      <c r="B124" s="334">
        <f t="shared" ref="B124:B148" si="4">ROW()-10</f>
        <v>114</v>
      </c>
      <c r="C124" s="289" t="s">
        <v>416</v>
      </c>
      <c r="D124" s="330" t="s">
        <v>270</v>
      </c>
      <c r="E124" s="289" t="s">
        <v>234</v>
      </c>
      <c r="F124" s="360" t="s">
        <v>725</v>
      </c>
      <c r="G124" s="500">
        <v>1</v>
      </c>
      <c r="H124" s="501" t="s">
        <v>212</v>
      </c>
      <c r="I124" s="502" t="s">
        <v>901</v>
      </c>
      <c r="J124" s="503">
        <v>0.11</v>
      </c>
      <c r="K124" s="504">
        <v>44575</v>
      </c>
      <c r="L124" s="504">
        <v>45913</v>
      </c>
      <c r="M124" s="504">
        <v>45869</v>
      </c>
      <c r="N124" s="505" t="s">
        <v>196</v>
      </c>
      <c r="O124" s="506">
        <v>150000000</v>
      </c>
      <c r="P124" s="507" t="s">
        <v>196</v>
      </c>
      <c r="Q124" s="508">
        <v>133982391</v>
      </c>
      <c r="R124" s="508">
        <v>133982391</v>
      </c>
      <c r="S124" s="508">
        <v>0</v>
      </c>
      <c r="T124" s="509">
        <v>133982391</v>
      </c>
      <c r="U124" s="506">
        <v>6905035</v>
      </c>
      <c r="V124" s="510"/>
    </row>
    <row r="125" spans="1:22" s="270" customFormat="1" ht="15" customHeight="1">
      <c r="A125" s="317"/>
      <c r="B125" s="334">
        <f t="shared" si="4"/>
        <v>115</v>
      </c>
      <c r="C125" s="289" t="s">
        <v>416</v>
      </c>
      <c r="D125" s="330" t="s">
        <v>270</v>
      </c>
      <c r="E125" s="289" t="s">
        <v>234</v>
      </c>
      <c r="F125" s="360" t="s">
        <v>725</v>
      </c>
      <c r="G125" s="500">
        <v>2</v>
      </c>
      <c r="H125" s="501" t="s">
        <v>212</v>
      </c>
      <c r="I125" s="502" t="s">
        <v>902</v>
      </c>
      <c r="J125" s="503">
        <v>9.11E-2</v>
      </c>
      <c r="K125" s="504">
        <v>44578</v>
      </c>
      <c r="L125" s="504">
        <v>46031</v>
      </c>
      <c r="M125" s="504">
        <v>45869</v>
      </c>
      <c r="N125" s="505" t="s">
        <v>196</v>
      </c>
      <c r="O125" s="506">
        <v>350000000</v>
      </c>
      <c r="P125" s="507" t="s">
        <v>196</v>
      </c>
      <c r="Q125" s="508">
        <v>52500000</v>
      </c>
      <c r="R125" s="508">
        <v>52500000</v>
      </c>
      <c r="S125" s="508">
        <v>0</v>
      </c>
      <c r="T125" s="509">
        <v>52500000</v>
      </c>
      <c r="U125" s="506">
        <v>445726</v>
      </c>
      <c r="V125" s="510"/>
    </row>
    <row r="126" spans="1:22" s="270" customFormat="1" ht="15" customHeight="1">
      <c r="A126" s="317"/>
      <c r="B126" s="334">
        <f t="shared" si="4"/>
        <v>116</v>
      </c>
      <c r="C126" s="289" t="s">
        <v>416</v>
      </c>
      <c r="D126" s="330" t="s">
        <v>270</v>
      </c>
      <c r="E126" s="289" t="s">
        <v>234</v>
      </c>
      <c r="F126" s="360" t="s">
        <v>725</v>
      </c>
      <c r="G126" s="500">
        <v>3</v>
      </c>
      <c r="H126" s="501" t="s">
        <v>212</v>
      </c>
      <c r="I126" s="502" t="s">
        <v>902</v>
      </c>
      <c r="J126" s="503">
        <v>9.11E-2</v>
      </c>
      <c r="K126" s="504">
        <v>44578</v>
      </c>
      <c r="L126" s="504">
        <v>46031</v>
      </c>
      <c r="M126" s="504">
        <v>45697</v>
      </c>
      <c r="N126" s="505" t="s">
        <v>196</v>
      </c>
      <c r="O126" s="506">
        <v>350000000</v>
      </c>
      <c r="P126" s="507" t="s">
        <v>196</v>
      </c>
      <c r="Q126" s="508">
        <v>297500000</v>
      </c>
      <c r="R126" s="508">
        <v>297500000</v>
      </c>
      <c r="S126" s="508">
        <v>0</v>
      </c>
      <c r="T126" s="509">
        <v>297500000</v>
      </c>
      <c r="U126" s="506">
        <v>13267978</v>
      </c>
      <c r="V126" s="510"/>
    </row>
    <row r="127" spans="1:22" s="270" customFormat="1" ht="15" customHeight="1">
      <c r="A127" s="317"/>
      <c r="B127" s="334">
        <f t="shared" si="4"/>
        <v>117</v>
      </c>
      <c r="C127" s="289" t="s">
        <v>416</v>
      </c>
      <c r="D127" s="330" t="s">
        <v>270</v>
      </c>
      <c r="E127" s="289" t="s">
        <v>234</v>
      </c>
      <c r="F127" s="360" t="s">
        <v>725</v>
      </c>
      <c r="G127" s="500">
        <v>4</v>
      </c>
      <c r="H127" s="501" t="s">
        <v>212</v>
      </c>
      <c r="I127" s="502" t="s">
        <v>903</v>
      </c>
      <c r="J127" s="503">
        <v>0.11</v>
      </c>
      <c r="K127" s="504">
        <v>44757</v>
      </c>
      <c r="L127" s="504">
        <v>45853</v>
      </c>
      <c r="M127" s="504">
        <v>45869</v>
      </c>
      <c r="N127" s="505" t="s">
        <v>196</v>
      </c>
      <c r="O127" s="506">
        <v>480000000</v>
      </c>
      <c r="P127" s="507" t="s">
        <v>196</v>
      </c>
      <c r="Q127" s="508">
        <v>480000000</v>
      </c>
      <c r="R127" s="508">
        <v>480000000</v>
      </c>
      <c r="S127" s="508">
        <v>0</v>
      </c>
      <c r="T127" s="509">
        <v>480000000</v>
      </c>
      <c r="U127" s="506">
        <v>23140236</v>
      </c>
      <c r="V127" s="510"/>
    </row>
    <row r="128" spans="1:22" s="270" customFormat="1" ht="15" customHeight="1">
      <c r="A128" s="317"/>
      <c r="B128" s="334">
        <f t="shared" si="4"/>
        <v>118</v>
      </c>
      <c r="C128" s="289" t="s">
        <v>416</v>
      </c>
      <c r="D128" s="330" t="s">
        <v>270</v>
      </c>
      <c r="E128" s="289" t="s">
        <v>234</v>
      </c>
      <c r="F128" s="360" t="s">
        <v>725</v>
      </c>
      <c r="G128" s="500">
        <v>5</v>
      </c>
      <c r="H128" s="501" t="s">
        <v>422</v>
      </c>
      <c r="I128" s="502" t="s">
        <v>904</v>
      </c>
      <c r="J128" s="503">
        <v>8.72E-2</v>
      </c>
      <c r="K128" s="504">
        <v>44791</v>
      </c>
      <c r="L128" s="504">
        <v>48444</v>
      </c>
      <c r="M128" s="504">
        <v>45705</v>
      </c>
      <c r="N128" s="505" t="s">
        <v>196</v>
      </c>
      <c r="O128" s="506">
        <v>2905000000</v>
      </c>
      <c r="P128" s="507" t="s">
        <v>196</v>
      </c>
      <c r="Q128" s="508">
        <v>2905000000</v>
      </c>
      <c r="R128" s="508">
        <v>2905000000</v>
      </c>
      <c r="S128" s="508">
        <v>0</v>
      </c>
      <c r="T128" s="509">
        <v>2905000000</v>
      </c>
      <c r="U128" s="506">
        <v>101846048</v>
      </c>
      <c r="V128" s="510"/>
    </row>
    <row r="129" spans="1:22" s="270" customFormat="1" ht="15" customHeight="1">
      <c r="A129" s="317"/>
      <c r="B129" s="334">
        <f t="shared" si="4"/>
        <v>119</v>
      </c>
      <c r="C129" s="289" t="s">
        <v>416</v>
      </c>
      <c r="D129" s="330" t="s">
        <v>270</v>
      </c>
      <c r="E129" s="289" t="s">
        <v>234</v>
      </c>
      <c r="F129" s="360" t="s">
        <v>725</v>
      </c>
      <c r="G129" s="500">
        <v>6</v>
      </c>
      <c r="H129" s="501" t="s">
        <v>212</v>
      </c>
      <c r="I129" s="502" t="s">
        <v>905</v>
      </c>
      <c r="J129" s="503">
        <v>0.1074</v>
      </c>
      <c r="K129" s="504">
        <v>44791</v>
      </c>
      <c r="L129" s="504">
        <v>45887</v>
      </c>
      <c r="M129" s="504">
        <v>45706</v>
      </c>
      <c r="N129" s="505" t="s">
        <v>196</v>
      </c>
      <c r="O129" s="506">
        <v>735000000</v>
      </c>
      <c r="P129" s="507" t="s">
        <v>196</v>
      </c>
      <c r="Q129" s="508">
        <v>731500000</v>
      </c>
      <c r="R129" s="508">
        <v>731500000</v>
      </c>
      <c r="S129" s="508">
        <v>0</v>
      </c>
      <c r="T129" s="509">
        <v>731500000</v>
      </c>
      <c r="U129" s="506">
        <v>32216952</v>
      </c>
      <c r="V129" s="510"/>
    </row>
    <row r="130" spans="1:22" s="270" customFormat="1" ht="15" customHeight="1">
      <c r="A130" s="317"/>
      <c r="B130" s="334">
        <f t="shared" si="4"/>
        <v>120</v>
      </c>
      <c r="C130" s="289" t="s">
        <v>416</v>
      </c>
      <c r="D130" s="330" t="s">
        <v>270</v>
      </c>
      <c r="E130" s="289" t="s">
        <v>234</v>
      </c>
      <c r="F130" s="360" t="s">
        <v>725</v>
      </c>
      <c r="G130" s="500">
        <v>7</v>
      </c>
      <c r="H130" s="501" t="s">
        <v>212</v>
      </c>
      <c r="I130" s="502" t="s">
        <v>906</v>
      </c>
      <c r="J130" s="503">
        <v>9.6000000000000002E-2</v>
      </c>
      <c r="K130" s="504">
        <v>44932</v>
      </c>
      <c r="L130" s="504">
        <v>46024</v>
      </c>
      <c r="M130" s="504">
        <v>45869</v>
      </c>
      <c r="N130" s="505" t="s">
        <v>196</v>
      </c>
      <c r="O130" s="506">
        <v>700000000</v>
      </c>
      <c r="P130" s="507" t="s">
        <v>196</v>
      </c>
      <c r="Q130" s="508">
        <v>105000000</v>
      </c>
      <c r="R130" s="508">
        <v>105000000</v>
      </c>
      <c r="S130" s="508">
        <v>0</v>
      </c>
      <c r="T130" s="509">
        <v>105000000</v>
      </c>
      <c r="U130" s="506">
        <v>939252</v>
      </c>
      <c r="V130" s="510"/>
    </row>
    <row r="131" spans="1:22" s="270" customFormat="1" ht="15" customHeight="1">
      <c r="A131" s="317"/>
      <c r="B131" s="334">
        <f t="shared" si="4"/>
        <v>121</v>
      </c>
      <c r="C131" s="289" t="s">
        <v>416</v>
      </c>
      <c r="D131" s="330" t="s">
        <v>270</v>
      </c>
      <c r="E131" s="289" t="s">
        <v>234</v>
      </c>
      <c r="F131" s="360" t="s">
        <v>725</v>
      </c>
      <c r="G131" s="500">
        <v>8</v>
      </c>
      <c r="H131" s="501" t="s">
        <v>212</v>
      </c>
      <c r="I131" s="502" t="s">
        <v>906</v>
      </c>
      <c r="J131" s="503">
        <v>9.6000000000000002E-2</v>
      </c>
      <c r="K131" s="504">
        <v>44932</v>
      </c>
      <c r="L131" s="504">
        <v>46024</v>
      </c>
      <c r="M131" s="504">
        <v>45698</v>
      </c>
      <c r="N131" s="505" t="s">
        <v>196</v>
      </c>
      <c r="O131" s="506">
        <v>700000000</v>
      </c>
      <c r="P131" s="507" t="s">
        <v>196</v>
      </c>
      <c r="Q131" s="508">
        <v>595000000</v>
      </c>
      <c r="R131" s="508">
        <v>595000000</v>
      </c>
      <c r="S131" s="508">
        <v>0</v>
      </c>
      <c r="T131" s="509">
        <v>595000000</v>
      </c>
      <c r="U131" s="506">
        <v>28306784</v>
      </c>
      <c r="V131" s="510"/>
    </row>
    <row r="132" spans="1:22" s="270" customFormat="1" ht="15" customHeight="1">
      <c r="A132" s="317"/>
      <c r="B132" s="334">
        <f t="shared" si="4"/>
        <v>122</v>
      </c>
      <c r="C132" s="289" t="s">
        <v>416</v>
      </c>
      <c r="D132" s="330" t="s">
        <v>270</v>
      </c>
      <c r="E132" s="289" t="s">
        <v>234</v>
      </c>
      <c r="F132" s="360" t="s">
        <v>725</v>
      </c>
      <c r="G132" s="500">
        <v>9</v>
      </c>
      <c r="H132" s="501" t="s">
        <v>212</v>
      </c>
      <c r="I132" s="502" t="s">
        <v>907</v>
      </c>
      <c r="J132" s="503">
        <v>0.1026</v>
      </c>
      <c r="K132" s="504">
        <v>44939</v>
      </c>
      <c r="L132" s="504">
        <v>46035</v>
      </c>
      <c r="M132" s="504">
        <v>45869</v>
      </c>
      <c r="N132" s="505" t="s">
        <v>196</v>
      </c>
      <c r="O132" s="506">
        <v>200000000</v>
      </c>
      <c r="P132" s="507" t="s">
        <v>196</v>
      </c>
      <c r="Q132" s="508">
        <v>45010515</v>
      </c>
      <c r="R132" s="508">
        <v>45010515</v>
      </c>
      <c r="S132" s="508">
        <v>0</v>
      </c>
      <c r="T132" s="509">
        <v>45010515</v>
      </c>
      <c r="U132" s="506">
        <v>430554</v>
      </c>
      <c r="V132" s="510"/>
    </row>
    <row r="133" spans="1:22" s="270" customFormat="1" ht="15" customHeight="1">
      <c r="A133" s="317"/>
      <c r="B133" s="334">
        <f t="shared" si="4"/>
        <v>123</v>
      </c>
      <c r="C133" s="289" t="s">
        <v>416</v>
      </c>
      <c r="D133" s="330" t="s">
        <v>270</v>
      </c>
      <c r="E133" s="289" t="s">
        <v>234</v>
      </c>
      <c r="F133" s="360" t="s">
        <v>725</v>
      </c>
      <c r="G133" s="500">
        <v>10</v>
      </c>
      <c r="H133" s="501" t="s">
        <v>212</v>
      </c>
      <c r="I133" s="502" t="s">
        <v>907</v>
      </c>
      <c r="J133" s="503">
        <v>0.1026</v>
      </c>
      <c r="K133" s="504">
        <v>44939</v>
      </c>
      <c r="L133" s="504">
        <v>46035</v>
      </c>
      <c r="M133" s="504">
        <v>45700</v>
      </c>
      <c r="N133" s="505" t="s">
        <v>196</v>
      </c>
      <c r="O133" s="506">
        <v>200000000</v>
      </c>
      <c r="P133" s="507" t="s">
        <v>196</v>
      </c>
      <c r="Q133" s="508">
        <v>28249485</v>
      </c>
      <c r="R133" s="508">
        <v>28249485</v>
      </c>
      <c r="S133" s="508">
        <v>0</v>
      </c>
      <c r="T133" s="509">
        <v>28249485</v>
      </c>
      <c r="U133" s="506">
        <v>2782468</v>
      </c>
      <c r="V133" s="510"/>
    </row>
    <row r="134" spans="1:22" s="270" customFormat="1" ht="15" customHeight="1">
      <c r="A134" s="317"/>
      <c r="B134" s="334">
        <f t="shared" si="4"/>
        <v>124</v>
      </c>
      <c r="C134" s="289" t="s">
        <v>416</v>
      </c>
      <c r="D134" s="330" t="s">
        <v>270</v>
      </c>
      <c r="E134" s="289" t="s">
        <v>234</v>
      </c>
      <c r="F134" s="360" t="s">
        <v>725</v>
      </c>
      <c r="G134" s="500">
        <v>11</v>
      </c>
      <c r="H134" s="501" t="s">
        <v>212</v>
      </c>
      <c r="I134" s="502" t="s">
        <v>908</v>
      </c>
      <c r="J134" s="503">
        <v>0.11</v>
      </c>
      <c r="K134" s="504">
        <v>44939</v>
      </c>
      <c r="L134" s="504">
        <v>45913</v>
      </c>
      <c r="M134" s="504">
        <v>45869</v>
      </c>
      <c r="N134" s="505" t="s">
        <v>196</v>
      </c>
      <c r="O134" s="506">
        <v>100000000</v>
      </c>
      <c r="P134" s="507" t="s">
        <v>196</v>
      </c>
      <c r="Q134" s="508">
        <v>80000000</v>
      </c>
      <c r="R134" s="508">
        <v>80000000</v>
      </c>
      <c r="S134" s="508">
        <v>0</v>
      </c>
      <c r="T134" s="509">
        <v>80000000</v>
      </c>
      <c r="U134" s="506">
        <v>3911497</v>
      </c>
      <c r="V134" s="510"/>
    </row>
    <row r="135" spans="1:22" s="270" customFormat="1" ht="15" customHeight="1">
      <c r="A135" s="317"/>
      <c r="B135" s="334">
        <f t="shared" si="4"/>
        <v>125</v>
      </c>
      <c r="C135" s="289" t="s">
        <v>416</v>
      </c>
      <c r="D135" s="330" t="s">
        <v>270</v>
      </c>
      <c r="E135" s="289" t="s">
        <v>234</v>
      </c>
      <c r="F135" s="360" t="s">
        <v>725</v>
      </c>
      <c r="G135" s="500">
        <v>12</v>
      </c>
      <c r="H135" s="501" t="s">
        <v>441</v>
      </c>
      <c r="I135" s="502" t="s">
        <v>909</v>
      </c>
      <c r="J135" s="503"/>
      <c r="K135" s="504">
        <v>45797</v>
      </c>
      <c r="L135" s="504"/>
      <c r="M135" s="504"/>
      <c r="N135" s="505" t="s">
        <v>196</v>
      </c>
      <c r="O135" s="506">
        <v>32649700</v>
      </c>
      <c r="P135" s="507" t="s">
        <v>196</v>
      </c>
      <c r="Q135" s="508">
        <v>0</v>
      </c>
      <c r="R135" s="508">
        <v>0</v>
      </c>
      <c r="S135" s="508">
        <v>32649700</v>
      </c>
      <c r="T135" s="509">
        <v>32649700</v>
      </c>
      <c r="U135" s="506">
        <v>0</v>
      </c>
      <c r="V135" s="510" t="s">
        <v>439</v>
      </c>
    </row>
    <row r="136" spans="1:22" s="270" customFormat="1" ht="15" customHeight="1">
      <c r="A136" s="317"/>
      <c r="B136" s="334">
        <f t="shared" si="4"/>
        <v>126</v>
      </c>
      <c r="C136" s="289" t="s">
        <v>416</v>
      </c>
      <c r="D136" s="330" t="s">
        <v>270</v>
      </c>
      <c r="E136" s="289" t="s">
        <v>234</v>
      </c>
      <c r="F136" s="360" t="s">
        <v>725</v>
      </c>
      <c r="G136" s="500">
        <v>13</v>
      </c>
      <c r="H136" s="501" t="s">
        <v>441</v>
      </c>
      <c r="I136" s="502" t="s">
        <v>910</v>
      </c>
      <c r="J136" s="503"/>
      <c r="K136" s="504">
        <v>45754</v>
      </c>
      <c r="L136" s="504"/>
      <c r="M136" s="504"/>
      <c r="N136" s="505" t="s">
        <v>196</v>
      </c>
      <c r="O136" s="506">
        <v>379500</v>
      </c>
      <c r="P136" s="507" t="s">
        <v>196</v>
      </c>
      <c r="Q136" s="508">
        <v>0</v>
      </c>
      <c r="R136" s="508">
        <v>0</v>
      </c>
      <c r="S136" s="508">
        <v>379500</v>
      </c>
      <c r="T136" s="509">
        <v>379500</v>
      </c>
      <c r="U136" s="506">
        <v>0</v>
      </c>
      <c r="V136" s="510" t="s">
        <v>440</v>
      </c>
    </row>
    <row r="137" spans="1:22" s="270" customFormat="1" ht="15" customHeight="1">
      <c r="A137" s="317"/>
      <c r="B137" s="334">
        <f t="shared" si="4"/>
        <v>127</v>
      </c>
      <c r="C137" s="289" t="s">
        <v>416</v>
      </c>
      <c r="D137" s="330" t="s">
        <v>270</v>
      </c>
      <c r="E137" s="289" t="s">
        <v>234</v>
      </c>
      <c r="F137" s="360" t="s">
        <v>725</v>
      </c>
      <c r="G137" s="500">
        <v>14</v>
      </c>
      <c r="H137" s="501" t="s">
        <v>441</v>
      </c>
      <c r="I137" s="502" t="s">
        <v>911</v>
      </c>
      <c r="J137" s="503"/>
      <c r="K137" s="504">
        <v>45779</v>
      </c>
      <c r="L137" s="504"/>
      <c r="M137" s="504"/>
      <c r="N137" s="505" t="s">
        <v>196</v>
      </c>
      <c r="O137" s="506">
        <v>759000</v>
      </c>
      <c r="P137" s="507" t="s">
        <v>196</v>
      </c>
      <c r="Q137" s="508">
        <v>0</v>
      </c>
      <c r="R137" s="508">
        <v>0</v>
      </c>
      <c r="S137" s="508">
        <v>759000</v>
      </c>
      <c r="T137" s="509">
        <v>759000</v>
      </c>
      <c r="U137" s="506">
        <v>0</v>
      </c>
      <c r="V137" s="510" t="s">
        <v>440</v>
      </c>
    </row>
    <row r="138" spans="1:22" s="270" customFormat="1" ht="15" customHeight="1">
      <c r="A138" s="317"/>
      <c r="B138" s="334">
        <f t="shared" si="4"/>
        <v>128</v>
      </c>
      <c r="C138" s="289" t="s">
        <v>416</v>
      </c>
      <c r="D138" s="330" t="s">
        <v>270</v>
      </c>
      <c r="E138" s="289" t="s">
        <v>234</v>
      </c>
      <c r="F138" s="360" t="s">
        <v>725</v>
      </c>
      <c r="G138" s="500">
        <v>15</v>
      </c>
      <c r="H138" s="501" t="s">
        <v>441</v>
      </c>
      <c r="I138" s="502" t="s">
        <v>912</v>
      </c>
      <c r="J138" s="503"/>
      <c r="K138" s="504">
        <v>45812</v>
      </c>
      <c r="L138" s="504"/>
      <c r="M138" s="504"/>
      <c r="N138" s="505" t="s">
        <v>196</v>
      </c>
      <c r="O138" s="506">
        <v>784300</v>
      </c>
      <c r="P138" s="507" t="s">
        <v>196</v>
      </c>
      <c r="Q138" s="508">
        <v>0</v>
      </c>
      <c r="R138" s="508">
        <v>0</v>
      </c>
      <c r="S138" s="508">
        <v>784300</v>
      </c>
      <c r="T138" s="509">
        <v>784300</v>
      </c>
      <c r="U138" s="506">
        <v>0</v>
      </c>
      <c r="V138" s="510" t="s">
        <v>440</v>
      </c>
    </row>
    <row r="139" spans="1:22" s="270" customFormat="1" ht="15" customHeight="1">
      <c r="A139" s="317"/>
      <c r="B139" s="334">
        <f t="shared" si="4"/>
        <v>129</v>
      </c>
      <c r="C139" s="289" t="s">
        <v>416</v>
      </c>
      <c r="D139" s="330" t="s">
        <v>270</v>
      </c>
      <c r="E139" s="289" t="s">
        <v>234</v>
      </c>
      <c r="F139" s="360" t="s">
        <v>725</v>
      </c>
      <c r="G139" s="500">
        <v>16</v>
      </c>
      <c r="H139" s="501" t="s">
        <v>441</v>
      </c>
      <c r="I139" s="502" t="s">
        <v>913</v>
      </c>
      <c r="J139" s="503"/>
      <c r="K139" s="504">
        <v>45840</v>
      </c>
      <c r="L139" s="504"/>
      <c r="M139" s="504"/>
      <c r="N139" s="505" t="s">
        <v>196</v>
      </c>
      <c r="O139" s="506">
        <v>2284190</v>
      </c>
      <c r="P139" s="507" t="s">
        <v>196</v>
      </c>
      <c r="Q139" s="508">
        <v>0</v>
      </c>
      <c r="R139" s="508">
        <v>0</v>
      </c>
      <c r="S139" s="508">
        <v>2284190</v>
      </c>
      <c r="T139" s="509">
        <v>2284190</v>
      </c>
      <c r="U139" s="506">
        <v>0</v>
      </c>
      <c r="V139" s="510" t="s">
        <v>440</v>
      </c>
    </row>
    <row r="140" spans="1:22" s="270" customFormat="1" ht="15" customHeight="1">
      <c r="A140" s="317"/>
      <c r="B140" s="334">
        <f t="shared" si="4"/>
        <v>130</v>
      </c>
      <c r="C140" s="289" t="s">
        <v>416</v>
      </c>
      <c r="D140" s="330" t="s">
        <v>270</v>
      </c>
      <c r="E140" s="289" t="s">
        <v>235</v>
      </c>
      <c r="F140" s="360" t="s">
        <v>726</v>
      </c>
      <c r="G140" s="500">
        <v>1</v>
      </c>
      <c r="H140" s="501" t="s">
        <v>422</v>
      </c>
      <c r="I140" s="502" t="s">
        <v>914</v>
      </c>
      <c r="J140" s="503">
        <v>7.3499999999999996E-2</v>
      </c>
      <c r="K140" s="504">
        <v>44666</v>
      </c>
      <c r="L140" s="504">
        <v>45762</v>
      </c>
      <c r="M140" s="504">
        <v>45671</v>
      </c>
      <c r="N140" s="505" t="s">
        <v>196</v>
      </c>
      <c r="O140" s="506">
        <v>3400000000</v>
      </c>
      <c r="P140" s="507" t="s">
        <v>196</v>
      </c>
      <c r="Q140" s="508">
        <v>3400000000</v>
      </c>
      <c r="R140" s="508">
        <v>3400000000</v>
      </c>
      <c r="S140" s="508">
        <v>0</v>
      </c>
      <c r="T140" s="509">
        <v>3400000000</v>
      </c>
      <c r="U140" s="506">
        <v>119576006</v>
      </c>
      <c r="V140" s="510"/>
    </row>
    <row r="141" spans="1:22" s="270" customFormat="1" ht="15" customHeight="1">
      <c r="A141" s="317"/>
      <c r="B141" s="334">
        <f t="shared" si="4"/>
        <v>131</v>
      </c>
      <c r="C141" s="289" t="s">
        <v>416</v>
      </c>
      <c r="D141" s="330" t="s">
        <v>270</v>
      </c>
      <c r="E141" s="289" t="s">
        <v>235</v>
      </c>
      <c r="F141" s="360" t="s">
        <v>726</v>
      </c>
      <c r="G141" s="500">
        <v>2</v>
      </c>
      <c r="H141" s="501" t="s">
        <v>212</v>
      </c>
      <c r="I141" s="502" t="s">
        <v>915</v>
      </c>
      <c r="J141" s="503">
        <v>9.0999999999999998E-2</v>
      </c>
      <c r="K141" s="504">
        <v>44666</v>
      </c>
      <c r="L141" s="504">
        <v>45764</v>
      </c>
      <c r="M141" s="504">
        <v>45673</v>
      </c>
      <c r="N141" s="505" t="s">
        <v>196</v>
      </c>
      <c r="O141" s="506">
        <v>700000000</v>
      </c>
      <c r="P141" s="507" t="s">
        <v>196</v>
      </c>
      <c r="Q141" s="508">
        <v>700000000</v>
      </c>
      <c r="R141" s="508">
        <v>700000000</v>
      </c>
      <c r="S141" s="508">
        <v>0</v>
      </c>
      <c r="T141" s="509">
        <v>700000000</v>
      </c>
      <c r="U141" s="506">
        <v>31352188</v>
      </c>
      <c r="V141" s="510"/>
    </row>
    <row r="142" spans="1:22" s="270" customFormat="1" ht="15" customHeight="1">
      <c r="A142" s="317"/>
      <c r="B142" s="334">
        <f t="shared" si="4"/>
        <v>132</v>
      </c>
      <c r="C142" s="289" t="s">
        <v>416</v>
      </c>
      <c r="D142" s="330" t="s">
        <v>270</v>
      </c>
      <c r="E142" s="289" t="s">
        <v>235</v>
      </c>
      <c r="F142" s="360" t="s">
        <v>726</v>
      </c>
      <c r="G142" s="500">
        <v>3</v>
      </c>
      <c r="H142" s="501" t="s">
        <v>422</v>
      </c>
      <c r="I142" s="502" t="s">
        <v>916</v>
      </c>
      <c r="J142" s="503">
        <v>8.2299999999999998E-2</v>
      </c>
      <c r="K142" s="504">
        <v>44712</v>
      </c>
      <c r="L142" s="504">
        <v>45808</v>
      </c>
      <c r="M142" s="504">
        <v>45687</v>
      </c>
      <c r="N142" s="505" t="s">
        <v>196</v>
      </c>
      <c r="O142" s="506">
        <v>550000000</v>
      </c>
      <c r="P142" s="507" t="s">
        <v>196</v>
      </c>
      <c r="Q142" s="508">
        <v>550000000</v>
      </c>
      <c r="R142" s="508">
        <v>550000000</v>
      </c>
      <c r="S142" s="508">
        <v>0</v>
      </c>
      <c r="T142" s="509">
        <v>550000000</v>
      </c>
      <c r="U142" s="506">
        <v>20422396</v>
      </c>
      <c r="V142" s="510"/>
    </row>
    <row r="143" spans="1:22" s="270" customFormat="1" ht="15" customHeight="1">
      <c r="A143" s="317"/>
      <c r="B143" s="334">
        <f t="shared" si="4"/>
        <v>133</v>
      </c>
      <c r="C143" s="289" t="s">
        <v>416</v>
      </c>
      <c r="D143" s="330" t="s">
        <v>270</v>
      </c>
      <c r="E143" s="289" t="s">
        <v>235</v>
      </c>
      <c r="F143" s="360" t="s">
        <v>726</v>
      </c>
      <c r="G143" s="500">
        <v>4</v>
      </c>
      <c r="H143" s="501" t="s">
        <v>212</v>
      </c>
      <c r="I143" s="502" t="s">
        <v>917</v>
      </c>
      <c r="J143" s="503">
        <v>5.8099999999999999E-2</v>
      </c>
      <c r="K143" s="504">
        <v>44981</v>
      </c>
      <c r="L143" s="504">
        <v>46077</v>
      </c>
      <c r="M143" s="504">
        <v>45680</v>
      </c>
      <c r="N143" s="505" t="s">
        <v>196</v>
      </c>
      <c r="O143" s="506">
        <v>500000000</v>
      </c>
      <c r="P143" s="507" t="s">
        <v>196</v>
      </c>
      <c r="Q143" s="508">
        <v>500000000</v>
      </c>
      <c r="R143" s="508">
        <v>500000000</v>
      </c>
      <c r="S143" s="508">
        <v>0</v>
      </c>
      <c r="T143" s="509">
        <v>500000000</v>
      </c>
      <c r="U143" s="506">
        <v>13074986</v>
      </c>
      <c r="V143" s="510"/>
    </row>
    <row r="144" spans="1:22" s="270" customFormat="1" ht="15" customHeight="1">
      <c r="A144" s="317"/>
      <c r="B144" s="334">
        <f t="shared" si="4"/>
        <v>134</v>
      </c>
      <c r="C144" s="289" t="s">
        <v>416</v>
      </c>
      <c r="D144" s="330" t="s">
        <v>270</v>
      </c>
      <c r="E144" s="289" t="s">
        <v>235</v>
      </c>
      <c r="F144" s="360" t="s">
        <v>726</v>
      </c>
      <c r="G144" s="500">
        <v>5</v>
      </c>
      <c r="H144" s="501" t="s">
        <v>212</v>
      </c>
      <c r="I144" s="502" t="s">
        <v>918</v>
      </c>
      <c r="J144" s="503">
        <v>9.1899999999999996E-2</v>
      </c>
      <c r="K144" s="504">
        <v>45068</v>
      </c>
      <c r="L144" s="504">
        <v>45799</v>
      </c>
      <c r="M144" s="504">
        <v>45678</v>
      </c>
      <c r="N144" s="505" t="s">
        <v>196</v>
      </c>
      <c r="O144" s="506">
        <v>100000000</v>
      </c>
      <c r="P144" s="507" t="s">
        <v>196</v>
      </c>
      <c r="Q144" s="508">
        <v>100000000</v>
      </c>
      <c r="R144" s="508">
        <v>100000000</v>
      </c>
      <c r="S144" s="508">
        <v>0</v>
      </c>
      <c r="T144" s="509">
        <v>100000000</v>
      </c>
      <c r="U144" s="506">
        <v>4393719</v>
      </c>
      <c r="V144" s="510"/>
    </row>
    <row r="145" spans="1:22" s="270" customFormat="1" ht="15" customHeight="1">
      <c r="A145" s="317"/>
      <c r="B145" s="334">
        <f t="shared" si="4"/>
        <v>135</v>
      </c>
      <c r="C145" s="289" t="s">
        <v>416</v>
      </c>
      <c r="D145" s="330" t="s">
        <v>270</v>
      </c>
      <c r="E145" s="289" t="s">
        <v>235</v>
      </c>
      <c r="F145" s="360" t="s">
        <v>726</v>
      </c>
      <c r="G145" s="500">
        <v>6</v>
      </c>
      <c r="H145" s="501" t="s">
        <v>212</v>
      </c>
      <c r="I145" s="502" t="s">
        <v>919</v>
      </c>
      <c r="J145" s="503">
        <v>9.7200000000000009E-2</v>
      </c>
      <c r="K145" s="504">
        <v>45350</v>
      </c>
      <c r="L145" s="504">
        <v>46446</v>
      </c>
      <c r="M145" s="504">
        <v>45684</v>
      </c>
      <c r="N145" s="505" t="s">
        <v>196</v>
      </c>
      <c r="O145" s="506">
        <v>300000000</v>
      </c>
      <c r="P145" s="507" t="s">
        <v>196</v>
      </c>
      <c r="Q145" s="508">
        <v>202406093</v>
      </c>
      <c r="R145" s="508">
        <v>202406093</v>
      </c>
      <c r="S145" s="508">
        <v>0</v>
      </c>
      <c r="T145" s="509">
        <v>202406093</v>
      </c>
      <c r="U145" s="506">
        <v>9245643</v>
      </c>
      <c r="V145" s="510"/>
    </row>
    <row r="146" spans="1:22" s="270" customFormat="1" ht="15" customHeight="1">
      <c r="A146" s="317"/>
      <c r="B146" s="334">
        <f t="shared" si="4"/>
        <v>136</v>
      </c>
      <c r="C146" s="289" t="s">
        <v>416</v>
      </c>
      <c r="D146" s="330" t="s">
        <v>270</v>
      </c>
      <c r="E146" s="289" t="s">
        <v>235</v>
      </c>
      <c r="F146" s="360" t="s">
        <v>726</v>
      </c>
      <c r="G146" s="500">
        <v>7</v>
      </c>
      <c r="H146" s="501" t="s">
        <v>212</v>
      </c>
      <c r="I146" s="502" t="s">
        <v>920</v>
      </c>
      <c r="J146" s="503">
        <v>7.85E-2</v>
      </c>
      <c r="K146" s="504">
        <v>45399</v>
      </c>
      <c r="L146" s="504">
        <v>45758</v>
      </c>
      <c r="M146" s="504">
        <v>45673</v>
      </c>
      <c r="N146" s="505" t="s">
        <v>196</v>
      </c>
      <c r="O146" s="506">
        <v>600000000</v>
      </c>
      <c r="P146" s="507" t="s">
        <v>196</v>
      </c>
      <c r="Q146" s="508">
        <v>0</v>
      </c>
      <c r="R146" s="508">
        <v>0</v>
      </c>
      <c r="S146" s="508">
        <v>0</v>
      </c>
      <c r="T146" s="509">
        <v>0</v>
      </c>
      <c r="U146" s="506">
        <v>5087432</v>
      </c>
      <c r="V146" s="510"/>
    </row>
    <row r="147" spans="1:22" s="270" customFormat="1" ht="15" customHeight="1">
      <c r="A147" s="317"/>
      <c r="B147" s="334">
        <f t="shared" si="4"/>
        <v>137</v>
      </c>
      <c r="C147" s="289" t="s">
        <v>416</v>
      </c>
      <c r="D147" s="330" t="s">
        <v>270</v>
      </c>
      <c r="E147" s="289" t="s">
        <v>235</v>
      </c>
      <c r="F147" s="360" t="s">
        <v>726</v>
      </c>
      <c r="G147" s="500">
        <v>8</v>
      </c>
      <c r="H147" s="501" t="s">
        <v>441</v>
      </c>
      <c r="I147" s="502" t="s">
        <v>921</v>
      </c>
      <c r="J147" s="503"/>
      <c r="K147" s="504">
        <v>45734</v>
      </c>
      <c r="L147" s="504"/>
      <c r="M147" s="504"/>
      <c r="N147" s="505" t="s">
        <v>196</v>
      </c>
      <c r="O147" s="506">
        <v>2355100</v>
      </c>
      <c r="P147" s="507" t="s">
        <v>196</v>
      </c>
      <c r="Q147" s="508">
        <v>0</v>
      </c>
      <c r="R147" s="508">
        <v>0</v>
      </c>
      <c r="S147" s="508">
        <v>2355100</v>
      </c>
      <c r="T147" s="509">
        <v>2355100</v>
      </c>
      <c r="U147" s="506">
        <v>0</v>
      </c>
      <c r="V147" s="510" t="s">
        <v>438</v>
      </c>
    </row>
    <row r="148" spans="1:22" s="270" customFormat="1" ht="15" customHeight="1">
      <c r="A148" s="317"/>
      <c r="B148" s="334">
        <f t="shared" si="4"/>
        <v>138</v>
      </c>
      <c r="C148" s="289" t="s">
        <v>416</v>
      </c>
      <c r="D148" s="330" t="s">
        <v>270</v>
      </c>
      <c r="E148" s="289" t="s">
        <v>235</v>
      </c>
      <c r="F148" s="360" t="s">
        <v>726</v>
      </c>
      <c r="G148" s="500">
        <v>9</v>
      </c>
      <c r="H148" s="501" t="s">
        <v>441</v>
      </c>
      <c r="I148" s="502" t="s">
        <v>922</v>
      </c>
      <c r="J148" s="503"/>
      <c r="K148" s="504">
        <v>45819</v>
      </c>
      <c r="L148" s="504"/>
      <c r="M148" s="504"/>
      <c r="N148" s="505" t="s">
        <v>196</v>
      </c>
      <c r="O148" s="506">
        <v>23492050</v>
      </c>
      <c r="P148" s="507" t="s">
        <v>196</v>
      </c>
      <c r="Q148" s="508">
        <v>0</v>
      </c>
      <c r="R148" s="508">
        <v>0</v>
      </c>
      <c r="S148" s="508">
        <v>23492050</v>
      </c>
      <c r="T148" s="509">
        <v>23492050</v>
      </c>
      <c r="U148" s="506">
        <v>0</v>
      </c>
      <c r="V148" s="510" t="s">
        <v>439</v>
      </c>
    </row>
    <row r="149" spans="1:22" s="270" customFormat="1" ht="15" customHeight="1">
      <c r="A149" s="317"/>
      <c r="B149" s="334">
        <f t="shared" ref="B149:B186" si="5">ROW()-10</f>
        <v>139</v>
      </c>
      <c r="C149" s="289" t="s">
        <v>416</v>
      </c>
      <c r="D149" s="330" t="s">
        <v>270</v>
      </c>
      <c r="E149" s="289" t="s">
        <v>211</v>
      </c>
      <c r="F149" s="360" t="s">
        <v>728</v>
      </c>
      <c r="G149" s="500">
        <v>1</v>
      </c>
      <c r="H149" s="501" t="s">
        <v>422</v>
      </c>
      <c r="I149" s="502" t="s">
        <v>923</v>
      </c>
      <c r="J149" s="503">
        <v>8.0600000000000005E-2</v>
      </c>
      <c r="K149" s="504">
        <v>44313</v>
      </c>
      <c r="L149" s="504">
        <v>45776</v>
      </c>
      <c r="M149" s="504">
        <v>45591</v>
      </c>
      <c r="N149" s="505" t="s">
        <v>196</v>
      </c>
      <c r="O149" s="506">
        <v>1120000000</v>
      </c>
      <c r="P149" s="507" t="s">
        <v>196</v>
      </c>
      <c r="Q149" s="508">
        <v>1120000000</v>
      </c>
      <c r="R149" s="508">
        <v>1120000000</v>
      </c>
      <c r="S149" s="508">
        <v>0</v>
      </c>
      <c r="T149" s="509">
        <v>1120000000</v>
      </c>
      <c r="U149" s="506">
        <v>62705515</v>
      </c>
      <c r="V149" s="510"/>
    </row>
    <row r="150" spans="1:22" s="270" customFormat="1" ht="15" customHeight="1">
      <c r="A150" s="317"/>
      <c r="B150" s="334">
        <f t="shared" si="5"/>
        <v>140</v>
      </c>
      <c r="C150" s="289" t="s">
        <v>416</v>
      </c>
      <c r="D150" s="330" t="s">
        <v>270</v>
      </c>
      <c r="E150" s="289" t="s">
        <v>211</v>
      </c>
      <c r="F150" s="360" t="s">
        <v>728</v>
      </c>
      <c r="G150" s="500">
        <v>2</v>
      </c>
      <c r="H150" s="501" t="s">
        <v>212</v>
      </c>
      <c r="I150" s="502" t="s">
        <v>924</v>
      </c>
      <c r="J150" s="503">
        <v>8.1300000000000011E-2</v>
      </c>
      <c r="K150" s="504">
        <v>44313</v>
      </c>
      <c r="L150" s="504">
        <v>45762</v>
      </c>
      <c r="M150" s="504">
        <v>45580</v>
      </c>
      <c r="N150" s="505" t="s">
        <v>196</v>
      </c>
      <c r="O150" s="506">
        <v>1050000000</v>
      </c>
      <c r="P150" s="507" t="s">
        <v>196</v>
      </c>
      <c r="Q150" s="508">
        <v>1050000000</v>
      </c>
      <c r="R150" s="508">
        <v>1050000000</v>
      </c>
      <c r="S150" s="508">
        <v>0</v>
      </c>
      <c r="T150" s="509">
        <v>1050000000</v>
      </c>
      <c r="U150" s="506">
        <v>58838361</v>
      </c>
      <c r="V150" s="510"/>
    </row>
    <row r="151" spans="1:22" s="270" customFormat="1" ht="15" customHeight="1">
      <c r="A151" s="317"/>
      <c r="B151" s="334">
        <f t="shared" si="5"/>
        <v>141</v>
      </c>
      <c r="C151" s="289" t="s">
        <v>416</v>
      </c>
      <c r="D151" s="330" t="s">
        <v>270</v>
      </c>
      <c r="E151" s="289" t="s">
        <v>211</v>
      </c>
      <c r="F151" s="360" t="s">
        <v>728</v>
      </c>
      <c r="G151" s="500">
        <v>3</v>
      </c>
      <c r="H151" s="501" t="s">
        <v>212</v>
      </c>
      <c r="I151" s="502" t="s">
        <v>925</v>
      </c>
      <c r="J151" s="503">
        <v>8.6899999999999991E-2</v>
      </c>
      <c r="K151" s="504">
        <v>44313</v>
      </c>
      <c r="L151" s="504">
        <v>45776</v>
      </c>
      <c r="M151" s="504">
        <v>45563</v>
      </c>
      <c r="N151" s="505" t="s">
        <v>196</v>
      </c>
      <c r="O151" s="506">
        <v>2380000000</v>
      </c>
      <c r="P151" s="507" t="s">
        <v>196</v>
      </c>
      <c r="Q151" s="508">
        <v>2380000000</v>
      </c>
      <c r="R151" s="508">
        <v>2380000000</v>
      </c>
      <c r="S151" s="508">
        <v>0</v>
      </c>
      <c r="T151" s="509">
        <v>2380000000</v>
      </c>
      <c r="U151" s="506">
        <v>159203228</v>
      </c>
      <c r="V151" s="510"/>
    </row>
    <row r="152" spans="1:22" s="270" customFormat="1" ht="15" customHeight="1">
      <c r="A152" s="317"/>
      <c r="B152" s="334">
        <f t="shared" si="5"/>
        <v>142</v>
      </c>
      <c r="C152" s="289" t="s">
        <v>416</v>
      </c>
      <c r="D152" s="330" t="s">
        <v>270</v>
      </c>
      <c r="E152" s="289" t="s">
        <v>211</v>
      </c>
      <c r="F152" s="360" t="s">
        <v>728</v>
      </c>
      <c r="G152" s="500">
        <v>4</v>
      </c>
      <c r="H152" s="501" t="s">
        <v>212</v>
      </c>
      <c r="I152" s="502" t="s">
        <v>926</v>
      </c>
      <c r="J152" s="503">
        <v>9.6300000000000011E-2</v>
      </c>
      <c r="K152" s="504">
        <v>45138</v>
      </c>
      <c r="L152" s="504">
        <v>45869</v>
      </c>
      <c r="M152" s="504">
        <v>45565</v>
      </c>
      <c r="N152" s="505" t="s">
        <v>196</v>
      </c>
      <c r="O152" s="506">
        <v>220000000</v>
      </c>
      <c r="P152" s="507" t="s">
        <v>196</v>
      </c>
      <c r="Q152" s="508">
        <v>220000000</v>
      </c>
      <c r="R152" s="508">
        <v>220000000</v>
      </c>
      <c r="S152" s="508">
        <v>0</v>
      </c>
      <c r="T152" s="509">
        <v>220000000</v>
      </c>
      <c r="U152" s="506">
        <v>16106362</v>
      </c>
      <c r="V152" s="510"/>
    </row>
    <row r="153" spans="1:22" s="270" customFormat="1" ht="15" customHeight="1">
      <c r="A153" s="317"/>
      <c r="B153" s="334">
        <f t="shared" si="5"/>
        <v>143</v>
      </c>
      <c r="C153" s="289" t="s">
        <v>416</v>
      </c>
      <c r="D153" s="330" t="s">
        <v>270</v>
      </c>
      <c r="E153" s="289" t="s">
        <v>211</v>
      </c>
      <c r="F153" s="360" t="s">
        <v>728</v>
      </c>
      <c r="G153" s="500">
        <v>5</v>
      </c>
      <c r="H153" s="501" t="s">
        <v>212</v>
      </c>
      <c r="I153" s="502" t="s">
        <v>927</v>
      </c>
      <c r="J153" s="503">
        <v>6.480000000000001E-2</v>
      </c>
      <c r="K153" s="504">
        <v>44327</v>
      </c>
      <c r="L153" s="504">
        <v>45757</v>
      </c>
      <c r="M153" s="504">
        <v>45662</v>
      </c>
      <c r="N153" s="505" t="s">
        <v>196</v>
      </c>
      <c r="O153" s="506">
        <v>90000000</v>
      </c>
      <c r="P153" s="507" t="s">
        <v>196</v>
      </c>
      <c r="Q153" s="508">
        <v>90000000</v>
      </c>
      <c r="R153" s="508">
        <v>90000000</v>
      </c>
      <c r="S153" s="508">
        <v>0</v>
      </c>
      <c r="T153" s="509">
        <v>90000000</v>
      </c>
      <c r="U153" s="506">
        <v>4554312</v>
      </c>
      <c r="V153" s="510"/>
    </row>
    <row r="154" spans="1:22" s="270" customFormat="1" ht="15" customHeight="1">
      <c r="A154" s="317"/>
      <c r="B154" s="334">
        <f t="shared" si="5"/>
        <v>144</v>
      </c>
      <c r="C154" s="289" t="s">
        <v>416</v>
      </c>
      <c r="D154" s="330" t="s">
        <v>270</v>
      </c>
      <c r="E154" s="289" t="s">
        <v>211</v>
      </c>
      <c r="F154" s="360" t="s">
        <v>728</v>
      </c>
      <c r="G154" s="500">
        <v>6</v>
      </c>
      <c r="H154" s="501" t="s">
        <v>441</v>
      </c>
      <c r="I154" s="502" t="s">
        <v>928</v>
      </c>
      <c r="J154" s="503"/>
      <c r="K154" s="504">
        <v>45713</v>
      </c>
      <c r="L154" s="504"/>
      <c r="M154" s="504"/>
      <c r="N154" s="505" t="s">
        <v>196</v>
      </c>
      <c r="O154" s="506">
        <v>8756000</v>
      </c>
      <c r="P154" s="507" t="s">
        <v>196</v>
      </c>
      <c r="Q154" s="508">
        <v>0</v>
      </c>
      <c r="R154" s="508">
        <v>0</v>
      </c>
      <c r="S154" s="508">
        <v>8756000</v>
      </c>
      <c r="T154" s="509">
        <v>8756000</v>
      </c>
      <c r="U154" s="506">
        <v>0</v>
      </c>
      <c r="V154" s="510" t="s">
        <v>439</v>
      </c>
    </row>
    <row r="155" spans="1:22" s="270" customFormat="1" ht="15" customHeight="1">
      <c r="A155" s="317"/>
      <c r="B155" s="334">
        <f t="shared" si="5"/>
        <v>145</v>
      </c>
      <c r="C155" s="289" t="s">
        <v>416</v>
      </c>
      <c r="D155" s="330" t="s">
        <v>270</v>
      </c>
      <c r="E155" s="289" t="s">
        <v>211</v>
      </c>
      <c r="F155" s="360" t="s">
        <v>728</v>
      </c>
      <c r="G155" s="500">
        <v>7</v>
      </c>
      <c r="H155" s="501" t="s">
        <v>441</v>
      </c>
      <c r="I155" s="502" t="s">
        <v>929</v>
      </c>
      <c r="J155" s="503"/>
      <c r="K155" s="504">
        <v>45713</v>
      </c>
      <c r="L155" s="504"/>
      <c r="M155" s="504"/>
      <c r="N155" s="505" t="s">
        <v>196</v>
      </c>
      <c r="O155" s="506">
        <v>17219400</v>
      </c>
      <c r="P155" s="507" t="s">
        <v>196</v>
      </c>
      <c r="Q155" s="508">
        <v>0</v>
      </c>
      <c r="R155" s="508">
        <v>0</v>
      </c>
      <c r="S155" s="508">
        <v>17219400</v>
      </c>
      <c r="T155" s="509">
        <v>17219400</v>
      </c>
      <c r="U155" s="506">
        <v>0</v>
      </c>
      <c r="V155" s="510" t="s">
        <v>439</v>
      </c>
    </row>
    <row r="156" spans="1:22" s="270" customFormat="1" ht="15" customHeight="1">
      <c r="A156" s="317"/>
      <c r="B156" s="334">
        <f t="shared" si="5"/>
        <v>146</v>
      </c>
      <c r="C156" s="289" t="s">
        <v>416</v>
      </c>
      <c r="D156" s="330" t="s">
        <v>270</v>
      </c>
      <c r="E156" s="289" t="s">
        <v>211</v>
      </c>
      <c r="F156" s="360" t="s">
        <v>728</v>
      </c>
      <c r="G156" s="500">
        <v>8</v>
      </c>
      <c r="H156" s="501" t="s">
        <v>441</v>
      </c>
      <c r="I156" s="502" t="s">
        <v>930</v>
      </c>
      <c r="J156" s="503"/>
      <c r="K156" s="504">
        <v>45727</v>
      </c>
      <c r="L156" s="504"/>
      <c r="M156" s="504"/>
      <c r="N156" s="505" t="s">
        <v>196</v>
      </c>
      <c r="O156" s="506">
        <v>2536230</v>
      </c>
      <c r="P156" s="507" t="s">
        <v>196</v>
      </c>
      <c r="Q156" s="508">
        <v>0</v>
      </c>
      <c r="R156" s="508">
        <v>0</v>
      </c>
      <c r="S156" s="508">
        <v>2536230</v>
      </c>
      <c r="T156" s="509">
        <v>2536230</v>
      </c>
      <c r="U156" s="506">
        <v>0</v>
      </c>
      <c r="V156" s="510" t="s">
        <v>440</v>
      </c>
    </row>
    <row r="157" spans="1:22" s="270" customFormat="1" ht="15" customHeight="1">
      <c r="A157" s="317"/>
      <c r="B157" s="334">
        <f t="shared" si="5"/>
        <v>147</v>
      </c>
      <c r="C157" s="289" t="s">
        <v>416</v>
      </c>
      <c r="D157" s="330" t="s">
        <v>270</v>
      </c>
      <c r="E157" s="289" t="s">
        <v>211</v>
      </c>
      <c r="F157" s="360" t="s">
        <v>728</v>
      </c>
      <c r="G157" s="500">
        <v>9</v>
      </c>
      <c r="H157" s="501" t="s">
        <v>441</v>
      </c>
      <c r="I157" s="502" t="s">
        <v>931</v>
      </c>
      <c r="J157" s="503"/>
      <c r="K157" s="504">
        <v>45749</v>
      </c>
      <c r="L157" s="504"/>
      <c r="M157" s="504"/>
      <c r="N157" s="505" t="s">
        <v>196</v>
      </c>
      <c r="O157" s="506">
        <v>3407700</v>
      </c>
      <c r="P157" s="507" t="s">
        <v>196</v>
      </c>
      <c r="Q157" s="508">
        <v>0</v>
      </c>
      <c r="R157" s="508">
        <v>0</v>
      </c>
      <c r="S157" s="508">
        <v>3407700</v>
      </c>
      <c r="T157" s="509">
        <v>3407700</v>
      </c>
      <c r="U157" s="506">
        <v>0</v>
      </c>
      <c r="V157" s="510" t="s">
        <v>440</v>
      </c>
    </row>
    <row r="158" spans="1:22" s="270" customFormat="1" ht="15" customHeight="1">
      <c r="A158" s="317"/>
      <c r="B158" s="334">
        <f t="shared" si="5"/>
        <v>148</v>
      </c>
      <c r="C158" s="289" t="s">
        <v>416</v>
      </c>
      <c r="D158" s="330" t="s">
        <v>270</v>
      </c>
      <c r="E158" s="289" t="s">
        <v>211</v>
      </c>
      <c r="F158" s="360" t="s">
        <v>728</v>
      </c>
      <c r="G158" s="500">
        <v>10</v>
      </c>
      <c r="H158" s="501" t="s">
        <v>441</v>
      </c>
      <c r="I158" s="502" t="s">
        <v>932</v>
      </c>
      <c r="J158" s="503"/>
      <c r="K158" s="504">
        <v>45786</v>
      </c>
      <c r="L158" s="504"/>
      <c r="M158" s="504"/>
      <c r="N158" s="505" t="s">
        <v>196</v>
      </c>
      <c r="O158" s="506">
        <v>3301000</v>
      </c>
      <c r="P158" s="507" t="s">
        <v>196</v>
      </c>
      <c r="Q158" s="508">
        <v>0</v>
      </c>
      <c r="R158" s="508">
        <v>0</v>
      </c>
      <c r="S158" s="508">
        <v>3301000</v>
      </c>
      <c r="T158" s="509">
        <v>3301000</v>
      </c>
      <c r="U158" s="506">
        <v>0</v>
      </c>
      <c r="V158" s="510" t="s">
        <v>440</v>
      </c>
    </row>
    <row r="159" spans="1:22" s="270" customFormat="1" ht="15" customHeight="1">
      <c r="A159" s="317"/>
      <c r="B159" s="334">
        <f t="shared" si="5"/>
        <v>149</v>
      </c>
      <c r="C159" s="289" t="s">
        <v>416</v>
      </c>
      <c r="D159" s="330" t="s">
        <v>270</v>
      </c>
      <c r="E159" s="289" t="s">
        <v>211</v>
      </c>
      <c r="F159" s="360" t="s">
        <v>728</v>
      </c>
      <c r="G159" s="500">
        <v>11</v>
      </c>
      <c r="H159" s="501" t="s">
        <v>441</v>
      </c>
      <c r="I159" s="502" t="s">
        <v>933</v>
      </c>
      <c r="J159" s="503"/>
      <c r="K159" s="504">
        <v>45810</v>
      </c>
      <c r="L159" s="504"/>
      <c r="M159" s="504"/>
      <c r="N159" s="505" t="s">
        <v>196</v>
      </c>
      <c r="O159" s="506">
        <v>3407700</v>
      </c>
      <c r="P159" s="507" t="s">
        <v>196</v>
      </c>
      <c r="Q159" s="508">
        <v>0</v>
      </c>
      <c r="R159" s="508">
        <v>0</v>
      </c>
      <c r="S159" s="508">
        <v>3407700</v>
      </c>
      <c r="T159" s="509">
        <v>3407700</v>
      </c>
      <c r="U159" s="506">
        <v>0</v>
      </c>
      <c r="V159" s="510" t="s">
        <v>440</v>
      </c>
    </row>
    <row r="160" spans="1:22" s="270" customFormat="1" ht="15" customHeight="1">
      <c r="A160" s="317"/>
      <c r="B160" s="334">
        <f t="shared" si="5"/>
        <v>150</v>
      </c>
      <c r="C160" s="289" t="s">
        <v>416</v>
      </c>
      <c r="D160" s="330" t="s">
        <v>270</v>
      </c>
      <c r="E160" s="289" t="s">
        <v>211</v>
      </c>
      <c r="F160" s="360" t="s">
        <v>728</v>
      </c>
      <c r="G160" s="500">
        <v>12</v>
      </c>
      <c r="H160" s="501" t="s">
        <v>441</v>
      </c>
      <c r="I160" s="502" t="s">
        <v>934</v>
      </c>
      <c r="J160" s="503"/>
      <c r="K160" s="504">
        <v>45845</v>
      </c>
      <c r="L160" s="504"/>
      <c r="M160" s="504"/>
      <c r="N160" s="505" t="s">
        <v>196</v>
      </c>
      <c r="O160" s="506">
        <v>3301000</v>
      </c>
      <c r="P160" s="507" t="s">
        <v>196</v>
      </c>
      <c r="Q160" s="508">
        <v>0</v>
      </c>
      <c r="R160" s="508">
        <v>0</v>
      </c>
      <c r="S160" s="508">
        <v>3301000</v>
      </c>
      <c r="T160" s="509">
        <v>3301000</v>
      </c>
      <c r="U160" s="506">
        <v>0</v>
      </c>
      <c r="V160" s="510" t="s">
        <v>440</v>
      </c>
    </row>
    <row r="161" spans="1:22" s="270" customFormat="1" ht="15" customHeight="1">
      <c r="A161" s="317"/>
      <c r="B161" s="334">
        <f t="shared" si="5"/>
        <v>151</v>
      </c>
      <c r="C161" s="289" t="s">
        <v>416</v>
      </c>
      <c r="D161" s="330" t="s">
        <v>270</v>
      </c>
      <c r="E161" s="289" t="s">
        <v>236</v>
      </c>
      <c r="F161" s="360" t="s">
        <v>729</v>
      </c>
      <c r="G161" s="500">
        <v>1</v>
      </c>
      <c r="H161" s="501" t="s">
        <v>212</v>
      </c>
      <c r="I161" s="502" t="s">
        <v>935</v>
      </c>
      <c r="J161" s="503">
        <v>9.8100000000000007E-2</v>
      </c>
      <c r="K161" s="504">
        <v>42367</v>
      </c>
      <c r="L161" s="504">
        <v>46020</v>
      </c>
      <c r="M161" s="504">
        <v>45686</v>
      </c>
      <c r="N161" s="505" t="s">
        <v>196</v>
      </c>
      <c r="O161" s="506">
        <v>300000000</v>
      </c>
      <c r="P161" s="507" t="s">
        <v>196</v>
      </c>
      <c r="Q161" s="508">
        <v>288181583</v>
      </c>
      <c r="R161" s="508">
        <v>288181583</v>
      </c>
      <c r="S161" s="508">
        <v>0</v>
      </c>
      <c r="T161" s="509">
        <v>288181583</v>
      </c>
      <c r="U161" s="506">
        <v>13404381</v>
      </c>
      <c r="V161" s="510"/>
    </row>
    <row r="162" spans="1:22" s="270" customFormat="1" ht="15" customHeight="1">
      <c r="A162" s="317"/>
      <c r="B162" s="334">
        <f t="shared" si="5"/>
        <v>152</v>
      </c>
      <c r="C162" s="289" t="s">
        <v>416</v>
      </c>
      <c r="D162" s="330" t="s">
        <v>270</v>
      </c>
      <c r="E162" s="289" t="s">
        <v>236</v>
      </c>
      <c r="F162" s="360" t="s">
        <v>729</v>
      </c>
      <c r="G162" s="500">
        <v>2</v>
      </c>
      <c r="H162" s="501" t="s">
        <v>422</v>
      </c>
      <c r="I162" s="502" t="s">
        <v>936</v>
      </c>
      <c r="J162" s="503">
        <v>9.5899999999999999E-2</v>
      </c>
      <c r="K162" s="504">
        <v>43524</v>
      </c>
      <c r="L162" s="504">
        <v>45716</v>
      </c>
      <c r="M162" s="504">
        <v>45684</v>
      </c>
      <c r="N162" s="505" t="s">
        <v>196</v>
      </c>
      <c r="O162" s="506">
        <v>2430000000</v>
      </c>
      <c r="P162" s="507" t="s">
        <v>196</v>
      </c>
      <c r="Q162" s="508">
        <v>2430000000</v>
      </c>
      <c r="R162" s="508">
        <v>2430000000</v>
      </c>
      <c r="S162" s="508">
        <v>0</v>
      </c>
      <c r="T162" s="509">
        <v>2430000000</v>
      </c>
      <c r="U162" s="506">
        <v>111097202</v>
      </c>
      <c r="V162" s="510"/>
    </row>
    <row r="163" spans="1:22" s="270" customFormat="1" ht="15" customHeight="1">
      <c r="A163" s="317"/>
      <c r="B163" s="334">
        <f t="shared" si="5"/>
        <v>153</v>
      </c>
      <c r="C163" s="289" t="s">
        <v>416</v>
      </c>
      <c r="D163" s="330" t="s">
        <v>270</v>
      </c>
      <c r="E163" s="289" t="s">
        <v>236</v>
      </c>
      <c r="F163" s="360" t="s">
        <v>729</v>
      </c>
      <c r="G163" s="500">
        <v>3</v>
      </c>
      <c r="H163" s="501" t="s">
        <v>212</v>
      </c>
      <c r="I163" s="502" t="s">
        <v>937</v>
      </c>
      <c r="J163" s="503">
        <v>9.5000000000000001E-2</v>
      </c>
      <c r="K163" s="504">
        <v>43524</v>
      </c>
      <c r="L163" s="504">
        <v>45709</v>
      </c>
      <c r="M163" s="504">
        <v>45679</v>
      </c>
      <c r="N163" s="505" t="s">
        <v>196</v>
      </c>
      <c r="O163" s="506">
        <v>110000000</v>
      </c>
      <c r="P163" s="507" t="s">
        <v>196</v>
      </c>
      <c r="Q163" s="508">
        <v>11000000</v>
      </c>
      <c r="R163" s="508">
        <v>11000000</v>
      </c>
      <c r="S163" s="508">
        <v>0</v>
      </c>
      <c r="T163" s="509">
        <v>11000000</v>
      </c>
      <c r="U163" s="506">
        <v>984293</v>
      </c>
      <c r="V163" s="510"/>
    </row>
    <row r="164" spans="1:22" s="270" customFormat="1" ht="15" customHeight="1">
      <c r="A164" s="317"/>
      <c r="B164" s="334">
        <f t="shared" si="5"/>
        <v>154</v>
      </c>
      <c r="C164" s="289" t="s">
        <v>416</v>
      </c>
      <c r="D164" s="330" t="s">
        <v>270</v>
      </c>
      <c r="E164" s="289" t="s">
        <v>236</v>
      </c>
      <c r="F164" s="360" t="s">
        <v>729</v>
      </c>
      <c r="G164" s="500">
        <v>4</v>
      </c>
      <c r="H164" s="501" t="s">
        <v>212</v>
      </c>
      <c r="I164" s="502" t="s">
        <v>938</v>
      </c>
      <c r="J164" s="503">
        <v>9.2699999999999991E-2</v>
      </c>
      <c r="K164" s="504">
        <v>44253</v>
      </c>
      <c r="L164" s="504">
        <v>45709</v>
      </c>
      <c r="M164" s="504">
        <v>45677</v>
      </c>
      <c r="N164" s="505" t="s">
        <v>196</v>
      </c>
      <c r="O164" s="506">
        <v>690000000</v>
      </c>
      <c r="P164" s="507" t="s">
        <v>196</v>
      </c>
      <c r="Q164" s="508">
        <v>138000000</v>
      </c>
      <c r="R164" s="508">
        <v>138000000</v>
      </c>
      <c r="S164" s="508">
        <v>0</v>
      </c>
      <c r="T164" s="509">
        <v>138000000</v>
      </c>
      <c r="U164" s="506">
        <v>13074723</v>
      </c>
      <c r="V164" s="510"/>
    </row>
    <row r="165" spans="1:22" s="270" customFormat="1" ht="15" customHeight="1">
      <c r="A165" s="317"/>
      <c r="B165" s="334">
        <f t="shared" si="5"/>
        <v>155</v>
      </c>
      <c r="C165" s="289" t="s">
        <v>416</v>
      </c>
      <c r="D165" s="330" t="s">
        <v>270</v>
      </c>
      <c r="E165" s="289" t="s">
        <v>236</v>
      </c>
      <c r="F165" s="360" t="s">
        <v>729</v>
      </c>
      <c r="G165" s="500">
        <v>5</v>
      </c>
      <c r="H165" s="501" t="s">
        <v>433</v>
      </c>
      <c r="I165" s="502" t="s">
        <v>939</v>
      </c>
      <c r="J165" s="503">
        <v>9.3200000000000005E-2</v>
      </c>
      <c r="K165" s="504">
        <v>45435</v>
      </c>
      <c r="L165" s="504">
        <v>45704</v>
      </c>
      <c r="M165" s="504">
        <v>45687</v>
      </c>
      <c r="N165" s="505" t="s">
        <v>196</v>
      </c>
      <c r="O165" s="506">
        <v>10000000</v>
      </c>
      <c r="P165" s="507" t="s">
        <v>196</v>
      </c>
      <c r="Q165" s="508">
        <v>2000000</v>
      </c>
      <c r="R165" s="508">
        <v>2000000</v>
      </c>
      <c r="S165" s="508">
        <v>0</v>
      </c>
      <c r="T165" s="509">
        <v>2000000</v>
      </c>
      <c r="U165" s="506">
        <v>177643</v>
      </c>
      <c r="V165" s="510"/>
    </row>
    <row r="166" spans="1:22" s="270" customFormat="1" ht="15" customHeight="1">
      <c r="A166" s="317"/>
      <c r="B166" s="334">
        <f t="shared" si="5"/>
        <v>156</v>
      </c>
      <c r="C166" s="289" t="s">
        <v>416</v>
      </c>
      <c r="D166" s="330" t="s">
        <v>270</v>
      </c>
      <c r="E166" s="289" t="s">
        <v>236</v>
      </c>
      <c r="F166" s="360" t="s">
        <v>729</v>
      </c>
      <c r="G166" s="500">
        <v>6</v>
      </c>
      <c r="H166" s="501" t="s">
        <v>433</v>
      </c>
      <c r="I166" s="502" t="s">
        <v>940</v>
      </c>
      <c r="J166" s="503">
        <v>9.3200000000000005E-2</v>
      </c>
      <c r="K166" s="504">
        <v>45435</v>
      </c>
      <c r="L166" s="504">
        <v>45704</v>
      </c>
      <c r="M166" s="504">
        <v>45687</v>
      </c>
      <c r="N166" s="505" t="s">
        <v>196</v>
      </c>
      <c r="O166" s="506">
        <v>20000000</v>
      </c>
      <c r="P166" s="507" t="s">
        <v>196</v>
      </c>
      <c r="Q166" s="508">
        <v>4000000</v>
      </c>
      <c r="R166" s="508">
        <v>4000000</v>
      </c>
      <c r="S166" s="508">
        <v>0</v>
      </c>
      <c r="T166" s="509">
        <v>4000000</v>
      </c>
      <c r="U166" s="506">
        <v>355287</v>
      </c>
      <c r="V166" s="510"/>
    </row>
    <row r="167" spans="1:22" s="270" customFormat="1" ht="15" customHeight="1">
      <c r="A167" s="317"/>
      <c r="B167" s="334">
        <f t="shared" si="5"/>
        <v>157</v>
      </c>
      <c r="C167" s="289" t="s">
        <v>416</v>
      </c>
      <c r="D167" s="330" t="s">
        <v>270</v>
      </c>
      <c r="E167" s="289" t="s">
        <v>236</v>
      </c>
      <c r="F167" s="360" t="s">
        <v>729</v>
      </c>
      <c r="G167" s="500">
        <v>7</v>
      </c>
      <c r="H167" s="501" t="s">
        <v>433</v>
      </c>
      <c r="I167" s="502" t="s">
        <v>941</v>
      </c>
      <c r="J167" s="503">
        <v>9.3200000000000005E-2</v>
      </c>
      <c r="K167" s="504">
        <v>45435</v>
      </c>
      <c r="L167" s="504">
        <v>45704</v>
      </c>
      <c r="M167" s="504">
        <v>45687</v>
      </c>
      <c r="N167" s="505" t="s">
        <v>196</v>
      </c>
      <c r="O167" s="506">
        <v>10000000</v>
      </c>
      <c r="P167" s="507" t="s">
        <v>196</v>
      </c>
      <c r="Q167" s="508">
        <v>2000000</v>
      </c>
      <c r="R167" s="508">
        <v>2000000</v>
      </c>
      <c r="S167" s="508">
        <v>0</v>
      </c>
      <c r="T167" s="509">
        <v>2000000</v>
      </c>
      <c r="U167" s="506">
        <v>177643</v>
      </c>
      <c r="V167" s="510"/>
    </row>
    <row r="168" spans="1:22" s="270" customFormat="1" ht="15" customHeight="1">
      <c r="A168" s="317"/>
      <c r="B168" s="334">
        <f t="shared" si="5"/>
        <v>158</v>
      </c>
      <c r="C168" s="289" t="s">
        <v>416</v>
      </c>
      <c r="D168" s="330" t="s">
        <v>270</v>
      </c>
      <c r="E168" s="289" t="s">
        <v>236</v>
      </c>
      <c r="F168" s="360" t="s">
        <v>729</v>
      </c>
      <c r="G168" s="500">
        <v>8</v>
      </c>
      <c r="H168" s="501" t="s">
        <v>433</v>
      </c>
      <c r="I168" s="502" t="s">
        <v>942</v>
      </c>
      <c r="J168" s="503">
        <v>9.3200000000000005E-2</v>
      </c>
      <c r="K168" s="504">
        <v>45435</v>
      </c>
      <c r="L168" s="504">
        <v>45704</v>
      </c>
      <c r="M168" s="504">
        <v>45687</v>
      </c>
      <c r="N168" s="505" t="s">
        <v>196</v>
      </c>
      <c r="O168" s="506">
        <v>10000000</v>
      </c>
      <c r="P168" s="507" t="s">
        <v>196</v>
      </c>
      <c r="Q168" s="508">
        <v>2000000</v>
      </c>
      <c r="R168" s="508">
        <v>2000000</v>
      </c>
      <c r="S168" s="508">
        <v>0</v>
      </c>
      <c r="T168" s="509">
        <v>2000000</v>
      </c>
      <c r="U168" s="506">
        <v>177643</v>
      </c>
      <c r="V168" s="510"/>
    </row>
    <row r="169" spans="1:22" s="270" customFormat="1" ht="15" customHeight="1">
      <c r="A169" s="317"/>
      <c r="B169" s="334">
        <f t="shared" si="5"/>
        <v>159</v>
      </c>
      <c r="C169" s="289" t="s">
        <v>416</v>
      </c>
      <c r="D169" s="330" t="s">
        <v>270</v>
      </c>
      <c r="E169" s="289" t="s">
        <v>236</v>
      </c>
      <c r="F169" s="360" t="s">
        <v>729</v>
      </c>
      <c r="G169" s="500">
        <v>9</v>
      </c>
      <c r="H169" s="501" t="s">
        <v>433</v>
      </c>
      <c r="I169" s="502" t="s">
        <v>943</v>
      </c>
      <c r="J169" s="503">
        <v>9.3200000000000005E-2</v>
      </c>
      <c r="K169" s="504">
        <v>45435</v>
      </c>
      <c r="L169" s="504">
        <v>45704</v>
      </c>
      <c r="M169" s="504">
        <v>45687</v>
      </c>
      <c r="N169" s="505" t="s">
        <v>196</v>
      </c>
      <c r="O169" s="506">
        <v>55000000</v>
      </c>
      <c r="P169" s="507" t="s">
        <v>196</v>
      </c>
      <c r="Q169" s="508">
        <v>11000000</v>
      </c>
      <c r="R169" s="508">
        <v>11000000</v>
      </c>
      <c r="S169" s="508">
        <v>0</v>
      </c>
      <c r="T169" s="509">
        <v>11000000</v>
      </c>
      <c r="U169" s="506">
        <v>977041</v>
      </c>
      <c r="V169" s="510"/>
    </row>
    <row r="170" spans="1:22" s="270" customFormat="1" ht="15" customHeight="1">
      <c r="A170" s="317"/>
      <c r="B170" s="334">
        <f t="shared" si="5"/>
        <v>160</v>
      </c>
      <c r="C170" s="289" t="s">
        <v>416</v>
      </c>
      <c r="D170" s="330" t="s">
        <v>270</v>
      </c>
      <c r="E170" s="289" t="s">
        <v>236</v>
      </c>
      <c r="F170" s="360" t="s">
        <v>729</v>
      </c>
      <c r="G170" s="500">
        <v>10</v>
      </c>
      <c r="H170" s="501" t="s">
        <v>433</v>
      </c>
      <c r="I170" s="502" t="s">
        <v>944</v>
      </c>
      <c r="J170" s="503">
        <v>9.3200000000000005E-2</v>
      </c>
      <c r="K170" s="504">
        <v>45435</v>
      </c>
      <c r="L170" s="504">
        <v>45704</v>
      </c>
      <c r="M170" s="504">
        <v>45687</v>
      </c>
      <c r="N170" s="505" t="s">
        <v>196</v>
      </c>
      <c r="O170" s="506">
        <v>40000000</v>
      </c>
      <c r="P170" s="507" t="s">
        <v>196</v>
      </c>
      <c r="Q170" s="508">
        <v>8000000</v>
      </c>
      <c r="R170" s="508">
        <v>8000000</v>
      </c>
      <c r="S170" s="508">
        <v>0</v>
      </c>
      <c r="T170" s="509">
        <v>8000000</v>
      </c>
      <c r="U170" s="506">
        <v>710575</v>
      </c>
      <c r="V170" s="510"/>
    </row>
    <row r="171" spans="1:22" s="270" customFormat="1" ht="15" customHeight="1">
      <c r="A171" s="317"/>
      <c r="B171" s="334">
        <f t="shared" si="5"/>
        <v>161</v>
      </c>
      <c r="C171" s="289" t="s">
        <v>416</v>
      </c>
      <c r="D171" s="330" t="s">
        <v>270</v>
      </c>
      <c r="E171" s="289" t="s">
        <v>236</v>
      </c>
      <c r="F171" s="360" t="s">
        <v>729</v>
      </c>
      <c r="G171" s="500">
        <v>11</v>
      </c>
      <c r="H171" s="501" t="s">
        <v>433</v>
      </c>
      <c r="I171" s="502" t="s">
        <v>945</v>
      </c>
      <c r="J171" s="503">
        <v>9.3200000000000005E-2</v>
      </c>
      <c r="K171" s="504">
        <v>45439</v>
      </c>
      <c r="L171" s="504">
        <v>45708</v>
      </c>
      <c r="M171" s="504">
        <v>45687</v>
      </c>
      <c r="N171" s="505" t="s">
        <v>196</v>
      </c>
      <c r="O171" s="506">
        <v>20031000</v>
      </c>
      <c r="P171" s="507" t="s">
        <v>196</v>
      </c>
      <c r="Q171" s="508">
        <v>4006200</v>
      </c>
      <c r="R171" s="508">
        <v>4006200</v>
      </c>
      <c r="S171" s="508">
        <v>0</v>
      </c>
      <c r="T171" s="509">
        <v>4006200</v>
      </c>
      <c r="U171" s="506">
        <v>350899</v>
      </c>
      <c r="V171" s="510"/>
    </row>
    <row r="172" spans="1:22" s="270" customFormat="1" ht="15" customHeight="1">
      <c r="A172" s="317"/>
      <c r="B172" s="334">
        <f t="shared" si="5"/>
        <v>162</v>
      </c>
      <c r="C172" s="289" t="s">
        <v>416</v>
      </c>
      <c r="D172" s="330" t="s">
        <v>270</v>
      </c>
      <c r="E172" s="289" t="s">
        <v>236</v>
      </c>
      <c r="F172" s="360" t="s">
        <v>729</v>
      </c>
      <c r="G172" s="500">
        <v>12</v>
      </c>
      <c r="H172" s="501" t="s">
        <v>433</v>
      </c>
      <c r="I172" s="502" t="s">
        <v>946</v>
      </c>
      <c r="J172" s="503">
        <v>9.3200000000000005E-2</v>
      </c>
      <c r="K172" s="504">
        <v>45443</v>
      </c>
      <c r="L172" s="504">
        <v>45712</v>
      </c>
      <c r="M172" s="504">
        <v>45687</v>
      </c>
      <c r="N172" s="505" t="s">
        <v>196</v>
      </c>
      <c r="O172" s="506">
        <v>150082350</v>
      </c>
      <c r="P172" s="507" t="s">
        <v>196</v>
      </c>
      <c r="Q172" s="508">
        <v>30016470</v>
      </c>
      <c r="R172" s="508">
        <v>30016470</v>
      </c>
      <c r="S172" s="508">
        <v>0</v>
      </c>
      <c r="T172" s="509">
        <v>30016470</v>
      </c>
      <c r="U172" s="506">
        <v>2579775</v>
      </c>
      <c r="V172" s="510"/>
    </row>
    <row r="173" spans="1:22" s="270" customFormat="1" ht="15" customHeight="1">
      <c r="A173" s="317"/>
      <c r="B173" s="334">
        <f t="shared" si="5"/>
        <v>163</v>
      </c>
      <c r="C173" s="289" t="s">
        <v>416</v>
      </c>
      <c r="D173" s="330" t="s">
        <v>270</v>
      </c>
      <c r="E173" s="289" t="s">
        <v>236</v>
      </c>
      <c r="F173" s="360" t="s">
        <v>729</v>
      </c>
      <c r="G173" s="500">
        <v>13</v>
      </c>
      <c r="H173" s="501" t="s">
        <v>433</v>
      </c>
      <c r="I173" s="502" t="s">
        <v>947</v>
      </c>
      <c r="J173" s="503">
        <v>9.1999999999999998E-2</v>
      </c>
      <c r="K173" s="504">
        <v>45460</v>
      </c>
      <c r="L173" s="504">
        <v>45729</v>
      </c>
      <c r="M173" s="504">
        <v>45687</v>
      </c>
      <c r="N173" s="505" t="s">
        <v>196</v>
      </c>
      <c r="O173" s="506">
        <v>22000000</v>
      </c>
      <c r="P173" s="507" t="s">
        <v>196</v>
      </c>
      <c r="Q173" s="508">
        <v>4400000</v>
      </c>
      <c r="R173" s="508">
        <v>4400000</v>
      </c>
      <c r="S173" s="508">
        <v>0</v>
      </c>
      <c r="T173" s="509">
        <v>4400000</v>
      </c>
      <c r="U173" s="506">
        <v>345142</v>
      </c>
      <c r="V173" s="510"/>
    </row>
    <row r="174" spans="1:22" s="270" customFormat="1" ht="15" customHeight="1">
      <c r="A174" s="317"/>
      <c r="B174" s="334">
        <f t="shared" si="5"/>
        <v>164</v>
      </c>
      <c r="C174" s="289" t="s">
        <v>416</v>
      </c>
      <c r="D174" s="330" t="s">
        <v>270</v>
      </c>
      <c r="E174" s="289" t="s">
        <v>236</v>
      </c>
      <c r="F174" s="360" t="s">
        <v>729</v>
      </c>
      <c r="G174" s="500">
        <v>14</v>
      </c>
      <c r="H174" s="501" t="s">
        <v>433</v>
      </c>
      <c r="I174" s="502" t="s">
        <v>948</v>
      </c>
      <c r="J174" s="503">
        <v>9.1999999999999998E-2</v>
      </c>
      <c r="K174" s="504">
        <v>45460</v>
      </c>
      <c r="L174" s="504">
        <v>45729</v>
      </c>
      <c r="M174" s="504">
        <v>45687</v>
      </c>
      <c r="N174" s="505" t="s">
        <v>196</v>
      </c>
      <c r="O174" s="506">
        <v>10000000</v>
      </c>
      <c r="P174" s="507" t="s">
        <v>196</v>
      </c>
      <c r="Q174" s="508">
        <v>2000000</v>
      </c>
      <c r="R174" s="508">
        <v>2000000</v>
      </c>
      <c r="S174" s="508">
        <v>0</v>
      </c>
      <c r="T174" s="509">
        <v>2000000</v>
      </c>
      <c r="U174" s="506">
        <v>156881</v>
      </c>
      <c r="V174" s="510"/>
    </row>
    <row r="175" spans="1:22" s="270" customFormat="1" ht="15" customHeight="1">
      <c r="A175" s="317"/>
      <c r="B175" s="334">
        <f t="shared" si="5"/>
        <v>165</v>
      </c>
      <c r="C175" s="289" t="s">
        <v>416</v>
      </c>
      <c r="D175" s="330" t="s">
        <v>270</v>
      </c>
      <c r="E175" s="289" t="s">
        <v>236</v>
      </c>
      <c r="F175" s="360" t="s">
        <v>729</v>
      </c>
      <c r="G175" s="500">
        <v>15</v>
      </c>
      <c r="H175" s="501" t="s">
        <v>433</v>
      </c>
      <c r="I175" s="502" t="s">
        <v>949</v>
      </c>
      <c r="J175" s="503">
        <v>9.1999999999999998E-2</v>
      </c>
      <c r="K175" s="504">
        <v>45461</v>
      </c>
      <c r="L175" s="504">
        <v>45730</v>
      </c>
      <c r="M175" s="504">
        <v>45687</v>
      </c>
      <c r="N175" s="505" t="s">
        <v>196</v>
      </c>
      <c r="O175" s="506">
        <v>20000000</v>
      </c>
      <c r="P175" s="507" t="s">
        <v>196</v>
      </c>
      <c r="Q175" s="508">
        <v>4000000</v>
      </c>
      <c r="R175" s="508">
        <v>4000000</v>
      </c>
      <c r="S175" s="508">
        <v>0</v>
      </c>
      <c r="T175" s="509">
        <v>4000000</v>
      </c>
      <c r="U175" s="506">
        <v>312142</v>
      </c>
      <c r="V175" s="510"/>
    </row>
    <row r="176" spans="1:22" s="270" customFormat="1" ht="15" customHeight="1">
      <c r="A176" s="317"/>
      <c r="B176" s="334">
        <f t="shared" si="5"/>
        <v>166</v>
      </c>
      <c r="C176" s="289" t="s">
        <v>416</v>
      </c>
      <c r="D176" s="330" t="s">
        <v>270</v>
      </c>
      <c r="E176" s="289" t="s">
        <v>236</v>
      </c>
      <c r="F176" s="360" t="s">
        <v>729</v>
      </c>
      <c r="G176" s="500">
        <v>16</v>
      </c>
      <c r="H176" s="501" t="s">
        <v>433</v>
      </c>
      <c r="I176" s="502" t="s">
        <v>950</v>
      </c>
      <c r="J176" s="503">
        <v>9.1999999999999998E-2</v>
      </c>
      <c r="K176" s="504">
        <v>45461</v>
      </c>
      <c r="L176" s="504">
        <v>45730</v>
      </c>
      <c r="M176" s="504">
        <v>45687</v>
      </c>
      <c r="N176" s="505" t="s">
        <v>196</v>
      </c>
      <c r="O176" s="506">
        <v>85000000</v>
      </c>
      <c r="P176" s="507" t="s">
        <v>196</v>
      </c>
      <c r="Q176" s="508">
        <v>17000000</v>
      </c>
      <c r="R176" s="508">
        <v>17000000</v>
      </c>
      <c r="S176" s="508">
        <v>0</v>
      </c>
      <c r="T176" s="509">
        <v>17000000</v>
      </c>
      <c r="U176" s="506">
        <v>1326611</v>
      </c>
      <c r="V176" s="510"/>
    </row>
    <row r="177" spans="1:22" s="270" customFormat="1" ht="15" customHeight="1">
      <c r="A177" s="317"/>
      <c r="B177" s="334">
        <f t="shared" si="5"/>
        <v>167</v>
      </c>
      <c r="C177" s="289" t="s">
        <v>416</v>
      </c>
      <c r="D177" s="330" t="s">
        <v>270</v>
      </c>
      <c r="E177" s="289" t="s">
        <v>236</v>
      </c>
      <c r="F177" s="360" t="s">
        <v>729</v>
      </c>
      <c r="G177" s="500">
        <v>17</v>
      </c>
      <c r="H177" s="501" t="s">
        <v>433</v>
      </c>
      <c r="I177" s="502" t="s">
        <v>951</v>
      </c>
      <c r="J177" s="503">
        <v>9.1999999999999998E-2</v>
      </c>
      <c r="K177" s="504">
        <v>45461</v>
      </c>
      <c r="L177" s="504">
        <v>45730</v>
      </c>
      <c r="M177" s="504">
        <v>45687</v>
      </c>
      <c r="N177" s="505" t="s">
        <v>196</v>
      </c>
      <c r="O177" s="506">
        <v>5000000</v>
      </c>
      <c r="P177" s="507" t="s">
        <v>196</v>
      </c>
      <c r="Q177" s="508">
        <v>1000000</v>
      </c>
      <c r="R177" s="508">
        <v>1000000</v>
      </c>
      <c r="S177" s="508">
        <v>0</v>
      </c>
      <c r="T177" s="509">
        <v>1000000</v>
      </c>
      <c r="U177" s="506">
        <v>78035</v>
      </c>
      <c r="V177" s="510"/>
    </row>
    <row r="178" spans="1:22" s="270" customFormat="1" ht="15" customHeight="1">
      <c r="A178" s="317"/>
      <c r="B178" s="334">
        <f t="shared" si="5"/>
        <v>168</v>
      </c>
      <c r="C178" s="289" t="s">
        <v>416</v>
      </c>
      <c r="D178" s="330" t="s">
        <v>270</v>
      </c>
      <c r="E178" s="289" t="s">
        <v>236</v>
      </c>
      <c r="F178" s="360" t="s">
        <v>729</v>
      </c>
      <c r="G178" s="500">
        <v>18</v>
      </c>
      <c r="H178" s="501" t="s">
        <v>433</v>
      </c>
      <c r="I178" s="502" t="s">
        <v>952</v>
      </c>
      <c r="J178" s="503">
        <v>9.2600000000000002E-2</v>
      </c>
      <c r="K178" s="504">
        <v>45476</v>
      </c>
      <c r="L178" s="504">
        <v>45745</v>
      </c>
      <c r="M178" s="504">
        <v>45687</v>
      </c>
      <c r="N178" s="505" t="s">
        <v>196</v>
      </c>
      <c r="O178" s="506">
        <v>5278889</v>
      </c>
      <c r="P178" s="507" t="s">
        <v>196</v>
      </c>
      <c r="Q178" s="508">
        <v>1055778</v>
      </c>
      <c r="R178" s="508">
        <v>1055778</v>
      </c>
      <c r="S178" s="508">
        <v>0</v>
      </c>
      <c r="T178" s="509">
        <v>1055778</v>
      </c>
      <c r="U178" s="506">
        <v>82700</v>
      </c>
      <c r="V178" s="510"/>
    </row>
    <row r="179" spans="1:22" s="270" customFormat="1" ht="15" customHeight="1">
      <c r="A179" s="317"/>
      <c r="B179" s="334">
        <f t="shared" si="5"/>
        <v>169</v>
      </c>
      <c r="C179" s="289" t="s">
        <v>416</v>
      </c>
      <c r="D179" s="330" t="s">
        <v>270</v>
      </c>
      <c r="E179" s="289" t="s">
        <v>236</v>
      </c>
      <c r="F179" s="360" t="s">
        <v>729</v>
      </c>
      <c r="G179" s="500">
        <v>19</v>
      </c>
      <c r="H179" s="501" t="s">
        <v>433</v>
      </c>
      <c r="I179" s="502" t="s">
        <v>953</v>
      </c>
      <c r="J179" s="503">
        <v>8.9399999999999993E-2</v>
      </c>
      <c r="K179" s="504">
        <v>45513</v>
      </c>
      <c r="L179" s="504">
        <v>45782</v>
      </c>
      <c r="M179" s="504">
        <v>45691</v>
      </c>
      <c r="N179" s="505" t="s">
        <v>196</v>
      </c>
      <c r="O179" s="506">
        <v>11000000</v>
      </c>
      <c r="P179" s="507" t="s">
        <v>196</v>
      </c>
      <c r="Q179" s="508">
        <v>2200000</v>
      </c>
      <c r="R179" s="508">
        <v>2200000</v>
      </c>
      <c r="S179" s="508">
        <v>0</v>
      </c>
      <c r="T179" s="509">
        <v>2200000</v>
      </c>
      <c r="U179" s="506">
        <v>167372</v>
      </c>
      <c r="V179" s="510"/>
    </row>
    <row r="180" spans="1:22" s="270" customFormat="1" ht="15" customHeight="1">
      <c r="A180" s="317"/>
      <c r="B180" s="334">
        <f t="shared" si="5"/>
        <v>170</v>
      </c>
      <c r="C180" s="289" t="s">
        <v>416</v>
      </c>
      <c r="D180" s="330" t="s">
        <v>270</v>
      </c>
      <c r="E180" s="289" t="s">
        <v>236</v>
      </c>
      <c r="F180" s="360" t="s">
        <v>729</v>
      </c>
      <c r="G180" s="500">
        <v>20</v>
      </c>
      <c r="H180" s="501" t="s">
        <v>433</v>
      </c>
      <c r="I180" s="502" t="s">
        <v>954</v>
      </c>
      <c r="J180" s="503">
        <v>8.9099999999999999E-2</v>
      </c>
      <c r="K180" s="504">
        <v>45527</v>
      </c>
      <c r="L180" s="504">
        <v>45715</v>
      </c>
      <c r="M180" s="504">
        <v>45705</v>
      </c>
      <c r="N180" s="505" t="s">
        <v>196</v>
      </c>
      <c r="O180" s="506">
        <v>11000000</v>
      </c>
      <c r="P180" s="507" t="s">
        <v>196</v>
      </c>
      <c r="Q180" s="508">
        <v>2200000</v>
      </c>
      <c r="R180" s="508">
        <v>2200000</v>
      </c>
      <c r="S180" s="508">
        <v>0</v>
      </c>
      <c r="T180" s="509">
        <v>2200000</v>
      </c>
      <c r="U180" s="506">
        <v>175475</v>
      </c>
      <c r="V180" s="510"/>
    </row>
    <row r="181" spans="1:22" s="270" customFormat="1" ht="15" customHeight="1">
      <c r="A181" s="317"/>
      <c r="B181" s="334">
        <f t="shared" si="5"/>
        <v>171</v>
      </c>
      <c r="C181" s="289" t="s">
        <v>416</v>
      </c>
      <c r="D181" s="330" t="s">
        <v>270</v>
      </c>
      <c r="E181" s="289" t="s">
        <v>236</v>
      </c>
      <c r="F181" s="360" t="s">
        <v>729</v>
      </c>
      <c r="G181" s="500">
        <v>21</v>
      </c>
      <c r="H181" s="501" t="s">
        <v>433</v>
      </c>
      <c r="I181" s="502" t="s">
        <v>955</v>
      </c>
      <c r="J181" s="503">
        <v>9.2899999999999996E-2</v>
      </c>
      <c r="K181" s="504">
        <v>45582</v>
      </c>
      <c r="L181" s="504">
        <v>45761</v>
      </c>
      <c r="M181" s="504">
        <v>45687</v>
      </c>
      <c r="N181" s="505" t="s">
        <v>196</v>
      </c>
      <c r="O181" s="506">
        <v>11000000</v>
      </c>
      <c r="P181" s="507" t="s">
        <v>196</v>
      </c>
      <c r="Q181" s="508">
        <v>2200000</v>
      </c>
      <c r="R181" s="508">
        <v>2200000</v>
      </c>
      <c r="S181" s="508">
        <v>0</v>
      </c>
      <c r="T181" s="509">
        <v>2200000</v>
      </c>
      <c r="U181" s="506">
        <v>172676</v>
      </c>
      <c r="V181" s="510"/>
    </row>
    <row r="182" spans="1:22" s="270" customFormat="1" ht="15" customHeight="1">
      <c r="A182" s="317"/>
      <c r="B182" s="334">
        <f t="shared" si="5"/>
        <v>172</v>
      </c>
      <c r="C182" s="289" t="s">
        <v>416</v>
      </c>
      <c r="D182" s="330" t="s">
        <v>270</v>
      </c>
      <c r="E182" s="289" t="s">
        <v>236</v>
      </c>
      <c r="F182" s="360" t="s">
        <v>729</v>
      </c>
      <c r="G182" s="500">
        <v>22</v>
      </c>
      <c r="H182" s="501" t="s">
        <v>425</v>
      </c>
      <c r="I182" s="502" t="s">
        <v>956</v>
      </c>
      <c r="J182" s="503">
        <v>0.11</v>
      </c>
      <c r="K182" s="504">
        <v>44819</v>
      </c>
      <c r="L182" s="504">
        <v>45915</v>
      </c>
      <c r="M182" s="504">
        <v>45641</v>
      </c>
      <c r="N182" s="505" t="s">
        <v>196</v>
      </c>
      <c r="O182" s="506">
        <v>870000000</v>
      </c>
      <c r="P182" s="507" t="s">
        <v>196</v>
      </c>
      <c r="Q182" s="508">
        <v>870000000</v>
      </c>
      <c r="R182" s="508">
        <v>870000000</v>
      </c>
      <c r="S182" s="508">
        <v>0</v>
      </c>
      <c r="T182" s="509">
        <v>870000000</v>
      </c>
      <c r="U182" s="506">
        <v>52659002</v>
      </c>
      <c r="V182" s="510"/>
    </row>
    <row r="183" spans="1:22" s="270" customFormat="1" ht="15" customHeight="1">
      <c r="A183" s="317"/>
      <c r="B183" s="334">
        <f t="shared" si="5"/>
        <v>173</v>
      </c>
      <c r="C183" s="289" t="s">
        <v>416</v>
      </c>
      <c r="D183" s="330" t="s">
        <v>270</v>
      </c>
      <c r="E183" s="289" t="s">
        <v>236</v>
      </c>
      <c r="F183" s="360" t="s">
        <v>729</v>
      </c>
      <c r="G183" s="500">
        <v>23</v>
      </c>
      <c r="H183" s="501" t="s">
        <v>441</v>
      </c>
      <c r="I183" s="502" t="s">
        <v>957</v>
      </c>
      <c r="J183" s="503"/>
      <c r="K183" s="504">
        <v>45828</v>
      </c>
      <c r="L183" s="504"/>
      <c r="M183" s="504"/>
      <c r="N183" s="505" t="s">
        <v>196</v>
      </c>
      <c r="O183" s="506">
        <v>15174300</v>
      </c>
      <c r="P183" s="507" t="s">
        <v>196</v>
      </c>
      <c r="Q183" s="508">
        <v>0</v>
      </c>
      <c r="R183" s="508">
        <v>0</v>
      </c>
      <c r="S183" s="508">
        <v>15174300</v>
      </c>
      <c r="T183" s="509">
        <v>15174300</v>
      </c>
      <c r="U183" s="506">
        <v>0</v>
      </c>
      <c r="V183" s="510" t="s">
        <v>439</v>
      </c>
    </row>
    <row r="184" spans="1:22" s="270" customFormat="1" ht="15" customHeight="1">
      <c r="A184" s="317"/>
      <c r="B184" s="334">
        <f t="shared" si="5"/>
        <v>174</v>
      </c>
      <c r="C184" s="289" t="s">
        <v>416</v>
      </c>
      <c r="D184" s="330" t="s">
        <v>270</v>
      </c>
      <c r="E184" s="289" t="s">
        <v>236</v>
      </c>
      <c r="F184" s="360" t="s">
        <v>729</v>
      </c>
      <c r="G184" s="500">
        <v>24</v>
      </c>
      <c r="H184" s="501" t="s">
        <v>441</v>
      </c>
      <c r="I184" s="502" t="s">
        <v>958</v>
      </c>
      <c r="J184" s="503"/>
      <c r="K184" s="504">
        <v>45828</v>
      </c>
      <c r="L184" s="504"/>
      <c r="M184" s="504"/>
      <c r="N184" s="505" t="s">
        <v>196</v>
      </c>
      <c r="O184" s="506">
        <v>12145010</v>
      </c>
      <c r="P184" s="507" t="s">
        <v>196</v>
      </c>
      <c r="Q184" s="508">
        <v>0</v>
      </c>
      <c r="R184" s="508">
        <v>0</v>
      </c>
      <c r="S184" s="508">
        <v>12145010</v>
      </c>
      <c r="T184" s="509">
        <v>12145010</v>
      </c>
      <c r="U184" s="506">
        <v>0</v>
      </c>
      <c r="V184" s="510" t="s">
        <v>439</v>
      </c>
    </row>
    <row r="185" spans="1:22" s="270" customFormat="1" ht="15" customHeight="1">
      <c r="A185" s="317"/>
      <c r="B185" s="334">
        <f t="shared" si="5"/>
        <v>175</v>
      </c>
      <c r="C185" s="289" t="s">
        <v>416</v>
      </c>
      <c r="D185" s="330" t="s">
        <v>270</v>
      </c>
      <c r="E185" s="289" t="s">
        <v>236</v>
      </c>
      <c r="F185" s="360" t="s">
        <v>729</v>
      </c>
      <c r="G185" s="500">
        <v>25</v>
      </c>
      <c r="H185" s="501" t="s">
        <v>441</v>
      </c>
      <c r="I185" s="502" t="s">
        <v>959</v>
      </c>
      <c r="J185" s="503"/>
      <c r="K185" s="504">
        <v>45835</v>
      </c>
      <c r="L185" s="504"/>
      <c r="M185" s="504"/>
      <c r="N185" s="505" t="s">
        <v>196</v>
      </c>
      <c r="O185" s="506">
        <v>634150</v>
      </c>
      <c r="P185" s="507" t="s">
        <v>196</v>
      </c>
      <c r="Q185" s="508">
        <v>0</v>
      </c>
      <c r="R185" s="508">
        <v>0</v>
      </c>
      <c r="S185" s="508">
        <v>634150</v>
      </c>
      <c r="T185" s="509">
        <v>634150</v>
      </c>
      <c r="U185" s="506">
        <v>0</v>
      </c>
      <c r="V185" s="510" t="s">
        <v>437</v>
      </c>
    </row>
    <row r="186" spans="1:22" s="270" customFormat="1" ht="15" customHeight="1">
      <c r="A186" s="317"/>
      <c r="B186" s="334">
        <f t="shared" si="5"/>
        <v>176</v>
      </c>
      <c r="C186" s="289" t="s">
        <v>416</v>
      </c>
      <c r="D186" s="330" t="s">
        <v>270</v>
      </c>
      <c r="E186" s="289" t="s">
        <v>236</v>
      </c>
      <c r="F186" s="360" t="s">
        <v>729</v>
      </c>
      <c r="G186" s="500">
        <v>26</v>
      </c>
      <c r="H186" s="501" t="s">
        <v>441</v>
      </c>
      <c r="I186" s="502" t="s">
        <v>960</v>
      </c>
      <c r="J186" s="503"/>
      <c r="K186" s="504">
        <v>45841</v>
      </c>
      <c r="L186" s="504"/>
      <c r="M186" s="504"/>
      <c r="N186" s="505" t="s">
        <v>196</v>
      </c>
      <c r="O186" s="506">
        <v>1037300</v>
      </c>
      <c r="P186" s="507" t="s">
        <v>196</v>
      </c>
      <c r="Q186" s="508">
        <v>0</v>
      </c>
      <c r="R186" s="508">
        <v>0</v>
      </c>
      <c r="S186" s="508">
        <v>1037300</v>
      </c>
      <c r="T186" s="509">
        <v>1037300</v>
      </c>
      <c r="U186" s="506">
        <v>0</v>
      </c>
      <c r="V186" s="510" t="s">
        <v>440</v>
      </c>
    </row>
    <row r="187" spans="1:22" s="270" customFormat="1" ht="15" customHeight="1">
      <c r="A187" s="317"/>
      <c r="B187" s="334">
        <f t="shared" ref="B187:B212" si="6">ROW()-10</f>
        <v>177</v>
      </c>
      <c r="C187" s="289" t="s">
        <v>416</v>
      </c>
      <c r="D187" s="330" t="s">
        <v>270</v>
      </c>
      <c r="E187" s="289" t="s">
        <v>237</v>
      </c>
      <c r="F187" s="360" t="s">
        <v>730</v>
      </c>
      <c r="G187" s="500">
        <v>1</v>
      </c>
      <c r="H187" s="501" t="s">
        <v>422</v>
      </c>
      <c r="I187" s="502" t="s">
        <v>961</v>
      </c>
      <c r="J187" s="503">
        <v>8.0799999999999997E-2</v>
      </c>
      <c r="K187" s="504">
        <v>42261</v>
      </c>
      <c r="L187" s="504">
        <v>45891</v>
      </c>
      <c r="M187" s="504">
        <v>45709</v>
      </c>
      <c r="N187" s="505" t="s">
        <v>196</v>
      </c>
      <c r="O187" s="506">
        <v>810000000</v>
      </c>
      <c r="P187" s="507" t="s">
        <v>196</v>
      </c>
      <c r="Q187" s="508">
        <v>810000000</v>
      </c>
      <c r="R187" s="508">
        <v>810000000</v>
      </c>
      <c r="S187" s="508">
        <v>0</v>
      </c>
      <c r="T187" s="509">
        <v>810000000</v>
      </c>
      <c r="U187" s="506">
        <v>25953772</v>
      </c>
      <c r="V187" s="510"/>
    </row>
    <row r="188" spans="1:22" s="270" customFormat="1" ht="15" customHeight="1">
      <c r="A188" s="317"/>
      <c r="B188" s="334">
        <f t="shared" si="6"/>
        <v>178</v>
      </c>
      <c r="C188" s="289" t="s">
        <v>416</v>
      </c>
      <c r="D188" s="330" t="s">
        <v>270</v>
      </c>
      <c r="E188" s="289" t="s">
        <v>237</v>
      </c>
      <c r="F188" s="360" t="s">
        <v>730</v>
      </c>
      <c r="G188" s="500">
        <v>2</v>
      </c>
      <c r="H188" s="501" t="s">
        <v>212</v>
      </c>
      <c r="I188" s="502" t="s">
        <v>962</v>
      </c>
      <c r="J188" s="503">
        <v>7.6700000000000004E-2</v>
      </c>
      <c r="K188" s="504">
        <v>44099</v>
      </c>
      <c r="L188" s="504">
        <v>45912</v>
      </c>
      <c r="M188" s="504">
        <v>45700</v>
      </c>
      <c r="N188" s="505" t="s">
        <v>196</v>
      </c>
      <c r="O188" s="506">
        <v>500000000</v>
      </c>
      <c r="P188" s="507" t="s">
        <v>196</v>
      </c>
      <c r="Q188" s="508">
        <v>500000000</v>
      </c>
      <c r="R188" s="508">
        <v>500000000</v>
      </c>
      <c r="S188" s="508">
        <v>0</v>
      </c>
      <c r="T188" s="509">
        <v>500000000</v>
      </c>
      <c r="U188" s="506">
        <v>15817169</v>
      </c>
      <c r="V188" s="510"/>
    </row>
    <row r="189" spans="1:22" s="270" customFormat="1" ht="15" customHeight="1">
      <c r="A189" s="317"/>
      <c r="B189" s="334">
        <f t="shared" si="6"/>
        <v>179</v>
      </c>
      <c r="C189" s="289" t="s">
        <v>416</v>
      </c>
      <c r="D189" s="330" t="s">
        <v>270</v>
      </c>
      <c r="E189" s="289" t="s">
        <v>237</v>
      </c>
      <c r="F189" s="360" t="s">
        <v>730</v>
      </c>
      <c r="G189" s="500">
        <v>3</v>
      </c>
      <c r="H189" s="501" t="s">
        <v>212</v>
      </c>
      <c r="I189" s="502" t="s">
        <v>963</v>
      </c>
      <c r="J189" s="503">
        <v>8.6500000000000007E-2</v>
      </c>
      <c r="K189" s="504">
        <v>44363</v>
      </c>
      <c r="L189" s="504">
        <v>45822</v>
      </c>
      <c r="M189" s="504">
        <v>45869</v>
      </c>
      <c r="N189" s="505" t="s">
        <v>196</v>
      </c>
      <c r="O189" s="506">
        <v>650000000</v>
      </c>
      <c r="P189" s="507" t="s">
        <v>196</v>
      </c>
      <c r="Q189" s="508">
        <v>590000000</v>
      </c>
      <c r="R189" s="508">
        <v>590000000</v>
      </c>
      <c r="S189" s="508">
        <v>0</v>
      </c>
      <c r="T189" s="509">
        <v>590000000</v>
      </c>
      <c r="U189" s="506">
        <v>21229078</v>
      </c>
      <c r="V189" s="510"/>
    </row>
    <row r="190" spans="1:22" s="270" customFormat="1" ht="15" customHeight="1">
      <c r="A190" s="317"/>
      <c r="B190" s="334">
        <f t="shared" si="6"/>
        <v>180</v>
      </c>
      <c r="C190" s="289" t="s">
        <v>416</v>
      </c>
      <c r="D190" s="330" t="s">
        <v>270</v>
      </c>
      <c r="E190" s="289" t="s">
        <v>237</v>
      </c>
      <c r="F190" s="360" t="s">
        <v>730</v>
      </c>
      <c r="G190" s="500">
        <v>4</v>
      </c>
      <c r="H190" s="501" t="s">
        <v>212</v>
      </c>
      <c r="I190" s="502" t="s">
        <v>964</v>
      </c>
      <c r="J190" s="503">
        <v>7.0800000000000002E-2</v>
      </c>
      <c r="K190" s="504">
        <v>44974</v>
      </c>
      <c r="L190" s="504">
        <v>46066</v>
      </c>
      <c r="M190" s="504">
        <v>45869</v>
      </c>
      <c r="N190" s="505" t="s">
        <v>196</v>
      </c>
      <c r="O190" s="506">
        <v>200000000</v>
      </c>
      <c r="P190" s="507" t="s">
        <v>196</v>
      </c>
      <c r="Q190" s="508">
        <v>200000000</v>
      </c>
      <c r="R190" s="508">
        <v>200000000</v>
      </c>
      <c r="S190" s="508">
        <v>0</v>
      </c>
      <c r="T190" s="509">
        <v>200000000</v>
      </c>
      <c r="U190" s="506">
        <v>6372858</v>
      </c>
      <c r="V190" s="510"/>
    </row>
    <row r="191" spans="1:22" s="270" customFormat="1" ht="15" customHeight="1">
      <c r="A191" s="317"/>
      <c r="B191" s="334">
        <f t="shared" si="6"/>
        <v>181</v>
      </c>
      <c r="C191" s="289" t="s">
        <v>416</v>
      </c>
      <c r="D191" s="330" t="s">
        <v>270</v>
      </c>
      <c r="E191" s="289" t="s">
        <v>237</v>
      </c>
      <c r="F191" s="360" t="s">
        <v>730</v>
      </c>
      <c r="G191" s="500">
        <v>5</v>
      </c>
      <c r="H191" s="501" t="s">
        <v>212</v>
      </c>
      <c r="I191" s="502" t="s">
        <v>965</v>
      </c>
      <c r="J191" s="503">
        <v>0.10050000000000001</v>
      </c>
      <c r="K191" s="504">
        <v>45062</v>
      </c>
      <c r="L191" s="504">
        <v>45793</v>
      </c>
      <c r="M191" s="504">
        <v>45869</v>
      </c>
      <c r="N191" s="505" t="s">
        <v>196</v>
      </c>
      <c r="O191" s="506">
        <v>300000000</v>
      </c>
      <c r="P191" s="507" t="s">
        <v>196</v>
      </c>
      <c r="Q191" s="508">
        <v>200000000</v>
      </c>
      <c r="R191" s="508">
        <v>200000000</v>
      </c>
      <c r="S191" s="508">
        <v>0</v>
      </c>
      <c r="T191" s="509">
        <v>200000000</v>
      </c>
      <c r="U191" s="506">
        <v>8437172</v>
      </c>
      <c r="V191" s="510"/>
    </row>
    <row r="192" spans="1:22" s="270" customFormat="1" ht="15" customHeight="1">
      <c r="A192" s="317"/>
      <c r="B192" s="334">
        <f t="shared" si="6"/>
        <v>182</v>
      </c>
      <c r="C192" s="289" t="s">
        <v>416</v>
      </c>
      <c r="D192" s="330" t="s">
        <v>270</v>
      </c>
      <c r="E192" s="289" t="s">
        <v>237</v>
      </c>
      <c r="F192" s="360" t="s">
        <v>730</v>
      </c>
      <c r="G192" s="500">
        <v>6</v>
      </c>
      <c r="H192" s="501" t="s">
        <v>212</v>
      </c>
      <c r="I192" s="502" t="s">
        <v>966</v>
      </c>
      <c r="J192" s="503">
        <v>7.1199999999999999E-2</v>
      </c>
      <c r="K192" s="504">
        <v>45569</v>
      </c>
      <c r="L192" s="504">
        <v>46664</v>
      </c>
      <c r="M192" s="504">
        <v>45869</v>
      </c>
      <c r="N192" s="505" t="s">
        <v>196</v>
      </c>
      <c r="O192" s="506">
        <v>300000000</v>
      </c>
      <c r="P192" s="507" t="s">
        <v>196</v>
      </c>
      <c r="Q192" s="508">
        <v>44006750</v>
      </c>
      <c r="R192" s="508">
        <v>44006750</v>
      </c>
      <c r="S192" s="508">
        <v>0</v>
      </c>
      <c r="T192" s="509">
        <v>44006750</v>
      </c>
      <c r="U192" s="506">
        <v>5080877</v>
      </c>
      <c r="V192" s="510"/>
    </row>
    <row r="193" spans="1:22" s="270" customFormat="1" ht="15" customHeight="1">
      <c r="A193" s="317"/>
      <c r="B193" s="334">
        <f t="shared" si="6"/>
        <v>183</v>
      </c>
      <c r="C193" s="289" t="s">
        <v>416</v>
      </c>
      <c r="D193" s="330" t="s">
        <v>270</v>
      </c>
      <c r="E193" s="289" t="s">
        <v>237</v>
      </c>
      <c r="F193" s="360" t="s">
        <v>730</v>
      </c>
      <c r="G193" s="500">
        <v>7</v>
      </c>
      <c r="H193" s="501" t="s">
        <v>425</v>
      </c>
      <c r="I193" s="502" t="s">
        <v>967</v>
      </c>
      <c r="J193" s="503">
        <v>7.8200000000000006E-2</v>
      </c>
      <c r="K193" s="504">
        <v>45184</v>
      </c>
      <c r="L193" s="504">
        <v>46280</v>
      </c>
      <c r="M193" s="504">
        <v>45641</v>
      </c>
      <c r="N193" s="505" t="s">
        <v>196</v>
      </c>
      <c r="O193" s="506">
        <v>2000000000</v>
      </c>
      <c r="P193" s="507" t="s">
        <v>196</v>
      </c>
      <c r="Q193" s="508">
        <v>2000000000</v>
      </c>
      <c r="R193" s="508">
        <v>2000000000</v>
      </c>
      <c r="S193" s="508">
        <v>0</v>
      </c>
      <c r="T193" s="509">
        <v>2000000000</v>
      </c>
      <c r="U193" s="506">
        <v>79892998</v>
      </c>
      <c r="V193" s="510"/>
    </row>
    <row r="194" spans="1:22" s="270" customFormat="1" ht="15" customHeight="1">
      <c r="A194" s="317"/>
      <c r="B194" s="334">
        <f t="shared" si="6"/>
        <v>184</v>
      </c>
      <c r="C194" s="289" t="s">
        <v>416</v>
      </c>
      <c r="D194" s="330" t="s">
        <v>270</v>
      </c>
      <c r="E194" s="289" t="s">
        <v>237</v>
      </c>
      <c r="F194" s="360" t="s">
        <v>730</v>
      </c>
      <c r="G194" s="500">
        <v>8</v>
      </c>
      <c r="H194" s="501" t="s">
        <v>441</v>
      </c>
      <c r="I194" s="502" t="s">
        <v>968</v>
      </c>
      <c r="J194" s="503"/>
      <c r="K194" s="504">
        <v>45868</v>
      </c>
      <c r="L194" s="504"/>
      <c r="M194" s="504"/>
      <c r="N194" s="505" t="s">
        <v>196</v>
      </c>
      <c r="O194" s="506">
        <v>18972500</v>
      </c>
      <c r="P194" s="507" t="s">
        <v>196</v>
      </c>
      <c r="Q194" s="508">
        <v>0</v>
      </c>
      <c r="R194" s="508">
        <v>0</v>
      </c>
      <c r="S194" s="508">
        <v>18972500</v>
      </c>
      <c r="T194" s="509">
        <v>18972500</v>
      </c>
      <c r="U194" s="506">
        <v>0</v>
      </c>
      <c r="V194" s="510" t="s">
        <v>439</v>
      </c>
    </row>
    <row r="195" spans="1:22" s="270" customFormat="1" ht="15" customHeight="1">
      <c r="A195" s="317"/>
      <c r="B195" s="334">
        <f t="shared" si="6"/>
        <v>185</v>
      </c>
      <c r="C195" s="289" t="s">
        <v>416</v>
      </c>
      <c r="D195" s="330" t="s">
        <v>270</v>
      </c>
      <c r="E195" s="289" t="s">
        <v>237</v>
      </c>
      <c r="F195" s="360" t="s">
        <v>730</v>
      </c>
      <c r="G195" s="500">
        <v>9</v>
      </c>
      <c r="H195" s="501" t="s">
        <v>441</v>
      </c>
      <c r="I195" s="502" t="s">
        <v>969</v>
      </c>
      <c r="J195" s="503"/>
      <c r="K195" s="504">
        <v>45776</v>
      </c>
      <c r="L195" s="504"/>
      <c r="M195" s="504"/>
      <c r="N195" s="505" t="s">
        <v>196</v>
      </c>
      <c r="O195" s="506">
        <v>3077920</v>
      </c>
      <c r="P195" s="507" t="s">
        <v>196</v>
      </c>
      <c r="Q195" s="508">
        <v>0</v>
      </c>
      <c r="R195" s="508">
        <v>0</v>
      </c>
      <c r="S195" s="508">
        <v>3077920</v>
      </c>
      <c r="T195" s="509">
        <v>3077920</v>
      </c>
      <c r="U195" s="506">
        <v>0</v>
      </c>
      <c r="V195" s="510" t="s">
        <v>440</v>
      </c>
    </row>
    <row r="196" spans="1:22" s="270" customFormat="1" ht="15" customHeight="1">
      <c r="A196" s="317"/>
      <c r="B196" s="334">
        <f t="shared" si="6"/>
        <v>186</v>
      </c>
      <c r="C196" s="289" t="s">
        <v>416</v>
      </c>
      <c r="D196" s="330" t="s">
        <v>270</v>
      </c>
      <c r="E196" s="289" t="s">
        <v>237</v>
      </c>
      <c r="F196" s="360" t="s">
        <v>730</v>
      </c>
      <c r="G196" s="500">
        <v>10</v>
      </c>
      <c r="H196" s="501" t="s">
        <v>441</v>
      </c>
      <c r="I196" s="502" t="s">
        <v>970</v>
      </c>
      <c r="J196" s="503"/>
      <c r="K196" s="504">
        <v>45806</v>
      </c>
      <c r="L196" s="504"/>
      <c r="M196" s="504"/>
      <c r="N196" s="505" t="s">
        <v>196</v>
      </c>
      <c r="O196" s="506">
        <v>3301000</v>
      </c>
      <c r="P196" s="507" t="s">
        <v>196</v>
      </c>
      <c r="Q196" s="508">
        <v>0</v>
      </c>
      <c r="R196" s="508">
        <v>0</v>
      </c>
      <c r="S196" s="508">
        <v>3301000</v>
      </c>
      <c r="T196" s="509">
        <v>3301000</v>
      </c>
      <c r="U196" s="506">
        <v>0</v>
      </c>
      <c r="V196" s="510" t="s">
        <v>440</v>
      </c>
    </row>
    <row r="197" spans="1:22" s="270" customFormat="1" ht="15" customHeight="1">
      <c r="A197" s="317"/>
      <c r="B197" s="334">
        <f t="shared" si="6"/>
        <v>187</v>
      </c>
      <c r="C197" s="289" t="s">
        <v>416</v>
      </c>
      <c r="D197" s="330" t="s">
        <v>270</v>
      </c>
      <c r="E197" s="289" t="s">
        <v>237</v>
      </c>
      <c r="F197" s="360" t="s">
        <v>730</v>
      </c>
      <c r="G197" s="500">
        <v>11</v>
      </c>
      <c r="H197" s="501" t="s">
        <v>441</v>
      </c>
      <c r="I197" s="502" t="s">
        <v>971</v>
      </c>
      <c r="J197" s="503"/>
      <c r="K197" s="504">
        <v>45824</v>
      </c>
      <c r="L197" s="504"/>
      <c r="M197" s="504"/>
      <c r="N197" s="505" t="s">
        <v>196</v>
      </c>
      <c r="O197" s="506">
        <v>3407700</v>
      </c>
      <c r="P197" s="507" t="s">
        <v>196</v>
      </c>
      <c r="Q197" s="508">
        <v>0</v>
      </c>
      <c r="R197" s="508">
        <v>0</v>
      </c>
      <c r="S197" s="508">
        <v>3407700</v>
      </c>
      <c r="T197" s="509">
        <v>3407700</v>
      </c>
      <c r="U197" s="506">
        <v>0</v>
      </c>
      <c r="V197" s="510" t="s">
        <v>440</v>
      </c>
    </row>
    <row r="198" spans="1:22" s="270" customFormat="1" ht="15" customHeight="1">
      <c r="A198" s="317"/>
      <c r="B198" s="334">
        <f t="shared" si="6"/>
        <v>188</v>
      </c>
      <c r="C198" s="289" t="s">
        <v>416</v>
      </c>
      <c r="D198" s="330" t="s">
        <v>270</v>
      </c>
      <c r="E198" s="289" t="s">
        <v>237</v>
      </c>
      <c r="F198" s="360" t="s">
        <v>730</v>
      </c>
      <c r="G198" s="500">
        <v>12</v>
      </c>
      <c r="H198" s="501" t="s">
        <v>441</v>
      </c>
      <c r="I198" s="502" t="s">
        <v>972</v>
      </c>
      <c r="J198" s="503"/>
      <c r="K198" s="504">
        <v>45867</v>
      </c>
      <c r="L198" s="504"/>
      <c r="M198" s="504"/>
      <c r="N198" s="505" t="s">
        <v>196</v>
      </c>
      <c r="O198" s="506">
        <v>3301000</v>
      </c>
      <c r="P198" s="507" t="s">
        <v>196</v>
      </c>
      <c r="Q198" s="508">
        <v>0</v>
      </c>
      <c r="R198" s="508">
        <v>0</v>
      </c>
      <c r="S198" s="508">
        <v>3301000</v>
      </c>
      <c r="T198" s="509">
        <v>3301000</v>
      </c>
      <c r="U198" s="506">
        <v>0</v>
      </c>
      <c r="V198" s="510" t="s">
        <v>440</v>
      </c>
    </row>
    <row r="199" spans="1:22" s="270" customFormat="1" ht="15" customHeight="1">
      <c r="A199" s="317"/>
      <c r="B199" s="334">
        <f t="shared" si="6"/>
        <v>189</v>
      </c>
      <c r="C199" s="289" t="s">
        <v>416</v>
      </c>
      <c r="D199" s="330" t="s">
        <v>270</v>
      </c>
      <c r="E199" s="289" t="s">
        <v>294</v>
      </c>
      <c r="F199" s="360" t="s">
        <v>731</v>
      </c>
      <c r="G199" s="500">
        <v>1</v>
      </c>
      <c r="H199" s="501" t="s">
        <v>212</v>
      </c>
      <c r="I199" s="502" t="s">
        <v>973</v>
      </c>
      <c r="J199" s="503">
        <v>8.9399999999999993E-2</v>
      </c>
      <c r="K199" s="504">
        <v>42545</v>
      </c>
      <c r="L199" s="504">
        <v>45821</v>
      </c>
      <c r="M199" s="504">
        <v>45760</v>
      </c>
      <c r="N199" s="505" t="s">
        <v>196</v>
      </c>
      <c r="O199" s="506">
        <v>220000000</v>
      </c>
      <c r="P199" s="507" t="s">
        <v>196</v>
      </c>
      <c r="Q199" s="508">
        <v>210000000</v>
      </c>
      <c r="R199" s="508">
        <v>210000000</v>
      </c>
      <c r="S199" s="508">
        <v>0</v>
      </c>
      <c r="T199" s="509">
        <v>210000000</v>
      </c>
      <c r="U199" s="506">
        <v>4784960</v>
      </c>
      <c r="V199" s="510"/>
    </row>
    <row r="200" spans="1:22" s="270" customFormat="1" ht="15" customHeight="1">
      <c r="A200" s="317"/>
      <c r="B200" s="334">
        <f t="shared" si="6"/>
        <v>190</v>
      </c>
      <c r="C200" s="289" t="s">
        <v>416</v>
      </c>
      <c r="D200" s="330" t="s">
        <v>270</v>
      </c>
      <c r="E200" s="289" t="s">
        <v>294</v>
      </c>
      <c r="F200" s="360" t="s">
        <v>731</v>
      </c>
      <c r="G200" s="500">
        <v>2</v>
      </c>
      <c r="H200" s="501" t="s">
        <v>212</v>
      </c>
      <c r="I200" s="502" t="s">
        <v>974</v>
      </c>
      <c r="J200" s="503">
        <v>8.9399999999999993E-2</v>
      </c>
      <c r="K200" s="504">
        <v>42545</v>
      </c>
      <c r="L200" s="504">
        <v>45821</v>
      </c>
      <c r="M200" s="504">
        <v>45760</v>
      </c>
      <c r="N200" s="505" t="s">
        <v>196</v>
      </c>
      <c r="O200" s="506">
        <v>230000000</v>
      </c>
      <c r="P200" s="507" t="s">
        <v>196</v>
      </c>
      <c r="Q200" s="508">
        <v>220000000</v>
      </c>
      <c r="R200" s="508">
        <v>220000000</v>
      </c>
      <c r="S200" s="508">
        <v>0</v>
      </c>
      <c r="T200" s="509">
        <v>220000000</v>
      </c>
      <c r="U200" s="506">
        <v>5009556</v>
      </c>
      <c r="V200" s="510"/>
    </row>
    <row r="201" spans="1:22" s="270" customFormat="1" ht="15" customHeight="1">
      <c r="A201" s="317"/>
      <c r="B201" s="334">
        <f t="shared" si="6"/>
        <v>191</v>
      </c>
      <c r="C201" s="289" t="s">
        <v>416</v>
      </c>
      <c r="D201" s="330" t="s">
        <v>270</v>
      </c>
      <c r="E201" s="289" t="s">
        <v>294</v>
      </c>
      <c r="F201" s="360" t="s">
        <v>731</v>
      </c>
      <c r="G201" s="500">
        <v>3</v>
      </c>
      <c r="H201" s="501" t="s">
        <v>212</v>
      </c>
      <c r="I201" s="502" t="s">
        <v>975</v>
      </c>
      <c r="J201" s="503">
        <v>9.0399999999999994E-2</v>
      </c>
      <c r="K201" s="504">
        <v>43915</v>
      </c>
      <c r="L201" s="504">
        <v>45853</v>
      </c>
      <c r="M201" s="504">
        <v>45746</v>
      </c>
      <c r="N201" s="505" t="s">
        <v>196</v>
      </c>
      <c r="O201" s="506">
        <v>200000000</v>
      </c>
      <c r="P201" s="507" t="s">
        <v>196</v>
      </c>
      <c r="Q201" s="508">
        <v>200000000</v>
      </c>
      <c r="R201" s="508">
        <v>200000000</v>
      </c>
      <c r="S201" s="508">
        <v>0</v>
      </c>
      <c r="T201" s="509">
        <v>200000000</v>
      </c>
      <c r="U201" s="506">
        <v>5310910</v>
      </c>
      <c r="V201" s="510"/>
    </row>
    <row r="202" spans="1:22" s="270" customFormat="1" ht="15" customHeight="1">
      <c r="A202" s="317"/>
      <c r="B202" s="334">
        <f t="shared" si="6"/>
        <v>192</v>
      </c>
      <c r="C202" s="289" t="s">
        <v>416</v>
      </c>
      <c r="D202" s="330" t="s">
        <v>270</v>
      </c>
      <c r="E202" s="289" t="s">
        <v>294</v>
      </c>
      <c r="F202" s="360" t="s">
        <v>731</v>
      </c>
      <c r="G202" s="500">
        <v>4</v>
      </c>
      <c r="H202" s="501" t="s">
        <v>212</v>
      </c>
      <c r="I202" s="502" t="s">
        <v>976</v>
      </c>
      <c r="J202" s="503">
        <v>9.0200000000000002E-2</v>
      </c>
      <c r="K202" s="504">
        <v>44081</v>
      </c>
      <c r="L202" s="504">
        <v>45907</v>
      </c>
      <c r="M202" s="504">
        <v>45761</v>
      </c>
      <c r="N202" s="505" t="s">
        <v>196</v>
      </c>
      <c r="O202" s="506">
        <v>190000000</v>
      </c>
      <c r="P202" s="507" t="s">
        <v>196</v>
      </c>
      <c r="Q202" s="508">
        <v>190000000</v>
      </c>
      <c r="R202" s="508">
        <v>190000000</v>
      </c>
      <c r="S202" s="508">
        <v>0</v>
      </c>
      <c r="T202" s="509">
        <v>190000000</v>
      </c>
      <c r="U202" s="506">
        <v>4288385</v>
      </c>
      <c r="V202" s="510"/>
    </row>
    <row r="203" spans="1:22" s="270" customFormat="1" ht="15" customHeight="1">
      <c r="A203" s="317"/>
      <c r="B203" s="334">
        <f t="shared" si="6"/>
        <v>193</v>
      </c>
      <c r="C203" s="289" t="s">
        <v>416</v>
      </c>
      <c r="D203" s="330" t="s">
        <v>270</v>
      </c>
      <c r="E203" s="289" t="s">
        <v>294</v>
      </c>
      <c r="F203" s="360" t="s">
        <v>731</v>
      </c>
      <c r="G203" s="500">
        <v>5</v>
      </c>
      <c r="H203" s="501" t="s">
        <v>212</v>
      </c>
      <c r="I203" s="502" t="s">
        <v>977</v>
      </c>
      <c r="J203" s="503">
        <v>0.11</v>
      </c>
      <c r="K203" s="504">
        <v>44727</v>
      </c>
      <c r="L203" s="504">
        <v>45825</v>
      </c>
      <c r="M203" s="504">
        <v>45746</v>
      </c>
      <c r="N203" s="505" t="s">
        <v>196</v>
      </c>
      <c r="O203" s="506">
        <v>300000000</v>
      </c>
      <c r="P203" s="507" t="s">
        <v>196</v>
      </c>
      <c r="Q203" s="508">
        <v>219000000</v>
      </c>
      <c r="R203" s="508">
        <v>219000000</v>
      </c>
      <c r="S203" s="508">
        <v>0</v>
      </c>
      <c r="T203" s="509">
        <v>219000000</v>
      </c>
      <c r="U203" s="506">
        <v>7759380</v>
      </c>
      <c r="V203" s="510"/>
    </row>
    <row r="204" spans="1:22" s="270" customFormat="1" ht="15" customHeight="1">
      <c r="A204" s="317"/>
      <c r="B204" s="334">
        <f t="shared" si="6"/>
        <v>194</v>
      </c>
      <c r="C204" s="289" t="s">
        <v>416</v>
      </c>
      <c r="D204" s="330" t="s">
        <v>270</v>
      </c>
      <c r="E204" s="289" t="s">
        <v>294</v>
      </c>
      <c r="F204" s="360" t="s">
        <v>731</v>
      </c>
      <c r="G204" s="500">
        <v>6</v>
      </c>
      <c r="H204" s="501" t="s">
        <v>212</v>
      </c>
      <c r="I204" s="502" t="s">
        <v>978</v>
      </c>
      <c r="J204" s="503">
        <v>8.8100000000000012E-2</v>
      </c>
      <c r="K204" s="504">
        <v>44862</v>
      </c>
      <c r="L204" s="504">
        <v>45958</v>
      </c>
      <c r="M204" s="504">
        <v>45746</v>
      </c>
      <c r="N204" s="505" t="s">
        <v>196</v>
      </c>
      <c r="O204" s="506">
        <v>300000000</v>
      </c>
      <c r="P204" s="507" t="s">
        <v>196</v>
      </c>
      <c r="Q204" s="508">
        <v>300000000</v>
      </c>
      <c r="R204" s="508">
        <v>300000000</v>
      </c>
      <c r="S204" s="508">
        <v>0</v>
      </c>
      <c r="T204" s="509">
        <v>300000000</v>
      </c>
      <c r="U204" s="506">
        <v>7742943</v>
      </c>
      <c r="V204" s="510"/>
    </row>
    <row r="205" spans="1:22" s="270" customFormat="1" ht="15" customHeight="1">
      <c r="A205" s="317"/>
      <c r="B205" s="334">
        <f t="shared" si="6"/>
        <v>195</v>
      </c>
      <c r="C205" s="289" t="s">
        <v>416</v>
      </c>
      <c r="D205" s="330" t="s">
        <v>270</v>
      </c>
      <c r="E205" s="289" t="s">
        <v>294</v>
      </c>
      <c r="F205" s="360" t="s">
        <v>731</v>
      </c>
      <c r="G205" s="500">
        <v>7</v>
      </c>
      <c r="H205" s="501" t="s">
        <v>212</v>
      </c>
      <c r="I205" s="502" t="s">
        <v>979</v>
      </c>
      <c r="J205" s="503">
        <v>0.1008</v>
      </c>
      <c r="K205" s="504">
        <v>45007</v>
      </c>
      <c r="L205" s="504">
        <v>45853</v>
      </c>
      <c r="M205" s="504">
        <v>45746</v>
      </c>
      <c r="N205" s="505" t="s">
        <v>196</v>
      </c>
      <c r="O205" s="506">
        <v>200000000</v>
      </c>
      <c r="P205" s="507" t="s">
        <v>196</v>
      </c>
      <c r="Q205" s="508">
        <v>200000000</v>
      </c>
      <c r="R205" s="508">
        <v>200000000</v>
      </c>
      <c r="S205" s="508">
        <v>0</v>
      </c>
      <c r="T205" s="509">
        <v>200000000</v>
      </c>
      <c r="U205" s="506">
        <v>6006731</v>
      </c>
      <c r="V205" s="510"/>
    </row>
    <row r="206" spans="1:22" s="270" customFormat="1" ht="15" customHeight="1">
      <c r="A206" s="317"/>
      <c r="B206" s="334">
        <f t="shared" si="6"/>
        <v>196</v>
      </c>
      <c r="C206" s="289" t="s">
        <v>416</v>
      </c>
      <c r="D206" s="330" t="s">
        <v>270</v>
      </c>
      <c r="E206" s="289" t="s">
        <v>294</v>
      </c>
      <c r="F206" s="360" t="s">
        <v>731</v>
      </c>
      <c r="G206" s="500">
        <v>8</v>
      </c>
      <c r="H206" s="501" t="s">
        <v>212</v>
      </c>
      <c r="I206" s="502" t="s">
        <v>980</v>
      </c>
      <c r="J206" s="503">
        <v>9.8299999999999998E-2</v>
      </c>
      <c r="K206" s="504">
        <v>45308</v>
      </c>
      <c r="L206" s="504">
        <v>46404</v>
      </c>
      <c r="M206" s="504">
        <v>45695</v>
      </c>
      <c r="N206" s="505" t="s">
        <v>196</v>
      </c>
      <c r="O206" s="506">
        <v>150000000</v>
      </c>
      <c r="P206" s="507" t="s">
        <v>196</v>
      </c>
      <c r="Q206" s="508">
        <v>104000000</v>
      </c>
      <c r="R206" s="508">
        <v>104000000</v>
      </c>
      <c r="S206" s="508">
        <v>0</v>
      </c>
      <c r="T206" s="509">
        <v>104000000</v>
      </c>
      <c r="U206" s="506">
        <v>4763948</v>
      </c>
      <c r="V206" s="510"/>
    </row>
    <row r="207" spans="1:22" s="270" customFormat="1" ht="15" customHeight="1">
      <c r="A207" s="317"/>
      <c r="B207" s="334">
        <f t="shared" si="6"/>
        <v>197</v>
      </c>
      <c r="C207" s="289" t="s">
        <v>416</v>
      </c>
      <c r="D207" s="330" t="s">
        <v>270</v>
      </c>
      <c r="E207" s="289" t="s">
        <v>294</v>
      </c>
      <c r="F207" s="360" t="s">
        <v>731</v>
      </c>
      <c r="G207" s="500">
        <v>9</v>
      </c>
      <c r="H207" s="501" t="s">
        <v>212</v>
      </c>
      <c r="I207" s="502" t="s">
        <v>981</v>
      </c>
      <c r="J207" s="503">
        <v>9.6500000000000002E-2</v>
      </c>
      <c r="K207" s="504">
        <v>45509</v>
      </c>
      <c r="L207" s="504">
        <v>46604</v>
      </c>
      <c r="M207" s="504">
        <v>45761</v>
      </c>
      <c r="N207" s="505" t="s">
        <v>196</v>
      </c>
      <c r="O207" s="506">
        <v>90000000</v>
      </c>
      <c r="P207" s="507" t="s">
        <v>196</v>
      </c>
      <c r="Q207" s="508">
        <v>90000000</v>
      </c>
      <c r="R207" s="508">
        <v>90000000</v>
      </c>
      <c r="S207" s="508">
        <v>0</v>
      </c>
      <c r="T207" s="509">
        <v>90000000</v>
      </c>
      <c r="U207" s="506">
        <v>2275010</v>
      </c>
      <c r="V207" s="510"/>
    </row>
    <row r="208" spans="1:22" s="270" customFormat="1" ht="15" customHeight="1">
      <c r="A208" s="317"/>
      <c r="B208" s="334">
        <f t="shared" si="6"/>
        <v>198</v>
      </c>
      <c r="C208" s="289" t="s">
        <v>416</v>
      </c>
      <c r="D208" s="330" t="s">
        <v>270</v>
      </c>
      <c r="E208" s="289" t="s">
        <v>294</v>
      </c>
      <c r="F208" s="360" t="s">
        <v>731</v>
      </c>
      <c r="G208" s="500">
        <v>10</v>
      </c>
      <c r="H208" s="501" t="s">
        <v>422</v>
      </c>
      <c r="I208" s="502" t="s">
        <v>982</v>
      </c>
      <c r="J208" s="503">
        <v>7.5800000000000006E-2</v>
      </c>
      <c r="K208" s="504">
        <v>42548</v>
      </c>
      <c r="L208" s="504">
        <v>45828</v>
      </c>
      <c r="M208" s="504">
        <v>45743</v>
      </c>
      <c r="N208" s="505" t="s">
        <v>196</v>
      </c>
      <c r="O208" s="506">
        <v>2100000000</v>
      </c>
      <c r="P208" s="507" t="s">
        <v>196</v>
      </c>
      <c r="Q208" s="508">
        <v>2100000000</v>
      </c>
      <c r="R208" s="508">
        <v>2100000000</v>
      </c>
      <c r="S208" s="508">
        <v>0</v>
      </c>
      <c r="T208" s="509">
        <v>2100000000</v>
      </c>
      <c r="U208" s="506">
        <v>53303788</v>
      </c>
      <c r="V208" s="510"/>
    </row>
    <row r="209" spans="1:22" s="270" customFormat="1" ht="15" customHeight="1">
      <c r="A209" s="317"/>
      <c r="B209" s="334">
        <f t="shared" si="6"/>
        <v>199</v>
      </c>
      <c r="C209" s="289" t="s">
        <v>416</v>
      </c>
      <c r="D209" s="330" t="s">
        <v>270</v>
      </c>
      <c r="E209" s="289" t="s">
        <v>294</v>
      </c>
      <c r="F209" s="360" t="s">
        <v>731</v>
      </c>
      <c r="G209" s="500">
        <v>11</v>
      </c>
      <c r="H209" s="501" t="s">
        <v>422</v>
      </c>
      <c r="I209" s="502" t="s">
        <v>983</v>
      </c>
      <c r="J209" s="503">
        <v>7.9399999999999998E-2</v>
      </c>
      <c r="K209" s="504">
        <v>42685</v>
      </c>
      <c r="L209" s="504">
        <v>46321</v>
      </c>
      <c r="M209" s="504">
        <v>45761</v>
      </c>
      <c r="N209" s="505" t="s">
        <v>196</v>
      </c>
      <c r="O209" s="506">
        <v>640000000</v>
      </c>
      <c r="P209" s="507" t="s">
        <v>196</v>
      </c>
      <c r="Q209" s="508">
        <v>297050000</v>
      </c>
      <c r="R209" s="508">
        <v>297050000</v>
      </c>
      <c r="S209" s="508">
        <v>0</v>
      </c>
      <c r="T209" s="509">
        <v>297050000</v>
      </c>
      <c r="U209" s="506">
        <v>5891933</v>
      </c>
      <c r="V209" s="510"/>
    </row>
    <row r="210" spans="1:22" s="270" customFormat="1" ht="15" customHeight="1">
      <c r="A210" s="317"/>
      <c r="B210" s="334">
        <f t="shared" si="6"/>
        <v>200</v>
      </c>
      <c r="C210" s="289" t="s">
        <v>416</v>
      </c>
      <c r="D210" s="330" t="s">
        <v>270</v>
      </c>
      <c r="E210" s="289" t="s">
        <v>294</v>
      </c>
      <c r="F210" s="360" t="s">
        <v>731</v>
      </c>
      <c r="G210" s="500">
        <v>12</v>
      </c>
      <c r="H210" s="501" t="s">
        <v>212</v>
      </c>
      <c r="I210" s="502" t="s">
        <v>984</v>
      </c>
      <c r="J210" s="503">
        <v>8.9800000000000005E-2</v>
      </c>
      <c r="K210" s="504">
        <v>43745</v>
      </c>
      <c r="L210" s="504">
        <v>45937</v>
      </c>
      <c r="M210" s="504">
        <v>45761</v>
      </c>
      <c r="N210" s="505" t="s">
        <v>196</v>
      </c>
      <c r="O210" s="506">
        <v>190000000</v>
      </c>
      <c r="P210" s="507" t="s">
        <v>196</v>
      </c>
      <c r="Q210" s="508">
        <v>190000000</v>
      </c>
      <c r="R210" s="508">
        <v>190000000</v>
      </c>
      <c r="S210" s="508">
        <v>0</v>
      </c>
      <c r="T210" s="509">
        <v>190000000</v>
      </c>
      <c r="U210" s="506">
        <v>4427958</v>
      </c>
      <c r="V210" s="510"/>
    </row>
    <row r="211" spans="1:22" s="270" customFormat="1" ht="15" customHeight="1">
      <c r="A211" s="317"/>
      <c r="B211" s="334">
        <f t="shared" si="6"/>
        <v>201</v>
      </c>
      <c r="C211" s="289" t="s">
        <v>416</v>
      </c>
      <c r="D211" s="330" t="s">
        <v>270</v>
      </c>
      <c r="E211" s="289" t="s">
        <v>294</v>
      </c>
      <c r="F211" s="360" t="s">
        <v>731</v>
      </c>
      <c r="G211" s="500">
        <v>13</v>
      </c>
      <c r="H211" s="501" t="s">
        <v>441</v>
      </c>
      <c r="I211" s="502" t="s">
        <v>985</v>
      </c>
      <c r="J211" s="503"/>
      <c r="K211" s="504">
        <v>45861</v>
      </c>
      <c r="L211" s="504"/>
      <c r="M211" s="504"/>
      <c r="N211" s="505" t="s">
        <v>196</v>
      </c>
      <c r="O211" s="506">
        <v>153800</v>
      </c>
      <c r="P211" s="507" t="s">
        <v>196</v>
      </c>
      <c r="Q211" s="508">
        <v>0</v>
      </c>
      <c r="R211" s="508">
        <v>0</v>
      </c>
      <c r="S211" s="508">
        <v>153800</v>
      </c>
      <c r="T211" s="509">
        <v>153800</v>
      </c>
      <c r="U211" s="506">
        <v>0</v>
      </c>
      <c r="V211" s="510" t="s">
        <v>438</v>
      </c>
    </row>
    <row r="212" spans="1:22" s="270" customFormat="1" ht="15" customHeight="1">
      <c r="A212" s="317"/>
      <c r="B212" s="334">
        <f t="shared" si="6"/>
        <v>202</v>
      </c>
      <c r="C212" s="289" t="s">
        <v>416</v>
      </c>
      <c r="D212" s="330" t="s">
        <v>270</v>
      </c>
      <c r="E212" s="289" t="s">
        <v>294</v>
      </c>
      <c r="F212" s="360" t="s">
        <v>731</v>
      </c>
      <c r="G212" s="500">
        <v>14</v>
      </c>
      <c r="H212" s="501" t="s">
        <v>441</v>
      </c>
      <c r="I212" s="502" t="s">
        <v>986</v>
      </c>
      <c r="J212" s="503"/>
      <c r="K212" s="504">
        <v>45859</v>
      </c>
      <c r="L212" s="504"/>
      <c r="M212" s="504"/>
      <c r="N212" s="505" t="s">
        <v>196</v>
      </c>
      <c r="O212" s="506">
        <v>18289850</v>
      </c>
      <c r="P212" s="507" t="s">
        <v>196</v>
      </c>
      <c r="Q212" s="508">
        <v>0</v>
      </c>
      <c r="R212" s="508">
        <v>0</v>
      </c>
      <c r="S212" s="508">
        <v>18289850</v>
      </c>
      <c r="T212" s="509">
        <v>18289850</v>
      </c>
      <c r="U212" s="506">
        <v>0</v>
      </c>
      <c r="V212" s="510" t="s">
        <v>439</v>
      </c>
    </row>
    <row r="213" spans="1:22" s="270" customFormat="1" ht="15" customHeight="1">
      <c r="A213" s="317"/>
      <c r="B213" s="334">
        <f t="shared" ref="B213:B215" si="7">ROW()-10</f>
        <v>203</v>
      </c>
      <c r="C213" s="289" t="s">
        <v>416</v>
      </c>
      <c r="D213" s="330" t="s">
        <v>270</v>
      </c>
      <c r="E213" s="289" t="s">
        <v>294</v>
      </c>
      <c r="F213" s="360" t="s">
        <v>731</v>
      </c>
      <c r="G213" s="500">
        <v>15</v>
      </c>
      <c r="H213" s="501" t="s">
        <v>441</v>
      </c>
      <c r="I213" s="502" t="s">
        <v>987</v>
      </c>
      <c r="J213" s="503"/>
      <c r="K213" s="504">
        <v>45831</v>
      </c>
      <c r="L213" s="504"/>
      <c r="M213" s="504"/>
      <c r="N213" s="505" t="s">
        <v>196</v>
      </c>
      <c r="O213" s="506">
        <v>1173890</v>
      </c>
      <c r="P213" s="507" t="s">
        <v>196</v>
      </c>
      <c r="Q213" s="508">
        <v>0</v>
      </c>
      <c r="R213" s="508">
        <v>0</v>
      </c>
      <c r="S213" s="508">
        <v>1173890</v>
      </c>
      <c r="T213" s="509">
        <v>1173890</v>
      </c>
      <c r="U213" s="506">
        <v>0</v>
      </c>
      <c r="V213" s="510" t="s">
        <v>437</v>
      </c>
    </row>
    <row r="214" spans="1:22" s="270" customFormat="1" ht="15" customHeight="1">
      <c r="A214" s="317"/>
      <c r="B214" s="334">
        <f t="shared" si="7"/>
        <v>204</v>
      </c>
      <c r="C214" s="289" t="s">
        <v>416</v>
      </c>
      <c r="D214" s="330" t="s">
        <v>270</v>
      </c>
      <c r="E214" s="289" t="s">
        <v>294</v>
      </c>
      <c r="F214" s="360" t="s">
        <v>731</v>
      </c>
      <c r="G214" s="500">
        <v>16</v>
      </c>
      <c r="H214" s="501" t="s">
        <v>441</v>
      </c>
      <c r="I214" s="502" t="s">
        <v>988</v>
      </c>
      <c r="J214" s="503"/>
      <c r="K214" s="504">
        <v>45848</v>
      </c>
      <c r="L214" s="504"/>
      <c r="M214" s="504"/>
      <c r="N214" s="505" t="s">
        <v>196</v>
      </c>
      <c r="O214" s="506">
        <v>506000</v>
      </c>
      <c r="P214" s="507" t="s">
        <v>196</v>
      </c>
      <c r="Q214" s="508">
        <v>0</v>
      </c>
      <c r="R214" s="508">
        <v>0</v>
      </c>
      <c r="S214" s="508">
        <v>506000</v>
      </c>
      <c r="T214" s="509">
        <v>506000</v>
      </c>
      <c r="U214" s="506">
        <v>0</v>
      </c>
      <c r="V214" s="510" t="s">
        <v>440</v>
      </c>
    </row>
    <row r="215" spans="1:22" s="270" customFormat="1" ht="15" customHeight="1">
      <c r="A215" s="317"/>
      <c r="B215" s="334">
        <f t="shared" si="7"/>
        <v>205</v>
      </c>
      <c r="C215" s="289" t="s">
        <v>416</v>
      </c>
      <c r="D215" s="330" t="s">
        <v>270</v>
      </c>
      <c r="E215" s="289" t="s">
        <v>294</v>
      </c>
      <c r="F215" s="360" t="s">
        <v>731</v>
      </c>
      <c r="G215" s="500">
        <v>17</v>
      </c>
      <c r="H215" s="501" t="s">
        <v>441</v>
      </c>
      <c r="I215" s="502" t="s">
        <v>989</v>
      </c>
      <c r="J215" s="503"/>
      <c r="K215" s="504">
        <v>45674</v>
      </c>
      <c r="L215" s="504"/>
      <c r="M215" s="504"/>
      <c r="N215" s="505" t="s">
        <v>196</v>
      </c>
      <c r="O215" s="506">
        <v>7009300</v>
      </c>
      <c r="P215" s="507" t="s">
        <v>196</v>
      </c>
      <c r="Q215" s="508">
        <v>0</v>
      </c>
      <c r="R215" s="508">
        <v>0</v>
      </c>
      <c r="S215" s="508">
        <v>7009300</v>
      </c>
      <c r="T215" s="509">
        <v>7009300</v>
      </c>
      <c r="U215" s="506">
        <v>0</v>
      </c>
      <c r="V215" s="510" t="s">
        <v>438</v>
      </c>
    </row>
    <row r="216" spans="1:22" s="270" customFormat="1" ht="15" customHeight="1">
      <c r="A216" s="317"/>
      <c r="B216" s="334">
        <f t="shared" ref="B216:B228" si="8">ROW()-10</f>
        <v>206</v>
      </c>
      <c r="C216" s="289" t="s">
        <v>416</v>
      </c>
      <c r="D216" s="330" t="s">
        <v>270</v>
      </c>
      <c r="E216" s="289" t="s">
        <v>290</v>
      </c>
      <c r="F216" s="360" t="s">
        <v>732</v>
      </c>
      <c r="G216" s="500">
        <v>1</v>
      </c>
      <c r="H216" s="501" t="s">
        <v>424</v>
      </c>
      <c r="I216" s="502" t="s">
        <v>990</v>
      </c>
      <c r="J216" s="503">
        <v>9.2100000000000015E-2</v>
      </c>
      <c r="K216" s="504">
        <v>45072</v>
      </c>
      <c r="L216" s="504">
        <v>45804</v>
      </c>
      <c r="M216" s="504">
        <v>45752</v>
      </c>
      <c r="N216" s="505" t="s">
        <v>196</v>
      </c>
      <c r="O216" s="506">
        <v>200000000</v>
      </c>
      <c r="P216" s="507" t="s">
        <v>196</v>
      </c>
      <c r="Q216" s="508">
        <v>200000000</v>
      </c>
      <c r="R216" s="508">
        <v>200000000</v>
      </c>
      <c r="S216" s="508">
        <v>0</v>
      </c>
      <c r="T216" s="509">
        <v>200000000</v>
      </c>
      <c r="U216" s="506">
        <v>5106559</v>
      </c>
      <c r="V216" s="510"/>
    </row>
    <row r="217" spans="1:22" s="270" customFormat="1" ht="15" customHeight="1">
      <c r="A217" s="317"/>
      <c r="B217" s="334">
        <f t="shared" si="8"/>
        <v>207</v>
      </c>
      <c r="C217" s="289" t="s">
        <v>416</v>
      </c>
      <c r="D217" s="330" t="s">
        <v>270</v>
      </c>
      <c r="E217" s="289" t="s">
        <v>290</v>
      </c>
      <c r="F217" s="360" t="s">
        <v>732</v>
      </c>
      <c r="G217" s="500">
        <v>2</v>
      </c>
      <c r="H217" s="501" t="s">
        <v>422</v>
      </c>
      <c r="I217" s="502" t="s">
        <v>991</v>
      </c>
      <c r="J217" s="503">
        <v>7.8899999999999998E-2</v>
      </c>
      <c r="K217" s="504">
        <v>45072</v>
      </c>
      <c r="L217" s="504">
        <v>45804</v>
      </c>
      <c r="M217" s="504">
        <v>45742</v>
      </c>
      <c r="N217" s="505" t="s">
        <v>196</v>
      </c>
      <c r="O217" s="506">
        <v>700000000</v>
      </c>
      <c r="P217" s="507" t="s">
        <v>196</v>
      </c>
      <c r="Q217" s="508">
        <v>700000000</v>
      </c>
      <c r="R217" s="508">
        <v>700000000</v>
      </c>
      <c r="S217" s="508">
        <v>0</v>
      </c>
      <c r="T217" s="509">
        <v>700000000</v>
      </c>
      <c r="U217" s="506">
        <v>16370386</v>
      </c>
      <c r="V217" s="510"/>
    </row>
    <row r="218" spans="1:22" s="270" customFormat="1" ht="15" customHeight="1">
      <c r="A218" s="317"/>
      <c r="B218" s="334">
        <f t="shared" si="8"/>
        <v>208</v>
      </c>
      <c r="C218" s="289" t="s">
        <v>416</v>
      </c>
      <c r="D218" s="330" t="s">
        <v>270</v>
      </c>
      <c r="E218" s="289" t="s">
        <v>290</v>
      </c>
      <c r="F218" s="360" t="s">
        <v>732</v>
      </c>
      <c r="G218" s="500">
        <v>3</v>
      </c>
      <c r="H218" s="501" t="s">
        <v>212</v>
      </c>
      <c r="I218" s="502" t="s">
        <v>992</v>
      </c>
      <c r="J218" s="503">
        <v>9.5100000000000004E-2</v>
      </c>
      <c r="K218" s="504">
        <v>45072</v>
      </c>
      <c r="L218" s="504">
        <v>46168</v>
      </c>
      <c r="M218" s="504">
        <v>45741</v>
      </c>
      <c r="N218" s="505" t="s">
        <v>196</v>
      </c>
      <c r="O218" s="506">
        <v>400000000</v>
      </c>
      <c r="P218" s="507" t="s">
        <v>196</v>
      </c>
      <c r="Q218" s="508">
        <v>400000000</v>
      </c>
      <c r="R218" s="508">
        <v>400000000</v>
      </c>
      <c r="S218" s="508">
        <v>0</v>
      </c>
      <c r="T218" s="509">
        <v>400000000</v>
      </c>
      <c r="U218" s="506">
        <v>11675714</v>
      </c>
      <c r="V218" s="510"/>
    </row>
    <row r="219" spans="1:22" s="270" customFormat="1" ht="15" customHeight="1">
      <c r="A219" s="317"/>
      <c r="B219" s="334">
        <f t="shared" si="8"/>
        <v>209</v>
      </c>
      <c r="C219" s="289" t="s">
        <v>416</v>
      </c>
      <c r="D219" s="330" t="s">
        <v>270</v>
      </c>
      <c r="E219" s="289" t="s">
        <v>290</v>
      </c>
      <c r="F219" s="360" t="s">
        <v>732</v>
      </c>
      <c r="G219" s="500">
        <v>4</v>
      </c>
      <c r="H219" s="501" t="s">
        <v>212</v>
      </c>
      <c r="I219" s="502" t="s">
        <v>993</v>
      </c>
      <c r="J219" s="503">
        <v>8.2100000000000006E-2</v>
      </c>
      <c r="K219" s="504">
        <v>45182</v>
      </c>
      <c r="L219" s="504">
        <v>45910</v>
      </c>
      <c r="M219" s="504">
        <v>45756</v>
      </c>
      <c r="N219" s="505" t="s">
        <v>196</v>
      </c>
      <c r="O219" s="506">
        <v>330000000</v>
      </c>
      <c r="P219" s="507" t="s">
        <v>196</v>
      </c>
      <c r="Q219" s="508">
        <v>330000000</v>
      </c>
      <c r="R219" s="508">
        <v>330000000</v>
      </c>
      <c r="S219" s="508">
        <v>0</v>
      </c>
      <c r="T219" s="509">
        <v>330000000</v>
      </c>
      <c r="U219" s="506">
        <v>7050219</v>
      </c>
      <c r="V219" s="510"/>
    </row>
    <row r="220" spans="1:22" s="270" customFormat="1" ht="15" customHeight="1">
      <c r="A220" s="317"/>
      <c r="B220" s="334">
        <f t="shared" si="8"/>
        <v>210</v>
      </c>
      <c r="C220" s="289" t="s">
        <v>416</v>
      </c>
      <c r="D220" s="330" t="s">
        <v>270</v>
      </c>
      <c r="E220" s="289" t="s">
        <v>290</v>
      </c>
      <c r="F220" s="360" t="s">
        <v>732</v>
      </c>
      <c r="G220" s="500">
        <v>5</v>
      </c>
      <c r="H220" s="501" t="s">
        <v>212</v>
      </c>
      <c r="I220" s="502" t="s">
        <v>994</v>
      </c>
      <c r="J220" s="503">
        <v>8.539999999999999E-2</v>
      </c>
      <c r="K220" s="504">
        <v>45215</v>
      </c>
      <c r="L220" s="504">
        <v>45946</v>
      </c>
      <c r="M220" s="504">
        <v>45762</v>
      </c>
      <c r="N220" s="505" t="s">
        <v>196</v>
      </c>
      <c r="O220" s="506">
        <v>300000000</v>
      </c>
      <c r="P220" s="507" t="s">
        <v>196</v>
      </c>
      <c r="Q220" s="508">
        <v>300000000</v>
      </c>
      <c r="R220" s="508">
        <v>300000000</v>
      </c>
      <c r="S220" s="508">
        <v>0</v>
      </c>
      <c r="T220" s="509">
        <v>300000000</v>
      </c>
      <c r="U220" s="506">
        <v>6339576</v>
      </c>
      <c r="V220" s="510"/>
    </row>
    <row r="221" spans="1:22" s="270" customFormat="1" ht="15" customHeight="1">
      <c r="A221" s="317"/>
      <c r="B221" s="334">
        <f t="shared" si="8"/>
        <v>211</v>
      </c>
      <c r="C221" s="289" t="s">
        <v>416</v>
      </c>
      <c r="D221" s="330" t="s">
        <v>270</v>
      </c>
      <c r="E221" s="289" t="s">
        <v>290</v>
      </c>
      <c r="F221" s="360" t="s">
        <v>732</v>
      </c>
      <c r="G221" s="500">
        <v>6</v>
      </c>
      <c r="H221" s="501" t="s">
        <v>212</v>
      </c>
      <c r="I221" s="502" t="s">
        <v>995</v>
      </c>
      <c r="J221" s="503">
        <v>8.4600000000000009E-2</v>
      </c>
      <c r="K221" s="504">
        <v>45314</v>
      </c>
      <c r="L221" s="504">
        <v>46045</v>
      </c>
      <c r="M221" s="504">
        <v>45754</v>
      </c>
      <c r="N221" s="505" t="s">
        <v>196</v>
      </c>
      <c r="O221" s="506">
        <v>200000000</v>
      </c>
      <c r="P221" s="507" t="s">
        <v>196</v>
      </c>
      <c r="Q221" s="508">
        <v>200000000</v>
      </c>
      <c r="R221" s="508">
        <v>200000000</v>
      </c>
      <c r="S221" s="508">
        <v>0</v>
      </c>
      <c r="T221" s="509">
        <v>200000000</v>
      </c>
      <c r="U221" s="506">
        <v>4771803</v>
      </c>
      <c r="V221" s="510"/>
    </row>
    <row r="222" spans="1:22" s="270" customFormat="1" ht="15" customHeight="1">
      <c r="A222" s="317"/>
      <c r="B222" s="334">
        <f t="shared" si="8"/>
        <v>212</v>
      </c>
      <c r="C222" s="289" t="s">
        <v>416</v>
      </c>
      <c r="D222" s="330" t="s">
        <v>270</v>
      </c>
      <c r="E222" s="289" t="s">
        <v>290</v>
      </c>
      <c r="F222" s="360" t="s">
        <v>732</v>
      </c>
      <c r="G222" s="500">
        <v>7</v>
      </c>
      <c r="H222" s="501" t="s">
        <v>212</v>
      </c>
      <c r="I222" s="502" t="s">
        <v>996</v>
      </c>
      <c r="J222" s="503">
        <v>9.5299999999999996E-2</v>
      </c>
      <c r="K222" s="504">
        <v>45365</v>
      </c>
      <c r="L222" s="504">
        <v>46460</v>
      </c>
      <c r="M222" s="504">
        <v>45760</v>
      </c>
      <c r="N222" s="505" t="s">
        <v>196</v>
      </c>
      <c r="O222" s="506">
        <v>200000000</v>
      </c>
      <c r="P222" s="507" t="s">
        <v>196</v>
      </c>
      <c r="Q222" s="508">
        <v>127650000</v>
      </c>
      <c r="R222" s="508">
        <v>127650000</v>
      </c>
      <c r="S222" s="508">
        <v>0</v>
      </c>
      <c r="T222" s="509">
        <v>127650000</v>
      </c>
      <c r="U222" s="506">
        <v>3139305</v>
      </c>
      <c r="V222" s="510"/>
    </row>
    <row r="223" spans="1:22" s="270" customFormat="1" ht="15" customHeight="1">
      <c r="A223" s="317"/>
      <c r="B223" s="334">
        <f t="shared" si="8"/>
        <v>213</v>
      </c>
      <c r="C223" s="289" t="s">
        <v>416</v>
      </c>
      <c r="D223" s="330" t="s">
        <v>270</v>
      </c>
      <c r="E223" s="289" t="s">
        <v>290</v>
      </c>
      <c r="F223" s="360" t="s">
        <v>732</v>
      </c>
      <c r="G223" s="500">
        <v>8</v>
      </c>
      <c r="H223" s="501" t="s">
        <v>212</v>
      </c>
      <c r="I223" s="502" t="s">
        <v>997</v>
      </c>
      <c r="J223" s="503">
        <v>9.0500000000000011E-2</v>
      </c>
      <c r="K223" s="504">
        <v>45377</v>
      </c>
      <c r="L223" s="504">
        <v>45919</v>
      </c>
      <c r="M223" s="504">
        <v>45756</v>
      </c>
      <c r="N223" s="505" t="s">
        <v>196</v>
      </c>
      <c r="O223" s="506">
        <v>300000000</v>
      </c>
      <c r="P223" s="507" t="s">
        <v>196</v>
      </c>
      <c r="Q223" s="508">
        <v>300000000</v>
      </c>
      <c r="R223" s="508">
        <v>300000000</v>
      </c>
      <c r="S223" s="508">
        <v>0</v>
      </c>
      <c r="T223" s="509">
        <v>300000000</v>
      </c>
      <c r="U223" s="506">
        <v>7182118</v>
      </c>
      <c r="V223" s="510"/>
    </row>
    <row r="224" spans="1:22" s="270" customFormat="1" ht="15" customHeight="1">
      <c r="A224" s="317"/>
      <c r="B224" s="334">
        <f t="shared" si="8"/>
        <v>214</v>
      </c>
      <c r="C224" s="289" t="s">
        <v>416</v>
      </c>
      <c r="D224" s="330" t="s">
        <v>270</v>
      </c>
      <c r="E224" s="289" t="s">
        <v>290</v>
      </c>
      <c r="F224" s="360" t="s">
        <v>732</v>
      </c>
      <c r="G224" s="500">
        <v>9</v>
      </c>
      <c r="H224" s="501" t="s">
        <v>212</v>
      </c>
      <c r="I224" s="502" t="s">
        <v>998</v>
      </c>
      <c r="J224" s="503">
        <v>8.5699999999999998E-2</v>
      </c>
      <c r="K224" s="504">
        <v>45547</v>
      </c>
      <c r="L224" s="504">
        <v>45912</v>
      </c>
      <c r="M224" s="504">
        <v>45758</v>
      </c>
      <c r="N224" s="505" t="s">
        <v>196</v>
      </c>
      <c r="O224" s="506">
        <v>100000000</v>
      </c>
      <c r="P224" s="507" t="s">
        <v>196</v>
      </c>
      <c r="Q224" s="508">
        <v>100000000</v>
      </c>
      <c r="R224" s="508">
        <v>100000000</v>
      </c>
      <c r="S224" s="508">
        <v>0</v>
      </c>
      <c r="T224" s="509">
        <v>100000000</v>
      </c>
      <c r="U224" s="506">
        <v>2215586</v>
      </c>
      <c r="V224" s="510"/>
    </row>
    <row r="225" spans="1:22" s="270" customFormat="1" ht="15" customHeight="1">
      <c r="A225" s="317"/>
      <c r="B225" s="334">
        <f t="shared" si="8"/>
        <v>215</v>
      </c>
      <c r="C225" s="289" t="s">
        <v>416</v>
      </c>
      <c r="D225" s="330" t="s">
        <v>270</v>
      </c>
      <c r="E225" s="289" t="s">
        <v>290</v>
      </c>
      <c r="F225" s="360" t="s">
        <v>732</v>
      </c>
      <c r="G225" s="500">
        <v>10</v>
      </c>
      <c r="H225" s="501" t="s">
        <v>212</v>
      </c>
      <c r="I225" s="502" t="s">
        <v>999</v>
      </c>
      <c r="J225" s="503">
        <v>8.6300000000000002E-2</v>
      </c>
      <c r="K225" s="504">
        <v>45680</v>
      </c>
      <c r="L225" s="504">
        <v>46045</v>
      </c>
      <c r="M225" s="504">
        <v>45754</v>
      </c>
      <c r="N225" s="505" t="s">
        <v>196</v>
      </c>
      <c r="O225" s="506">
        <v>100000000</v>
      </c>
      <c r="P225" s="507" t="s">
        <v>196</v>
      </c>
      <c r="Q225" s="508">
        <v>100000000</v>
      </c>
      <c r="R225" s="508">
        <v>100000000</v>
      </c>
      <c r="S225" s="508">
        <v>0</v>
      </c>
      <c r="T225" s="509">
        <v>100000000</v>
      </c>
      <c r="U225" s="506">
        <v>2449584</v>
      </c>
      <c r="V225" s="510"/>
    </row>
    <row r="226" spans="1:22" s="270" customFormat="1" ht="15" customHeight="1">
      <c r="A226" s="317"/>
      <c r="B226" s="334">
        <f t="shared" si="8"/>
        <v>216</v>
      </c>
      <c r="C226" s="289" t="s">
        <v>416</v>
      </c>
      <c r="D226" s="330" t="s">
        <v>270</v>
      </c>
      <c r="E226" s="289" t="s">
        <v>290</v>
      </c>
      <c r="F226" s="360" t="s">
        <v>732</v>
      </c>
      <c r="G226" s="500">
        <v>11</v>
      </c>
      <c r="H226" s="501" t="s">
        <v>425</v>
      </c>
      <c r="I226" s="502" t="s">
        <v>1000</v>
      </c>
      <c r="J226" s="503">
        <v>7.2700000000000001E-2</v>
      </c>
      <c r="K226" s="504">
        <v>45490</v>
      </c>
      <c r="L226" s="504">
        <v>46553</v>
      </c>
      <c r="M226" s="504">
        <v>45755</v>
      </c>
      <c r="N226" s="505" t="s">
        <v>196</v>
      </c>
      <c r="O226" s="506">
        <v>870000000</v>
      </c>
      <c r="P226" s="507" t="s">
        <v>196</v>
      </c>
      <c r="Q226" s="508">
        <v>870000000</v>
      </c>
      <c r="R226" s="508">
        <v>870000000</v>
      </c>
      <c r="S226" s="508">
        <v>0</v>
      </c>
      <c r="T226" s="509">
        <v>870000000</v>
      </c>
      <c r="U226" s="506">
        <v>13755627</v>
      </c>
      <c r="V226" s="510"/>
    </row>
    <row r="227" spans="1:22" s="270" customFormat="1" ht="15" customHeight="1">
      <c r="A227" s="317"/>
      <c r="B227" s="334">
        <f t="shared" si="8"/>
        <v>217</v>
      </c>
      <c r="C227" s="289" t="s">
        <v>416</v>
      </c>
      <c r="D227" s="330" t="s">
        <v>270</v>
      </c>
      <c r="E227" s="289" t="s">
        <v>290</v>
      </c>
      <c r="F227" s="360" t="s">
        <v>732</v>
      </c>
      <c r="G227" s="500">
        <v>12</v>
      </c>
      <c r="H227" s="501" t="s">
        <v>441</v>
      </c>
      <c r="I227" s="502" t="s">
        <v>1001</v>
      </c>
      <c r="J227" s="503"/>
      <c r="K227" s="504">
        <v>45824</v>
      </c>
      <c r="L227" s="504"/>
      <c r="M227" s="504"/>
      <c r="N227" s="505" t="s">
        <v>196</v>
      </c>
      <c r="O227" s="506">
        <v>484100</v>
      </c>
      <c r="P227" s="507" t="s">
        <v>196</v>
      </c>
      <c r="Q227" s="508">
        <v>0</v>
      </c>
      <c r="R227" s="508">
        <v>0</v>
      </c>
      <c r="S227" s="508">
        <v>484100</v>
      </c>
      <c r="T227" s="509">
        <v>484100</v>
      </c>
      <c r="U227" s="506">
        <v>0</v>
      </c>
      <c r="V227" s="510" t="s">
        <v>438</v>
      </c>
    </row>
    <row r="228" spans="1:22" s="270" customFormat="1" ht="15" customHeight="1">
      <c r="A228" s="317"/>
      <c r="B228" s="334">
        <f t="shared" si="8"/>
        <v>218</v>
      </c>
      <c r="C228" s="289" t="s">
        <v>416</v>
      </c>
      <c r="D228" s="330" t="s">
        <v>270</v>
      </c>
      <c r="E228" s="289" t="s">
        <v>290</v>
      </c>
      <c r="F228" s="360" t="s">
        <v>732</v>
      </c>
      <c r="G228" s="500">
        <v>13</v>
      </c>
      <c r="H228" s="501" t="s">
        <v>441</v>
      </c>
      <c r="I228" s="502" t="s">
        <v>1002</v>
      </c>
      <c r="J228" s="503"/>
      <c r="K228" s="504">
        <v>45824</v>
      </c>
      <c r="L228" s="504"/>
      <c r="M228" s="504"/>
      <c r="N228" s="505" t="s">
        <v>196</v>
      </c>
      <c r="O228" s="506">
        <v>92900</v>
      </c>
      <c r="P228" s="507" t="s">
        <v>196</v>
      </c>
      <c r="Q228" s="508">
        <v>0</v>
      </c>
      <c r="R228" s="508">
        <v>0</v>
      </c>
      <c r="S228" s="508">
        <v>92900</v>
      </c>
      <c r="T228" s="509">
        <v>92900</v>
      </c>
      <c r="U228" s="506">
        <v>0</v>
      </c>
      <c r="V228" s="510" t="s">
        <v>438</v>
      </c>
    </row>
    <row r="229" spans="1:22" s="270" customFormat="1" ht="15" customHeight="1">
      <c r="A229" s="317"/>
      <c r="B229" s="334">
        <f t="shared" ref="B229:B248" si="9">ROW()-10</f>
        <v>219</v>
      </c>
      <c r="C229" s="289" t="s">
        <v>416</v>
      </c>
      <c r="D229" s="330" t="s">
        <v>270</v>
      </c>
      <c r="E229" s="289" t="s">
        <v>632</v>
      </c>
      <c r="F229" s="360" t="s">
        <v>733</v>
      </c>
      <c r="G229" s="500">
        <v>1</v>
      </c>
      <c r="H229" s="501" t="s">
        <v>212</v>
      </c>
      <c r="I229" s="502" t="s">
        <v>1003</v>
      </c>
      <c r="J229" s="503">
        <v>7.9399999999999998E-2</v>
      </c>
      <c r="K229" s="504">
        <v>45371</v>
      </c>
      <c r="L229" s="504">
        <v>46101</v>
      </c>
      <c r="M229" s="504">
        <v>45735</v>
      </c>
      <c r="N229" s="505" t="s">
        <v>196</v>
      </c>
      <c r="O229" s="506">
        <v>2400000000</v>
      </c>
      <c r="P229" s="507" t="s">
        <v>196</v>
      </c>
      <c r="Q229" s="508">
        <v>2400000000</v>
      </c>
      <c r="R229" s="508">
        <v>2400000000</v>
      </c>
      <c r="S229" s="508">
        <v>0</v>
      </c>
      <c r="T229" s="509">
        <v>2400000000</v>
      </c>
      <c r="U229" s="506">
        <v>59806223</v>
      </c>
      <c r="V229" s="510"/>
    </row>
    <row r="230" spans="1:22" s="270" customFormat="1" ht="15" customHeight="1">
      <c r="A230" s="317"/>
      <c r="B230" s="334">
        <f t="shared" si="9"/>
        <v>220</v>
      </c>
      <c r="C230" s="289" t="s">
        <v>416</v>
      </c>
      <c r="D230" s="330" t="s">
        <v>270</v>
      </c>
      <c r="E230" s="289" t="s">
        <v>632</v>
      </c>
      <c r="F230" s="360" t="s">
        <v>733</v>
      </c>
      <c r="G230" s="500">
        <v>2</v>
      </c>
      <c r="H230" s="501" t="s">
        <v>212</v>
      </c>
      <c r="I230" s="502" t="s">
        <v>1004</v>
      </c>
      <c r="J230" s="503">
        <v>7.7800000000000008E-2</v>
      </c>
      <c r="K230" s="504">
        <v>45371</v>
      </c>
      <c r="L230" s="504">
        <v>46101</v>
      </c>
      <c r="M230" s="504">
        <v>45735</v>
      </c>
      <c r="N230" s="505" t="s">
        <v>196</v>
      </c>
      <c r="O230" s="506">
        <v>1000000000</v>
      </c>
      <c r="P230" s="507" t="s">
        <v>196</v>
      </c>
      <c r="Q230" s="508">
        <v>1000000000</v>
      </c>
      <c r="R230" s="508">
        <v>1000000000</v>
      </c>
      <c r="S230" s="508">
        <v>0</v>
      </c>
      <c r="T230" s="509">
        <v>1000000000</v>
      </c>
      <c r="U230" s="506">
        <v>24346431</v>
      </c>
      <c r="V230" s="510"/>
    </row>
    <row r="231" spans="1:22" s="270" customFormat="1" ht="15" customHeight="1">
      <c r="A231" s="317"/>
      <c r="B231" s="334">
        <f t="shared" si="9"/>
        <v>221</v>
      </c>
      <c r="C231" s="289" t="s">
        <v>416</v>
      </c>
      <c r="D231" s="330" t="s">
        <v>270</v>
      </c>
      <c r="E231" s="289" t="s">
        <v>632</v>
      </c>
      <c r="F231" s="360" t="s">
        <v>733</v>
      </c>
      <c r="G231" s="500">
        <v>3</v>
      </c>
      <c r="H231" s="501" t="s">
        <v>441</v>
      </c>
      <c r="I231" s="502" t="s">
        <v>1005</v>
      </c>
      <c r="J231" s="503"/>
      <c r="K231" s="504">
        <v>45842</v>
      </c>
      <c r="L231" s="504"/>
      <c r="M231" s="504"/>
      <c r="N231" s="505" t="s">
        <v>196</v>
      </c>
      <c r="O231" s="506">
        <v>16081760</v>
      </c>
      <c r="P231" s="507" t="s">
        <v>196</v>
      </c>
      <c r="Q231" s="508">
        <v>0</v>
      </c>
      <c r="R231" s="508">
        <v>0</v>
      </c>
      <c r="S231" s="508">
        <v>16081760</v>
      </c>
      <c r="T231" s="509">
        <v>16081760</v>
      </c>
      <c r="U231" s="506">
        <v>0</v>
      </c>
      <c r="V231" s="510" t="s">
        <v>439</v>
      </c>
    </row>
    <row r="232" spans="1:22" s="270" customFormat="1" ht="15" customHeight="1">
      <c r="A232" s="317"/>
      <c r="B232" s="334">
        <f t="shared" si="9"/>
        <v>222</v>
      </c>
      <c r="C232" s="289" t="s">
        <v>416</v>
      </c>
      <c r="D232" s="330" t="s">
        <v>270</v>
      </c>
      <c r="E232" s="289" t="s">
        <v>291</v>
      </c>
      <c r="F232" s="360" t="s">
        <v>734</v>
      </c>
      <c r="G232" s="500">
        <v>1</v>
      </c>
      <c r="H232" s="501" t="s">
        <v>424</v>
      </c>
      <c r="I232" s="502" t="s">
        <v>1006</v>
      </c>
      <c r="J232" s="503">
        <v>0.11</v>
      </c>
      <c r="K232" s="504">
        <v>42451</v>
      </c>
      <c r="L232" s="504">
        <v>45738</v>
      </c>
      <c r="M232" s="504">
        <v>45869</v>
      </c>
      <c r="N232" s="505" t="s">
        <v>196</v>
      </c>
      <c r="O232" s="506">
        <v>3241000000</v>
      </c>
      <c r="P232" s="507" t="s">
        <v>196</v>
      </c>
      <c r="Q232" s="508">
        <v>270989567</v>
      </c>
      <c r="R232" s="508">
        <v>270989567</v>
      </c>
      <c r="S232" s="508">
        <v>0</v>
      </c>
      <c r="T232" s="509">
        <v>270989567</v>
      </c>
      <c r="U232" s="506">
        <v>13918458</v>
      </c>
      <c r="V232" s="510"/>
    </row>
    <row r="233" spans="1:22" s="270" customFormat="1" ht="15" customHeight="1">
      <c r="A233" s="317"/>
      <c r="B233" s="334">
        <f t="shared" si="9"/>
        <v>223</v>
      </c>
      <c r="C233" s="289" t="s">
        <v>416</v>
      </c>
      <c r="D233" s="330" t="s">
        <v>270</v>
      </c>
      <c r="E233" s="289" t="s">
        <v>291</v>
      </c>
      <c r="F233" s="360" t="s">
        <v>734</v>
      </c>
      <c r="G233" s="500">
        <v>2</v>
      </c>
      <c r="H233" s="501" t="s">
        <v>424</v>
      </c>
      <c r="I233" s="502" t="s">
        <v>1007</v>
      </c>
      <c r="J233" s="503">
        <v>0.11</v>
      </c>
      <c r="K233" s="504">
        <v>42698</v>
      </c>
      <c r="L233" s="504">
        <v>45714</v>
      </c>
      <c r="M233" s="504">
        <v>45869</v>
      </c>
      <c r="N233" s="505" t="s">
        <v>196</v>
      </c>
      <c r="O233" s="506">
        <v>6016420597</v>
      </c>
      <c r="P233" s="507" t="s">
        <v>196</v>
      </c>
      <c r="Q233" s="508">
        <v>668000000</v>
      </c>
      <c r="R233" s="508">
        <v>668000000</v>
      </c>
      <c r="S233" s="508">
        <v>0</v>
      </c>
      <c r="T233" s="509">
        <v>668000000</v>
      </c>
      <c r="U233" s="506">
        <v>35351189</v>
      </c>
      <c r="V233" s="510"/>
    </row>
    <row r="234" spans="1:22" s="270" customFormat="1" ht="15" customHeight="1">
      <c r="A234" s="317"/>
      <c r="B234" s="334">
        <f t="shared" si="9"/>
        <v>224</v>
      </c>
      <c r="C234" s="289" t="s">
        <v>416</v>
      </c>
      <c r="D234" s="330" t="s">
        <v>270</v>
      </c>
      <c r="E234" s="289" t="s">
        <v>291</v>
      </c>
      <c r="F234" s="360" t="s">
        <v>734</v>
      </c>
      <c r="G234" s="500">
        <v>3</v>
      </c>
      <c r="H234" s="501" t="s">
        <v>212</v>
      </c>
      <c r="I234" s="502" t="s">
        <v>1008</v>
      </c>
      <c r="J234" s="503">
        <v>8.7499999999999994E-2</v>
      </c>
      <c r="K234" s="504">
        <v>42748</v>
      </c>
      <c r="L234" s="504">
        <v>46010</v>
      </c>
      <c r="M234" s="504">
        <v>45869</v>
      </c>
      <c r="N234" s="505" t="s">
        <v>196</v>
      </c>
      <c r="O234" s="506">
        <v>2000000000</v>
      </c>
      <c r="P234" s="507" t="s">
        <v>196</v>
      </c>
      <c r="Q234" s="508">
        <v>400000000</v>
      </c>
      <c r="R234" s="508">
        <v>400000000</v>
      </c>
      <c r="S234" s="508">
        <v>0</v>
      </c>
      <c r="T234" s="509">
        <v>400000000</v>
      </c>
      <c r="U234" s="506">
        <v>3260832</v>
      </c>
      <c r="V234" s="510"/>
    </row>
    <row r="235" spans="1:22" s="270" customFormat="1" ht="15" customHeight="1">
      <c r="A235" s="317"/>
      <c r="B235" s="334">
        <f t="shared" si="9"/>
        <v>225</v>
      </c>
      <c r="C235" s="289" t="s">
        <v>416</v>
      </c>
      <c r="D235" s="330" t="s">
        <v>270</v>
      </c>
      <c r="E235" s="289" t="s">
        <v>291</v>
      </c>
      <c r="F235" s="360" t="s">
        <v>734</v>
      </c>
      <c r="G235" s="500">
        <v>4</v>
      </c>
      <c r="H235" s="501" t="s">
        <v>212</v>
      </c>
      <c r="I235" s="502" t="s">
        <v>1008</v>
      </c>
      <c r="J235" s="503">
        <v>8.7499999999999994E-2</v>
      </c>
      <c r="K235" s="504">
        <v>42748</v>
      </c>
      <c r="L235" s="504">
        <v>46010</v>
      </c>
      <c r="M235" s="504">
        <v>45678</v>
      </c>
      <c r="N235" s="505" t="s">
        <v>196</v>
      </c>
      <c r="O235" s="506">
        <v>2000000000</v>
      </c>
      <c r="P235" s="507" t="s">
        <v>196</v>
      </c>
      <c r="Q235" s="508">
        <v>0</v>
      </c>
      <c r="R235" s="508">
        <v>0</v>
      </c>
      <c r="S235" s="508">
        <v>0</v>
      </c>
      <c r="T235" s="509">
        <v>0</v>
      </c>
      <c r="U235" s="506">
        <v>28142603</v>
      </c>
      <c r="V235" s="510"/>
    </row>
    <row r="236" spans="1:22" s="270" customFormat="1" ht="15" customHeight="1">
      <c r="A236" s="317"/>
      <c r="B236" s="334">
        <f t="shared" si="9"/>
        <v>226</v>
      </c>
      <c r="C236" s="289" t="s">
        <v>416</v>
      </c>
      <c r="D236" s="330" t="s">
        <v>270</v>
      </c>
      <c r="E236" s="289" t="s">
        <v>291</v>
      </c>
      <c r="F236" s="360" t="s">
        <v>734</v>
      </c>
      <c r="G236" s="500">
        <v>5</v>
      </c>
      <c r="H236" s="501" t="s">
        <v>212</v>
      </c>
      <c r="I236" s="502" t="s">
        <v>1009</v>
      </c>
      <c r="J236" s="503">
        <v>9.1499999999999998E-2</v>
      </c>
      <c r="K236" s="504">
        <v>42825</v>
      </c>
      <c r="L236" s="504">
        <v>45738</v>
      </c>
      <c r="M236" s="504">
        <v>45869</v>
      </c>
      <c r="N236" s="505" t="s">
        <v>196</v>
      </c>
      <c r="O236" s="506">
        <v>600000000</v>
      </c>
      <c r="P236" s="507" t="s">
        <v>196</v>
      </c>
      <c r="Q236" s="508">
        <v>32514000</v>
      </c>
      <c r="R236" s="508">
        <v>32514000</v>
      </c>
      <c r="S236" s="508">
        <v>0</v>
      </c>
      <c r="T236" s="509">
        <v>32514000</v>
      </c>
      <c r="U236" s="506">
        <v>277156</v>
      </c>
      <c r="V236" s="510"/>
    </row>
    <row r="237" spans="1:22" s="270" customFormat="1" ht="15" customHeight="1">
      <c r="A237" s="317"/>
      <c r="B237" s="334">
        <f t="shared" si="9"/>
        <v>227</v>
      </c>
      <c r="C237" s="289" t="s">
        <v>416</v>
      </c>
      <c r="D237" s="330" t="s">
        <v>270</v>
      </c>
      <c r="E237" s="289" t="s">
        <v>291</v>
      </c>
      <c r="F237" s="360" t="s">
        <v>734</v>
      </c>
      <c r="G237" s="500">
        <v>6</v>
      </c>
      <c r="H237" s="501" t="s">
        <v>212</v>
      </c>
      <c r="I237" s="502" t="s">
        <v>1009</v>
      </c>
      <c r="J237" s="503">
        <v>9.1499999999999998E-2</v>
      </c>
      <c r="K237" s="504">
        <v>42825</v>
      </c>
      <c r="L237" s="504">
        <v>45738</v>
      </c>
      <c r="M237" s="504">
        <v>45683</v>
      </c>
      <c r="N237" s="505" t="s">
        <v>196</v>
      </c>
      <c r="O237" s="506">
        <v>600000000</v>
      </c>
      <c r="P237" s="507" t="s">
        <v>196</v>
      </c>
      <c r="Q237" s="508">
        <v>257486000</v>
      </c>
      <c r="R237" s="508">
        <v>257486000</v>
      </c>
      <c r="S237" s="508">
        <v>0</v>
      </c>
      <c r="T237" s="509">
        <v>257486000</v>
      </c>
      <c r="U237" s="506">
        <v>12153085</v>
      </c>
      <c r="V237" s="510"/>
    </row>
    <row r="238" spans="1:22" s="270" customFormat="1" ht="15" customHeight="1">
      <c r="A238" s="317"/>
      <c r="B238" s="334">
        <f t="shared" si="9"/>
        <v>228</v>
      </c>
      <c r="C238" s="289" t="s">
        <v>416</v>
      </c>
      <c r="D238" s="330" t="s">
        <v>270</v>
      </c>
      <c r="E238" s="289" t="s">
        <v>291</v>
      </c>
      <c r="F238" s="360" t="s">
        <v>734</v>
      </c>
      <c r="G238" s="500">
        <v>7</v>
      </c>
      <c r="H238" s="501" t="s">
        <v>441</v>
      </c>
      <c r="I238" s="502" t="s">
        <v>1010</v>
      </c>
      <c r="J238" s="503"/>
      <c r="K238" s="504">
        <v>45824</v>
      </c>
      <c r="L238" s="504"/>
      <c r="M238" s="504"/>
      <c r="N238" s="505" t="s">
        <v>196</v>
      </c>
      <c r="O238" s="506">
        <v>2074600</v>
      </c>
      <c r="P238" s="507" t="s">
        <v>196</v>
      </c>
      <c r="Q238" s="508">
        <v>0</v>
      </c>
      <c r="R238" s="508">
        <v>0</v>
      </c>
      <c r="S238" s="508">
        <v>2074600</v>
      </c>
      <c r="T238" s="509">
        <v>2074600</v>
      </c>
      <c r="U238" s="506">
        <v>0</v>
      </c>
      <c r="V238" s="510" t="s">
        <v>439</v>
      </c>
    </row>
    <row r="239" spans="1:22" s="270" customFormat="1" ht="15" customHeight="1">
      <c r="A239" s="317"/>
      <c r="B239" s="334">
        <f t="shared" si="9"/>
        <v>229</v>
      </c>
      <c r="C239" s="289" t="s">
        <v>416</v>
      </c>
      <c r="D239" s="330" t="s">
        <v>270</v>
      </c>
      <c r="E239" s="289" t="s">
        <v>291</v>
      </c>
      <c r="F239" s="360" t="s">
        <v>734</v>
      </c>
      <c r="G239" s="500">
        <v>8</v>
      </c>
      <c r="H239" s="501" t="s">
        <v>441</v>
      </c>
      <c r="I239" s="502" t="s">
        <v>1011</v>
      </c>
      <c r="J239" s="503"/>
      <c r="K239" s="504">
        <v>45730</v>
      </c>
      <c r="L239" s="504"/>
      <c r="M239" s="504"/>
      <c r="N239" s="505" t="s">
        <v>196</v>
      </c>
      <c r="O239" s="506">
        <v>1116800</v>
      </c>
      <c r="P239" s="507" t="s">
        <v>196</v>
      </c>
      <c r="Q239" s="508">
        <v>0</v>
      </c>
      <c r="R239" s="508">
        <v>0</v>
      </c>
      <c r="S239" s="508">
        <v>1091024</v>
      </c>
      <c r="T239" s="509">
        <v>1091024</v>
      </c>
      <c r="U239" s="506">
        <v>0</v>
      </c>
      <c r="V239" s="510" t="s">
        <v>437</v>
      </c>
    </row>
    <row r="240" spans="1:22" s="270" customFormat="1" ht="15" customHeight="1">
      <c r="A240" s="317"/>
      <c r="B240" s="334">
        <f t="shared" si="9"/>
        <v>230</v>
      </c>
      <c r="C240" s="289" t="s">
        <v>416</v>
      </c>
      <c r="D240" s="330" t="s">
        <v>270</v>
      </c>
      <c r="E240" s="289" t="s">
        <v>289</v>
      </c>
      <c r="F240" s="360" t="s">
        <v>735</v>
      </c>
      <c r="G240" s="500">
        <v>1</v>
      </c>
      <c r="H240" s="501" t="s">
        <v>212</v>
      </c>
      <c r="I240" s="502" t="s">
        <v>1012</v>
      </c>
      <c r="J240" s="503">
        <v>8.5900000000000004E-2</v>
      </c>
      <c r="K240" s="504">
        <v>43144</v>
      </c>
      <c r="L240" s="504">
        <v>45701</v>
      </c>
      <c r="M240" s="504">
        <v>45631</v>
      </c>
      <c r="N240" s="505" t="s">
        <v>196</v>
      </c>
      <c r="O240" s="506">
        <v>800000000</v>
      </c>
      <c r="P240" s="507" t="s">
        <v>196</v>
      </c>
      <c r="Q240" s="508">
        <v>336439412</v>
      </c>
      <c r="R240" s="508">
        <v>336439412</v>
      </c>
      <c r="S240" s="508">
        <v>0</v>
      </c>
      <c r="T240" s="509">
        <v>336439412</v>
      </c>
      <c r="U240" s="506">
        <v>19782113</v>
      </c>
      <c r="V240" s="510"/>
    </row>
    <row r="241" spans="1:22" s="270" customFormat="1" ht="15" customHeight="1">
      <c r="A241" s="317"/>
      <c r="B241" s="334">
        <f t="shared" si="9"/>
        <v>231</v>
      </c>
      <c r="C241" s="289" t="s">
        <v>416</v>
      </c>
      <c r="D241" s="330" t="s">
        <v>270</v>
      </c>
      <c r="E241" s="289" t="s">
        <v>289</v>
      </c>
      <c r="F241" s="360" t="s">
        <v>735</v>
      </c>
      <c r="G241" s="500">
        <v>2</v>
      </c>
      <c r="H241" s="501" t="s">
        <v>212</v>
      </c>
      <c r="I241" s="502" t="s">
        <v>1013</v>
      </c>
      <c r="J241" s="503">
        <v>9.0299999999999991E-2</v>
      </c>
      <c r="K241" s="504">
        <v>43522</v>
      </c>
      <c r="L241" s="504">
        <v>45715</v>
      </c>
      <c r="M241" s="504">
        <v>45530</v>
      </c>
      <c r="N241" s="505" t="s">
        <v>196</v>
      </c>
      <c r="O241" s="506">
        <v>670000000</v>
      </c>
      <c r="P241" s="507" t="s">
        <v>196</v>
      </c>
      <c r="Q241" s="508">
        <v>670000000</v>
      </c>
      <c r="R241" s="508">
        <v>670000000</v>
      </c>
      <c r="S241" s="508">
        <v>0</v>
      </c>
      <c r="T241" s="509">
        <v>670000000</v>
      </c>
      <c r="U241" s="506">
        <v>51561171</v>
      </c>
      <c r="V241" s="510"/>
    </row>
    <row r="242" spans="1:22" s="270" customFormat="1" ht="15" customHeight="1">
      <c r="A242" s="317"/>
      <c r="B242" s="334">
        <f t="shared" si="9"/>
        <v>232</v>
      </c>
      <c r="C242" s="289" t="s">
        <v>416</v>
      </c>
      <c r="D242" s="330" t="s">
        <v>270</v>
      </c>
      <c r="E242" s="289" t="s">
        <v>289</v>
      </c>
      <c r="F242" s="360" t="s">
        <v>735</v>
      </c>
      <c r="G242" s="500">
        <v>3</v>
      </c>
      <c r="H242" s="501" t="s">
        <v>212</v>
      </c>
      <c r="I242" s="502" t="s">
        <v>1014</v>
      </c>
      <c r="J242" s="503">
        <v>9.5799999999999996E-2</v>
      </c>
      <c r="K242" s="504">
        <v>43524</v>
      </c>
      <c r="L242" s="504">
        <v>45709</v>
      </c>
      <c r="M242" s="504">
        <v>45557</v>
      </c>
      <c r="N242" s="505" t="s">
        <v>196</v>
      </c>
      <c r="O242" s="506">
        <v>110000000</v>
      </c>
      <c r="P242" s="507" t="s">
        <v>196</v>
      </c>
      <c r="Q242" s="508">
        <v>11000000</v>
      </c>
      <c r="R242" s="508">
        <v>11000000</v>
      </c>
      <c r="S242" s="508">
        <v>0</v>
      </c>
      <c r="T242" s="509">
        <v>11000000</v>
      </c>
      <c r="U242" s="506">
        <v>1074109</v>
      </c>
      <c r="V242" s="510"/>
    </row>
    <row r="243" spans="1:22" s="270" customFormat="1" ht="15" customHeight="1">
      <c r="A243" s="317"/>
      <c r="B243" s="334">
        <f t="shared" si="9"/>
        <v>233</v>
      </c>
      <c r="C243" s="289" t="s">
        <v>416</v>
      </c>
      <c r="D243" s="330" t="s">
        <v>270</v>
      </c>
      <c r="E243" s="289" t="s">
        <v>289</v>
      </c>
      <c r="F243" s="360" t="s">
        <v>735</v>
      </c>
      <c r="G243" s="500">
        <v>4</v>
      </c>
      <c r="H243" s="501" t="s">
        <v>212</v>
      </c>
      <c r="I243" s="502" t="s">
        <v>1015</v>
      </c>
      <c r="J243" s="503">
        <v>0.10490000000000001</v>
      </c>
      <c r="K243" s="504">
        <v>44295</v>
      </c>
      <c r="L243" s="504">
        <v>45758</v>
      </c>
      <c r="M243" s="504">
        <v>45545</v>
      </c>
      <c r="N243" s="505" t="s">
        <v>196</v>
      </c>
      <c r="O243" s="506">
        <v>200000000</v>
      </c>
      <c r="P243" s="507" t="s">
        <v>196</v>
      </c>
      <c r="Q243" s="508">
        <v>200000000</v>
      </c>
      <c r="R243" s="508">
        <v>200000000</v>
      </c>
      <c r="S243" s="508">
        <v>0</v>
      </c>
      <c r="T243" s="509">
        <v>200000000</v>
      </c>
      <c r="U243" s="506">
        <v>17113457</v>
      </c>
      <c r="V243" s="510"/>
    </row>
    <row r="244" spans="1:22" s="270" customFormat="1" ht="15" customHeight="1">
      <c r="A244" s="317"/>
      <c r="B244" s="334">
        <f t="shared" si="9"/>
        <v>234</v>
      </c>
      <c r="C244" s="289" t="s">
        <v>416</v>
      </c>
      <c r="D244" s="330" t="s">
        <v>270</v>
      </c>
      <c r="E244" s="289" t="s">
        <v>289</v>
      </c>
      <c r="F244" s="360" t="s">
        <v>735</v>
      </c>
      <c r="G244" s="500">
        <v>5</v>
      </c>
      <c r="H244" s="501" t="s">
        <v>212</v>
      </c>
      <c r="I244" s="502" t="s">
        <v>1016</v>
      </c>
      <c r="J244" s="503">
        <v>0.1026</v>
      </c>
      <c r="K244" s="504">
        <v>44337</v>
      </c>
      <c r="L244" s="504">
        <v>45793</v>
      </c>
      <c r="M244" s="504">
        <v>45551</v>
      </c>
      <c r="N244" s="505" t="s">
        <v>196</v>
      </c>
      <c r="O244" s="506">
        <v>1000000000</v>
      </c>
      <c r="P244" s="507" t="s">
        <v>196</v>
      </c>
      <c r="Q244" s="508">
        <v>150000000</v>
      </c>
      <c r="R244" s="508">
        <v>150000000</v>
      </c>
      <c r="S244" s="508">
        <v>0</v>
      </c>
      <c r="T244" s="509">
        <v>150000000</v>
      </c>
      <c r="U244" s="506">
        <v>14943051</v>
      </c>
      <c r="V244" s="510"/>
    </row>
    <row r="245" spans="1:22" s="270" customFormat="1" ht="15" customHeight="1">
      <c r="A245" s="317"/>
      <c r="B245" s="334">
        <f t="shared" si="9"/>
        <v>235</v>
      </c>
      <c r="C245" s="289" t="s">
        <v>416</v>
      </c>
      <c r="D245" s="330" t="s">
        <v>270</v>
      </c>
      <c r="E245" s="289" t="s">
        <v>289</v>
      </c>
      <c r="F245" s="360" t="s">
        <v>735</v>
      </c>
      <c r="G245" s="500">
        <v>6</v>
      </c>
      <c r="H245" s="501" t="s">
        <v>212</v>
      </c>
      <c r="I245" s="502" t="s">
        <v>1017</v>
      </c>
      <c r="J245" s="503">
        <v>0.11</v>
      </c>
      <c r="K245" s="504">
        <v>44358</v>
      </c>
      <c r="L245" s="504">
        <v>45821</v>
      </c>
      <c r="M245" s="504">
        <v>45547</v>
      </c>
      <c r="N245" s="505" t="s">
        <v>196</v>
      </c>
      <c r="O245" s="506">
        <v>1000000000</v>
      </c>
      <c r="P245" s="507" t="s">
        <v>196</v>
      </c>
      <c r="Q245" s="508">
        <v>1000000000</v>
      </c>
      <c r="R245" s="508">
        <v>1000000000</v>
      </c>
      <c r="S245" s="508">
        <v>0</v>
      </c>
      <c r="T245" s="509">
        <v>1000000000</v>
      </c>
      <c r="U245" s="506">
        <v>89517060</v>
      </c>
      <c r="V245" s="510"/>
    </row>
    <row r="246" spans="1:22" s="270" customFormat="1" ht="15" customHeight="1">
      <c r="A246" s="317"/>
      <c r="B246" s="334">
        <f t="shared" si="9"/>
        <v>236</v>
      </c>
      <c r="C246" s="289" t="s">
        <v>416</v>
      </c>
      <c r="D246" s="330" t="s">
        <v>270</v>
      </c>
      <c r="E246" s="289" t="s">
        <v>289</v>
      </c>
      <c r="F246" s="360" t="s">
        <v>735</v>
      </c>
      <c r="G246" s="500">
        <v>7</v>
      </c>
      <c r="H246" s="501" t="s">
        <v>212</v>
      </c>
      <c r="I246" s="502" t="s">
        <v>1018</v>
      </c>
      <c r="J246" s="503">
        <v>9.7599999999999992E-2</v>
      </c>
      <c r="K246" s="504">
        <v>45467</v>
      </c>
      <c r="L246" s="504">
        <v>45832</v>
      </c>
      <c r="M246" s="504">
        <v>45558</v>
      </c>
      <c r="N246" s="505" t="s">
        <v>196</v>
      </c>
      <c r="O246" s="506">
        <v>154000000</v>
      </c>
      <c r="P246" s="507" t="s">
        <v>196</v>
      </c>
      <c r="Q246" s="508">
        <v>154000000</v>
      </c>
      <c r="R246" s="508">
        <v>154000000</v>
      </c>
      <c r="S246" s="508">
        <v>0</v>
      </c>
      <c r="T246" s="509">
        <v>154000000</v>
      </c>
      <c r="U246" s="506">
        <v>11911007</v>
      </c>
      <c r="V246" s="510"/>
    </row>
    <row r="247" spans="1:22" s="270" customFormat="1" ht="15" customHeight="1">
      <c r="A247" s="317"/>
      <c r="B247" s="334">
        <f t="shared" si="9"/>
        <v>237</v>
      </c>
      <c r="C247" s="289" t="s">
        <v>416</v>
      </c>
      <c r="D247" s="330" t="s">
        <v>270</v>
      </c>
      <c r="E247" s="289" t="s">
        <v>289</v>
      </c>
      <c r="F247" s="360" t="s">
        <v>735</v>
      </c>
      <c r="G247" s="500">
        <v>8</v>
      </c>
      <c r="H247" s="501" t="s">
        <v>212</v>
      </c>
      <c r="I247" s="502" t="s">
        <v>1019</v>
      </c>
      <c r="J247" s="503">
        <v>0.11</v>
      </c>
      <c r="K247" s="504">
        <v>45495</v>
      </c>
      <c r="L247" s="504">
        <v>45860</v>
      </c>
      <c r="M247" s="504">
        <v>45556</v>
      </c>
      <c r="N247" s="505" t="s">
        <v>196</v>
      </c>
      <c r="O247" s="506">
        <v>319900000</v>
      </c>
      <c r="P247" s="507" t="s">
        <v>196</v>
      </c>
      <c r="Q247" s="508">
        <v>319900000</v>
      </c>
      <c r="R247" s="508">
        <v>319900000</v>
      </c>
      <c r="S247" s="508">
        <v>0</v>
      </c>
      <c r="T247" s="509">
        <v>319900000</v>
      </c>
      <c r="U247" s="506">
        <v>28218117</v>
      </c>
      <c r="V247" s="510"/>
    </row>
    <row r="248" spans="1:22" s="270" customFormat="1" ht="15" customHeight="1">
      <c r="A248" s="317"/>
      <c r="B248" s="334">
        <f t="shared" si="9"/>
        <v>238</v>
      </c>
      <c r="C248" s="289" t="s">
        <v>416</v>
      </c>
      <c r="D248" s="330" t="s">
        <v>270</v>
      </c>
      <c r="E248" s="289" t="s">
        <v>289</v>
      </c>
      <c r="F248" s="360" t="s">
        <v>735</v>
      </c>
      <c r="G248" s="500">
        <v>9</v>
      </c>
      <c r="H248" s="501" t="s">
        <v>212</v>
      </c>
      <c r="I248" s="502" t="s">
        <v>1020</v>
      </c>
      <c r="J248" s="503">
        <v>8.8800000000000004E-2</v>
      </c>
      <c r="K248" s="504">
        <v>44602</v>
      </c>
      <c r="L248" s="504">
        <v>45695</v>
      </c>
      <c r="M248" s="504">
        <v>45570</v>
      </c>
      <c r="N248" s="505" t="s">
        <v>196</v>
      </c>
      <c r="O248" s="506">
        <v>300000000</v>
      </c>
      <c r="P248" s="507" t="s">
        <v>196</v>
      </c>
      <c r="Q248" s="508">
        <v>300000000</v>
      </c>
      <c r="R248" s="508">
        <v>300000000</v>
      </c>
      <c r="S248" s="508">
        <v>0</v>
      </c>
      <c r="T248" s="509">
        <v>300000000</v>
      </c>
      <c r="U248" s="506">
        <v>22161334</v>
      </c>
      <c r="V248" s="510"/>
    </row>
    <row r="249" spans="1:22" s="270" customFormat="1" ht="15" customHeight="1">
      <c r="A249" s="317"/>
      <c r="B249" s="334">
        <f t="shared" ref="B249:B266" si="10">ROW()-10</f>
        <v>239</v>
      </c>
      <c r="C249" s="289" t="s">
        <v>416</v>
      </c>
      <c r="D249" s="330" t="s">
        <v>270</v>
      </c>
      <c r="E249" s="289" t="s">
        <v>736</v>
      </c>
      <c r="F249" s="360" t="s">
        <v>737</v>
      </c>
      <c r="G249" s="500">
        <v>1</v>
      </c>
      <c r="H249" s="501" t="s">
        <v>424</v>
      </c>
      <c r="I249" s="502" t="s">
        <v>1021</v>
      </c>
      <c r="J249" s="503">
        <v>0.11</v>
      </c>
      <c r="K249" s="504">
        <v>44858</v>
      </c>
      <c r="L249" s="504">
        <v>45954</v>
      </c>
      <c r="M249" s="504">
        <v>45869</v>
      </c>
      <c r="N249" s="505" t="s">
        <v>196</v>
      </c>
      <c r="O249" s="506">
        <v>50000000</v>
      </c>
      <c r="P249" s="507" t="s">
        <v>196</v>
      </c>
      <c r="Q249" s="508">
        <v>49997520</v>
      </c>
      <c r="R249" s="508">
        <v>49997520</v>
      </c>
      <c r="S249" s="508">
        <v>0</v>
      </c>
      <c r="T249" s="509">
        <v>49997520</v>
      </c>
      <c r="U249" s="506">
        <v>3155827</v>
      </c>
      <c r="V249" s="510"/>
    </row>
    <row r="250" spans="1:22" s="270" customFormat="1" ht="15" customHeight="1">
      <c r="A250" s="317"/>
      <c r="B250" s="334">
        <f t="shared" si="10"/>
        <v>240</v>
      </c>
      <c r="C250" s="289" t="s">
        <v>416</v>
      </c>
      <c r="D250" s="330" t="s">
        <v>270</v>
      </c>
      <c r="E250" s="289" t="s">
        <v>736</v>
      </c>
      <c r="F250" s="360" t="s">
        <v>737</v>
      </c>
      <c r="G250" s="500">
        <v>2</v>
      </c>
      <c r="H250" s="501" t="s">
        <v>422</v>
      </c>
      <c r="I250" s="502" t="s">
        <v>1022</v>
      </c>
      <c r="J250" s="503">
        <v>8.3299999999999999E-2</v>
      </c>
      <c r="K250" s="504">
        <v>45044</v>
      </c>
      <c r="L250" s="504">
        <v>45720</v>
      </c>
      <c r="M250" s="504">
        <v>45629</v>
      </c>
      <c r="N250" s="505" t="s">
        <v>196</v>
      </c>
      <c r="O250" s="506">
        <v>300000000</v>
      </c>
      <c r="P250" s="507" t="s">
        <v>196</v>
      </c>
      <c r="Q250" s="508">
        <v>300000000</v>
      </c>
      <c r="R250" s="508">
        <v>300000000</v>
      </c>
      <c r="S250" s="508">
        <v>0</v>
      </c>
      <c r="T250" s="509">
        <v>300000000</v>
      </c>
      <c r="U250" s="506">
        <v>15184658</v>
      </c>
      <c r="V250" s="510"/>
    </row>
    <row r="251" spans="1:22" s="270" customFormat="1" ht="15" customHeight="1">
      <c r="A251" s="317"/>
      <c r="B251" s="334">
        <f t="shared" si="10"/>
        <v>241</v>
      </c>
      <c r="C251" s="289" t="s">
        <v>416</v>
      </c>
      <c r="D251" s="330" t="s">
        <v>270</v>
      </c>
      <c r="E251" s="289" t="s">
        <v>736</v>
      </c>
      <c r="F251" s="360" t="s">
        <v>737</v>
      </c>
      <c r="G251" s="500">
        <v>3</v>
      </c>
      <c r="H251" s="501" t="s">
        <v>212</v>
      </c>
      <c r="I251" s="502" t="s">
        <v>1023</v>
      </c>
      <c r="J251" s="503">
        <v>8.4600000000000009E-2</v>
      </c>
      <c r="K251" s="504">
        <v>45044</v>
      </c>
      <c r="L251" s="504">
        <v>45720</v>
      </c>
      <c r="M251" s="504">
        <v>45629</v>
      </c>
      <c r="N251" s="505" t="s">
        <v>196</v>
      </c>
      <c r="O251" s="506">
        <v>300000000</v>
      </c>
      <c r="P251" s="507" t="s">
        <v>196</v>
      </c>
      <c r="Q251" s="508">
        <v>300000000</v>
      </c>
      <c r="R251" s="508">
        <v>300000000</v>
      </c>
      <c r="S251" s="508">
        <v>0</v>
      </c>
      <c r="T251" s="509">
        <v>300000000</v>
      </c>
      <c r="U251" s="506">
        <v>15441299</v>
      </c>
      <c r="V251" s="510"/>
    </row>
    <row r="252" spans="1:22" s="270" customFormat="1" ht="15" customHeight="1">
      <c r="A252" s="317"/>
      <c r="B252" s="334">
        <f t="shared" si="10"/>
        <v>242</v>
      </c>
      <c r="C252" s="289" t="s">
        <v>416</v>
      </c>
      <c r="D252" s="330" t="s">
        <v>270</v>
      </c>
      <c r="E252" s="289" t="s">
        <v>736</v>
      </c>
      <c r="F252" s="360" t="s">
        <v>737</v>
      </c>
      <c r="G252" s="500">
        <v>4</v>
      </c>
      <c r="H252" s="501" t="s">
        <v>212</v>
      </c>
      <c r="I252" s="502" t="s">
        <v>1024</v>
      </c>
      <c r="J252" s="503">
        <v>0.11</v>
      </c>
      <c r="K252" s="504">
        <v>45180</v>
      </c>
      <c r="L252" s="504">
        <v>46276</v>
      </c>
      <c r="M252" s="504">
        <v>45869</v>
      </c>
      <c r="N252" s="505" t="s">
        <v>196</v>
      </c>
      <c r="O252" s="506">
        <v>200000000</v>
      </c>
      <c r="P252" s="507" t="s">
        <v>196</v>
      </c>
      <c r="Q252" s="508">
        <v>116550000</v>
      </c>
      <c r="R252" s="508">
        <v>116550000</v>
      </c>
      <c r="S252" s="508">
        <v>0</v>
      </c>
      <c r="T252" s="509">
        <v>116550000</v>
      </c>
      <c r="U252" s="506">
        <v>7732086</v>
      </c>
      <c r="V252" s="510"/>
    </row>
    <row r="253" spans="1:22" s="270" customFormat="1" ht="15" customHeight="1">
      <c r="A253" s="317"/>
      <c r="B253" s="334">
        <f t="shared" si="10"/>
        <v>243</v>
      </c>
      <c r="C253" s="289" t="s">
        <v>416</v>
      </c>
      <c r="D253" s="330" t="s">
        <v>270</v>
      </c>
      <c r="E253" s="289" t="s">
        <v>736</v>
      </c>
      <c r="F253" s="360" t="s">
        <v>737</v>
      </c>
      <c r="G253" s="500">
        <v>5</v>
      </c>
      <c r="H253" s="501" t="s">
        <v>212</v>
      </c>
      <c r="I253" s="502" t="s">
        <v>1025</v>
      </c>
      <c r="J253" s="503">
        <v>7.9699999999999993E-2</v>
      </c>
      <c r="K253" s="504">
        <v>45323</v>
      </c>
      <c r="L253" s="504">
        <v>45684</v>
      </c>
      <c r="M253" s="504">
        <v>45869</v>
      </c>
      <c r="N253" s="505" t="s">
        <v>196</v>
      </c>
      <c r="O253" s="506">
        <v>730000000</v>
      </c>
      <c r="P253" s="507" t="s">
        <v>196</v>
      </c>
      <c r="Q253" s="508">
        <v>73000000</v>
      </c>
      <c r="R253" s="508">
        <v>73000000</v>
      </c>
      <c r="S253" s="508">
        <v>0</v>
      </c>
      <c r="T253" s="509">
        <v>73000000</v>
      </c>
      <c r="U253" s="506">
        <v>9007150</v>
      </c>
      <c r="V253" s="510"/>
    </row>
    <row r="254" spans="1:22" s="270" customFormat="1" ht="15" customHeight="1">
      <c r="A254" s="317"/>
      <c r="B254" s="334">
        <f t="shared" si="10"/>
        <v>244</v>
      </c>
      <c r="C254" s="289" t="s">
        <v>416</v>
      </c>
      <c r="D254" s="330" t="s">
        <v>270</v>
      </c>
      <c r="E254" s="289" t="s">
        <v>736</v>
      </c>
      <c r="F254" s="360" t="s">
        <v>737</v>
      </c>
      <c r="G254" s="500">
        <v>6</v>
      </c>
      <c r="H254" s="501" t="s">
        <v>212</v>
      </c>
      <c r="I254" s="502" t="s">
        <v>1026</v>
      </c>
      <c r="J254" s="503"/>
      <c r="K254" s="504">
        <v>45329</v>
      </c>
      <c r="L254" s="504">
        <v>45693</v>
      </c>
      <c r="M254" s="504">
        <v>45869</v>
      </c>
      <c r="N254" s="505" t="s">
        <v>196</v>
      </c>
      <c r="O254" s="506">
        <v>500000000</v>
      </c>
      <c r="P254" s="507" t="s">
        <v>196</v>
      </c>
      <c r="Q254" s="508">
        <v>0</v>
      </c>
      <c r="R254" s="508">
        <v>0</v>
      </c>
      <c r="S254" s="508">
        <v>0</v>
      </c>
      <c r="T254" s="509">
        <v>0</v>
      </c>
      <c r="U254" s="506">
        <v>4854436</v>
      </c>
      <c r="V254" s="510"/>
    </row>
    <row r="255" spans="1:22" s="270" customFormat="1" ht="15" customHeight="1">
      <c r="A255" s="317"/>
      <c r="B255" s="334">
        <f t="shared" si="10"/>
        <v>245</v>
      </c>
      <c r="C255" s="289" t="s">
        <v>416</v>
      </c>
      <c r="D255" s="330" t="s">
        <v>270</v>
      </c>
      <c r="E255" s="289" t="s">
        <v>736</v>
      </c>
      <c r="F255" s="360" t="s">
        <v>737</v>
      </c>
      <c r="G255" s="500">
        <v>7</v>
      </c>
      <c r="H255" s="501" t="s">
        <v>212</v>
      </c>
      <c r="I255" s="502" t="s">
        <v>1027</v>
      </c>
      <c r="J255" s="503">
        <v>0.11</v>
      </c>
      <c r="K255" s="504">
        <v>45646</v>
      </c>
      <c r="L255" s="504">
        <v>45688</v>
      </c>
      <c r="M255" s="504">
        <v>45869</v>
      </c>
      <c r="N255" s="505" t="s">
        <v>196</v>
      </c>
      <c r="O255" s="506">
        <v>40000000</v>
      </c>
      <c r="P255" s="507" t="s">
        <v>196</v>
      </c>
      <c r="Q255" s="508">
        <v>40000000</v>
      </c>
      <c r="R255" s="508">
        <v>40000000</v>
      </c>
      <c r="S255" s="508">
        <v>0</v>
      </c>
      <c r="T255" s="509">
        <v>40000000</v>
      </c>
      <c r="U255" s="506">
        <v>2618259</v>
      </c>
      <c r="V255" s="510"/>
    </row>
    <row r="256" spans="1:22" s="270" customFormat="1" ht="15" customHeight="1">
      <c r="A256" s="317"/>
      <c r="B256" s="334">
        <f t="shared" si="10"/>
        <v>246</v>
      </c>
      <c r="C256" s="289" t="s">
        <v>416</v>
      </c>
      <c r="D256" s="330" t="s">
        <v>270</v>
      </c>
      <c r="E256" s="289" t="s">
        <v>736</v>
      </c>
      <c r="F256" s="360" t="s">
        <v>737</v>
      </c>
      <c r="G256" s="500">
        <v>8</v>
      </c>
      <c r="H256" s="501" t="s">
        <v>429</v>
      </c>
      <c r="I256" s="502" t="s">
        <v>1028</v>
      </c>
      <c r="J256" s="503">
        <v>5.2999999999999999E-2</v>
      </c>
      <c r="K256" s="504">
        <v>45044</v>
      </c>
      <c r="L256" s="504">
        <v>48089</v>
      </c>
      <c r="M256" s="504">
        <v>45869</v>
      </c>
      <c r="N256" s="505" t="s">
        <v>196</v>
      </c>
      <c r="O256" s="506">
        <v>972000000</v>
      </c>
      <c r="P256" s="507" t="s">
        <v>196</v>
      </c>
      <c r="Q256" s="508">
        <v>156695000</v>
      </c>
      <c r="R256" s="508">
        <v>156695000</v>
      </c>
      <c r="S256" s="508">
        <v>0</v>
      </c>
      <c r="T256" s="509">
        <v>156695000</v>
      </c>
      <c r="U256" s="506">
        <v>773601</v>
      </c>
      <c r="V256" s="510"/>
    </row>
    <row r="257" spans="1:22" s="270" customFormat="1" ht="15" customHeight="1">
      <c r="A257" s="317"/>
      <c r="B257" s="334">
        <f t="shared" si="10"/>
        <v>247</v>
      </c>
      <c r="C257" s="289" t="s">
        <v>416</v>
      </c>
      <c r="D257" s="330" t="s">
        <v>270</v>
      </c>
      <c r="E257" s="289" t="s">
        <v>736</v>
      </c>
      <c r="F257" s="360" t="s">
        <v>737</v>
      </c>
      <c r="G257" s="500">
        <v>9</v>
      </c>
      <c r="H257" s="501" t="s">
        <v>429</v>
      </c>
      <c r="I257" s="502" t="s">
        <v>1028</v>
      </c>
      <c r="J257" s="503">
        <v>5.2999999999999999E-2</v>
      </c>
      <c r="K257" s="504">
        <v>45044</v>
      </c>
      <c r="L257" s="504">
        <v>48089</v>
      </c>
      <c r="M257" s="504">
        <v>45624</v>
      </c>
      <c r="N257" s="505" t="s">
        <v>196</v>
      </c>
      <c r="O257" s="506">
        <v>972000000</v>
      </c>
      <c r="P257" s="507" t="s">
        <v>196</v>
      </c>
      <c r="Q257" s="508">
        <v>815305000</v>
      </c>
      <c r="R257" s="508">
        <v>815305000</v>
      </c>
      <c r="S257" s="508">
        <v>0</v>
      </c>
      <c r="T257" s="509">
        <v>815305000</v>
      </c>
      <c r="U257" s="506">
        <v>25628645</v>
      </c>
      <c r="V257" s="510"/>
    </row>
    <row r="258" spans="1:22" s="270" customFormat="1" ht="15" customHeight="1">
      <c r="A258" s="317"/>
      <c r="B258" s="334">
        <f t="shared" si="10"/>
        <v>248</v>
      </c>
      <c r="C258" s="289" t="s">
        <v>416</v>
      </c>
      <c r="D258" s="330" t="s">
        <v>270</v>
      </c>
      <c r="E258" s="289" t="s">
        <v>736</v>
      </c>
      <c r="F258" s="360" t="s">
        <v>737</v>
      </c>
      <c r="G258" s="500">
        <v>10</v>
      </c>
      <c r="H258" s="501" t="s">
        <v>429</v>
      </c>
      <c r="I258" s="502" t="s">
        <v>1029</v>
      </c>
      <c r="J258" s="503">
        <v>5.2999999999999999E-2</v>
      </c>
      <c r="K258" s="504">
        <v>45044</v>
      </c>
      <c r="L258" s="504">
        <v>48297</v>
      </c>
      <c r="M258" s="504">
        <v>45649</v>
      </c>
      <c r="N258" s="505" t="s">
        <v>196</v>
      </c>
      <c r="O258" s="506">
        <v>1200000000</v>
      </c>
      <c r="P258" s="507" t="s">
        <v>196</v>
      </c>
      <c r="Q258" s="508">
        <v>1200000000</v>
      </c>
      <c r="R258" s="508">
        <v>1200000000</v>
      </c>
      <c r="S258" s="508">
        <v>0</v>
      </c>
      <c r="T258" s="509">
        <v>1200000000</v>
      </c>
      <c r="U258" s="506">
        <v>28526542</v>
      </c>
      <c r="V258" s="510"/>
    </row>
    <row r="259" spans="1:22" s="270" customFormat="1" ht="15" customHeight="1">
      <c r="A259" s="317"/>
      <c r="B259" s="334">
        <f t="shared" si="10"/>
        <v>249</v>
      </c>
      <c r="C259" s="289" t="s">
        <v>416</v>
      </c>
      <c r="D259" s="330" t="s">
        <v>270</v>
      </c>
      <c r="E259" s="289" t="s">
        <v>736</v>
      </c>
      <c r="F259" s="360" t="s">
        <v>737</v>
      </c>
      <c r="G259" s="500">
        <v>11</v>
      </c>
      <c r="H259" s="501" t="s">
        <v>441</v>
      </c>
      <c r="I259" s="502" t="s">
        <v>1030</v>
      </c>
      <c r="J259" s="503"/>
      <c r="K259" s="504">
        <v>45852</v>
      </c>
      <c r="L259" s="504"/>
      <c r="M259" s="504"/>
      <c r="N259" s="505" t="s">
        <v>196</v>
      </c>
      <c r="O259" s="506">
        <v>1347400</v>
      </c>
      <c r="P259" s="507" t="s">
        <v>196</v>
      </c>
      <c r="Q259" s="508">
        <v>0</v>
      </c>
      <c r="R259" s="508">
        <v>0</v>
      </c>
      <c r="S259" s="508">
        <v>1347400</v>
      </c>
      <c r="T259" s="509">
        <v>1347400</v>
      </c>
      <c r="U259" s="506">
        <v>0</v>
      </c>
      <c r="V259" s="510" t="s">
        <v>438</v>
      </c>
    </row>
    <row r="260" spans="1:22" s="270" customFormat="1" ht="15" customHeight="1">
      <c r="A260" s="317"/>
      <c r="B260" s="334">
        <f t="shared" si="10"/>
        <v>250</v>
      </c>
      <c r="C260" s="289" t="s">
        <v>416</v>
      </c>
      <c r="D260" s="330" t="s">
        <v>270</v>
      </c>
      <c r="E260" s="289" t="s">
        <v>736</v>
      </c>
      <c r="F260" s="360" t="s">
        <v>737</v>
      </c>
      <c r="G260" s="500">
        <v>12</v>
      </c>
      <c r="H260" s="501" t="s">
        <v>441</v>
      </c>
      <c r="I260" s="502" t="s">
        <v>1031</v>
      </c>
      <c r="J260" s="503"/>
      <c r="K260" s="504">
        <v>45756</v>
      </c>
      <c r="L260" s="504"/>
      <c r="M260" s="504"/>
      <c r="N260" s="505" t="s">
        <v>196</v>
      </c>
      <c r="O260" s="506">
        <v>16659800</v>
      </c>
      <c r="P260" s="507" t="s">
        <v>196</v>
      </c>
      <c r="Q260" s="508">
        <v>0</v>
      </c>
      <c r="R260" s="508">
        <v>0</v>
      </c>
      <c r="S260" s="508">
        <v>16659800</v>
      </c>
      <c r="T260" s="509">
        <v>16659800</v>
      </c>
      <c r="U260" s="506">
        <v>0</v>
      </c>
      <c r="V260" s="510" t="s">
        <v>439</v>
      </c>
    </row>
    <row r="261" spans="1:22" s="270" customFormat="1" ht="15" customHeight="1">
      <c r="A261" s="317"/>
      <c r="B261" s="334">
        <f t="shared" si="10"/>
        <v>251</v>
      </c>
      <c r="C261" s="289" t="s">
        <v>416</v>
      </c>
      <c r="D261" s="330" t="s">
        <v>270</v>
      </c>
      <c r="E261" s="289" t="s">
        <v>736</v>
      </c>
      <c r="F261" s="360" t="s">
        <v>737</v>
      </c>
      <c r="G261" s="500">
        <v>13</v>
      </c>
      <c r="H261" s="501" t="s">
        <v>441</v>
      </c>
      <c r="I261" s="502" t="s">
        <v>1032</v>
      </c>
      <c r="J261" s="503"/>
      <c r="K261" s="504">
        <v>45734</v>
      </c>
      <c r="L261" s="504"/>
      <c r="M261" s="504"/>
      <c r="N261" s="505" t="s">
        <v>196</v>
      </c>
      <c r="O261" s="506">
        <v>1460510</v>
      </c>
      <c r="P261" s="507" t="s">
        <v>196</v>
      </c>
      <c r="Q261" s="508">
        <v>0</v>
      </c>
      <c r="R261" s="508">
        <v>0</v>
      </c>
      <c r="S261" s="508">
        <v>1434730</v>
      </c>
      <c r="T261" s="509">
        <v>1434730</v>
      </c>
      <c r="U261" s="506">
        <v>0</v>
      </c>
      <c r="V261" s="510" t="s">
        <v>437</v>
      </c>
    </row>
    <row r="262" spans="1:22" s="270" customFormat="1" ht="15" customHeight="1">
      <c r="A262" s="317"/>
      <c r="B262" s="334">
        <f t="shared" si="10"/>
        <v>252</v>
      </c>
      <c r="C262" s="289" t="s">
        <v>416</v>
      </c>
      <c r="D262" s="330" t="s">
        <v>270</v>
      </c>
      <c r="E262" s="289" t="s">
        <v>736</v>
      </c>
      <c r="F262" s="360" t="s">
        <v>737</v>
      </c>
      <c r="G262" s="500">
        <v>14</v>
      </c>
      <c r="H262" s="501" t="s">
        <v>441</v>
      </c>
      <c r="I262" s="502" t="s">
        <v>1033</v>
      </c>
      <c r="J262" s="503"/>
      <c r="K262" s="504">
        <v>45748</v>
      </c>
      <c r="L262" s="504"/>
      <c r="M262" s="504"/>
      <c r="N262" s="505" t="s">
        <v>196</v>
      </c>
      <c r="O262" s="506">
        <v>531300</v>
      </c>
      <c r="P262" s="507" t="s">
        <v>196</v>
      </c>
      <c r="Q262" s="508">
        <v>0</v>
      </c>
      <c r="R262" s="508">
        <v>0</v>
      </c>
      <c r="S262" s="508">
        <v>531300</v>
      </c>
      <c r="T262" s="509">
        <v>531300</v>
      </c>
      <c r="U262" s="506">
        <v>0</v>
      </c>
      <c r="V262" s="510" t="s">
        <v>440</v>
      </c>
    </row>
    <row r="263" spans="1:22" s="270" customFormat="1" ht="15" customHeight="1">
      <c r="A263" s="317"/>
      <c r="B263" s="334">
        <f t="shared" si="10"/>
        <v>253</v>
      </c>
      <c r="C263" s="289" t="s">
        <v>416</v>
      </c>
      <c r="D263" s="330" t="s">
        <v>270</v>
      </c>
      <c r="E263" s="289" t="s">
        <v>736</v>
      </c>
      <c r="F263" s="360" t="s">
        <v>737</v>
      </c>
      <c r="G263" s="500">
        <v>15</v>
      </c>
      <c r="H263" s="501" t="s">
        <v>441</v>
      </c>
      <c r="I263" s="502" t="s">
        <v>1034</v>
      </c>
      <c r="J263" s="503"/>
      <c r="K263" s="504">
        <v>45777</v>
      </c>
      <c r="L263" s="504"/>
      <c r="M263" s="504"/>
      <c r="N263" s="505" t="s">
        <v>196</v>
      </c>
      <c r="O263" s="506">
        <v>759000</v>
      </c>
      <c r="P263" s="507" t="s">
        <v>196</v>
      </c>
      <c r="Q263" s="508">
        <v>0</v>
      </c>
      <c r="R263" s="508">
        <v>0</v>
      </c>
      <c r="S263" s="508">
        <v>759000</v>
      </c>
      <c r="T263" s="509">
        <v>759000</v>
      </c>
      <c r="U263" s="506">
        <v>0</v>
      </c>
      <c r="V263" s="510" t="s">
        <v>440</v>
      </c>
    </row>
    <row r="264" spans="1:22" s="270" customFormat="1" ht="15" customHeight="1">
      <c r="A264" s="317"/>
      <c r="B264" s="334">
        <f t="shared" si="10"/>
        <v>254</v>
      </c>
      <c r="C264" s="289" t="s">
        <v>416</v>
      </c>
      <c r="D264" s="330" t="s">
        <v>270</v>
      </c>
      <c r="E264" s="289" t="s">
        <v>736</v>
      </c>
      <c r="F264" s="360" t="s">
        <v>737</v>
      </c>
      <c r="G264" s="500">
        <v>16</v>
      </c>
      <c r="H264" s="501" t="s">
        <v>441</v>
      </c>
      <c r="I264" s="502" t="s">
        <v>1035</v>
      </c>
      <c r="J264" s="503"/>
      <c r="K264" s="504">
        <v>45812</v>
      </c>
      <c r="L264" s="504"/>
      <c r="M264" s="504"/>
      <c r="N264" s="505" t="s">
        <v>196</v>
      </c>
      <c r="O264" s="506">
        <v>784300</v>
      </c>
      <c r="P264" s="507" t="s">
        <v>196</v>
      </c>
      <c r="Q264" s="508">
        <v>0</v>
      </c>
      <c r="R264" s="508">
        <v>0</v>
      </c>
      <c r="S264" s="508">
        <v>784300</v>
      </c>
      <c r="T264" s="509">
        <v>784300</v>
      </c>
      <c r="U264" s="506">
        <v>0</v>
      </c>
      <c r="V264" s="510" t="s">
        <v>440</v>
      </c>
    </row>
    <row r="265" spans="1:22" s="270" customFormat="1" ht="15" customHeight="1">
      <c r="A265" s="317"/>
      <c r="B265" s="334">
        <f t="shared" si="10"/>
        <v>255</v>
      </c>
      <c r="C265" s="289" t="s">
        <v>416</v>
      </c>
      <c r="D265" s="330" t="s">
        <v>270</v>
      </c>
      <c r="E265" s="289" t="s">
        <v>736</v>
      </c>
      <c r="F265" s="360" t="s">
        <v>737</v>
      </c>
      <c r="G265" s="500">
        <v>17</v>
      </c>
      <c r="H265" s="501" t="s">
        <v>441</v>
      </c>
      <c r="I265" s="502" t="s">
        <v>1036</v>
      </c>
      <c r="J265" s="503"/>
      <c r="K265" s="504">
        <v>45838</v>
      </c>
      <c r="L265" s="504"/>
      <c r="M265" s="504"/>
      <c r="N265" s="505" t="s">
        <v>196</v>
      </c>
      <c r="O265" s="506">
        <v>759000</v>
      </c>
      <c r="P265" s="507" t="s">
        <v>196</v>
      </c>
      <c r="Q265" s="508">
        <v>0</v>
      </c>
      <c r="R265" s="508">
        <v>0</v>
      </c>
      <c r="S265" s="508">
        <v>759000</v>
      </c>
      <c r="T265" s="509">
        <v>759000</v>
      </c>
      <c r="U265" s="506">
        <v>0</v>
      </c>
      <c r="V265" s="510" t="s">
        <v>440</v>
      </c>
    </row>
    <row r="266" spans="1:22" s="270" customFormat="1" ht="15" customHeight="1">
      <c r="A266" s="317"/>
      <c r="B266" s="334">
        <f t="shared" si="10"/>
        <v>256</v>
      </c>
      <c r="C266" s="289" t="s">
        <v>416</v>
      </c>
      <c r="D266" s="330" t="s">
        <v>270</v>
      </c>
      <c r="E266" s="289" t="s">
        <v>736</v>
      </c>
      <c r="F266" s="360" t="s">
        <v>737</v>
      </c>
      <c r="G266" s="500">
        <v>18</v>
      </c>
      <c r="H266" s="501" t="s">
        <v>441</v>
      </c>
      <c r="I266" s="502" t="s">
        <v>1037</v>
      </c>
      <c r="J266" s="503"/>
      <c r="K266" s="504">
        <v>45869</v>
      </c>
      <c r="L266" s="504"/>
      <c r="M266" s="504"/>
      <c r="N266" s="505" t="s">
        <v>196</v>
      </c>
      <c r="O266" s="506">
        <v>784300</v>
      </c>
      <c r="P266" s="507" t="s">
        <v>196</v>
      </c>
      <c r="Q266" s="508">
        <v>0</v>
      </c>
      <c r="R266" s="508">
        <v>0</v>
      </c>
      <c r="S266" s="508">
        <v>784300</v>
      </c>
      <c r="T266" s="509">
        <v>784300</v>
      </c>
      <c r="U266" s="506">
        <v>0</v>
      </c>
      <c r="V266" s="510" t="s">
        <v>440</v>
      </c>
    </row>
    <row r="267" spans="1:22" s="270" customFormat="1" ht="15" customHeight="1">
      <c r="A267" s="317"/>
      <c r="B267" s="334">
        <f t="shared" ref="B267:B291" si="11">ROW()-10</f>
        <v>257</v>
      </c>
      <c r="C267" s="289" t="s">
        <v>416</v>
      </c>
      <c r="D267" s="330" t="s">
        <v>270</v>
      </c>
      <c r="E267" s="289" t="s">
        <v>293</v>
      </c>
      <c r="F267" s="360" t="s">
        <v>738</v>
      </c>
      <c r="G267" s="500">
        <v>1</v>
      </c>
      <c r="H267" s="501" t="s">
        <v>422</v>
      </c>
      <c r="I267" s="502" t="s">
        <v>1038</v>
      </c>
      <c r="J267" s="503">
        <v>6.83E-2</v>
      </c>
      <c r="K267" s="504">
        <v>45385</v>
      </c>
      <c r="L267" s="504">
        <v>46480</v>
      </c>
      <c r="M267" s="504">
        <v>45869</v>
      </c>
      <c r="N267" s="505" t="s">
        <v>196</v>
      </c>
      <c r="O267" s="506">
        <v>2600000000</v>
      </c>
      <c r="P267" s="507" t="s">
        <v>196</v>
      </c>
      <c r="Q267" s="508">
        <v>263549065</v>
      </c>
      <c r="R267" s="508">
        <v>263549065</v>
      </c>
      <c r="S267" s="508">
        <v>0</v>
      </c>
      <c r="T267" s="509">
        <v>263549065</v>
      </c>
      <c r="U267" s="506">
        <v>1677731</v>
      </c>
      <c r="V267" s="510"/>
    </row>
    <row r="268" spans="1:22" s="270" customFormat="1" ht="15" customHeight="1">
      <c r="A268" s="317"/>
      <c r="B268" s="334">
        <f t="shared" si="11"/>
        <v>258</v>
      </c>
      <c r="C268" s="289" t="s">
        <v>416</v>
      </c>
      <c r="D268" s="330" t="s">
        <v>270</v>
      </c>
      <c r="E268" s="289" t="s">
        <v>293</v>
      </c>
      <c r="F268" s="360" t="s">
        <v>738</v>
      </c>
      <c r="G268" s="500">
        <v>2</v>
      </c>
      <c r="H268" s="501" t="s">
        <v>422</v>
      </c>
      <c r="I268" s="502" t="s">
        <v>1038</v>
      </c>
      <c r="J268" s="503">
        <v>6.83E-2</v>
      </c>
      <c r="K268" s="504">
        <v>45385</v>
      </c>
      <c r="L268" s="504">
        <v>46480</v>
      </c>
      <c r="M268" s="504">
        <v>45598</v>
      </c>
      <c r="N268" s="505" t="s">
        <v>196</v>
      </c>
      <c r="O268" s="506">
        <v>2600000000</v>
      </c>
      <c r="P268" s="507" t="s">
        <v>196</v>
      </c>
      <c r="Q268" s="508">
        <v>2336450935</v>
      </c>
      <c r="R268" s="508">
        <v>2336450935</v>
      </c>
      <c r="S268" s="508">
        <v>0</v>
      </c>
      <c r="T268" s="509">
        <v>2336450935</v>
      </c>
      <c r="U268" s="506">
        <v>120112465</v>
      </c>
      <c r="V268" s="510"/>
    </row>
    <row r="269" spans="1:22" s="270" customFormat="1" ht="15" customHeight="1">
      <c r="A269" s="317"/>
      <c r="B269" s="334">
        <f t="shared" si="11"/>
        <v>259</v>
      </c>
      <c r="C269" s="289" t="s">
        <v>416</v>
      </c>
      <c r="D269" s="330" t="s">
        <v>270</v>
      </c>
      <c r="E269" s="289" t="s">
        <v>293</v>
      </c>
      <c r="F269" s="360" t="s">
        <v>738</v>
      </c>
      <c r="G269" s="500">
        <v>3</v>
      </c>
      <c r="H269" s="501" t="s">
        <v>433</v>
      </c>
      <c r="I269" s="502" t="s">
        <v>1039</v>
      </c>
      <c r="J269" s="503">
        <v>9.5500000000000002E-2</v>
      </c>
      <c r="K269" s="504">
        <v>45446</v>
      </c>
      <c r="L269" s="504">
        <v>45715</v>
      </c>
      <c r="M269" s="504">
        <v>45869</v>
      </c>
      <c r="N269" s="505" t="s">
        <v>196</v>
      </c>
      <c r="O269" s="506">
        <v>72215000</v>
      </c>
      <c r="P269" s="507" t="s">
        <v>196</v>
      </c>
      <c r="Q269" s="508">
        <v>72215000</v>
      </c>
      <c r="R269" s="508">
        <v>72215000</v>
      </c>
      <c r="S269" s="508">
        <v>0</v>
      </c>
      <c r="T269" s="509">
        <v>72215000</v>
      </c>
      <c r="U269" s="506">
        <v>4320757</v>
      </c>
      <c r="V269" s="510"/>
    </row>
    <row r="270" spans="1:22" s="270" customFormat="1" ht="15" customHeight="1">
      <c r="A270" s="317"/>
      <c r="B270" s="334">
        <f t="shared" si="11"/>
        <v>260</v>
      </c>
      <c r="C270" s="289" t="s">
        <v>416</v>
      </c>
      <c r="D270" s="330" t="s">
        <v>270</v>
      </c>
      <c r="E270" s="289" t="s">
        <v>293</v>
      </c>
      <c r="F270" s="360" t="s">
        <v>738</v>
      </c>
      <c r="G270" s="500">
        <v>4</v>
      </c>
      <c r="H270" s="501" t="s">
        <v>433</v>
      </c>
      <c r="I270" s="502" t="s">
        <v>1040</v>
      </c>
      <c r="J270" s="503">
        <v>9.5500000000000002E-2</v>
      </c>
      <c r="K270" s="504">
        <v>45446</v>
      </c>
      <c r="L270" s="504">
        <v>45715</v>
      </c>
      <c r="M270" s="504">
        <v>45869</v>
      </c>
      <c r="N270" s="505" t="s">
        <v>196</v>
      </c>
      <c r="O270" s="506">
        <v>120930000</v>
      </c>
      <c r="P270" s="507" t="s">
        <v>196</v>
      </c>
      <c r="Q270" s="508">
        <v>120930000</v>
      </c>
      <c r="R270" s="508">
        <v>120930000</v>
      </c>
      <c r="S270" s="508">
        <v>0</v>
      </c>
      <c r="T270" s="509">
        <v>120930000</v>
      </c>
      <c r="U270" s="506">
        <v>7235469</v>
      </c>
      <c r="V270" s="510"/>
    </row>
    <row r="271" spans="1:22" s="270" customFormat="1" ht="15" customHeight="1">
      <c r="A271" s="317"/>
      <c r="B271" s="334">
        <f t="shared" si="11"/>
        <v>261</v>
      </c>
      <c r="C271" s="289" t="s">
        <v>416</v>
      </c>
      <c r="D271" s="330" t="s">
        <v>270</v>
      </c>
      <c r="E271" s="289" t="s">
        <v>293</v>
      </c>
      <c r="F271" s="360" t="s">
        <v>738</v>
      </c>
      <c r="G271" s="500">
        <v>5</v>
      </c>
      <c r="H271" s="501" t="s">
        <v>433</v>
      </c>
      <c r="I271" s="502" t="s">
        <v>1041</v>
      </c>
      <c r="J271" s="503">
        <v>9.6099999999999991E-2</v>
      </c>
      <c r="K271" s="504">
        <v>45483</v>
      </c>
      <c r="L271" s="504">
        <v>45635</v>
      </c>
      <c r="M271" s="504">
        <v>45869</v>
      </c>
      <c r="N271" s="505" t="s">
        <v>196</v>
      </c>
      <c r="O271" s="506">
        <v>6821100</v>
      </c>
      <c r="P271" s="507" t="s">
        <v>196</v>
      </c>
      <c r="Q271" s="508">
        <v>6717971</v>
      </c>
      <c r="R271" s="508">
        <v>6717971</v>
      </c>
      <c r="S271" s="508">
        <v>0</v>
      </c>
      <c r="T271" s="509">
        <v>6717971</v>
      </c>
      <c r="U271" s="506">
        <v>424515</v>
      </c>
      <c r="V271" s="510"/>
    </row>
    <row r="272" spans="1:22" s="270" customFormat="1" ht="15" customHeight="1">
      <c r="A272" s="317"/>
      <c r="B272" s="334">
        <f t="shared" si="11"/>
        <v>262</v>
      </c>
      <c r="C272" s="289" t="s">
        <v>416</v>
      </c>
      <c r="D272" s="330" t="s">
        <v>270</v>
      </c>
      <c r="E272" s="289" t="s">
        <v>293</v>
      </c>
      <c r="F272" s="360" t="s">
        <v>738</v>
      </c>
      <c r="G272" s="500">
        <v>6</v>
      </c>
      <c r="H272" s="501" t="s">
        <v>212</v>
      </c>
      <c r="I272" s="502" t="s">
        <v>1042</v>
      </c>
      <c r="J272" s="503">
        <v>8.7899999999999992E-2</v>
      </c>
      <c r="K272" s="504">
        <v>45547</v>
      </c>
      <c r="L272" s="504">
        <v>45669</v>
      </c>
      <c r="M272" s="504">
        <v>45869</v>
      </c>
      <c r="N272" s="505" t="s">
        <v>196</v>
      </c>
      <c r="O272" s="506">
        <v>100000000</v>
      </c>
      <c r="P272" s="507" t="s">
        <v>196</v>
      </c>
      <c r="Q272" s="508">
        <v>4556223</v>
      </c>
      <c r="R272" s="508">
        <v>4556223</v>
      </c>
      <c r="S272" s="508">
        <v>0</v>
      </c>
      <c r="T272" s="509">
        <v>4556223</v>
      </c>
      <c r="U272" s="506">
        <v>37342</v>
      </c>
      <c r="V272" s="510"/>
    </row>
    <row r="273" spans="1:22" s="270" customFormat="1" ht="15" customHeight="1">
      <c r="A273" s="317"/>
      <c r="B273" s="334">
        <f t="shared" si="11"/>
        <v>263</v>
      </c>
      <c r="C273" s="289" t="s">
        <v>416</v>
      </c>
      <c r="D273" s="330" t="s">
        <v>270</v>
      </c>
      <c r="E273" s="289" t="s">
        <v>293</v>
      </c>
      <c r="F273" s="360" t="s">
        <v>738</v>
      </c>
      <c r="G273" s="500">
        <v>7</v>
      </c>
      <c r="H273" s="501" t="s">
        <v>212</v>
      </c>
      <c r="I273" s="502" t="s">
        <v>1042</v>
      </c>
      <c r="J273" s="503">
        <v>8.7899999999999992E-2</v>
      </c>
      <c r="K273" s="504">
        <v>45547</v>
      </c>
      <c r="L273" s="504">
        <v>45669</v>
      </c>
      <c r="M273" s="504">
        <v>45607</v>
      </c>
      <c r="N273" s="505" t="s">
        <v>196</v>
      </c>
      <c r="O273" s="506">
        <v>100000000</v>
      </c>
      <c r="P273" s="507" t="s">
        <v>196</v>
      </c>
      <c r="Q273" s="508">
        <v>95443777</v>
      </c>
      <c r="R273" s="508">
        <v>95443777</v>
      </c>
      <c r="S273" s="508">
        <v>0</v>
      </c>
      <c r="T273" s="509">
        <v>95443777</v>
      </c>
      <c r="U273" s="506">
        <v>5960144</v>
      </c>
      <c r="V273" s="510"/>
    </row>
    <row r="274" spans="1:22" s="270" customFormat="1" ht="15" customHeight="1">
      <c r="A274" s="317"/>
      <c r="B274" s="334">
        <f t="shared" si="11"/>
        <v>264</v>
      </c>
      <c r="C274" s="289" t="s">
        <v>416</v>
      </c>
      <c r="D274" s="330" t="s">
        <v>270</v>
      </c>
      <c r="E274" s="289" t="s">
        <v>292</v>
      </c>
      <c r="F274" s="360" t="s">
        <v>739</v>
      </c>
      <c r="G274" s="500">
        <v>1</v>
      </c>
      <c r="H274" s="501" t="s">
        <v>212</v>
      </c>
      <c r="I274" s="502" t="s">
        <v>1043</v>
      </c>
      <c r="J274" s="503">
        <v>8.6699999999999999E-2</v>
      </c>
      <c r="K274" s="504">
        <v>42650</v>
      </c>
      <c r="L274" s="504">
        <v>45926</v>
      </c>
      <c r="M274" s="504">
        <v>45721</v>
      </c>
      <c r="N274" s="505" t="s">
        <v>196</v>
      </c>
      <c r="O274" s="506">
        <v>299091950</v>
      </c>
      <c r="P274" s="507" t="s">
        <v>196</v>
      </c>
      <c r="Q274" s="508">
        <v>299091950</v>
      </c>
      <c r="R274" s="508">
        <v>299091950</v>
      </c>
      <c r="S274" s="508">
        <v>0</v>
      </c>
      <c r="T274" s="509">
        <v>299091950</v>
      </c>
      <c r="U274" s="506">
        <v>8911937</v>
      </c>
      <c r="V274" s="510"/>
    </row>
    <row r="275" spans="1:22" s="270" customFormat="1" ht="15" customHeight="1">
      <c r="A275" s="317"/>
      <c r="B275" s="334">
        <f t="shared" si="11"/>
        <v>265</v>
      </c>
      <c r="C275" s="289" t="s">
        <v>416</v>
      </c>
      <c r="D275" s="330" t="s">
        <v>270</v>
      </c>
      <c r="E275" s="289" t="s">
        <v>292</v>
      </c>
      <c r="F275" s="360" t="s">
        <v>739</v>
      </c>
      <c r="G275" s="500">
        <v>2</v>
      </c>
      <c r="H275" s="501" t="s">
        <v>212</v>
      </c>
      <c r="I275" s="502" t="s">
        <v>1044</v>
      </c>
      <c r="J275" s="503">
        <v>8.7400000000000005E-2</v>
      </c>
      <c r="K275" s="504">
        <v>43908</v>
      </c>
      <c r="L275" s="504">
        <v>45734</v>
      </c>
      <c r="M275" s="504">
        <v>45706</v>
      </c>
      <c r="N275" s="505" t="s">
        <v>196</v>
      </c>
      <c r="O275" s="506">
        <v>200000000</v>
      </c>
      <c r="P275" s="507" t="s">
        <v>196</v>
      </c>
      <c r="Q275" s="508">
        <v>200000000</v>
      </c>
      <c r="R275" s="508">
        <v>200000000</v>
      </c>
      <c r="S275" s="508">
        <v>0</v>
      </c>
      <c r="T275" s="509">
        <v>200000000</v>
      </c>
      <c r="U275" s="506">
        <v>6930926</v>
      </c>
      <c r="V275" s="510"/>
    </row>
    <row r="276" spans="1:22" s="270" customFormat="1" ht="15" customHeight="1">
      <c r="A276" s="317"/>
      <c r="B276" s="334">
        <f t="shared" si="11"/>
        <v>266</v>
      </c>
      <c r="C276" s="289" t="s">
        <v>416</v>
      </c>
      <c r="D276" s="330" t="s">
        <v>270</v>
      </c>
      <c r="E276" s="289" t="s">
        <v>292</v>
      </c>
      <c r="F276" s="360" t="s">
        <v>739</v>
      </c>
      <c r="G276" s="500">
        <v>3</v>
      </c>
      <c r="H276" s="501" t="s">
        <v>212</v>
      </c>
      <c r="I276" s="502" t="s">
        <v>1045</v>
      </c>
      <c r="J276" s="503">
        <v>8.8800000000000004E-2</v>
      </c>
      <c r="K276" s="504">
        <v>43913</v>
      </c>
      <c r="L276" s="504">
        <v>45739</v>
      </c>
      <c r="M276" s="504">
        <v>45706</v>
      </c>
      <c r="N276" s="505" t="s">
        <v>196</v>
      </c>
      <c r="O276" s="506">
        <v>300000000</v>
      </c>
      <c r="P276" s="507" t="s">
        <v>196</v>
      </c>
      <c r="Q276" s="508">
        <v>300000000</v>
      </c>
      <c r="R276" s="508">
        <v>300000000</v>
      </c>
      <c r="S276" s="508">
        <v>0</v>
      </c>
      <c r="T276" s="509">
        <v>300000000</v>
      </c>
      <c r="U276" s="506">
        <v>10388402</v>
      </c>
      <c r="V276" s="510"/>
    </row>
    <row r="277" spans="1:22" s="270" customFormat="1" ht="15" customHeight="1">
      <c r="A277" s="317"/>
      <c r="B277" s="334">
        <f t="shared" si="11"/>
        <v>267</v>
      </c>
      <c r="C277" s="289" t="s">
        <v>416</v>
      </c>
      <c r="D277" s="330" t="s">
        <v>270</v>
      </c>
      <c r="E277" s="289" t="s">
        <v>292</v>
      </c>
      <c r="F277" s="360" t="s">
        <v>739</v>
      </c>
      <c r="G277" s="500">
        <v>4</v>
      </c>
      <c r="H277" s="501" t="s">
        <v>212</v>
      </c>
      <c r="I277" s="502" t="s">
        <v>1046</v>
      </c>
      <c r="J277" s="503">
        <v>8.7100000000000011E-2</v>
      </c>
      <c r="K277" s="504">
        <v>44019</v>
      </c>
      <c r="L277" s="504">
        <v>45835</v>
      </c>
      <c r="M277" s="504">
        <v>45869</v>
      </c>
      <c r="N277" s="505" t="s">
        <v>196</v>
      </c>
      <c r="O277" s="506">
        <v>100000000</v>
      </c>
      <c r="P277" s="507" t="s">
        <v>196</v>
      </c>
      <c r="Q277" s="508">
        <v>5000000</v>
      </c>
      <c r="R277" s="508">
        <v>5000000</v>
      </c>
      <c r="S277" s="508">
        <v>0</v>
      </c>
      <c r="T277" s="509">
        <v>5000000</v>
      </c>
      <c r="U277" s="506">
        <v>40568</v>
      </c>
      <c r="V277" s="510"/>
    </row>
    <row r="278" spans="1:22" s="270" customFormat="1" ht="15" customHeight="1">
      <c r="A278" s="317"/>
      <c r="B278" s="334">
        <f t="shared" si="11"/>
        <v>268</v>
      </c>
      <c r="C278" s="289" t="s">
        <v>416</v>
      </c>
      <c r="D278" s="330" t="s">
        <v>270</v>
      </c>
      <c r="E278" s="289" t="s">
        <v>292</v>
      </c>
      <c r="F278" s="360" t="s">
        <v>739</v>
      </c>
      <c r="G278" s="500">
        <v>5</v>
      </c>
      <c r="H278" s="501" t="s">
        <v>212</v>
      </c>
      <c r="I278" s="502" t="s">
        <v>1046</v>
      </c>
      <c r="J278" s="503">
        <v>8.7100000000000011E-2</v>
      </c>
      <c r="K278" s="504">
        <v>44019</v>
      </c>
      <c r="L278" s="504">
        <v>45835</v>
      </c>
      <c r="M278" s="504">
        <v>45715</v>
      </c>
      <c r="N278" s="505" t="s">
        <v>196</v>
      </c>
      <c r="O278" s="506">
        <v>100000000</v>
      </c>
      <c r="P278" s="507" t="s">
        <v>196</v>
      </c>
      <c r="Q278" s="508">
        <v>95000000</v>
      </c>
      <c r="R278" s="508">
        <v>95000000</v>
      </c>
      <c r="S278" s="508">
        <v>0</v>
      </c>
      <c r="T278" s="509">
        <v>95000000</v>
      </c>
      <c r="U278" s="506">
        <v>3211721</v>
      </c>
      <c r="V278" s="510"/>
    </row>
    <row r="279" spans="1:22" s="270" customFormat="1" ht="15" customHeight="1">
      <c r="A279" s="317"/>
      <c r="B279" s="334">
        <f t="shared" si="11"/>
        <v>269</v>
      </c>
      <c r="C279" s="289" t="s">
        <v>416</v>
      </c>
      <c r="D279" s="330" t="s">
        <v>270</v>
      </c>
      <c r="E279" s="289" t="s">
        <v>292</v>
      </c>
      <c r="F279" s="360" t="s">
        <v>739</v>
      </c>
      <c r="G279" s="500">
        <v>6</v>
      </c>
      <c r="H279" s="501" t="s">
        <v>212</v>
      </c>
      <c r="I279" s="502" t="s">
        <v>1047</v>
      </c>
      <c r="J279" s="503">
        <v>8.9800000000000005E-2</v>
      </c>
      <c r="K279" s="504">
        <v>44019</v>
      </c>
      <c r="L279" s="504">
        <v>45835</v>
      </c>
      <c r="M279" s="504">
        <v>45715</v>
      </c>
      <c r="N279" s="505" t="s">
        <v>196</v>
      </c>
      <c r="O279" s="506">
        <v>300000000</v>
      </c>
      <c r="P279" s="507" t="s">
        <v>196</v>
      </c>
      <c r="Q279" s="508">
        <v>300000000</v>
      </c>
      <c r="R279" s="508">
        <v>300000000</v>
      </c>
      <c r="S279" s="508">
        <v>0</v>
      </c>
      <c r="T279" s="509">
        <v>300000000</v>
      </c>
      <c r="U279" s="506">
        <v>10038734</v>
      </c>
      <c r="V279" s="510"/>
    </row>
    <row r="280" spans="1:22" s="270" customFormat="1" ht="15" customHeight="1">
      <c r="A280" s="317"/>
      <c r="B280" s="334">
        <f t="shared" si="11"/>
        <v>270</v>
      </c>
      <c r="C280" s="289" t="s">
        <v>416</v>
      </c>
      <c r="D280" s="330" t="s">
        <v>270</v>
      </c>
      <c r="E280" s="289" t="s">
        <v>292</v>
      </c>
      <c r="F280" s="360" t="s">
        <v>739</v>
      </c>
      <c r="G280" s="500">
        <v>7</v>
      </c>
      <c r="H280" s="501" t="s">
        <v>212</v>
      </c>
      <c r="I280" s="502" t="s">
        <v>1048</v>
      </c>
      <c r="J280" s="503">
        <v>9.4200000000000006E-2</v>
      </c>
      <c r="K280" s="504">
        <v>44712</v>
      </c>
      <c r="L280" s="504">
        <v>45808</v>
      </c>
      <c r="M280" s="504">
        <v>45869</v>
      </c>
      <c r="N280" s="505" t="s">
        <v>196</v>
      </c>
      <c r="O280" s="506">
        <v>100000000</v>
      </c>
      <c r="P280" s="507" t="s">
        <v>196</v>
      </c>
      <c r="Q280" s="508">
        <v>4040000</v>
      </c>
      <c r="R280" s="508">
        <v>4040000</v>
      </c>
      <c r="S280" s="508">
        <v>0</v>
      </c>
      <c r="T280" s="509">
        <v>4040000</v>
      </c>
      <c r="U280" s="506">
        <v>35457</v>
      </c>
      <c r="V280" s="510"/>
    </row>
    <row r="281" spans="1:22" s="270" customFormat="1" ht="15" customHeight="1">
      <c r="A281" s="317"/>
      <c r="B281" s="334">
        <f t="shared" si="11"/>
        <v>271</v>
      </c>
      <c r="C281" s="289" t="s">
        <v>416</v>
      </c>
      <c r="D281" s="330" t="s">
        <v>270</v>
      </c>
      <c r="E281" s="289" t="s">
        <v>292</v>
      </c>
      <c r="F281" s="360" t="s">
        <v>739</v>
      </c>
      <c r="G281" s="500">
        <v>8</v>
      </c>
      <c r="H281" s="501" t="s">
        <v>212</v>
      </c>
      <c r="I281" s="502" t="s">
        <v>1048</v>
      </c>
      <c r="J281" s="503">
        <v>9.4200000000000006E-2</v>
      </c>
      <c r="K281" s="504">
        <v>44712</v>
      </c>
      <c r="L281" s="504">
        <v>45808</v>
      </c>
      <c r="M281" s="504">
        <v>45715</v>
      </c>
      <c r="N281" s="505" t="s">
        <v>196</v>
      </c>
      <c r="O281" s="506">
        <v>100000000</v>
      </c>
      <c r="P281" s="507" t="s">
        <v>196</v>
      </c>
      <c r="Q281" s="508">
        <v>95960000</v>
      </c>
      <c r="R281" s="508">
        <v>95960000</v>
      </c>
      <c r="S281" s="508">
        <v>0</v>
      </c>
      <c r="T281" s="509">
        <v>95960000</v>
      </c>
      <c r="U281" s="506">
        <v>3464249</v>
      </c>
      <c r="V281" s="510"/>
    </row>
    <row r="282" spans="1:22" s="270" customFormat="1" ht="15" customHeight="1">
      <c r="A282" s="317"/>
      <c r="B282" s="334">
        <f t="shared" si="11"/>
        <v>272</v>
      </c>
      <c r="C282" s="289" t="s">
        <v>416</v>
      </c>
      <c r="D282" s="330" t="s">
        <v>270</v>
      </c>
      <c r="E282" s="289" t="s">
        <v>292</v>
      </c>
      <c r="F282" s="360" t="s">
        <v>739</v>
      </c>
      <c r="G282" s="500">
        <v>9</v>
      </c>
      <c r="H282" s="501" t="s">
        <v>212</v>
      </c>
      <c r="I282" s="502" t="s">
        <v>1049</v>
      </c>
      <c r="J282" s="503">
        <v>8.8499999999999995E-2</v>
      </c>
      <c r="K282" s="504">
        <v>44783</v>
      </c>
      <c r="L282" s="504">
        <v>45870</v>
      </c>
      <c r="M282" s="504">
        <v>45869</v>
      </c>
      <c r="N282" s="505" t="s">
        <v>196</v>
      </c>
      <c r="O282" s="506">
        <v>300000000</v>
      </c>
      <c r="P282" s="507" t="s">
        <v>196</v>
      </c>
      <c r="Q282" s="508">
        <v>11125000</v>
      </c>
      <c r="R282" s="508">
        <v>11125000</v>
      </c>
      <c r="S282" s="508">
        <v>0</v>
      </c>
      <c r="T282" s="509">
        <v>11125000</v>
      </c>
      <c r="U282" s="506">
        <v>91733</v>
      </c>
      <c r="V282" s="510"/>
    </row>
    <row r="283" spans="1:22" s="270" customFormat="1" ht="15" customHeight="1">
      <c r="A283" s="317"/>
      <c r="B283" s="334">
        <f t="shared" si="11"/>
        <v>273</v>
      </c>
      <c r="C283" s="289" t="s">
        <v>416</v>
      </c>
      <c r="D283" s="330" t="s">
        <v>270</v>
      </c>
      <c r="E283" s="289" t="s">
        <v>292</v>
      </c>
      <c r="F283" s="360" t="s">
        <v>739</v>
      </c>
      <c r="G283" s="500">
        <v>10</v>
      </c>
      <c r="H283" s="501" t="s">
        <v>212</v>
      </c>
      <c r="I283" s="502" t="s">
        <v>1049</v>
      </c>
      <c r="J283" s="503">
        <v>8.8499999999999995E-2</v>
      </c>
      <c r="K283" s="504">
        <v>44783</v>
      </c>
      <c r="L283" s="504">
        <v>45870</v>
      </c>
      <c r="M283" s="504">
        <v>45725</v>
      </c>
      <c r="N283" s="505" t="s">
        <v>196</v>
      </c>
      <c r="O283" s="506">
        <v>300000000</v>
      </c>
      <c r="P283" s="507" t="s">
        <v>196</v>
      </c>
      <c r="Q283" s="508">
        <v>211375000</v>
      </c>
      <c r="R283" s="508">
        <v>211375000</v>
      </c>
      <c r="S283" s="508">
        <v>0</v>
      </c>
      <c r="T283" s="509">
        <v>211375000</v>
      </c>
      <c r="U283" s="506">
        <v>7022193</v>
      </c>
      <c r="V283" s="510"/>
    </row>
    <row r="284" spans="1:22" s="270" customFormat="1" ht="15" customHeight="1">
      <c r="A284" s="317"/>
      <c r="B284" s="334">
        <f t="shared" si="11"/>
        <v>274</v>
      </c>
      <c r="C284" s="289" t="s">
        <v>416</v>
      </c>
      <c r="D284" s="330" t="s">
        <v>270</v>
      </c>
      <c r="E284" s="289" t="s">
        <v>292</v>
      </c>
      <c r="F284" s="360" t="s">
        <v>739</v>
      </c>
      <c r="G284" s="500">
        <v>11</v>
      </c>
      <c r="H284" s="501" t="s">
        <v>212</v>
      </c>
      <c r="I284" s="502" t="s">
        <v>1050</v>
      </c>
      <c r="J284" s="503">
        <v>0.11</v>
      </c>
      <c r="K284" s="504">
        <v>44784</v>
      </c>
      <c r="L284" s="504">
        <v>45919</v>
      </c>
      <c r="M284" s="504">
        <v>45869</v>
      </c>
      <c r="N284" s="505" t="s">
        <v>196</v>
      </c>
      <c r="O284" s="506">
        <v>100000000</v>
      </c>
      <c r="P284" s="507" t="s">
        <v>196</v>
      </c>
      <c r="Q284" s="508">
        <v>100000000</v>
      </c>
      <c r="R284" s="508">
        <v>100000000</v>
      </c>
      <c r="S284" s="508">
        <v>0</v>
      </c>
      <c r="T284" s="509">
        <v>100000000</v>
      </c>
      <c r="U284" s="506">
        <v>4149149</v>
      </c>
      <c r="V284" s="510"/>
    </row>
    <row r="285" spans="1:22" s="270" customFormat="1" ht="15" customHeight="1">
      <c r="A285" s="317"/>
      <c r="B285" s="334">
        <f t="shared" si="11"/>
        <v>275</v>
      </c>
      <c r="C285" s="289" t="s">
        <v>416</v>
      </c>
      <c r="D285" s="330" t="s">
        <v>270</v>
      </c>
      <c r="E285" s="289" t="s">
        <v>292</v>
      </c>
      <c r="F285" s="360" t="s">
        <v>739</v>
      </c>
      <c r="G285" s="500">
        <v>12</v>
      </c>
      <c r="H285" s="501" t="s">
        <v>212</v>
      </c>
      <c r="I285" s="502" t="s">
        <v>1051</v>
      </c>
      <c r="J285" s="503">
        <v>0.11</v>
      </c>
      <c r="K285" s="504">
        <v>44888</v>
      </c>
      <c r="L285" s="504">
        <v>45986</v>
      </c>
      <c r="M285" s="504">
        <v>45869</v>
      </c>
      <c r="N285" s="505" t="s">
        <v>196</v>
      </c>
      <c r="O285" s="506">
        <v>200000000</v>
      </c>
      <c r="P285" s="507" t="s">
        <v>196</v>
      </c>
      <c r="Q285" s="508">
        <v>200000000</v>
      </c>
      <c r="R285" s="508">
        <v>200000000</v>
      </c>
      <c r="S285" s="508">
        <v>0</v>
      </c>
      <c r="T285" s="509">
        <v>200000000</v>
      </c>
      <c r="U285" s="506">
        <v>8194037</v>
      </c>
      <c r="V285" s="510"/>
    </row>
    <row r="286" spans="1:22" s="270" customFormat="1" ht="15" customHeight="1">
      <c r="A286" s="317"/>
      <c r="B286" s="334">
        <f t="shared" si="11"/>
        <v>276</v>
      </c>
      <c r="C286" s="289" t="s">
        <v>416</v>
      </c>
      <c r="D286" s="330" t="s">
        <v>270</v>
      </c>
      <c r="E286" s="289" t="s">
        <v>292</v>
      </c>
      <c r="F286" s="360" t="s">
        <v>739</v>
      </c>
      <c r="G286" s="500">
        <v>13</v>
      </c>
      <c r="H286" s="501" t="s">
        <v>212</v>
      </c>
      <c r="I286" s="502" t="s">
        <v>1052</v>
      </c>
      <c r="J286" s="503">
        <v>9.01E-2</v>
      </c>
      <c r="K286" s="504">
        <v>45225</v>
      </c>
      <c r="L286" s="504">
        <v>45958</v>
      </c>
      <c r="M286" s="504">
        <v>45869</v>
      </c>
      <c r="N286" s="505" t="s">
        <v>196</v>
      </c>
      <c r="O286" s="506">
        <v>400000000</v>
      </c>
      <c r="P286" s="507" t="s">
        <v>196</v>
      </c>
      <c r="Q286" s="508">
        <v>4570000</v>
      </c>
      <c r="R286" s="508">
        <v>4570000</v>
      </c>
      <c r="S286" s="508">
        <v>0</v>
      </c>
      <c r="T286" s="509">
        <v>4570000</v>
      </c>
      <c r="U286" s="506">
        <v>38376</v>
      </c>
      <c r="V286" s="510"/>
    </row>
    <row r="287" spans="1:22" s="270" customFormat="1" ht="15" customHeight="1">
      <c r="A287" s="317"/>
      <c r="B287" s="334">
        <f t="shared" si="11"/>
        <v>277</v>
      </c>
      <c r="C287" s="289" t="s">
        <v>416</v>
      </c>
      <c r="D287" s="330" t="s">
        <v>270</v>
      </c>
      <c r="E287" s="289" t="s">
        <v>292</v>
      </c>
      <c r="F287" s="360" t="s">
        <v>739</v>
      </c>
      <c r="G287" s="500">
        <v>14</v>
      </c>
      <c r="H287" s="501" t="s">
        <v>212</v>
      </c>
      <c r="I287" s="502" t="s">
        <v>1052</v>
      </c>
      <c r="J287" s="503">
        <v>9.01E-2</v>
      </c>
      <c r="K287" s="504">
        <v>45225</v>
      </c>
      <c r="L287" s="504">
        <v>45958</v>
      </c>
      <c r="M287" s="504">
        <v>45715</v>
      </c>
      <c r="N287" s="505" t="s">
        <v>196</v>
      </c>
      <c r="O287" s="506">
        <v>400000000</v>
      </c>
      <c r="P287" s="507" t="s">
        <v>196</v>
      </c>
      <c r="Q287" s="508">
        <v>395430000</v>
      </c>
      <c r="R287" s="508">
        <v>395430000</v>
      </c>
      <c r="S287" s="508">
        <v>0</v>
      </c>
      <c r="T287" s="509">
        <v>395430000</v>
      </c>
      <c r="U287" s="506">
        <v>13394903</v>
      </c>
      <c r="V287" s="510"/>
    </row>
    <row r="288" spans="1:22" s="270" customFormat="1" ht="15" customHeight="1">
      <c r="A288" s="317"/>
      <c r="B288" s="334">
        <f t="shared" si="11"/>
        <v>278</v>
      </c>
      <c r="C288" s="289" t="s">
        <v>416</v>
      </c>
      <c r="D288" s="330" t="s">
        <v>270</v>
      </c>
      <c r="E288" s="289" t="s">
        <v>292</v>
      </c>
      <c r="F288" s="360" t="s">
        <v>739</v>
      </c>
      <c r="G288" s="500">
        <v>15</v>
      </c>
      <c r="H288" s="501" t="s">
        <v>435</v>
      </c>
      <c r="I288" s="502" t="s">
        <v>1053</v>
      </c>
      <c r="J288" s="503">
        <v>8.1099999999999992E-2</v>
      </c>
      <c r="K288" s="504">
        <v>44819</v>
      </c>
      <c r="L288" s="504">
        <v>45915</v>
      </c>
      <c r="M288" s="504">
        <v>45640</v>
      </c>
      <c r="N288" s="505" t="s">
        <v>196</v>
      </c>
      <c r="O288" s="506">
        <v>660000000</v>
      </c>
      <c r="P288" s="507" t="s">
        <v>196</v>
      </c>
      <c r="Q288" s="508">
        <v>660000000</v>
      </c>
      <c r="R288" s="508">
        <v>660000000</v>
      </c>
      <c r="S288" s="508">
        <v>0</v>
      </c>
      <c r="T288" s="509">
        <v>660000000</v>
      </c>
      <c r="U288" s="506">
        <v>27664987</v>
      </c>
      <c r="V288" s="510"/>
    </row>
    <row r="289" spans="1:22" s="270" customFormat="1" ht="15" customHeight="1">
      <c r="A289" s="317"/>
      <c r="B289" s="334">
        <f t="shared" si="11"/>
        <v>279</v>
      </c>
      <c r="C289" s="289" t="s">
        <v>416</v>
      </c>
      <c r="D289" s="330" t="s">
        <v>270</v>
      </c>
      <c r="E289" s="289" t="s">
        <v>292</v>
      </c>
      <c r="F289" s="360" t="s">
        <v>739</v>
      </c>
      <c r="G289" s="500">
        <v>16</v>
      </c>
      <c r="H289" s="501" t="s">
        <v>441</v>
      </c>
      <c r="I289" s="502" t="s">
        <v>1054</v>
      </c>
      <c r="J289" s="503"/>
      <c r="K289" s="504">
        <v>45813</v>
      </c>
      <c r="L289" s="504"/>
      <c r="M289" s="504"/>
      <c r="N289" s="505" t="s">
        <v>196</v>
      </c>
      <c r="O289" s="506">
        <v>1404050</v>
      </c>
      <c r="P289" s="507" t="s">
        <v>196</v>
      </c>
      <c r="Q289" s="508">
        <v>0</v>
      </c>
      <c r="R289" s="508">
        <v>0</v>
      </c>
      <c r="S289" s="508">
        <v>1404050</v>
      </c>
      <c r="T289" s="509">
        <v>1404050</v>
      </c>
      <c r="U289" s="506">
        <v>0</v>
      </c>
      <c r="V289" s="510" t="s">
        <v>437</v>
      </c>
    </row>
    <row r="290" spans="1:22" s="270" customFormat="1" ht="15" customHeight="1">
      <c r="A290" s="317"/>
      <c r="B290" s="334">
        <f t="shared" si="11"/>
        <v>280</v>
      </c>
      <c r="C290" s="289" t="s">
        <v>416</v>
      </c>
      <c r="D290" s="330" t="s">
        <v>270</v>
      </c>
      <c r="E290" s="289" t="s">
        <v>292</v>
      </c>
      <c r="F290" s="360" t="s">
        <v>739</v>
      </c>
      <c r="G290" s="500">
        <v>17</v>
      </c>
      <c r="H290" s="501" t="s">
        <v>441</v>
      </c>
      <c r="I290" s="502" t="s">
        <v>1055</v>
      </c>
      <c r="J290" s="503"/>
      <c r="K290" s="504">
        <v>45812</v>
      </c>
      <c r="L290" s="504"/>
      <c r="M290" s="504"/>
      <c r="N290" s="505" t="s">
        <v>196</v>
      </c>
      <c r="O290" s="506">
        <v>607200</v>
      </c>
      <c r="P290" s="507" t="s">
        <v>196</v>
      </c>
      <c r="Q290" s="508">
        <v>0</v>
      </c>
      <c r="R290" s="508">
        <v>0</v>
      </c>
      <c r="S290" s="508">
        <v>607200</v>
      </c>
      <c r="T290" s="509">
        <v>607200</v>
      </c>
      <c r="U290" s="506">
        <v>0</v>
      </c>
      <c r="V290" s="510" t="s">
        <v>440</v>
      </c>
    </row>
    <row r="291" spans="1:22" s="270" customFormat="1" ht="15" customHeight="1">
      <c r="A291" s="317"/>
      <c r="B291" s="334">
        <f t="shared" si="11"/>
        <v>281</v>
      </c>
      <c r="C291" s="289" t="s">
        <v>416</v>
      </c>
      <c r="D291" s="330" t="s">
        <v>270</v>
      </c>
      <c r="E291" s="289" t="s">
        <v>292</v>
      </c>
      <c r="F291" s="360" t="s">
        <v>739</v>
      </c>
      <c r="G291" s="500">
        <v>18</v>
      </c>
      <c r="H291" s="501" t="s">
        <v>441</v>
      </c>
      <c r="I291" s="502" t="s">
        <v>1056</v>
      </c>
      <c r="J291" s="503"/>
      <c r="K291" s="504">
        <v>45845</v>
      </c>
      <c r="L291" s="504"/>
      <c r="M291" s="504"/>
      <c r="N291" s="505" t="s">
        <v>196</v>
      </c>
      <c r="O291" s="506">
        <v>770000</v>
      </c>
      <c r="P291" s="507" t="s">
        <v>196</v>
      </c>
      <c r="Q291" s="508">
        <v>0</v>
      </c>
      <c r="R291" s="508">
        <v>0</v>
      </c>
      <c r="S291" s="508">
        <v>770000</v>
      </c>
      <c r="T291" s="509">
        <v>770000</v>
      </c>
      <c r="U291" s="506">
        <v>0</v>
      </c>
      <c r="V291" s="510" t="s">
        <v>440</v>
      </c>
    </row>
    <row r="292" spans="1:22" s="270" customFormat="1" ht="15" customHeight="1">
      <c r="A292" s="317"/>
      <c r="B292" s="334">
        <f t="shared" ref="B292:B327" si="12">ROW()-10</f>
        <v>282</v>
      </c>
      <c r="C292" s="289" t="s">
        <v>416</v>
      </c>
      <c r="D292" s="330" t="s">
        <v>270</v>
      </c>
      <c r="E292" s="289" t="s">
        <v>633</v>
      </c>
      <c r="F292" s="360" t="s">
        <v>740</v>
      </c>
      <c r="G292" s="500">
        <v>1</v>
      </c>
      <c r="H292" s="501" t="s">
        <v>212</v>
      </c>
      <c r="I292" s="502" t="s">
        <v>1057</v>
      </c>
      <c r="J292" s="503">
        <v>8.3199999999999996E-2</v>
      </c>
      <c r="K292" s="504">
        <v>43545</v>
      </c>
      <c r="L292" s="504">
        <v>45730</v>
      </c>
      <c r="M292" s="504">
        <v>45693</v>
      </c>
      <c r="N292" s="505" t="s">
        <v>196</v>
      </c>
      <c r="O292" s="506">
        <v>95000000</v>
      </c>
      <c r="P292" s="507" t="s">
        <v>196</v>
      </c>
      <c r="Q292" s="508">
        <v>95000000</v>
      </c>
      <c r="R292" s="508">
        <v>95000000</v>
      </c>
      <c r="S292" s="508">
        <v>0</v>
      </c>
      <c r="T292" s="509">
        <v>95000000</v>
      </c>
      <c r="U292" s="506">
        <v>4085202</v>
      </c>
      <c r="V292" s="510"/>
    </row>
    <row r="293" spans="1:22" s="270" customFormat="1" ht="15" customHeight="1">
      <c r="A293" s="317"/>
      <c r="B293" s="334">
        <f t="shared" si="12"/>
        <v>283</v>
      </c>
      <c r="C293" s="289" t="s">
        <v>416</v>
      </c>
      <c r="D293" s="330" t="s">
        <v>270</v>
      </c>
      <c r="E293" s="289" t="s">
        <v>633</v>
      </c>
      <c r="F293" s="360" t="s">
        <v>740</v>
      </c>
      <c r="G293" s="500">
        <v>2</v>
      </c>
      <c r="H293" s="501" t="s">
        <v>212</v>
      </c>
      <c r="I293" s="502" t="s">
        <v>1058</v>
      </c>
      <c r="J293" s="503">
        <v>8.3699999999999997E-2</v>
      </c>
      <c r="K293" s="504">
        <v>42366</v>
      </c>
      <c r="L293" s="504">
        <v>45964</v>
      </c>
      <c r="M293" s="504">
        <v>45660</v>
      </c>
      <c r="N293" s="505" t="s">
        <v>196</v>
      </c>
      <c r="O293" s="506">
        <v>500000000</v>
      </c>
      <c r="P293" s="507" t="s">
        <v>196</v>
      </c>
      <c r="Q293" s="508">
        <v>500000000</v>
      </c>
      <c r="R293" s="508">
        <v>500000000</v>
      </c>
      <c r="S293" s="508">
        <v>0</v>
      </c>
      <c r="T293" s="509">
        <v>500000000</v>
      </c>
      <c r="U293" s="506">
        <v>21899627</v>
      </c>
      <c r="V293" s="510"/>
    </row>
    <row r="294" spans="1:22" s="270" customFormat="1" ht="15" customHeight="1">
      <c r="A294" s="317"/>
      <c r="B294" s="334">
        <f t="shared" si="12"/>
        <v>284</v>
      </c>
      <c r="C294" s="289" t="s">
        <v>416</v>
      </c>
      <c r="D294" s="330" t="s">
        <v>270</v>
      </c>
      <c r="E294" s="289" t="s">
        <v>633</v>
      </c>
      <c r="F294" s="360" t="s">
        <v>740</v>
      </c>
      <c r="G294" s="500">
        <v>3</v>
      </c>
      <c r="H294" s="501" t="s">
        <v>212</v>
      </c>
      <c r="I294" s="502" t="s">
        <v>1059</v>
      </c>
      <c r="J294" s="503">
        <v>0.11</v>
      </c>
      <c r="K294" s="504">
        <v>43545</v>
      </c>
      <c r="L294" s="504">
        <v>45736</v>
      </c>
      <c r="M294" s="504">
        <v>45676</v>
      </c>
      <c r="N294" s="505" t="s">
        <v>196</v>
      </c>
      <c r="O294" s="506">
        <v>195000000</v>
      </c>
      <c r="P294" s="507" t="s">
        <v>196</v>
      </c>
      <c r="Q294" s="508">
        <v>195000000</v>
      </c>
      <c r="R294" s="508">
        <v>195000000</v>
      </c>
      <c r="S294" s="508">
        <v>0</v>
      </c>
      <c r="T294" s="509">
        <v>195000000</v>
      </c>
      <c r="U294" s="506">
        <v>10574781</v>
      </c>
      <c r="V294" s="510"/>
    </row>
    <row r="295" spans="1:22" s="270" customFormat="1" ht="15" customHeight="1">
      <c r="A295" s="317"/>
      <c r="B295" s="334">
        <f t="shared" si="12"/>
        <v>285</v>
      </c>
      <c r="C295" s="289" t="s">
        <v>416</v>
      </c>
      <c r="D295" s="330" t="s">
        <v>270</v>
      </c>
      <c r="E295" s="289" t="s">
        <v>633</v>
      </c>
      <c r="F295" s="360" t="s">
        <v>740</v>
      </c>
      <c r="G295" s="500">
        <v>4</v>
      </c>
      <c r="H295" s="501" t="s">
        <v>212</v>
      </c>
      <c r="I295" s="502" t="s">
        <v>1060</v>
      </c>
      <c r="J295" s="503">
        <v>9.2399999999999996E-2</v>
      </c>
      <c r="K295" s="504">
        <v>44727</v>
      </c>
      <c r="L295" s="504">
        <v>46553</v>
      </c>
      <c r="M295" s="504">
        <v>45671</v>
      </c>
      <c r="N295" s="505" t="s">
        <v>196</v>
      </c>
      <c r="O295" s="506">
        <v>182000000</v>
      </c>
      <c r="P295" s="507" t="s">
        <v>196</v>
      </c>
      <c r="Q295" s="508">
        <v>87870000</v>
      </c>
      <c r="R295" s="508">
        <v>87870000</v>
      </c>
      <c r="S295" s="508">
        <v>0</v>
      </c>
      <c r="T295" s="509">
        <v>87870000</v>
      </c>
      <c r="U295" s="506">
        <v>4034225</v>
      </c>
      <c r="V295" s="510"/>
    </row>
    <row r="296" spans="1:22" s="270" customFormat="1" ht="15" customHeight="1">
      <c r="A296" s="317"/>
      <c r="B296" s="334">
        <f t="shared" si="12"/>
        <v>286</v>
      </c>
      <c r="C296" s="289" t="s">
        <v>416</v>
      </c>
      <c r="D296" s="330" t="s">
        <v>270</v>
      </c>
      <c r="E296" s="289" t="s">
        <v>633</v>
      </c>
      <c r="F296" s="360" t="s">
        <v>740</v>
      </c>
      <c r="G296" s="500">
        <v>5</v>
      </c>
      <c r="H296" s="501" t="s">
        <v>212</v>
      </c>
      <c r="I296" s="502" t="s">
        <v>1061</v>
      </c>
      <c r="J296" s="503">
        <v>8.5900000000000004E-2</v>
      </c>
      <c r="K296" s="504">
        <v>45068</v>
      </c>
      <c r="L296" s="504">
        <v>45790</v>
      </c>
      <c r="M296" s="504">
        <v>45670</v>
      </c>
      <c r="N296" s="505" t="s">
        <v>196</v>
      </c>
      <c r="O296" s="506">
        <v>1000000000</v>
      </c>
      <c r="P296" s="507" t="s">
        <v>196</v>
      </c>
      <c r="Q296" s="508">
        <v>50000000</v>
      </c>
      <c r="R296" s="508">
        <v>50000000</v>
      </c>
      <c r="S296" s="508">
        <v>0</v>
      </c>
      <c r="T296" s="509">
        <v>50000000</v>
      </c>
      <c r="U296" s="506">
        <v>9028742</v>
      </c>
      <c r="V296" s="510"/>
    </row>
    <row r="297" spans="1:22" s="270" customFormat="1" ht="15" customHeight="1">
      <c r="A297" s="317"/>
      <c r="B297" s="334">
        <f t="shared" si="12"/>
        <v>287</v>
      </c>
      <c r="C297" s="289" t="s">
        <v>416</v>
      </c>
      <c r="D297" s="330" t="s">
        <v>270</v>
      </c>
      <c r="E297" s="289" t="s">
        <v>633</v>
      </c>
      <c r="F297" s="360" t="s">
        <v>740</v>
      </c>
      <c r="G297" s="500">
        <v>6</v>
      </c>
      <c r="H297" s="501" t="s">
        <v>212</v>
      </c>
      <c r="I297" s="502" t="s">
        <v>1062</v>
      </c>
      <c r="J297" s="503">
        <v>8.7100000000000011E-2</v>
      </c>
      <c r="K297" s="504">
        <v>45069</v>
      </c>
      <c r="L297" s="504">
        <v>45790</v>
      </c>
      <c r="M297" s="504">
        <v>45670</v>
      </c>
      <c r="N297" s="505" t="s">
        <v>196</v>
      </c>
      <c r="O297" s="506">
        <v>550000000</v>
      </c>
      <c r="P297" s="507" t="s">
        <v>196</v>
      </c>
      <c r="Q297" s="508">
        <v>82500000</v>
      </c>
      <c r="R297" s="508">
        <v>82500000</v>
      </c>
      <c r="S297" s="508">
        <v>0</v>
      </c>
      <c r="T297" s="509">
        <v>82500000</v>
      </c>
      <c r="U297" s="506">
        <v>7425820</v>
      </c>
      <c r="V297" s="510"/>
    </row>
    <row r="298" spans="1:22" s="270" customFormat="1" ht="15" customHeight="1">
      <c r="A298" s="317"/>
      <c r="B298" s="334">
        <f t="shared" si="12"/>
        <v>288</v>
      </c>
      <c r="C298" s="289" t="s">
        <v>416</v>
      </c>
      <c r="D298" s="330" t="s">
        <v>270</v>
      </c>
      <c r="E298" s="289" t="s">
        <v>633</v>
      </c>
      <c r="F298" s="360" t="s">
        <v>740</v>
      </c>
      <c r="G298" s="500">
        <v>7</v>
      </c>
      <c r="H298" s="501" t="s">
        <v>212</v>
      </c>
      <c r="I298" s="502" t="s">
        <v>1063</v>
      </c>
      <c r="J298" s="503">
        <v>8.9900000000000008E-2</v>
      </c>
      <c r="K298" s="504">
        <v>45069</v>
      </c>
      <c r="L298" s="504">
        <v>45790</v>
      </c>
      <c r="M298" s="504">
        <v>45670</v>
      </c>
      <c r="N298" s="505" t="s">
        <v>196</v>
      </c>
      <c r="O298" s="506">
        <v>150000000</v>
      </c>
      <c r="P298" s="507" t="s">
        <v>196</v>
      </c>
      <c r="Q298" s="508">
        <v>30000000</v>
      </c>
      <c r="R298" s="508">
        <v>30000000</v>
      </c>
      <c r="S298" s="508">
        <v>0</v>
      </c>
      <c r="T298" s="509">
        <v>30000000</v>
      </c>
      <c r="U298" s="506">
        <v>2334186</v>
      </c>
      <c r="V298" s="510"/>
    </row>
    <row r="299" spans="1:22" s="270" customFormat="1" ht="15" customHeight="1">
      <c r="A299" s="317"/>
      <c r="B299" s="334">
        <f t="shared" si="12"/>
        <v>289</v>
      </c>
      <c r="C299" s="289" t="s">
        <v>416</v>
      </c>
      <c r="D299" s="330" t="s">
        <v>270</v>
      </c>
      <c r="E299" s="289" t="s">
        <v>633</v>
      </c>
      <c r="F299" s="360" t="s">
        <v>740</v>
      </c>
      <c r="G299" s="500">
        <v>8</v>
      </c>
      <c r="H299" s="501" t="s">
        <v>212</v>
      </c>
      <c r="I299" s="502" t="s">
        <v>1064</v>
      </c>
      <c r="J299" s="503">
        <v>0.11</v>
      </c>
      <c r="K299" s="504">
        <v>45169</v>
      </c>
      <c r="L299" s="504">
        <v>45686</v>
      </c>
      <c r="M299" s="504">
        <v>45654</v>
      </c>
      <c r="N299" s="505" t="s">
        <v>196</v>
      </c>
      <c r="O299" s="506">
        <v>210000000</v>
      </c>
      <c r="P299" s="507" t="s">
        <v>196</v>
      </c>
      <c r="Q299" s="508">
        <v>198000000</v>
      </c>
      <c r="R299" s="508">
        <v>198000000</v>
      </c>
      <c r="S299" s="508">
        <v>0</v>
      </c>
      <c r="T299" s="509">
        <v>198000000</v>
      </c>
      <c r="U299" s="506">
        <v>12498806</v>
      </c>
      <c r="V299" s="510"/>
    </row>
    <row r="300" spans="1:22" s="270" customFormat="1" ht="15" customHeight="1">
      <c r="A300" s="317"/>
      <c r="B300" s="334">
        <f t="shared" si="12"/>
        <v>290</v>
      </c>
      <c r="C300" s="289" t="s">
        <v>416</v>
      </c>
      <c r="D300" s="330" t="s">
        <v>270</v>
      </c>
      <c r="E300" s="289" t="s">
        <v>633</v>
      </c>
      <c r="F300" s="360" t="s">
        <v>740</v>
      </c>
      <c r="G300" s="500">
        <v>9</v>
      </c>
      <c r="H300" s="501" t="s">
        <v>212</v>
      </c>
      <c r="I300" s="502" t="s">
        <v>1065</v>
      </c>
      <c r="J300" s="503">
        <v>0.11</v>
      </c>
      <c r="K300" s="504">
        <v>45190</v>
      </c>
      <c r="L300" s="504">
        <v>45713</v>
      </c>
      <c r="M300" s="504">
        <v>45650</v>
      </c>
      <c r="N300" s="505" t="s">
        <v>196</v>
      </c>
      <c r="O300" s="506">
        <v>453000000</v>
      </c>
      <c r="P300" s="507" t="s">
        <v>196</v>
      </c>
      <c r="Q300" s="508">
        <v>450000000</v>
      </c>
      <c r="R300" s="508">
        <v>450000000</v>
      </c>
      <c r="S300" s="508">
        <v>0</v>
      </c>
      <c r="T300" s="509">
        <v>450000000</v>
      </c>
      <c r="U300" s="506">
        <v>28615805</v>
      </c>
      <c r="V300" s="510"/>
    </row>
    <row r="301" spans="1:22" s="270" customFormat="1" ht="15" customHeight="1">
      <c r="A301" s="317"/>
      <c r="B301" s="334">
        <f t="shared" si="12"/>
        <v>291</v>
      </c>
      <c r="C301" s="289" t="s">
        <v>416</v>
      </c>
      <c r="D301" s="330" t="s">
        <v>270</v>
      </c>
      <c r="E301" s="289" t="s">
        <v>633</v>
      </c>
      <c r="F301" s="360" t="s">
        <v>740</v>
      </c>
      <c r="G301" s="500">
        <v>10</v>
      </c>
      <c r="H301" s="501" t="s">
        <v>433</v>
      </c>
      <c r="I301" s="502" t="s">
        <v>1066</v>
      </c>
      <c r="J301" s="503">
        <v>0.11</v>
      </c>
      <c r="K301" s="504">
        <v>45454</v>
      </c>
      <c r="L301" s="504">
        <v>45723</v>
      </c>
      <c r="M301" s="504">
        <v>45666</v>
      </c>
      <c r="N301" s="505" t="s">
        <v>196</v>
      </c>
      <c r="O301" s="506">
        <v>4000000</v>
      </c>
      <c r="P301" s="507" t="s">
        <v>196</v>
      </c>
      <c r="Q301" s="508">
        <v>1000000</v>
      </c>
      <c r="R301" s="508">
        <v>1000000</v>
      </c>
      <c r="S301" s="508">
        <v>0</v>
      </c>
      <c r="T301" s="509">
        <v>1000000</v>
      </c>
      <c r="U301" s="506">
        <v>59123</v>
      </c>
      <c r="V301" s="510"/>
    </row>
    <row r="302" spans="1:22" s="270" customFormat="1" ht="15" customHeight="1">
      <c r="A302" s="317"/>
      <c r="B302" s="334">
        <f t="shared" si="12"/>
        <v>292</v>
      </c>
      <c r="C302" s="289" t="s">
        <v>416</v>
      </c>
      <c r="D302" s="330" t="s">
        <v>270</v>
      </c>
      <c r="E302" s="289" t="s">
        <v>633</v>
      </c>
      <c r="F302" s="360" t="s">
        <v>740</v>
      </c>
      <c r="G302" s="500">
        <v>11</v>
      </c>
      <c r="H302" s="501" t="s">
        <v>433</v>
      </c>
      <c r="I302" s="502" t="s">
        <v>1067</v>
      </c>
      <c r="J302" s="503">
        <v>0.11</v>
      </c>
      <c r="K302" s="504">
        <v>45456</v>
      </c>
      <c r="L302" s="504">
        <v>45725</v>
      </c>
      <c r="M302" s="504">
        <v>45666</v>
      </c>
      <c r="N302" s="505" t="s">
        <v>196</v>
      </c>
      <c r="O302" s="506">
        <v>1683000</v>
      </c>
      <c r="P302" s="507" t="s">
        <v>196</v>
      </c>
      <c r="Q302" s="508">
        <v>1683000</v>
      </c>
      <c r="R302" s="508">
        <v>1683000</v>
      </c>
      <c r="S302" s="508">
        <v>0</v>
      </c>
      <c r="T302" s="509">
        <v>1683000</v>
      </c>
      <c r="U302" s="506">
        <v>96169</v>
      </c>
      <c r="V302" s="510"/>
    </row>
    <row r="303" spans="1:22" s="270" customFormat="1" ht="15" customHeight="1">
      <c r="A303" s="317"/>
      <c r="B303" s="334">
        <f t="shared" si="12"/>
        <v>293</v>
      </c>
      <c r="C303" s="289" t="s">
        <v>416</v>
      </c>
      <c r="D303" s="330" t="s">
        <v>270</v>
      </c>
      <c r="E303" s="289" t="s">
        <v>633</v>
      </c>
      <c r="F303" s="360" t="s">
        <v>740</v>
      </c>
      <c r="G303" s="500">
        <v>12</v>
      </c>
      <c r="H303" s="501" t="s">
        <v>433</v>
      </c>
      <c r="I303" s="502" t="s">
        <v>1068</v>
      </c>
      <c r="J303" s="503">
        <v>0.10589999999999999</v>
      </c>
      <c r="K303" s="504">
        <v>45462</v>
      </c>
      <c r="L303" s="504">
        <v>45731</v>
      </c>
      <c r="M303" s="504">
        <v>45666</v>
      </c>
      <c r="N303" s="505" t="s">
        <v>196</v>
      </c>
      <c r="O303" s="506">
        <v>5000000</v>
      </c>
      <c r="P303" s="507" t="s">
        <v>196</v>
      </c>
      <c r="Q303" s="508">
        <v>5000000</v>
      </c>
      <c r="R303" s="508">
        <v>5000000</v>
      </c>
      <c r="S303" s="508">
        <v>0</v>
      </c>
      <c r="T303" s="509">
        <v>5000000</v>
      </c>
      <c r="U303" s="506">
        <v>274337</v>
      </c>
      <c r="V303" s="510"/>
    </row>
    <row r="304" spans="1:22" s="270" customFormat="1" ht="15" customHeight="1">
      <c r="A304" s="317"/>
      <c r="B304" s="334">
        <f t="shared" si="12"/>
        <v>294</v>
      </c>
      <c r="C304" s="289" t="s">
        <v>416</v>
      </c>
      <c r="D304" s="330" t="s">
        <v>270</v>
      </c>
      <c r="E304" s="289" t="s">
        <v>633</v>
      </c>
      <c r="F304" s="360" t="s">
        <v>740</v>
      </c>
      <c r="G304" s="500">
        <v>13</v>
      </c>
      <c r="H304" s="501" t="s">
        <v>433</v>
      </c>
      <c r="I304" s="502" t="s">
        <v>1069</v>
      </c>
      <c r="J304" s="503">
        <v>0.10589999999999999</v>
      </c>
      <c r="K304" s="504">
        <v>45463</v>
      </c>
      <c r="L304" s="504">
        <v>45732</v>
      </c>
      <c r="M304" s="504">
        <v>45666</v>
      </c>
      <c r="N304" s="505" t="s">
        <v>196</v>
      </c>
      <c r="O304" s="506">
        <v>476300</v>
      </c>
      <c r="P304" s="507" t="s">
        <v>196</v>
      </c>
      <c r="Q304" s="508">
        <v>476300</v>
      </c>
      <c r="R304" s="508">
        <v>476300</v>
      </c>
      <c r="S304" s="508">
        <v>0</v>
      </c>
      <c r="T304" s="509">
        <v>476300</v>
      </c>
      <c r="U304" s="506">
        <v>26132</v>
      </c>
      <c r="V304" s="510"/>
    </row>
    <row r="305" spans="1:22" s="270" customFormat="1" ht="15" customHeight="1">
      <c r="A305" s="317"/>
      <c r="B305" s="334">
        <f t="shared" si="12"/>
        <v>295</v>
      </c>
      <c r="C305" s="289" t="s">
        <v>416</v>
      </c>
      <c r="D305" s="330" t="s">
        <v>270</v>
      </c>
      <c r="E305" s="289" t="s">
        <v>633</v>
      </c>
      <c r="F305" s="360" t="s">
        <v>740</v>
      </c>
      <c r="G305" s="500">
        <v>14</v>
      </c>
      <c r="H305" s="501" t="s">
        <v>433</v>
      </c>
      <c r="I305" s="502" t="s">
        <v>1070</v>
      </c>
      <c r="J305" s="503">
        <v>0.10630000000000001</v>
      </c>
      <c r="K305" s="504">
        <v>45469</v>
      </c>
      <c r="L305" s="504">
        <v>45738</v>
      </c>
      <c r="M305" s="504">
        <v>45666</v>
      </c>
      <c r="N305" s="505" t="s">
        <v>196</v>
      </c>
      <c r="O305" s="506">
        <v>64000000</v>
      </c>
      <c r="P305" s="507" t="s">
        <v>196</v>
      </c>
      <c r="Q305" s="508">
        <v>64000000</v>
      </c>
      <c r="R305" s="508">
        <v>64000000</v>
      </c>
      <c r="S305" s="508">
        <v>0</v>
      </c>
      <c r="T305" s="509">
        <v>64000000</v>
      </c>
      <c r="U305" s="506">
        <v>3525661</v>
      </c>
      <c r="V305" s="510"/>
    </row>
    <row r="306" spans="1:22" s="270" customFormat="1" ht="15" customHeight="1">
      <c r="A306" s="317"/>
      <c r="B306" s="334">
        <f t="shared" si="12"/>
        <v>296</v>
      </c>
      <c r="C306" s="289" t="s">
        <v>416</v>
      </c>
      <c r="D306" s="330" t="s">
        <v>270</v>
      </c>
      <c r="E306" s="289" t="s">
        <v>633</v>
      </c>
      <c r="F306" s="360" t="s">
        <v>740</v>
      </c>
      <c r="G306" s="500">
        <v>15</v>
      </c>
      <c r="H306" s="501" t="s">
        <v>433</v>
      </c>
      <c r="I306" s="502" t="s">
        <v>1071</v>
      </c>
      <c r="J306" s="503">
        <v>0.10640000000000001</v>
      </c>
      <c r="K306" s="504">
        <v>45471</v>
      </c>
      <c r="L306" s="504">
        <v>45740</v>
      </c>
      <c r="M306" s="504">
        <v>45666</v>
      </c>
      <c r="N306" s="505" t="s">
        <v>196</v>
      </c>
      <c r="O306" s="506">
        <v>33320000</v>
      </c>
      <c r="P306" s="507" t="s">
        <v>196</v>
      </c>
      <c r="Q306" s="508">
        <v>33320000</v>
      </c>
      <c r="R306" s="508">
        <v>33320000</v>
      </c>
      <c r="S306" s="508">
        <v>0</v>
      </c>
      <c r="T306" s="509">
        <v>33320000</v>
      </c>
      <c r="U306" s="506">
        <v>1837484</v>
      </c>
      <c r="V306" s="510"/>
    </row>
    <row r="307" spans="1:22" s="270" customFormat="1" ht="15" customHeight="1">
      <c r="A307" s="317"/>
      <c r="B307" s="334">
        <f t="shared" si="12"/>
        <v>297</v>
      </c>
      <c r="C307" s="289" t="s">
        <v>416</v>
      </c>
      <c r="D307" s="330" t="s">
        <v>270</v>
      </c>
      <c r="E307" s="289" t="s">
        <v>633</v>
      </c>
      <c r="F307" s="360" t="s">
        <v>740</v>
      </c>
      <c r="G307" s="500">
        <v>16</v>
      </c>
      <c r="H307" s="501" t="s">
        <v>433</v>
      </c>
      <c r="I307" s="502" t="s">
        <v>1072</v>
      </c>
      <c r="J307" s="503">
        <v>0.1043</v>
      </c>
      <c r="K307" s="504">
        <v>45490</v>
      </c>
      <c r="L307" s="504">
        <v>45759</v>
      </c>
      <c r="M307" s="504">
        <v>45666</v>
      </c>
      <c r="N307" s="505" t="s">
        <v>196</v>
      </c>
      <c r="O307" s="506">
        <v>4000000</v>
      </c>
      <c r="P307" s="507" t="s">
        <v>196</v>
      </c>
      <c r="Q307" s="508">
        <v>4000000</v>
      </c>
      <c r="R307" s="508">
        <v>4000000</v>
      </c>
      <c r="S307" s="508">
        <v>0</v>
      </c>
      <c r="T307" s="509">
        <v>4000000</v>
      </c>
      <c r="U307" s="506">
        <v>215925</v>
      </c>
      <c r="V307" s="510"/>
    </row>
    <row r="308" spans="1:22" s="270" customFormat="1" ht="15" customHeight="1">
      <c r="A308" s="317"/>
      <c r="B308" s="334">
        <f t="shared" si="12"/>
        <v>298</v>
      </c>
      <c r="C308" s="289" t="s">
        <v>416</v>
      </c>
      <c r="D308" s="330" t="s">
        <v>270</v>
      </c>
      <c r="E308" s="289" t="s">
        <v>633</v>
      </c>
      <c r="F308" s="360" t="s">
        <v>740</v>
      </c>
      <c r="G308" s="500">
        <v>17</v>
      </c>
      <c r="H308" s="501" t="s">
        <v>433</v>
      </c>
      <c r="I308" s="502" t="s">
        <v>1073</v>
      </c>
      <c r="J308" s="503">
        <v>0.10339999999999999</v>
      </c>
      <c r="K308" s="504">
        <v>45503</v>
      </c>
      <c r="L308" s="504">
        <v>45772</v>
      </c>
      <c r="M308" s="504">
        <v>45680</v>
      </c>
      <c r="N308" s="505" t="s">
        <v>196</v>
      </c>
      <c r="O308" s="506">
        <v>3531627</v>
      </c>
      <c r="P308" s="507" t="s">
        <v>196</v>
      </c>
      <c r="Q308" s="508">
        <v>3531627</v>
      </c>
      <c r="R308" s="508">
        <v>3531627</v>
      </c>
      <c r="S308" s="508">
        <v>0</v>
      </c>
      <c r="T308" s="509">
        <v>3531627</v>
      </c>
      <c r="U308" s="506">
        <v>178892</v>
      </c>
      <c r="V308" s="510"/>
    </row>
    <row r="309" spans="1:22" s="270" customFormat="1" ht="15" customHeight="1">
      <c r="A309" s="317"/>
      <c r="B309" s="334">
        <f t="shared" si="12"/>
        <v>299</v>
      </c>
      <c r="C309" s="289" t="s">
        <v>416</v>
      </c>
      <c r="D309" s="330" t="s">
        <v>270</v>
      </c>
      <c r="E309" s="289" t="s">
        <v>633</v>
      </c>
      <c r="F309" s="360" t="s">
        <v>740</v>
      </c>
      <c r="G309" s="500">
        <v>18</v>
      </c>
      <c r="H309" s="501" t="s">
        <v>433</v>
      </c>
      <c r="I309" s="502" t="s">
        <v>1074</v>
      </c>
      <c r="J309" s="503">
        <v>0.10339999999999999</v>
      </c>
      <c r="K309" s="504">
        <v>45503</v>
      </c>
      <c r="L309" s="504">
        <v>45772</v>
      </c>
      <c r="M309" s="504">
        <v>45680</v>
      </c>
      <c r="N309" s="505" t="s">
        <v>196</v>
      </c>
      <c r="O309" s="506">
        <v>2427282</v>
      </c>
      <c r="P309" s="507" t="s">
        <v>196</v>
      </c>
      <c r="Q309" s="508">
        <v>2427282</v>
      </c>
      <c r="R309" s="508">
        <v>2427282</v>
      </c>
      <c r="S309" s="508">
        <v>0</v>
      </c>
      <c r="T309" s="509">
        <v>2427282</v>
      </c>
      <c r="U309" s="506">
        <v>122952</v>
      </c>
      <c r="V309" s="510"/>
    </row>
    <row r="310" spans="1:22" s="270" customFormat="1" ht="15" customHeight="1">
      <c r="A310" s="317"/>
      <c r="B310" s="334">
        <f t="shared" si="12"/>
        <v>300</v>
      </c>
      <c r="C310" s="289" t="s">
        <v>416</v>
      </c>
      <c r="D310" s="330" t="s">
        <v>270</v>
      </c>
      <c r="E310" s="289" t="s">
        <v>633</v>
      </c>
      <c r="F310" s="360" t="s">
        <v>740</v>
      </c>
      <c r="G310" s="500">
        <v>19</v>
      </c>
      <c r="H310" s="501" t="s">
        <v>433</v>
      </c>
      <c r="I310" s="502" t="s">
        <v>1075</v>
      </c>
      <c r="J310" s="503">
        <v>0.10339999999999999</v>
      </c>
      <c r="K310" s="504">
        <v>45503</v>
      </c>
      <c r="L310" s="504">
        <v>45772</v>
      </c>
      <c r="M310" s="504">
        <v>45680</v>
      </c>
      <c r="N310" s="505" t="s">
        <v>196</v>
      </c>
      <c r="O310" s="506">
        <v>9471627</v>
      </c>
      <c r="P310" s="507" t="s">
        <v>196</v>
      </c>
      <c r="Q310" s="508">
        <v>9471627</v>
      </c>
      <c r="R310" s="508">
        <v>9471627</v>
      </c>
      <c r="S310" s="508">
        <v>0</v>
      </c>
      <c r="T310" s="509">
        <v>9471627</v>
      </c>
      <c r="U310" s="506">
        <v>479787</v>
      </c>
      <c r="V310" s="510"/>
    </row>
    <row r="311" spans="1:22" s="270" customFormat="1" ht="15" customHeight="1">
      <c r="A311" s="317"/>
      <c r="B311" s="334">
        <f t="shared" si="12"/>
        <v>301</v>
      </c>
      <c r="C311" s="289" t="s">
        <v>416</v>
      </c>
      <c r="D311" s="330" t="s">
        <v>270</v>
      </c>
      <c r="E311" s="289" t="s">
        <v>633</v>
      </c>
      <c r="F311" s="360" t="s">
        <v>740</v>
      </c>
      <c r="G311" s="500">
        <v>20</v>
      </c>
      <c r="H311" s="501" t="s">
        <v>433</v>
      </c>
      <c r="I311" s="502" t="s">
        <v>1076</v>
      </c>
      <c r="J311" s="503">
        <v>0.107</v>
      </c>
      <c r="K311" s="504">
        <v>45516</v>
      </c>
      <c r="L311" s="504">
        <v>45695</v>
      </c>
      <c r="M311" s="504">
        <v>45666</v>
      </c>
      <c r="N311" s="505" t="s">
        <v>196</v>
      </c>
      <c r="O311" s="506">
        <v>4000000</v>
      </c>
      <c r="P311" s="507" t="s">
        <v>196</v>
      </c>
      <c r="Q311" s="508">
        <v>4000000</v>
      </c>
      <c r="R311" s="508">
        <v>4000000</v>
      </c>
      <c r="S311" s="508">
        <v>0</v>
      </c>
      <c r="T311" s="509">
        <v>4000000</v>
      </c>
      <c r="U311" s="506">
        <v>227409</v>
      </c>
      <c r="V311" s="510"/>
    </row>
    <row r="312" spans="1:22" s="270" customFormat="1" ht="15" customHeight="1">
      <c r="A312" s="317"/>
      <c r="B312" s="334">
        <f t="shared" si="12"/>
        <v>302</v>
      </c>
      <c r="C312" s="289" t="s">
        <v>416</v>
      </c>
      <c r="D312" s="330" t="s">
        <v>270</v>
      </c>
      <c r="E312" s="289" t="s">
        <v>633</v>
      </c>
      <c r="F312" s="360" t="s">
        <v>740</v>
      </c>
      <c r="G312" s="500">
        <v>21</v>
      </c>
      <c r="H312" s="501" t="s">
        <v>433</v>
      </c>
      <c r="I312" s="502" t="s">
        <v>1077</v>
      </c>
      <c r="J312" s="503">
        <v>0.107</v>
      </c>
      <c r="K312" s="504">
        <v>45516</v>
      </c>
      <c r="L312" s="504">
        <v>45695</v>
      </c>
      <c r="M312" s="504">
        <v>45666</v>
      </c>
      <c r="N312" s="505" t="s">
        <v>196</v>
      </c>
      <c r="O312" s="506">
        <v>4000000</v>
      </c>
      <c r="P312" s="507" t="s">
        <v>196</v>
      </c>
      <c r="Q312" s="508">
        <v>4000000</v>
      </c>
      <c r="R312" s="508">
        <v>4000000</v>
      </c>
      <c r="S312" s="508">
        <v>0</v>
      </c>
      <c r="T312" s="509">
        <v>4000000</v>
      </c>
      <c r="U312" s="506">
        <v>227409</v>
      </c>
      <c r="V312" s="510"/>
    </row>
    <row r="313" spans="1:22" s="270" customFormat="1" ht="15" customHeight="1">
      <c r="A313" s="317"/>
      <c r="B313" s="334">
        <f t="shared" si="12"/>
        <v>303</v>
      </c>
      <c r="C313" s="289" t="s">
        <v>416</v>
      </c>
      <c r="D313" s="330" t="s">
        <v>270</v>
      </c>
      <c r="E313" s="289" t="s">
        <v>633</v>
      </c>
      <c r="F313" s="360" t="s">
        <v>740</v>
      </c>
      <c r="G313" s="500">
        <v>22</v>
      </c>
      <c r="H313" s="501" t="s">
        <v>433</v>
      </c>
      <c r="I313" s="502" t="s">
        <v>1078</v>
      </c>
      <c r="J313" s="503">
        <v>0.1075</v>
      </c>
      <c r="K313" s="504">
        <v>45534</v>
      </c>
      <c r="L313" s="504">
        <v>45713</v>
      </c>
      <c r="M313" s="504">
        <v>45666</v>
      </c>
      <c r="N313" s="505" t="s">
        <v>196</v>
      </c>
      <c r="O313" s="506">
        <v>72355294</v>
      </c>
      <c r="P313" s="507" t="s">
        <v>196</v>
      </c>
      <c r="Q313" s="508">
        <v>72355294</v>
      </c>
      <c r="R313" s="508">
        <v>72355294</v>
      </c>
      <c r="S313" s="508">
        <v>0</v>
      </c>
      <c r="T313" s="509">
        <v>72355294</v>
      </c>
      <c r="U313" s="506">
        <v>4034486</v>
      </c>
      <c r="V313" s="510"/>
    </row>
    <row r="314" spans="1:22" s="270" customFormat="1" ht="15" customHeight="1">
      <c r="A314" s="317"/>
      <c r="B314" s="334">
        <f t="shared" si="12"/>
        <v>304</v>
      </c>
      <c r="C314" s="289" t="s">
        <v>416</v>
      </c>
      <c r="D314" s="330" t="s">
        <v>270</v>
      </c>
      <c r="E314" s="289" t="s">
        <v>633</v>
      </c>
      <c r="F314" s="360" t="s">
        <v>740</v>
      </c>
      <c r="G314" s="500">
        <v>23</v>
      </c>
      <c r="H314" s="501" t="s">
        <v>433</v>
      </c>
      <c r="I314" s="502" t="s">
        <v>1079</v>
      </c>
      <c r="J314" s="503">
        <v>0.1075</v>
      </c>
      <c r="K314" s="504">
        <v>45534</v>
      </c>
      <c r="L314" s="504">
        <v>45713</v>
      </c>
      <c r="M314" s="504">
        <v>45666</v>
      </c>
      <c r="N314" s="505" t="s">
        <v>196</v>
      </c>
      <c r="O314" s="506">
        <v>33414350</v>
      </c>
      <c r="P314" s="507" t="s">
        <v>196</v>
      </c>
      <c r="Q314" s="508">
        <v>33414350</v>
      </c>
      <c r="R314" s="508">
        <v>33414350</v>
      </c>
      <c r="S314" s="508">
        <v>0</v>
      </c>
      <c r="T314" s="509">
        <v>33414350</v>
      </c>
      <c r="U314" s="506">
        <v>1863162</v>
      </c>
      <c r="V314" s="510"/>
    </row>
    <row r="315" spans="1:22" s="270" customFormat="1" ht="15" customHeight="1">
      <c r="A315" s="317"/>
      <c r="B315" s="334">
        <f t="shared" si="12"/>
        <v>305</v>
      </c>
      <c r="C315" s="289" t="s">
        <v>416</v>
      </c>
      <c r="D315" s="330" t="s">
        <v>270</v>
      </c>
      <c r="E315" s="289" t="s">
        <v>633</v>
      </c>
      <c r="F315" s="360" t="s">
        <v>740</v>
      </c>
      <c r="G315" s="500">
        <v>24</v>
      </c>
      <c r="H315" s="501" t="s">
        <v>433</v>
      </c>
      <c r="I315" s="502" t="s">
        <v>1080</v>
      </c>
      <c r="J315" s="503">
        <v>0.10710000000000001</v>
      </c>
      <c r="K315" s="504">
        <v>45565</v>
      </c>
      <c r="L315" s="504">
        <v>45744</v>
      </c>
      <c r="M315" s="504">
        <v>45666</v>
      </c>
      <c r="N315" s="505" t="s">
        <v>196</v>
      </c>
      <c r="O315" s="506">
        <v>15503158</v>
      </c>
      <c r="P315" s="507" t="s">
        <v>196</v>
      </c>
      <c r="Q315" s="508">
        <v>15503158</v>
      </c>
      <c r="R315" s="508">
        <v>15503158</v>
      </c>
      <c r="S315" s="508">
        <v>0</v>
      </c>
      <c r="T315" s="509">
        <v>15503158</v>
      </c>
      <c r="U315" s="506">
        <v>861087</v>
      </c>
      <c r="V315" s="510"/>
    </row>
    <row r="316" spans="1:22" s="270" customFormat="1" ht="15" customHeight="1">
      <c r="A316" s="317"/>
      <c r="B316" s="334">
        <f t="shared" si="12"/>
        <v>306</v>
      </c>
      <c r="C316" s="289" t="s">
        <v>416</v>
      </c>
      <c r="D316" s="330" t="s">
        <v>270</v>
      </c>
      <c r="E316" s="289" t="s">
        <v>633</v>
      </c>
      <c r="F316" s="360" t="s">
        <v>740</v>
      </c>
      <c r="G316" s="500">
        <v>25</v>
      </c>
      <c r="H316" s="501" t="s">
        <v>433</v>
      </c>
      <c r="I316" s="502" t="s">
        <v>1081</v>
      </c>
      <c r="J316" s="503">
        <v>0.10710000000000001</v>
      </c>
      <c r="K316" s="504">
        <v>45565</v>
      </c>
      <c r="L316" s="504">
        <v>45744</v>
      </c>
      <c r="M316" s="504">
        <v>45666</v>
      </c>
      <c r="N316" s="505" t="s">
        <v>196</v>
      </c>
      <c r="O316" s="506">
        <v>22719906</v>
      </c>
      <c r="P316" s="507" t="s">
        <v>196</v>
      </c>
      <c r="Q316" s="508">
        <v>22719906</v>
      </c>
      <c r="R316" s="508">
        <v>22719906</v>
      </c>
      <c r="S316" s="508">
        <v>0</v>
      </c>
      <c r="T316" s="509">
        <v>22719906</v>
      </c>
      <c r="U316" s="506">
        <v>1261923</v>
      </c>
      <c r="V316" s="510"/>
    </row>
    <row r="317" spans="1:22" s="270" customFormat="1" ht="15" customHeight="1">
      <c r="A317" s="317"/>
      <c r="B317" s="334">
        <f t="shared" si="12"/>
        <v>307</v>
      </c>
      <c r="C317" s="289" t="s">
        <v>416</v>
      </c>
      <c r="D317" s="330" t="s">
        <v>270</v>
      </c>
      <c r="E317" s="289" t="s">
        <v>633</v>
      </c>
      <c r="F317" s="360" t="s">
        <v>740</v>
      </c>
      <c r="G317" s="500">
        <v>26</v>
      </c>
      <c r="H317" s="501" t="s">
        <v>433</v>
      </c>
      <c r="I317" s="502" t="s">
        <v>1082</v>
      </c>
      <c r="J317" s="503">
        <v>0.10710000000000001</v>
      </c>
      <c r="K317" s="504">
        <v>45565</v>
      </c>
      <c r="L317" s="504">
        <v>45744</v>
      </c>
      <c r="M317" s="504">
        <v>45666</v>
      </c>
      <c r="N317" s="505" t="s">
        <v>196</v>
      </c>
      <c r="O317" s="506">
        <v>5016936</v>
      </c>
      <c r="P317" s="507" t="s">
        <v>196</v>
      </c>
      <c r="Q317" s="508">
        <v>5016936</v>
      </c>
      <c r="R317" s="508">
        <v>5016936</v>
      </c>
      <c r="S317" s="508">
        <v>0</v>
      </c>
      <c r="T317" s="509">
        <v>5016936</v>
      </c>
      <c r="U317" s="506">
        <v>278653</v>
      </c>
      <c r="V317" s="510"/>
    </row>
    <row r="318" spans="1:22" s="270" customFormat="1" ht="15" customHeight="1">
      <c r="A318" s="317"/>
      <c r="B318" s="334">
        <f t="shared" si="12"/>
        <v>308</v>
      </c>
      <c r="C318" s="289" t="s">
        <v>416</v>
      </c>
      <c r="D318" s="330" t="s">
        <v>270</v>
      </c>
      <c r="E318" s="289" t="s">
        <v>633</v>
      </c>
      <c r="F318" s="360" t="s">
        <v>740</v>
      </c>
      <c r="G318" s="500">
        <v>27</v>
      </c>
      <c r="H318" s="501" t="s">
        <v>212</v>
      </c>
      <c r="I318" s="502" t="s">
        <v>1083</v>
      </c>
      <c r="J318" s="503">
        <v>0.1065</v>
      </c>
      <c r="K318" s="504">
        <v>45589</v>
      </c>
      <c r="L318" s="504">
        <v>45952</v>
      </c>
      <c r="M318" s="504">
        <v>45680</v>
      </c>
      <c r="N318" s="505" t="s">
        <v>196</v>
      </c>
      <c r="O318" s="506">
        <v>499000000</v>
      </c>
      <c r="P318" s="507" t="s">
        <v>196</v>
      </c>
      <c r="Q318" s="508">
        <v>99800000</v>
      </c>
      <c r="R318" s="508">
        <v>99800000</v>
      </c>
      <c r="S318" s="508">
        <v>0</v>
      </c>
      <c r="T318" s="509">
        <v>99800000</v>
      </c>
      <c r="U318" s="506">
        <v>8046679</v>
      </c>
      <c r="V318" s="510"/>
    </row>
    <row r="319" spans="1:22" s="270" customFormat="1" ht="15" customHeight="1">
      <c r="A319" s="317"/>
      <c r="B319" s="334">
        <f t="shared" si="12"/>
        <v>309</v>
      </c>
      <c r="C319" s="289" t="s">
        <v>416</v>
      </c>
      <c r="D319" s="330" t="s">
        <v>270</v>
      </c>
      <c r="E319" s="289" t="s">
        <v>633</v>
      </c>
      <c r="F319" s="360" t="s">
        <v>740</v>
      </c>
      <c r="G319" s="500">
        <v>28</v>
      </c>
      <c r="H319" s="501" t="s">
        <v>212</v>
      </c>
      <c r="I319" s="502" t="s">
        <v>1084</v>
      </c>
      <c r="J319" s="503">
        <v>0.11</v>
      </c>
      <c r="K319" s="504">
        <v>45649</v>
      </c>
      <c r="L319" s="504">
        <v>46744</v>
      </c>
      <c r="M319" s="504">
        <v>45679</v>
      </c>
      <c r="N319" s="505" t="s">
        <v>196</v>
      </c>
      <c r="O319" s="506">
        <v>196000000</v>
      </c>
      <c r="P319" s="507" t="s">
        <v>196</v>
      </c>
      <c r="Q319" s="508">
        <v>196000000</v>
      </c>
      <c r="R319" s="508">
        <v>196000000</v>
      </c>
      <c r="S319" s="508">
        <v>0</v>
      </c>
      <c r="T319" s="509">
        <v>196000000</v>
      </c>
      <c r="U319" s="506">
        <v>10792040</v>
      </c>
      <c r="V319" s="510"/>
    </row>
    <row r="320" spans="1:22" s="270" customFormat="1" ht="15" customHeight="1">
      <c r="A320" s="317"/>
      <c r="B320" s="334">
        <f t="shared" si="12"/>
        <v>310</v>
      </c>
      <c r="C320" s="289" t="s">
        <v>416</v>
      </c>
      <c r="D320" s="330" t="s">
        <v>270</v>
      </c>
      <c r="E320" s="289" t="s">
        <v>633</v>
      </c>
      <c r="F320" s="360" t="s">
        <v>740</v>
      </c>
      <c r="G320" s="500">
        <v>29</v>
      </c>
      <c r="H320" s="501" t="s">
        <v>433</v>
      </c>
      <c r="I320" s="502" t="s">
        <v>1085</v>
      </c>
      <c r="J320" s="503">
        <v>0.105</v>
      </c>
      <c r="K320" s="504">
        <v>45667</v>
      </c>
      <c r="L320" s="504">
        <v>45846</v>
      </c>
      <c r="M320" s="504"/>
      <c r="N320" s="505" t="s">
        <v>196</v>
      </c>
      <c r="O320" s="506">
        <v>10000000</v>
      </c>
      <c r="P320" s="507" t="s">
        <v>196</v>
      </c>
      <c r="Q320" s="508">
        <v>10000000</v>
      </c>
      <c r="R320" s="508">
        <v>10000000</v>
      </c>
      <c r="S320" s="508">
        <v>0</v>
      </c>
      <c r="T320" s="509">
        <v>10000000</v>
      </c>
      <c r="U320" s="506">
        <v>543885</v>
      </c>
      <c r="V320" s="510"/>
    </row>
    <row r="321" spans="1:22" s="270" customFormat="1" ht="15" customHeight="1">
      <c r="A321" s="317"/>
      <c r="B321" s="334">
        <f t="shared" si="12"/>
        <v>311</v>
      </c>
      <c r="C321" s="289" t="s">
        <v>416</v>
      </c>
      <c r="D321" s="330" t="s">
        <v>270</v>
      </c>
      <c r="E321" s="289" t="s">
        <v>633</v>
      </c>
      <c r="F321" s="360" t="s">
        <v>740</v>
      </c>
      <c r="G321" s="500">
        <v>30</v>
      </c>
      <c r="H321" s="501" t="s">
        <v>433</v>
      </c>
      <c r="I321" s="502" t="s">
        <v>1086</v>
      </c>
      <c r="J321" s="503">
        <v>0.1047</v>
      </c>
      <c r="K321" s="504">
        <v>45670</v>
      </c>
      <c r="L321" s="504">
        <v>45849</v>
      </c>
      <c r="M321" s="504"/>
      <c r="N321" s="505" t="s">
        <v>196</v>
      </c>
      <c r="O321" s="506">
        <v>6350000</v>
      </c>
      <c r="P321" s="507" t="s">
        <v>196</v>
      </c>
      <c r="Q321" s="508">
        <v>6350000</v>
      </c>
      <c r="R321" s="508">
        <v>6350000</v>
      </c>
      <c r="S321" s="508">
        <v>0</v>
      </c>
      <c r="T321" s="509">
        <v>6350000</v>
      </c>
      <c r="U321" s="506">
        <v>340401</v>
      </c>
      <c r="V321" s="510"/>
    </row>
    <row r="322" spans="1:22" s="270" customFormat="1" ht="15" customHeight="1">
      <c r="A322" s="317"/>
      <c r="B322" s="334">
        <f t="shared" si="12"/>
        <v>312</v>
      </c>
      <c r="C322" s="289" t="s">
        <v>416</v>
      </c>
      <c r="D322" s="330" t="s">
        <v>270</v>
      </c>
      <c r="E322" s="289" t="s">
        <v>633</v>
      </c>
      <c r="F322" s="360" t="s">
        <v>740</v>
      </c>
      <c r="G322" s="500">
        <v>31</v>
      </c>
      <c r="H322" s="501" t="s">
        <v>428</v>
      </c>
      <c r="I322" s="502" t="s">
        <v>1087</v>
      </c>
      <c r="J322" s="503">
        <v>6.7000000000000004E-2</v>
      </c>
      <c r="K322" s="504">
        <v>45645</v>
      </c>
      <c r="L322" s="504">
        <v>47832</v>
      </c>
      <c r="M322" s="504">
        <v>45671</v>
      </c>
      <c r="N322" s="505" t="s">
        <v>196</v>
      </c>
      <c r="O322" s="506">
        <v>40309000</v>
      </c>
      <c r="P322" s="507" t="s">
        <v>196</v>
      </c>
      <c r="Q322" s="508">
        <v>0</v>
      </c>
      <c r="R322" s="508">
        <v>0</v>
      </c>
      <c r="S322" s="508">
        <v>0</v>
      </c>
      <c r="T322" s="509">
        <v>0</v>
      </c>
      <c r="U322" s="506">
        <v>371411</v>
      </c>
      <c r="V322" s="510"/>
    </row>
    <row r="323" spans="1:22" s="270" customFormat="1" ht="15" customHeight="1">
      <c r="A323" s="317"/>
      <c r="B323" s="334">
        <f t="shared" si="12"/>
        <v>313</v>
      </c>
      <c r="C323" s="289" t="s">
        <v>416</v>
      </c>
      <c r="D323" s="330" t="s">
        <v>270</v>
      </c>
      <c r="E323" s="289" t="s">
        <v>633</v>
      </c>
      <c r="F323" s="360" t="s">
        <v>740</v>
      </c>
      <c r="G323" s="500">
        <v>32</v>
      </c>
      <c r="H323" s="501" t="s">
        <v>441</v>
      </c>
      <c r="I323" s="502" t="s">
        <v>1088</v>
      </c>
      <c r="J323" s="503"/>
      <c r="K323" s="504">
        <v>45695</v>
      </c>
      <c r="L323" s="504"/>
      <c r="M323" s="504"/>
      <c r="N323" s="505" t="s">
        <v>196</v>
      </c>
      <c r="O323" s="506">
        <v>7377300</v>
      </c>
      <c r="P323" s="507" t="s">
        <v>196</v>
      </c>
      <c r="Q323" s="508">
        <v>0</v>
      </c>
      <c r="R323" s="508">
        <v>0</v>
      </c>
      <c r="S323" s="508">
        <v>7377300</v>
      </c>
      <c r="T323" s="509">
        <v>7377300</v>
      </c>
      <c r="U323" s="506">
        <v>0</v>
      </c>
      <c r="V323" s="510" t="s">
        <v>438</v>
      </c>
    </row>
    <row r="324" spans="1:22" s="270" customFormat="1" ht="15" customHeight="1">
      <c r="A324" s="317"/>
      <c r="B324" s="334">
        <f t="shared" si="12"/>
        <v>314</v>
      </c>
      <c r="C324" s="289" t="s">
        <v>416</v>
      </c>
      <c r="D324" s="330" t="s">
        <v>270</v>
      </c>
      <c r="E324" s="289" t="s">
        <v>633</v>
      </c>
      <c r="F324" s="360" t="s">
        <v>740</v>
      </c>
      <c r="G324" s="500">
        <v>33</v>
      </c>
      <c r="H324" s="501" t="s">
        <v>441</v>
      </c>
      <c r="I324" s="502" t="s">
        <v>1089</v>
      </c>
      <c r="J324" s="503"/>
      <c r="K324" s="504">
        <v>45824</v>
      </c>
      <c r="L324" s="504"/>
      <c r="M324" s="504"/>
      <c r="N324" s="505" t="s">
        <v>196</v>
      </c>
      <c r="O324" s="506">
        <v>13588230</v>
      </c>
      <c r="P324" s="507" t="s">
        <v>196</v>
      </c>
      <c r="Q324" s="508">
        <v>0</v>
      </c>
      <c r="R324" s="508">
        <v>0</v>
      </c>
      <c r="S324" s="508">
        <v>13588230</v>
      </c>
      <c r="T324" s="509">
        <v>13588230</v>
      </c>
      <c r="U324" s="506">
        <v>0</v>
      </c>
      <c r="V324" s="510" t="s">
        <v>439</v>
      </c>
    </row>
    <row r="325" spans="1:22" s="270" customFormat="1" ht="15" customHeight="1">
      <c r="A325" s="317"/>
      <c r="B325" s="334">
        <f t="shared" si="12"/>
        <v>315</v>
      </c>
      <c r="C325" s="289" t="s">
        <v>416</v>
      </c>
      <c r="D325" s="330" t="s">
        <v>270</v>
      </c>
      <c r="E325" s="289" t="s">
        <v>633</v>
      </c>
      <c r="F325" s="360" t="s">
        <v>740</v>
      </c>
      <c r="G325" s="500">
        <v>34</v>
      </c>
      <c r="H325" s="501" t="s">
        <v>441</v>
      </c>
      <c r="I325" s="502" t="s">
        <v>1090</v>
      </c>
      <c r="J325" s="503"/>
      <c r="K325" s="504">
        <v>45755</v>
      </c>
      <c r="L325" s="504"/>
      <c r="M325" s="504"/>
      <c r="N325" s="505" t="s">
        <v>196</v>
      </c>
      <c r="O325" s="506">
        <v>4001380</v>
      </c>
      <c r="P325" s="507" t="s">
        <v>196</v>
      </c>
      <c r="Q325" s="508">
        <v>0</v>
      </c>
      <c r="R325" s="508">
        <v>0</v>
      </c>
      <c r="S325" s="508">
        <v>3950111</v>
      </c>
      <c r="T325" s="509">
        <v>3950111</v>
      </c>
      <c r="U325" s="506">
        <v>0</v>
      </c>
      <c r="V325" s="510" t="s">
        <v>437</v>
      </c>
    </row>
    <row r="326" spans="1:22" s="270" customFormat="1" ht="15" customHeight="1">
      <c r="A326" s="317"/>
      <c r="B326" s="334">
        <f t="shared" si="12"/>
        <v>316</v>
      </c>
      <c r="C326" s="289" t="s">
        <v>416</v>
      </c>
      <c r="D326" s="330" t="s">
        <v>270</v>
      </c>
      <c r="E326" s="289" t="s">
        <v>633</v>
      </c>
      <c r="F326" s="360" t="s">
        <v>740</v>
      </c>
      <c r="G326" s="500">
        <v>35</v>
      </c>
      <c r="H326" s="501" t="s">
        <v>441</v>
      </c>
      <c r="I326" s="502" t="s">
        <v>1091</v>
      </c>
      <c r="J326" s="503"/>
      <c r="K326" s="504">
        <v>45754</v>
      </c>
      <c r="L326" s="504"/>
      <c r="M326" s="504"/>
      <c r="N326" s="505" t="s">
        <v>196</v>
      </c>
      <c r="O326" s="506">
        <v>2088580</v>
      </c>
      <c r="P326" s="507" t="s">
        <v>196</v>
      </c>
      <c r="Q326" s="508">
        <v>0</v>
      </c>
      <c r="R326" s="508">
        <v>0</v>
      </c>
      <c r="S326" s="508">
        <v>2088580</v>
      </c>
      <c r="T326" s="509">
        <v>2088580</v>
      </c>
      <c r="U326" s="506">
        <v>0</v>
      </c>
      <c r="V326" s="510" t="s">
        <v>440</v>
      </c>
    </row>
    <row r="327" spans="1:22" s="270" customFormat="1" ht="15" customHeight="1">
      <c r="A327" s="317"/>
      <c r="B327" s="334">
        <f t="shared" si="12"/>
        <v>317</v>
      </c>
      <c r="C327" s="289" t="s">
        <v>416</v>
      </c>
      <c r="D327" s="330" t="s">
        <v>270</v>
      </c>
      <c r="E327" s="289" t="s">
        <v>633</v>
      </c>
      <c r="F327" s="360" t="s">
        <v>740</v>
      </c>
      <c r="G327" s="500">
        <v>36</v>
      </c>
      <c r="H327" s="501" t="s">
        <v>441</v>
      </c>
      <c r="I327" s="502" t="s">
        <v>1092</v>
      </c>
      <c r="J327" s="503"/>
      <c r="K327" s="504">
        <v>45785</v>
      </c>
      <c r="L327" s="504"/>
      <c r="M327" s="504"/>
      <c r="N327" s="505" t="s">
        <v>196</v>
      </c>
      <c r="O327" s="506">
        <v>3301000</v>
      </c>
      <c r="P327" s="507" t="s">
        <v>196</v>
      </c>
      <c r="Q327" s="508">
        <v>0</v>
      </c>
      <c r="R327" s="508">
        <v>0</v>
      </c>
      <c r="S327" s="508">
        <v>3301000</v>
      </c>
      <c r="T327" s="509">
        <v>3301000</v>
      </c>
      <c r="U327" s="506">
        <v>0</v>
      </c>
      <c r="V327" s="510" t="s">
        <v>440</v>
      </c>
    </row>
    <row r="328" spans="1:22" s="270" customFormat="1" ht="15" customHeight="1">
      <c r="A328" s="317"/>
      <c r="B328" s="334">
        <f t="shared" ref="B328:B351" si="13">ROW()-10</f>
        <v>318</v>
      </c>
      <c r="C328" s="289" t="s">
        <v>416</v>
      </c>
      <c r="D328" s="330" t="s">
        <v>270</v>
      </c>
      <c r="E328" s="289" t="s">
        <v>633</v>
      </c>
      <c r="F328" s="360" t="s">
        <v>740</v>
      </c>
      <c r="G328" s="500">
        <v>37</v>
      </c>
      <c r="H328" s="501" t="s">
        <v>441</v>
      </c>
      <c r="I328" s="502" t="s">
        <v>1093</v>
      </c>
      <c r="J328" s="503"/>
      <c r="K328" s="504">
        <v>45812</v>
      </c>
      <c r="L328" s="504"/>
      <c r="M328" s="504"/>
      <c r="N328" s="505" t="s">
        <v>196</v>
      </c>
      <c r="O328" s="506">
        <v>3407700</v>
      </c>
      <c r="P328" s="507" t="s">
        <v>196</v>
      </c>
      <c r="Q328" s="508">
        <v>0</v>
      </c>
      <c r="R328" s="508">
        <v>0</v>
      </c>
      <c r="S328" s="508">
        <v>3407700</v>
      </c>
      <c r="T328" s="509">
        <v>3407700</v>
      </c>
      <c r="U328" s="506">
        <v>0</v>
      </c>
      <c r="V328" s="510" t="s">
        <v>440</v>
      </c>
    </row>
    <row r="329" spans="1:22" s="270" customFormat="1" ht="15" customHeight="1">
      <c r="A329" s="317"/>
      <c r="B329" s="334">
        <f t="shared" si="13"/>
        <v>319</v>
      </c>
      <c r="C329" s="289" t="s">
        <v>416</v>
      </c>
      <c r="D329" s="330" t="s">
        <v>270</v>
      </c>
      <c r="E329" s="289" t="s">
        <v>633</v>
      </c>
      <c r="F329" s="360" t="s">
        <v>740</v>
      </c>
      <c r="G329" s="500">
        <v>38</v>
      </c>
      <c r="H329" s="501" t="s">
        <v>441</v>
      </c>
      <c r="I329" s="502" t="s">
        <v>1094</v>
      </c>
      <c r="J329" s="503"/>
      <c r="K329" s="504">
        <v>45839</v>
      </c>
      <c r="L329" s="504"/>
      <c r="M329" s="504"/>
      <c r="N329" s="505" t="s">
        <v>196</v>
      </c>
      <c r="O329" s="506">
        <v>3301000</v>
      </c>
      <c r="P329" s="507" t="s">
        <v>196</v>
      </c>
      <c r="Q329" s="508">
        <v>0</v>
      </c>
      <c r="R329" s="508">
        <v>0</v>
      </c>
      <c r="S329" s="508">
        <v>3301000</v>
      </c>
      <c r="T329" s="509">
        <v>3301000</v>
      </c>
      <c r="U329" s="506">
        <v>0</v>
      </c>
      <c r="V329" s="510" t="s">
        <v>440</v>
      </c>
    </row>
    <row r="330" spans="1:22" s="270" customFormat="1" ht="15" customHeight="1">
      <c r="A330" s="317"/>
      <c r="B330" s="334">
        <f t="shared" si="13"/>
        <v>320</v>
      </c>
      <c r="C330" s="289" t="s">
        <v>416</v>
      </c>
      <c r="D330" s="330" t="s">
        <v>270</v>
      </c>
      <c r="E330" s="289" t="s">
        <v>309</v>
      </c>
      <c r="F330" s="360" t="s">
        <v>741</v>
      </c>
      <c r="G330" s="500">
        <v>1</v>
      </c>
      <c r="H330" s="501" t="s">
        <v>422</v>
      </c>
      <c r="I330" s="502" t="s">
        <v>1095</v>
      </c>
      <c r="J330" s="503">
        <v>4.5100000000000001E-2</v>
      </c>
      <c r="K330" s="504">
        <v>43921</v>
      </c>
      <c r="L330" s="504">
        <v>48304</v>
      </c>
      <c r="M330" s="504">
        <v>45598</v>
      </c>
      <c r="N330" s="505" t="s">
        <v>196</v>
      </c>
      <c r="O330" s="506">
        <v>1600000000</v>
      </c>
      <c r="P330" s="507" t="s">
        <v>196</v>
      </c>
      <c r="Q330" s="508">
        <v>1592533577</v>
      </c>
      <c r="R330" s="508">
        <v>1592533577</v>
      </c>
      <c r="S330" s="508">
        <v>0</v>
      </c>
      <c r="T330" s="509">
        <v>1592533577</v>
      </c>
      <c r="U330" s="506">
        <v>47440131</v>
      </c>
      <c r="V330" s="510"/>
    </row>
    <row r="331" spans="1:22" s="270" customFormat="1" ht="15" customHeight="1">
      <c r="A331" s="317"/>
      <c r="B331" s="334">
        <f t="shared" si="13"/>
        <v>321</v>
      </c>
      <c r="C331" s="289" t="s">
        <v>416</v>
      </c>
      <c r="D331" s="330" t="s">
        <v>270</v>
      </c>
      <c r="E331" s="289" t="s">
        <v>309</v>
      </c>
      <c r="F331" s="360" t="s">
        <v>741</v>
      </c>
      <c r="G331" s="500">
        <v>2</v>
      </c>
      <c r="H331" s="501" t="s">
        <v>422</v>
      </c>
      <c r="I331" s="502" t="s">
        <v>1096</v>
      </c>
      <c r="J331" s="503">
        <v>9.0899999999999995E-2</v>
      </c>
      <c r="K331" s="504">
        <v>44281</v>
      </c>
      <c r="L331" s="504">
        <v>45681</v>
      </c>
      <c r="M331" s="504">
        <v>45869</v>
      </c>
      <c r="N331" s="505" t="s">
        <v>196</v>
      </c>
      <c r="O331" s="506">
        <v>1545000000</v>
      </c>
      <c r="P331" s="507" t="s">
        <v>196</v>
      </c>
      <c r="Q331" s="508">
        <v>94825451</v>
      </c>
      <c r="R331" s="508">
        <v>94825451</v>
      </c>
      <c r="S331" s="508">
        <v>0</v>
      </c>
      <c r="T331" s="509">
        <v>94825451</v>
      </c>
      <c r="U331" s="506">
        <v>803278</v>
      </c>
      <c r="V331" s="510"/>
    </row>
    <row r="332" spans="1:22" s="270" customFormat="1" ht="15" customHeight="1">
      <c r="A332" s="317"/>
      <c r="B332" s="334">
        <f t="shared" si="13"/>
        <v>322</v>
      </c>
      <c r="C332" s="289" t="s">
        <v>416</v>
      </c>
      <c r="D332" s="330" t="s">
        <v>270</v>
      </c>
      <c r="E332" s="289" t="s">
        <v>309</v>
      </c>
      <c r="F332" s="360" t="s">
        <v>741</v>
      </c>
      <c r="G332" s="500">
        <v>3</v>
      </c>
      <c r="H332" s="501" t="s">
        <v>422</v>
      </c>
      <c r="I332" s="502" t="s">
        <v>1096</v>
      </c>
      <c r="J332" s="503">
        <v>9.0899999999999995E-2</v>
      </c>
      <c r="K332" s="504">
        <v>44281</v>
      </c>
      <c r="L332" s="504">
        <v>45681</v>
      </c>
      <c r="M332" s="504">
        <v>45613</v>
      </c>
      <c r="N332" s="505" t="s">
        <v>196</v>
      </c>
      <c r="O332" s="506">
        <v>1545000000</v>
      </c>
      <c r="P332" s="507" t="s">
        <v>196</v>
      </c>
      <c r="Q332" s="508">
        <v>590414549</v>
      </c>
      <c r="R332" s="508">
        <v>590414549</v>
      </c>
      <c r="S332" s="508">
        <v>0</v>
      </c>
      <c r="T332" s="509">
        <v>590414549</v>
      </c>
      <c r="U332" s="506">
        <v>52941524</v>
      </c>
      <c r="V332" s="510"/>
    </row>
    <row r="333" spans="1:22" s="270" customFormat="1" ht="15" customHeight="1">
      <c r="A333" s="317"/>
      <c r="B333" s="334">
        <f t="shared" si="13"/>
        <v>323</v>
      </c>
      <c r="C333" s="289" t="s">
        <v>416</v>
      </c>
      <c r="D333" s="330" t="s">
        <v>270</v>
      </c>
      <c r="E333" s="289" t="s">
        <v>309</v>
      </c>
      <c r="F333" s="360" t="s">
        <v>741</v>
      </c>
      <c r="G333" s="500">
        <v>4</v>
      </c>
      <c r="H333" s="501" t="s">
        <v>441</v>
      </c>
      <c r="I333" s="502" t="s">
        <v>1097</v>
      </c>
      <c r="J333" s="503"/>
      <c r="K333" s="504">
        <v>45667</v>
      </c>
      <c r="L333" s="504"/>
      <c r="M333" s="504"/>
      <c r="N333" s="505" t="s">
        <v>196</v>
      </c>
      <c r="O333" s="506">
        <v>2931200</v>
      </c>
      <c r="P333" s="507" t="s">
        <v>196</v>
      </c>
      <c r="Q333" s="508">
        <v>0</v>
      </c>
      <c r="R333" s="508">
        <v>0</v>
      </c>
      <c r="S333" s="508">
        <v>2931200</v>
      </c>
      <c r="T333" s="509">
        <v>2931200</v>
      </c>
      <c r="U333" s="506">
        <v>0</v>
      </c>
      <c r="V333" s="510" t="s">
        <v>438</v>
      </c>
    </row>
    <row r="334" spans="1:22" s="270" customFormat="1" ht="15" customHeight="1">
      <c r="A334" s="317"/>
      <c r="B334" s="334">
        <f t="shared" si="13"/>
        <v>324</v>
      </c>
      <c r="C334" s="289" t="s">
        <v>416</v>
      </c>
      <c r="D334" s="330" t="s">
        <v>270</v>
      </c>
      <c r="E334" s="289" t="s">
        <v>309</v>
      </c>
      <c r="F334" s="360" t="s">
        <v>741</v>
      </c>
      <c r="G334" s="500">
        <v>5</v>
      </c>
      <c r="H334" s="501" t="s">
        <v>441</v>
      </c>
      <c r="I334" s="502" t="s">
        <v>1098</v>
      </c>
      <c r="J334" s="503"/>
      <c r="K334" s="504">
        <v>45762</v>
      </c>
      <c r="L334" s="504"/>
      <c r="M334" s="504"/>
      <c r="N334" s="505" t="s">
        <v>196</v>
      </c>
      <c r="O334" s="506">
        <v>16471630</v>
      </c>
      <c r="P334" s="507" t="s">
        <v>196</v>
      </c>
      <c r="Q334" s="508">
        <v>0</v>
      </c>
      <c r="R334" s="508">
        <v>0</v>
      </c>
      <c r="S334" s="508">
        <v>16471630</v>
      </c>
      <c r="T334" s="509">
        <v>16471630</v>
      </c>
      <c r="U334" s="506">
        <v>0</v>
      </c>
      <c r="V334" s="510" t="s">
        <v>439</v>
      </c>
    </row>
    <row r="335" spans="1:22" s="270" customFormat="1" ht="15" customHeight="1">
      <c r="A335" s="317"/>
      <c r="B335" s="334">
        <f t="shared" si="13"/>
        <v>325</v>
      </c>
      <c r="C335" s="289" t="s">
        <v>416</v>
      </c>
      <c r="D335" s="330" t="s">
        <v>270</v>
      </c>
      <c r="E335" s="289" t="s">
        <v>309</v>
      </c>
      <c r="F335" s="360" t="s">
        <v>741</v>
      </c>
      <c r="G335" s="500">
        <v>6</v>
      </c>
      <c r="H335" s="501" t="s">
        <v>441</v>
      </c>
      <c r="I335" s="502" t="s">
        <v>1099</v>
      </c>
      <c r="J335" s="503"/>
      <c r="K335" s="504">
        <v>45768</v>
      </c>
      <c r="L335" s="504"/>
      <c r="M335" s="504"/>
      <c r="N335" s="505" t="s">
        <v>196</v>
      </c>
      <c r="O335" s="506">
        <v>3729400</v>
      </c>
      <c r="P335" s="507" t="s">
        <v>196</v>
      </c>
      <c r="Q335" s="508">
        <v>0</v>
      </c>
      <c r="R335" s="508">
        <v>0</v>
      </c>
      <c r="S335" s="508">
        <v>3703625</v>
      </c>
      <c r="T335" s="509">
        <v>3703625</v>
      </c>
      <c r="U335" s="506">
        <v>0</v>
      </c>
      <c r="V335" s="510" t="s">
        <v>437</v>
      </c>
    </row>
    <row r="336" spans="1:22" s="270" customFormat="1" ht="15" customHeight="1">
      <c r="A336" s="317"/>
      <c r="B336" s="334">
        <f t="shared" si="13"/>
        <v>326</v>
      </c>
      <c r="C336" s="289" t="s">
        <v>416</v>
      </c>
      <c r="D336" s="330" t="s">
        <v>270</v>
      </c>
      <c r="E336" s="289" t="s">
        <v>309</v>
      </c>
      <c r="F336" s="360" t="s">
        <v>741</v>
      </c>
      <c r="G336" s="500">
        <v>7</v>
      </c>
      <c r="H336" s="501" t="s">
        <v>441</v>
      </c>
      <c r="I336" s="502" t="s">
        <v>1100</v>
      </c>
      <c r="J336" s="503"/>
      <c r="K336" s="504">
        <v>45691</v>
      </c>
      <c r="L336" s="504"/>
      <c r="M336" s="504"/>
      <c r="N336" s="505" t="s">
        <v>196</v>
      </c>
      <c r="O336" s="506">
        <v>278300</v>
      </c>
      <c r="P336" s="507" t="s">
        <v>196</v>
      </c>
      <c r="Q336" s="508">
        <v>0</v>
      </c>
      <c r="R336" s="508">
        <v>0</v>
      </c>
      <c r="S336" s="508">
        <v>278300</v>
      </c>
      <c r="T336" s="509">
        <v>278300</v>
      </c>
      <c r="U336" s="506">
        <v>0</v>
      </c>
      <c r="V336" s="510" t="s">
        <v>440</v>
      </c>
    </row>
    <row r="337" spans="1:22" s="270" customFormat="1" ht="15" customHeight="1">
      <c r="A337" s="317"/>
      <c r="B337" s="334">
        <f t="shared" si="13"/>
        <v>327</v>
      </c>
      <c r="C337" s="289" t="s">
        <v>416</v>
      </c>
      <c r="D337" s="330" t="s">
        <v>270</v>
      </c>
      <c r="E337" s="289" t="s">
        <v>309</v>
      </c>
      <c r="F337" s="360" t="s">
        <v>741</v>
      </c>
      <c r="G337" s="500">
        <v>8</v>
      </c>
      <c r="H337" s="501" t="s">
        <v>441</v>
      </c>
      <c r="I337" s="502" t="s">
        <v>1101</v>
      </c>
      <c r="J337" s="503"/>
      <c r="K337" s="504">
        <v>45716</v>
      </c>
      <c r="L337" s="504"/>
      <c r="M337" s="504"/>
      <c r="N337" s="505" t="s">
        <v>196</v>
      </c>
      <c r="O337" s="506">
        <v>708400</v>
      </c>
      <c r="P337" s="507" t="s">
        <v>196</v>
      </c>
      <c r="Q337" s="508">
        <v>0</v>
      </c>
      <c r="R337" s="508">
        <v>0</v>
      </c>
      <c r="S337" s="508">
        <v>708400</v>
      </c>
      <c r="T337" s="509">
        <v>708400</v>
      </c>
      <c r="U337" s="506">
        <v>0</v>
      </c>
      <c r="V337" s="510" t="s">
        <v>440</v>
      </c>
    </row>
    <row r="338" spans="1:22" s="270" customFormat="1" ht="15" customHeight="1">
      <c r="A338" s="317"/>
      <c r="B338" s="334">
        <f t="shared" si="13"/>
        <v>328</v>
      </c>
      <c r="C338" s="289" t="s">
        <v>416</v>
      </c>
      <c r="D338" s="330" t="s">
        <v>270</v>
      </c>
      <c r="E338" s="289" t="s">
        <v>309</v>
      </c>
      <c r="F338" s="360" t="s">
        <v>741</v>
      </c>
      <c r="G338" s="500">
        <v>9</v>
      </c>
      <c r="H338" s="501" t="s">
        <v>441</v>
      </c>
      <c r="I338" s="502" t="s">
        <v>1102</v>
      </c>
      <c r="J338" s="503"/>
      <c r="K338" s="504">
        <v>45747</v>
      </c>
      <c r="L338" s="504"/>
      <c r="M338" s="504"/>
      <c r="N338" s="505" t="s">
        <v>196</v>
      </c>
      <c r="O338" s="506">
        <v>784300</v>
      </c>
      <c r="P338" s="507" t="s">
        <v>196</v>
      </c>
      <c r="Q338" s="508">
        <v>0</v>
      </c>
      <c r="R338" s="508">
        <v>0</v>
      </c>
      <c r="S338" s="508">
        <v>784300</v>
      </c>
      <c r="T338" s="509">
        <v>784300</v>
      </c>
      <c r="U338" s="506">
        <v>0</v>
      </c>
      <c r="V338" s="510" t="s">
        <v>440</v>
      </c>
    </row>
    <row r="339" spans="1:22" s="270" customFormat="1" ht="15" customHeight="1">
      <c r="A339" s="317"/>
      <c r="B339" s="334">
        <f t="shared" si="13"/>
        <v>329</v>
      </c>
      <c r="C339" s="289" t="s">
        <v>416</v>
      </c>
      <c r="D339" s="330" t="s">
        <v>270</v>
      </c>
      <c r="E339" s="289" t="s">
        <v>309</v>
      </c>
      <c r="F339" s="360" t="s">
        <v>741</v>
      </c>
      <c r="G339" s="500">
        <v>10</v>
      </c>
      <c r="H339" s="501" t="s">
        <v>441</v>
      </c>
      <c r="I339" s="502" t="s">
        <v>1103</v>
      </c>
      <c r="J339" s="503"/>
      <c r="K339" s="504">
        <v>45784</v>
      </c>
      <c r="L339" s="504"/>
      <c r="M339" s="504"/>
      <c r="N339" s="505" t="s">
        <v>196</v>
      </c>
      <c r="O339" s="506">
        <v>759000</v>
      </c>
      <c r="P339" s="507" t="s">
        <v>196</v>
      </c>
      <c r="Q339" s="508">
        <v>0</v>
      </c>
      <c r="R339" s="508">
        <v>0</v>
      </c>
      <c r="S339" s="508">
        <v>759000</v>
      </c>
      <c r="T339" s="509">
        <v>759000</v>
      </c>
      <c r="U339" s="506">
        <v>0</v>
      </c>
      <c r="V339" s="510" t="s">
        <v>440</v>
      </c>
    </row>
    <row r="340" spans="1:22" s="270" customFormat="1" ht="15" customHeight="1">
      <c r="A340" s="317"/>
      <c r="B340" s="334">
        <f t="shared" si="13"/>
        <v>330</v>
      </c>
      <c r="C340" s="289" t="s">
        <v>416</v>
      </c>
      <c r="D340" s="330" t="s">
        <v>270</v>
      </c>
      <c r="E340" s="289" t="s">
        <v>309</v>
      </c>
      <c r="F340" s="360" t="s">
        <v>741</v>
      </c>
      <c r="G340" s="500">
        <v>11</v>
      </c>
      <c r="H340" s="501" t="s">
        <v>441</v>
      </c>
      <c r="I340" s="502" t="s">
        <v>1104</v>
      </c>
      <c r="J340" s="503"/>
      <c r="K340" s="504">
        <v>45812</v>
      </c>
      <c r="L340" s="504"/>
      <c r="M340" s="504"/>
      <c r="N340" s="505" t="s">
        <v>196</v>
      </c>
      <c r="O340" s="506">
        <v>784300</v>
      </c>
      <c r="P340" s="507" t="s">
        <v>196</v>
      </c>
      <c r="Q340" s="508">
        <v>0</v>
      </c>
      <c r="R340" s="508">
        <v>0</v>
      </c>
      <c r="S340" s="508">
        <v>784300</v>
      </c>
      <c r="T340" s="509">
        <v>784300</v>
      </c>
      <c r="U340" s="506">
        <v>0</v>
      </c>
      <c r="V340" s="510" t="s">
        <v>440</v>
      </c>
    </row>
    <row r="341" spans="1:22" s="270" customFormat="1" ht="15" customHeight="1">
      <c r="A341" s="317"/>
      <c r="B341" s="334">
        <f t="shared" si="13"/>
        <v>331</v>
      </c>
      <c r="C341" s="289" t="s">
        <v>416</v>
      </c>
      <c r="D341" s="330" t="s">
        <v>270</v>
      </c>
      <c r="E341" s="289" t="s">
        <v>309</v>
      </c>
      <c r="F341" s="360" t="s">
        <v>741</v>
      </c>
      <c r="G341" s="500">
        <v>12</v>
      </c>
      <c r="H341" s="501" t="s">
        <v>441</v>
      </c>
      <c r="I341" s="502" t="s">
        <v>1105</v>
      </c>
      <c r="J341" s="503"/>
      <c r="K341" s="504">
        <v>45859</v>
      </c>
      <c r="L341" s="504"/>
      <c r="M341" s="504"/>
      <c r="N341" s="505" t="s">
        <v>196</v>
      </c>
      <c r="O341" s="506">
        <v>759000</v>
      </c>
      <c r="P341" s="507" t="s">
        <v>196</v>
      </c>
      <c r="Q341" s="508">
        <v>0</v>
      </c>
      <c r="R341" s="508">
        <v>0</v>
      </c>
      <c r="S341" s="508">
        <v>759000</v>
      </c>
      <c r="T341" s="509">
        <v>759000</v>
      </c>
      <c r="U341" s="506">
        <v>0</v>
      </c>
      <c r="V341" s="510" t="s">
        <v>440</v>
      </c>
    </row>
    <row r="342" spans="1:22" s="270" customFormat="1" ht="15" customHeight="1">
      <c r="A342" s="317"/>
      <c r="B342" s="334">
        <f t="shared" si="13"/>
        <v>332</v>
      </c>
      <c r="C342" s="289" t="s">
        <v>416</v>
      </c>
      <c r="D342" s="330" t="s">
        <v>270</v>
      </c>
      <c r="E342" s="289" t="s">
        <v>297</v>
      </c>
      <c r="F342" s="360" t="s">
        <v>742</v>
      </c>
      <c r="G342" s="500">
        <v>1</v>
      </c>
      <c r="H342" s="501" t="s">
        <v>212</v>
      </c>
      <c r="I342" s="502" t="s">
        <v>1106</v>
      </c>
      <c r="J342" s="503">
        <v>6.6400000000000001E-2</v>
      </c>
      <c r="K342" s="504">
        <v>43350</v>
      </c>
      <c r="L342" s="504">
        <v>45898</v>
      </c>
      <c r="M342" s="504">
        <v>45631</v>
      </c>
      <c r="N342" s="505" t="s">
        <v>196</v>
      </c>
      <c r="O342" s="506">
        <v>200000000</v>
      </c>
      <c r="P342" s="507" t="s">
        <v>196</v>
      </c>
      <c r="Q342" s="508">
        <v>200000000</v>
      </c>
      <c r="R342" s="508">
        <v>200000000</v>
      </c>
      <c r="S342" s="508">
        <v>0</v>
      </c>
      <c r="T342" s="509">
        <v>200000000</v>
      </c>
      <c r="U342" s="506">
        <v>13129582</v>
      </c>
      <c r="V342" s="510"/>
    </row>
    <row r="343" spans="1:22" s="270" customFormat="1" ht="15" customHeight="1">
      <c r="A343" s="317"/>
      <c r="B343" s="334">
        <f t="shared" si="13"/>
        <v>333</v>
      </c>
      <c r="C343" s="289" t="s">
        <v>416</v>
      </c>
      <c r="D343" s="330" t="s">
        <v>270</v>
      </c>
      <c r="E343" s="289" t="s">
        <v>297</v>
      </c>
      <c r="F343" s="360" t="s">
        <v>742</v>
      </c>
      <c r="G343" s="500">
        <v>2</v>
      </c>
      <c r="H343" s="501" t="s">
        <v>422</v>
      </c>
      <c r="I343" s="502" t="s">
        <v>1107</v>
      </c>
      <c r="J343" s="503">
        <v>9.2699999999999991E-2</v>
      </c>
      <c r="K343" s="504">
        <v>43300</v>
      </c>
      <c r="L343" s="504">
        <v>46222</v>
      </c>
      <c r="M343" s="504">
        <v>45614</v>
      </c>
      <c r="N343" s="505" t="s">
        <v>196</v>
      </c>
      <c r="O343" s="506">
        <v>860000000</v>
      </c>
      <c r="P343" s="507" t="s">
        <v>196</v>
      </c>
      <c r="Q343" s="508">
        <v>818857034</v>
      </c>
      <c r="R343" s="508">
        <v>818857034</v>
      </c>
      <c r="S343" s="508">
        <v>0</v>
      </c>
      <c r="T343" s="509">
        <v>818857034</v>
      </c>
      <c r="U343" s="506">
        <v>45087050</v>
      </c>
      <c r="V343" s="510"/>
    </row>
    <row r="344" spans="1:22" s="270" customFormat="1" ht="15" customHeight="1">
      <c r="A344" s="317"/>
      <c r="B344" s="334">
        <f t="shared" si="13"/>
        <v>334</v>
      </c>
      <c r="C344" s="289" t="s">
        <v>416</v>
      </c>
      <c r="D344" s="330" t="s">
        <v>270</v>
      </c>
      <c r="E344" s="289" t="s">
        <v>297</v>
      </c>
      <c r="F344" s="360" t="s">
        <v>742</v>
      </c>
      <c r="G344" s="500">
        <v>3</v>
      </c>
      <c r="H344" s="501" t="s">
        <v>422</v>
      </c>
      <c r="I344" s="502" t="s">
        <v>1108</v>
      </c>
      <c r="J344" s="503">
        <v>9.4700000000000006E-2</v>
      </c>
      <c r="K344" s="504">
        <v>43364</v>
      </c>
      <c r="L344" s="504">
        <v>46286</v>
      </c>
      <c r="M344" s="504">
        <v>45585</v>
      </c>
      <c r="N344" s="505" t="s">
        <v>196</v>
      </c>
      <c r="O344" s="506">
        <v>500000000</v>
      </c>
      <c r="P344" s="507" t="s">
        <v>196</v>
      </c>
      <c r="Q344" s="508">
        <v>467000000</v>
      </c>
      <c r="R344" s="508">
        <v>467000000</v>
      </c>
      <c r="S344" s="508">
        <v>0</v>
      </c>
      <c r="T344" s="509">
        <v>467000000</v>
      </c>
      <c r="U344" s="506">
        <v>28584422</v>
      </c>
      <c r="V344" s="510"/>
    </row>
    <row r="345" spans="1:22" s="270" customFormat="1" ht="15" customHeight="1">
      <c r="A345" s="317"/>
      <c r="B345" s="334">
        <f t="shared" si="13"/>
        <v>335</v>
      </c>
      <c r="C345" s="289" t="s">
        <v>416</v>
      </c>
      <c r="D345" s="330" t="s">
        <v>270</v>
      </c>
      <c r="E345" s="289" t="s">
        <v>297</v>
      </c>
      <c r="F345" s="360" t="s">
        <v>742</v>
      </c>
      <c r="G345" s="500">
        <v>4</v>
      </c>
      <c r="H345" s="501" t="s">
        <v>212</v>
      </c>
      <c r="I345" s="502" t="s">
        <v>1109</v>
      </c>
      <c r="J345" s="503">
        <v>0.11</v>
      </c>
      <c r="K345" s="504">
        <v>43888</v>
      </c>
      <c r="L345" s="504">
        <v>45715</v>
      </c>
      <c r="M345" s="504">
        <v>45599</v>
      </c>
      <c r="N345" s="505" t="s">
        <v>196</v>
      </c>
      <c r="O345" s="506">
        <v>500000000</v>
      </c>
      <c r="P345" s="507" t="s">
        <v>196</v>
      </c>
      <c r="Q345" s="508">
        <v>500000000</v>
      </c>
      <c r="R345" s="508">
        <v>500000000</v>
      </c>
      <c r="S345" s="508">
        <v>0</v>
      </c>
      <c r="T345" s="509">
        <v>500000000</v>
      </c>
      <c r="U345" s="506">
        <v>33005383</v>
      </c>
      <c r="V345" s="510"/>
    </row>
    <row r="346" spans="1:22" s="270" customFormat="1" ht="15" customHeight="1">
      <c r="A346" s="317"/>
      <c r="B346" s="334">
        <f t="shared" si="13"/>
        <v>336</v>
      </c>
      <c r="C346" s="289" t="s">
        <v>416</v>
      </c>
      <c r="D346" s="330" t="s">
        <v>270</v>
      </c>
      <c r="E346" s="289" t="s">
        <v>297</v>
      </c>
      <c r="F346" s="360" t="s">
        <v>742</v>
      </c>
      <c r="G346" s="500">
        <v>5</v>
      </c>
      <c r="H346" s="501" t="s">
        <v>212</v>
      </c>
      <c r="I346" s="502" t="s">
        <v>1110</v>
      </c>
      <c r="J346" s="503">
        <v>8.929999999999999E-2</v>
      </c>
      <c r="K346" s="504">
        <v>45014</v>
      </c>
      <c r="L346" s="504">
        <v>45737</v>
      </c>
      <c r="M346" s="504">
        <v>45586</v>
      </c>
      <c r="N346" s="505" t="s">
        <v>196</v>
      </c>
      <c r="O346" s="506">
        <v>458160000</v>
      </c>
      <c r="P346" s="507" t="s">
        <v>196</v>
      </c>
      <c r="Q346" s="508">
        <v>22908000</v>
      </c>
      <c r="R346" s="508">
        <v>22908000</v>
      </c>
      <c r="S346" s="508">
        <v>0</v>
      </c>
      <c r="T346" s="509">
        <v>22908000</v>
      </c>
      <c r="U346" s="506">
        <v>5811768</v>
      </c>
      <c r="V346" s="510"/>
    </row>
    <row r="347" spans="1:22" s="270" customFormat="1" ht="15" customHeight="1">
      <c r="A347" s="317"/>
      <c r="B347" s="334">
        <f t="shared" si="13"/>
        <v>337</v>
      </c>
      <c r="C347" s="289" t="s">
        <v>416</v>
      </c>
      <c r="D347" s="330" t="s">
        <v>270</v>
      </c>
      <c r="E347" s="289" t="s">
        <v>297</v>
      </c>
      <c r="F347" s="360" t="s">
        <v>742</v>
      </c>
      <c r="G347" s="500">
        <v>6</v>
      </c>
      <c r="H347" s="501" t="s">
        <v>212</v>
      </c>
      <c r="I347" s="502" t="s">
        <v>1111</v>
      </c>
      <c r="J347" s="503">
        <v>8.929999999999999E-2</v>
      </c>
      <c r="K347" s="504">
        <v>45014</v>
      </c>
      <c r="L347" s="504">
        <v>45737</v>
      </c>
      <c r="M347" s="504">
        <v>45586</v>
      </c>
      <c r="N347" s="505" t="s">
        <v>196</v>
      </c>
      <c r="O347" s="506">
        <v>458160000</v>
      </c>
      <c r="P347" s="507" t="s">
        <v>196</v>
      </c>
      <c r="Q347" s="508">
        <v>22908000</v>
      </c>
      <c r="R347" s="508">
        <v>22908000</v>
      </c>
      <c r="S347" s="508">
        <v>0</v>
      </c>
      <c r="T347" s="509">
        <v>22908000</v>
      </c>
      <c r="U347" s="506">
        <v>5811768</v>
      </c>
      <c r="V347" s="510"/>
    </row>
    <row r="348" spans="1:22" s="270" customFormat="1" ht="15" customHeight="1">
      <c r="A348" s="317"/>
      <c r="B348" s="334">
        <f t="shared" si="13"/>
        <v>338</v>
      </c>
      <c r="C348" s="289" t="s">
        <v>416</v>
      </c>
      <c r="D348" s="330" t="s">
        <v>270</v>
      </c>
      <c r="E348" s="289" t="s">
        <v>297</v>
      </c>
      <c r="F348" s="360" t="s">
        <v>742</v>
      </c>
      <c r="G348" s="500">
        <v>7</v>
      </c>
      <c r="H348" s="501" t="s">
        <v>212</v>
      </c>
      <c r="I348" s="502" t="s">
        <v>1112</v>
      </c>
      <c r="J348" s="503">
        <v>0.1009</v>
      </c>
      <c r="K348" s="504">
        <v>41367</v>
      </c>
      <c r="L348" s="504">
        <v>45737</v>
      </c>
      <c r="M348" s="504">
        <v>45586</v>
      </c>
      <c r="N348" s="505" t="s">
        <v>196</v>
      </c>
      <c r="O348" s="506">
        <v>600000000</v>
      </c>
      <c r="P348" s="507" t="s">
        <v>196</v>
      </c>
      <c r="Q348" s="508">
        <v>81000000</v>
      </c>
      <c r="R348" s="508">
        <v>81000000</v>
      </c>
      <c r="S348" s="508">
        <v>0</v>
      </c>
      <c r="T348" s="509">
        <v>81000000</v>
      </c>
      <c r="U348" s="506">
        <v>9898603</v>
      </c>
      <c r="V348" s="510"/>
    </row>
    <row r="349" spans="1:22" s="270" customFormat="1" ht="15" customHeight="1">
      <c r="A349" s="317"/>
      <c r="B349" s="334">
        <f t="shared" si="13"/>
        <v>339</v>
      </c>
      <c r="C349" s="289" t="s">
        <v>416</v>
      </c>
      <c r="D349" s="330" t="s">
        <v>270</v>
      </c>
      <c r="E349" s="289" t="s">
        <v>297</v>
      </c>
      <c r="F349" s="360" t="s">
        <v>742</v>
      </c>
      <c r="G349" s="500">
        <v>8</v>
      </c>
      <c r="H349" s="501" t="s">
        <v>441</v>
      </c>
      <c r="I349" s="502" t="s">
        <v>1113</v>
      </c>
      <c r="J349" s="503"/>
      <c r="K349" s="504">
        <v>45705</v>
      </c>
      <c r="L349" s="504"/>
      <c r="M349" s="504"/>
      <c r="N349" s="505" t="s">
        <v>196</v>
      </c>
      <c r="O349" s="506">
        <v>5370800</v>
      </c>
      <c r="P349" s="507" t="s">
        <v>196</v>
      </c>
      <c r="Q349" s="508">
        <v>0</v>
      </c>
      <c r="R349" s="508">
        <v>0</v>
      </c>
      <c r="S349" s="508">
        <v>2565237</v>
      </c>
      <c r="T349" s="509">
        <v>2565237</v>
      </c>
      <c r="U349" s="506">
        <v>0</v>
      </c>
      <c r="V349" s="510" t="s">
        <v>439</v>
      </c>
    </row>
    <row r="350" spans="1:22" s="270" customFormat="1" ht="15" customHeight="1">
      <c r="A350" s="317"/>
      <c r="B350" s="334">
        <f t="shared" si="13"/>
        <v>340</v>
      </c>
      <c r="C350" s="289" t="s">
        <v>416</v>
      </c>
      <c r="D350" s="330" t="s">
        <v>270</v>
      </c>
      <c r="E350" s="289" t="s">
        <v>297</v>
      </c>
      <c r="F350" s="360" t="s">
        <v>742</v>
      </c>
      <c r="G350" s="500">
        <v>9</v>
      </c>
      <c r="H350" s="501" t="s">
        <v>441</v>
      </c>
      <c r="I350" s="502" t="s">
        <v>1114</v>
      </c>
      <c r="J350" s="503"/>
      <c r="K350" s="504">
        <v>45707</v>
      </c>
      <c r="L350" s="504"/>
      <c r="M350" s="504"/>
      <c r="N350" s="505" t="s">
        <v>196</v>
      </c>
      <c r="O350" s="506">
        <v>2317070</v>
      </c>
      <c r="P350" s="507" t="s">
        <v>196</v>
      </c>
      <c r="Q350" s="508">
        <v>0</v>
      </c>
      <c r="R350" s="508">
        <v>0</v>
      </c>
      <c r="S350" s="508">
        <v>2265545</v>
      </c>
      <c r="T350" s="509">
        <v>2265545</v>
      </c>
      <c r="U350" s="506">
        <v>0</v>
      </c>
      <c r="V350" s="510" t="s">
        <v>437</v>
      </c>
    </row>
    <row r="351" spans="1:22" s="270" customFormat="1" ht="15" customHeight="1">
      <c r="A351" s="317"/>
      <c r="B351" s="334">
        <f t="shared" si="13"/>
        <v>341</v>
      </c>
      <c r="C351" s="289" t="s">
        <v>416</v>
      </c>
      <c r="D351" s="330" t="s">
        <v>270</v>
      </c>
      <c r="E351" s="289" t="s">
        <v>297</v>
      </c>
      <c r="F351" s="360" t="s">
        <v>742</v>
      </c>
      <c r="G351" s="500">
        <v>10</v>
      </c>
      <c r="H351" s="501" t="s">
        <v>441</v>
      </c>
      <c r="I351" s="502" t="s">
        <v>1115</v>
      </c>
      <c r="J351" s="503"/>
      <c r="K351" s="504">
        <v>45726</v>
      </c>
      <c r="L351" s="504"/>
      <c r="M351" s="504"/>
      <c r="N351" s="505" t="s">
        <v>196</v>
      </c>
      <c r="O351" s="506">
        <v>2122860</v>
      </c>
      <c r="P351" s="507" t="s">
        <v>196</v>
      </c>
      <c r="Q351" s="508">
        <v>0</v>
      </c>
      <c r="R351" s="508">
        <v>0</v>
      </c>
      <c r="S351" s="508">
        <v>2122860</v>
      </c>
      <c r="T351" s="509">
        <v>2122860</v>
      </c>
      <c r="U351" s="506">
        <v>0</v>
      </c>
      <c r="V351" s="510" t="s">
        <v>437</v>
      </c>
    </row>
    <row r="352" spans="1:22" s="270" customFormat="1" ht="15" customHeight="1">
      <c r="A352" s="317"/>
      <c r="B352" s="334">
        <f t="shared" ref="B352:B365" si="14">ROW()-10</f>
        <v>342</v>
      </c>
      <c r="C352" s="289" t="s">
        <v>416</v>
      </c>
      <c r="D352" s="330" t="s">
        <v>270</v>
      </c>
      <c r="E352" s="289" t="s">
        <v>310</v>
      </c>
      <c r="F352" s="360" t="s">
        <v>743</v>
      </c>
      <c r="G352" s="500">
        <v>1</v>
      </c>
      <c r="H352" s="501" t="s">
        <v>424</v>
      </c>
      <c r="I352" s="502" t="s">
        <v>1116</v>
      </c>
      <c r="J352" s="503">
        <v>8.8599999999999998E-2</v>
      </c>
      <c r="K352" s="504">
        <v>44334</v>
      </c>
      <c r="L352" s="504">
        <v>45793</v>
      </c>
      <c r="M352" s="504">
        <v>45719</v>
      </c>
      <c r="N352" s="505" t="s">
        <v>196</v>
      </c>
      <c r="O352" s="506">
        <v>300000000</v>
      </c>
      <c r="P352" s="507" t="s">
        <v>196</v>
      </c>
      <c r="Q352" s="508">
        <v>30000000</v>
      </c>
      <c r="R352" s="508">
        <v>30000000</v>
      </c>
      <c r="S352" s="508">
        <v>0</v>
      </c>
      <c r="T352" s="509">
        <v>30000000</v>
      </c>
      <c r="U352" s="506">
        <v>3374580</v>
      </c>
      <c r="V352" s="510"/>
    </row>
    <row r="353" spans="1:22" s="270" customFormat="1" ht="15" customHeight="1">
      <c r="A353" s="317"/>
      <c r="B353" s="334">
        <f t="shared" si="14"/>
        <v>343</v>
      </c>
      <c r="C353" s="289" t="s">
        <v>416</v>
      </c>
      <c r="D353" s="330" t="s">
        <v>270</v>
      </c>
      <c r="E353" s="289" t="s">
        <v>310</v>
      </c>
      <c r="F353" s="360" t="s">
        <v>743</v>
      </c>
      <c r="G353" s="500">
        <v>2</v>
      </c>
      <c r="H353" s="501" t="s">
        <v>424</v>
      </c>
      <c r="I353" s="502" t="s">
        <v>1117</v>
      </c>
      <c r="J353" s="503">
        <v>8.8399999999999992E-2</v>
      </c>
      <c r="K353" s="504">
        <v>44679</v>
      </c>
      <c r="L353" s="504">
        <v>45771</v>
      </c>
      <c r="M353" s="504">
        <v>45712</v>
      </c>
      <c r="N353" s="505" t="s">
        <v>196</v>
      </c>
      <c r="O353" s="506">
        <v>300000000</v>
      </c>
      <c r="P353" s="507" t="s">
        <v>196</v>
      </c>
      <c r="Q353" s="508">
        <v>30000000</v>
      </c>
      <c r="R353" s="508">
        <v>30000000</v>
      </c>
      <c r="S353" s="508">
        <v>0</v>
      </c>
      <c r="T353" s="509">
        <v>30000000</v>
      </c>
      <c r="U353" s="506">
        <v>3406868</v>
      </c>
      <c r="V353" s="510"/>
    </row>
    <row r="354" spans="1:22" s="270" customFormat="1" ht="15" customHeight="1">
      <c r="A354" s="317"/>
      <c r="B354" s="334">
        <f t="shared" si="14"/>
        <v>344</v>
      </c>
      <c r="C354" s="289" t="s">
        <v>416</v>
      </c>
      <c r="D354" s="330" t="s">
        <v>270</v>
      </c>
      <c r="E354" s="289" t="s">
        <v>310</v>
      </c>
      <c r="F354" s="360" t="s">
        <v>743</v>
      </c>
      <c r="G354" s="500">
        <v>3</v>
      </c>
      <c r="H354" s="501" t="s">
        <v>212</v>
      </c>
      <c r="I354" s="502" t="s">
        <v>1118</v>
      </c>
      <c r="J354" s="503">
        <v>8.5000000000000006E-2</v>
      </c>
      <c r="K354" s="504">
        <v>44679</v>
      </c>
      <c r="L354" s="504">
        <v>45775</v>
      </c>
      <c r="M354" s="504">
        <v>45713</v>
      </c>
      <c r="N354" s="505" t="s">
        <v>196</v>
      </c>
      <c r="O354" s="506">
        <v>100000000</v>
      </c>
      <c r="P354" s="507" t="s">
        <v>196</v>
      </c>
      <c r="Q354" s="508">
        <v>89547097</v>
      </c>
      <c r="R354" s="508">
        <v>89547097</v>
      </c>
      <c r="S354" s="508">
        <v>0</v>
      </c>
      <c r="T354" s="509">
        <v>89547097</v>
      </c>
      <c r="U354" s="506">
        <v>3148864</v>
      </c>
      <c r="V354" s="510"/>
    </row>
    <row r="355" spans="1:22" s="270" customFormat="1" ht="15" customHeight="1">
      <c r="A355" s="317"/>
      <c r="B355" s="334">
        <f t="shared" si="14"/>
        <v>345</v>
      </c>
      <c r="C355" s="289" t="s">
        <v>416</v>
      </c>
      <c r="D355" s="330" t="s">
        <v>270</v>
      </c>
      <c r="E355" s="289" t="s">
        <v>310</v>
      </c>
      <c r="F355" s="360" t="s">
        <v>743</v>
      </c>
      <c r="G355" s="500">
        <v>4</v>
      </c>
      <c r="H355" s="501" t="s">
        <v>422</v>
      </c>
      <c r="I355" s="502" t="s">
        <v>1119</v>
      </c>
      <c r="J355" s="503">
        <v>8.48E-2</v>
      </c>
      <c r="K355" s="504">
        <v>45050</v>
      </c>
      <c r="L355" s="504">
        <v>46146</v>
      </c>
      <c r="M355" s="504">
        <v>45722</v>
      </c>
      <c r="N355" s="505" t="s">
        <v>196</v>
      </c>
      <c r="O355" s="506">
        <v>780000000</v>
      </c>
      <c r="P355" s="507" t="s">
        <v>196</v>
      </c>
      <c r="Q355" s="508">
        <v>780000000</v>
      </c>
      <c r="R355" s="508">
        <v>780000000</v>
      </c>
      <c r="S355" s="508">
        <v>0</v>
      </c>
      <c r="T355" s="509">
        <v>780000000</v>
      </c>
      <c r="U355" s="506">
        <v>26152963</v>
      </c>
      <c r="V355" s="510"/>
    </row>
    <row r="356" spans="1:22" s="270" customFormat="1" ht="15" customHeight="1">
      <c r="A356" s="317"/>
      <c r="B356" s="334">
        <f t="shared" si="14"/>
        <v>346</v>
      </c>
      <c r="C356" s="289" t="s">
        <v>416</v>
      </c>
      <c r="D356" s="330" t="s">
        <v>270</v>
      </c>
      <c r="E356" s="289" t="s">
        <v>310</v>
      </c>
      <c r="F356" s="360" t="s">
        <v>743</v>
      </c>
      <c r="G356" s="500">
        <v>5</v>
      </c>
      <c r="H356" s="501" t="s">
        <v>422</v>
      </c>
      <c r="I356" s="502" t="s">
        <v>1120</v>
      </c>
      <c r="J356" s="503">
        <v>9.3299999999999994E-2</v>
      </c>
      <c r="K356" s="504">
        <v>45050</v>
      </c>
      <c r="L356" s="504">
        <v>46142</v>
      </c>
      <c r="M356" s="504">
        <v>45837</v>
      </c>
      <c r="N356" s="505" t="s">
        <v>196</v>
      </c>
      <c r="O356" s="506">
        <v>150000000</v>
      </c>
      <c r="P356" s="507" t="s">
        <v>196</v>
      </c>
      <c r="Q356" s="508">
        <v>67830000</v>
      </c>
      <c r="R356" s="508">
        <v>67830000</v>
      </c>
      <c r="S356" s="508">
        <v>0</v>
      </c>
      <c r="T356" s="509">
        <v>67830000</v>
      </c>
      <c r="U356" s="506">
        <v>538010</v>
      </c>
      <c r="V356" s="510"/>
    </row>
    <row r="357" spans="1:22" s="270" customFormat="1" ht="15" customHeight="1">
      <c r="A357" s="317"/>
      <c r="B357" s="334">
        <f t="shared" si="14"/>
        <v>347</v>
      </c>
      <c r="C357" s="289" t="s">
        <v>416</v>
      </c>
      <c r="D357" s="330" t="s">
        <v>270</v>
      </c>
      <c r="E357" s="289" t="s">
        <v>310</v>
      </c>
      <c r="F357" s="360" t="s">
        <v>743</v>
      </c>
      <c r="G357" s="500">
        <v>6</v>
      </c>
      <c r="H357" s="501" t="s">
        <v>212</v>
      </c>
      <c r="I357" s="502" t="s">
        <v>1121</v>
      </c>
      <c r="J357" s="503">
        <v>9.11E-2</v>
      </c>
      <c r="K357" s="504">
        <v>45050</v>
      </c>
      <c r="L357" s="504">
        <v>45784</v>
      </c>
      <c r="M357" s="504">
        <v>45712</v>
      </c>
      <c r="N357" s="505" t="s">
        <v>196</v>
      </c>
      <c r="O357" s="506">
        <v>100000000</v>
      </c>
      <c r="P357" s="507" t="s">
        <v>196</v>
      </c>
      <c r="Q357" s="508">
        <v>100000000</v>
      </c>
      <c r="R357" s="508">
        <v>100000000</v>
      </c>
      <c r="S357" s="508">
        <v>0</v>
      </c>
      <c r="T357" s="509">
        <v>100000000</v>
      </c>
      <c r="U357" s="506">
        <v>3544410</v>
      </c>
      <c r="V357" s="510"/>
    </row>
    <row r="358" spans="1:22" s="270" customFormat="1" ht="15" customHeight="1">
      <c r="A358" s="317"/>
      <c r="B358" s="334">
        <f t="shared" si="14"/>
        <v>348</v>
      </c>
      <c r="C358" s="289" t="s">
        <v>416</v>
      </c>
      <c r="D358" s="330" t="s">
        <v>270</v>
      </c>
      <c r="E358" s="289" t="s">
        <v>310</v>
      </c>
      <c r="F358" s="360" t="s">
        <v>743</v>
      </c>
      <c r="G358" s="500">
        <v>7</v>
      </c>
      <c r="H358" s="501" t="s">
        <v>212</v>
      </c>
      <c r="I358" s="502" t="s">
        <v>1122</v>
      </c>
      <c r="J358" s="503">
        <v>0.11</v>
      </c>
      <c r="K358" s="504">
        <v>45050</v>
      </c>
      <c r="L358" s="504">
        <v>46877</v>
      </c>
      <c r="M358" s="504">
        <v>45759</v>
      </c>
      <c r="N358" s="505" t="s">
        <v>196</v>
      </c>
      <c r="O358" s="506">
        <v>300000000</v>
      </c>
      <c r="P358" s="507" t="s">
        <v>196</v>
      </c>
      <c r="Q358" s="508">
        <v>250920000</v>
      </c>
      <c r="R358" s="508">
        <v>250920000</v>
      </c>
      <c r="S358" s="508">
        <v>0</v>
      </c>
      <c r="T358" s="509">
        <v>250920000</v>
      </c>
      <c r="U358" s="506">
        <v>8242549</v>
      </c>
      <c r="V358" s="510"/>
    </row>
    <row r="359" spans="1:22" s="270" customFormat="1" ht="15" customHeight="1">
      <c r="A359" s="317"/>
      <c r="B359" s="334">
        <f t="shared" si="14"/>
        <v>349</v>
      </c>
      <c r="C359" s="289" t="s">
        <v>416</v>
      </c>
      <c r="D359" s="330" t="s">
        <v>270</v>
      </c>
      <c r="E359" s="289" t="s">
        <v>310</v>
      </c>
      <c r="F359" s="360" t="s">
        <v>743</v>
      </c>
      <c r="G359" s="500">
        <v>8</v>
      </c>
      <c r="H359" s="501" t="s">
        <v>441</v>
      </c>
      <c r="I359" s="502" t="s">
        <v>1123</v>
      </c>
      <c r="J359" s="503"/>
      <c r="K359" s="504">
        <v>45796</v>
      </c>
      <c r="L359" s="504"/>
      <c r="M359" s="504"/>
      <c r="N359" s="505" t="s">
        <v>196</v>
      </c>
      <c r="O359" s="506">
        <v>184900</v>
      </c>
      <c r="P359" s="507" t="s">
        <v>196</v>
      </c>
      <c r="Q359" s="508">
        <v>0</v>
      </c>
      <c r="R359" s="508">
        <v>0</v>
      </c>
      <c r="S359" s="508">
        <v>184900</v>
      </c>
      <c r="T359" s="509">
        <v>184900</v>
      </c>
      <c r="U359" s="506">
        <v>0</v>
      </c>
      <c r="V359" s="510" t="s">
        <v>438</v>
      </c>
    </row>
    <row r="360" spans="1:22" s="270" customFormat="1" ht="15" customHeight="1">
      <c r="A360" s="317"/>
      <c r="B360" s="334">
        <f t="shared" si="14"/>
        <v>350</v>
      </c>
      <c r="C360" s="289" t="s">
        <v>416</v>
      </c>
      <c r="D360" s="330" t="s">
        <v>270</v>
      </c>
      <c r="E360" s="289" t="s">
        <v>310</v>
      </c>
      <c r="F360" s="360" t="s">
        <v>743</v>
      </c>
      <c r="G360" s="500">
        <v>9</v>
      </c>
      <c r="H360" s="501" t="s">
        <v>441</v>
      </c>
      <c r="I360" s="502" t="s">
        <v>1124</v>
      </c>
      <c r="J360" s="503"/>
      <c r="K360" s="504">
        <v>45833</v>
      </c>
      <c r="L360" s="504"/>
      <c r="M360" s="504"/>
      <c r="N360" s="505" t="s">
        <v>196</v>
      </c>
      <c r="O360" s="506">
        <v>565800</v>
      </c>
      <c r="P360" s="507" t="s">
        <v>196</v>
      </c>
      <c r="Q360" s="508">
        <v>0</v>
      </c>
      <c r="R360" s="508">
        <v>0</v>
      </c>
      <c r="S360" s="508">
        <v>565800</v>
      </c>
      <c r="T360" s="509">
        <v>565800</v>
      </c>
      <c r="U360" s="506">
        <v>0</v>
      </c>
      <c r="V360" s="510" t="s">
        <v>439</v>
      </c>
    </row>
    <row r="361" spans="1:22" s="270" customFormat="1" ht="15" customHeight="1">
      <c r="A361" s="317"/>
      <c r="B361" s="334">
        <f t="shared" si="14"/>
        <v>351</v>
      </c>
      <c r="C361" s="289" t="s">
        <v>416</v>
      </c>
      <c r="D361" s="330" t="s">
        <v>270</v>
      </c>
      <c r="E361" s="289" t="s">
        <v>310</v>
      </c>
      <c r="F361" s="360" t="s">
        <v>743</v>
      </c>
      <c r="G361" s="500">
        <v>10</v>
      </c>
      <c r="H361" s="501" t="s">
        <v>441</v>
      </c>
      <c r="I361" s="502" t="s">
        <v>1125</v>
      </c>
      <c r="J361" s="503"/>
      <c r="K361" s="504">
        <v>45833</v>
      </c>
      <c r="L361" s="504"/>
      <c r="M361" s="504"/>
      <c r="N361" s="505" t="s">
        <v>196</v>
      </c>
      <c r="O361" s="506">
        <v>10045200</v>
      </c>
      <c r="P361" s="507" t="s">
        <v>196</v>
      </c>
      <c r="Q361" s="508">
        <v>0</v>
      </c>
      <c r="R361" s="508">
        <v>0</v>
      </c>
      <c r="S361" s="508">
        <v>10045200</v>
      </c>
      <c r="T361" s="509">
        <v>10045200</v>
      </c>
      <c r="U361" s="506">
        <v>0</v>
      </c>
      <c r="V361" s="510" t="s">
        <v>439</v>
      </c>
    </row>
    <row r="362" spans="1:22" s="270" customFormat="1" ht="15" customHeight="1">
      <c r="A362" s="317"/>
      <c r="B362" s="334">
        <f t="shared" si="14"/>
        <v>352</v>
      </c>
      <c r="C362" s="289" t="s">
        <v>416</v>
      </c>
      <c r="D362" s="330" t="s">
        <v>270</v>
      </c>
      <c r="E362" s="289" t="s">
        <v>310</v>
      </c>
      <c r="F362" s="360" t="s">
        <v>743</v>
      </c>
      <c r="G362" s="500">
        <v>11</v>
      </c>
      <c r="H362" s="501" t="s">
        <v>441</v>
      </c>
      <c r="I362" s="502" t="s">
        <v>1126</v>
      </c>
      <c r="J362" s="503"/>
      <c r="K362" s="504">
        <v>45840</v>
      </c>
      <c r="L362" s="504"/>
      <c r="M362" s="504"/>
      <c r="N362" s="505" t="s">
        <v>196</v>
      </c>
      <c r="O362" s="506">
        <v>30000</v>
      </c>
      <c r="P362" s="507" t="s">
        <v>196</v>
      </c>
      <c r="Q362" s="508">
        <v>0</v>
      </c>
      <c r="R362" s="508">
        <v>0</v>
      </c>
      <c r="S362" s="508">
        <v>30000</v>
      </c>
      <c r="T362" s="509">
        <v>30000</v>
      </c>
      <c r="U362" s="506">
        <v>0</v>
      </c>
      <c r="V362" s="510" t="s">
        <v>439</v>
      </c>
    </row>
    <row r="363" spans="1:22" s="270" customFormat="1" ht="15" customHeight="1">
      <c r="A363" s="317"/>
      <c r="B363" s="334">
        <f t="shared" si="14"/>
        <v>353</v>
      </c>
      <c r="C363" s="289" t="s">
        <v>416</v>
      </c>
      <c r="D363" s="330" t="s">
        <v>270</v>
      </c>
      <c r="E363" s="289" t="s">
        <v>310</v>
      </c>
      <c r="F363" s="360" t="s">
        <v>743</v>
      </c>
      <c r="G363" s="500">
        <v>12</v>
      </c>
      <c r="H363" s="501" t="s">
        <v>441</v>
      </c>
      <c r="I363" s="502" t="s">
        <v>1127</v>
      </c>
      <c r="J363" s="503"/>
      <c r="K363" s="504">
        <v>45841</v>
      </c>
      <c r="L363" s="504"/>
      <c r="M363" s="504"/>
      <c r="N363" s="505" t="s">
        <v>196</v>
      </c>
      <c r="O363" s="506">
        <v>148000</v>
      </c>
      <c r="P363" s="507" t="s">
        <v>196</v>
      </c>
      <c r="Q363" s="508">
        <v>0</v>
      </c>
      <c r="R363" s="508">
        <v>0</v>
      </c>
      <c r="S363" s="508">
        <v>148000</v>
      </c>
      <c r="T363" s="509">
        <v>148000</v>
      </c>
      <c r="U363" s="506">
        <v>0</v>
      </c>
      <c r="V363" s="510" t="s">
        <v>439</v>
      </c>
    </row>
    <row r="364" spans="1:22" s="270" customFormat="1" ht="15" customHeight="1">
      <c r="A364" s="317"/>
      <c r="B364" s="334">
        <f t="shared" si="14"/>
        <v>354</v>
      </c>
      <c r="C364" s="289" t="s">
        <v>416</v>
      </c>
      <c r="D364" s="330" t="s">
        <v>270</v>
      </c>
      <c r="E364" s="289" t="s">
        <v>310</v>
      </c>
      <c r="F364" s="360" t="s">
        <v>743</v>
      </c>
      <c r="G364" s="500">
        <v>13</v>
      </c>
      <c r="H364" s="501" t="s">
        <v>441</v>
      </c>
      <c r="I364" s="502" t="s">
        <v>1128</v>
      </c>
      <c r="J364" s="503"/>
      <c r="K364" s="504">
        <v>45856</v>
      </c>
      <c r="L364" s="504"/>
      <c r="M364" s="504"/>
      <c r="N364" s="505" t="s">
        <v>196</v>
      </c>
      <c r="O364" s="506">
        <v>173200</v>
      </c>
      <c r="P364" s="507" t="s">
        <v>196</v>
      </c>
      <c r="Q364" s="508">
        <v>0</v>
      </c>
      <c r="R364" s="508">
        <v>0</v>
      </c>
      <c r="S364" s="508">
        <v>173200</v>
      </c>
      <c r="T364" s="509">
        <v>173200</v>
      </c>
      <c r="U364" s="506">
        <v>0</v>
      </c>
      <c r="V364" s="510" t="s">
        <v>439</v>
      </c>
    </row>
    <row r="365" spans="1:22" s="270" customFormat="1" ht="15" customHeight="1">
      <c r="A365" s="317"/>
      <c r="B365" s="334">
        <f t="shared" si="14"/>
        <v>355</v>
      </c>
      <c r="C365" s="289" t="s">
        <v>416</v>
      </c>
      <c r="D365" s="330" t="s">
        <v>270</v>
      </c>
      <c r="E365" s="289" t="s">
        <v>310</v>
      </c>
      <c r="F365" s="360" t="s">
        <v>743</v>
      </c>
      <c r="G365" s="500">
        <v>14</v>
      </c>
      <c r="H365" s="501" t="s">
        <v>441</v>
      </c>
      <c r="I365" s="502" t="s">
        <v>1129</v>
      </c>
      <c r="J365" s="503"/>
      <c r="K365" s="504">
        <v>45841</v>
      </c>
      <c r="L365" s="504"/>
      <c r="M365" s="504"/>
      <c r="N365" s="505" t="s">
        <v>196</v>
      </c>
      <c r="O365" s="506">
        <v>834900</v>
      </c>
      <c r="P365" s="507" t="s">
        <v>196</v>
      </c>
      <c r="Q365" s="508">
        <v>0</v>
      </c>
      <c r="R365" s="508">
        <v>0</v>
      </c>
      <c r="S365" s="508">
        <v>834900</v>
      </c>
      <c r="T365" s="509">
        <v>834900</v>
      </c>
      <c r="U365" s="506">
        <v>0</v>
      </c>
      <c r="V365" s="510" t="s">
        <v>440</v>
      </c>
    </row>
    <row r="366" spans="1:22" s="270" customFormat="1" ht="15" customHeight="1">
      <c r="A366" s="317"/>
      <c r="B366" s="334">
        <f t="shared" ref="B366:B404" si="15">ROW()-10</f>
        <v>356</v>
      </c>
      <c r="C366" s="289" t="s">
        <v>416</v>
      </c>
      <c r="D366" s="330" t="s">
        <v>270</v>
      </c>
      <c r="E366" s="289" t="s">
        <v>305</v>
      </c>
      <c r="F366" s="360" t="s">
        <v>744</v>
      </c>
      <c r="G366" s="500">
        <v>1</v>
      </c>
      <c r="H366" s="501" t="s">
        <v>212</v>
      </c>
      <c r="I366" s="502" t="s">
        <v>1130</v>
      </c>
      <c r="J366" s="503">
        <v>7.2700000000000001E-2</v>
      </c>
      <c r="K366" s="504">
        <v>42573</v>
      </c>
      <c r="L366" s="504">
        <v>45849</v>
      </c>
      <c r="M366" s="504">
        <v>45662</v>
      </c>
      <c r="N366" s="505" t="s">
        <v>196</v>
      </c>
      <c r="O366" s="506">
        <v>79499413</v>
      </c>
      <c r="P366" s="507" t="s">
        <v>196</v>
      </c>
      <c r="Q366" s="508">
        <v>79499413</v>
      </c>
      <c r="R366" s="508">
        <v>79499413</v>
      </c>
      <c r="S366" s="508">
        <v>0</v>
      </c>
      <c r="T366" s="509">
        <v>79499413</v>
      </c>
      <c r="U366" s="506">
        <v>3877474</v>
      </c>
      <c r="V366" s="510"/>
    </row>
    <row r="367" spans="1:22" s="270" customFormat="1" ht="15" customHeight="1">
      <c r="A367" s="317"/>
      <c r="B367" s="334">
        <f t="shared" si="15"/>
        <v>357</v>
      </c>
      <c r="C367" s="289" t="s">
        <v>416</v>
      </c>
      <c r="D367" s="330" t="s">
        <v>270</v>
      </c>
      <c r="E367" s="289" t="s">
        <v>305</v>
      </c>
      <c r="F367" s="360" t="s">
        <v>744</v>
      </c>
      <c r="G367" s="500">
        <v>2</v>
      </c>
      <c r="H367" s="501" t="s">
        <v>212</v>
      </c>
      <c r="I367" s="502" t="s">
        <v>1131</v>
      </c>
      <c r="J367" s="503">
        <v>8.3900000000000002E-2</v>
      </c>
      <c r="K367" s="504">
        <v>43901</v>
      </c>
      <c r="L367" s="504">
        <v>45723</v>
      </c>
      <c r="M367" s="504">
        <v>45693</v>
      </c>
      <c r="N367" s="505" t="s">
        <v>196</v>
      </c>
      <c r="O367" s="506">
        <v>100000000</v>
      </c>
      <c r="P367" s="507" t="s">
        <v>196</v>
      </c>
      <c r="Q367" s="508">
        <v>100000000</v>
      </c>
      <c r="R367" s="508">
        <v>100000000</v>
      </c>
      <c r="S367" s="508">
        <v>0</v>
      </c>
      <c r="T367" s="509">
        <v>100000000</v>
      </c>
      <c r="U367" s="506">
        <v>4224762</v>
      </c>
      <c r="V367" s="510"/>
    </row>
    <row r="368" spans="1:22" s="270" customFormat="1" ht="15" customHeight="1">
      <c r="A368" s="317"/>
      <c r="B368" s="334">
        <f t="shared" si="15"/>
        <v>358</v>
      </c>
      <c r="C368" s="289" t="s">
        <v>416</v>
      </c>
      <c r="D368" s="330" t="s">
        <v>270</v>
      </c>
      <c r="E368" s="289" t="s">
        <v>305</v>
      </c>
      <c r="F368" s="360" t="s">
        <v>744</v>
      </c>
      <c r="G368" s="500">
        <v>3</v>
      </c>
      <c r="H368" s="501" t="s">
        <v>212</v>
      </c>
      <c r="I368" s="502" t="s">
        <v>1132</v>
      </c>
      <c r="J368" s="503">
        <v>7.8600000000000003E-2</v>
      </c>
      <c r="K368" s="504">
        <v>43615</v>
      </c>
      <c r="L368" s="504">
        <v>45723</v>
      </c>
      <c r="M368" s="504">
        <v>45633</v>
      </c>
      <c r="N368" s="505" t="s">
        <v>196</v>
      </c>
      <c r="O368" s="506">
        <v>277000000</v>
      </c>
      <c r="P368" s="507" t="s">
        <v>196</v>
      </c>
      <c r="Q368" s="508">
        <v>270000000</v>
      </c>
      <c r="R368" s="508">
        <v>270000000</v>
      </c>
      <c r="S368" s="508">
        <v>0</v>
      </c>
      <c r="T368" s="509">
        <v>270000000</v>
      </c>
      <c r="U368" s="506">
        <v>12654084</v>
      </c>
      <c r="V368" s="510"/>
    </row>
    <row r="369" spans="1:22" s="270" customFormat="1" ht="15" customHeight="1">
      <c r="A369" s="317"/>
      <c r="B369" s="334">
        <f t="shared" si="15"/>
        <v>359</v>
      </c>
      <c r="C369" s="289" t="s">
        <v>416</v>
      </c>
      <c r="D369" s="330" t="s">
        <v>270</v>
      </c>
      <c r="E369" s="289" t="s">
        <v>305</v>
      </c>
      <c r="F369" s="360" t="s">
        <v>744</v>
      </c>
      <c r="G369" s="500">
        <v>4</v>
      </c>
      <c r="H369" s="501" t="s">
        <v>212</v>
      </c>
      <c r="I369" s="502" t="s">
        <v>1133</v>
      </c>
      <c r="J369" s="503">
        <v>7.8899999999999998E-2</v>
      </c>
      <c r="K369" s="504">
        <v>43615</v>
      </c>
      <c r="L369" s="504">
        <v>45723</v>
      </c>
      <c r="M369" s="504">
        <v>45633</v>
      </c>
      <c r="N369" s="505" t="s">
        <v>196</v>
      </c>
      <c r="O369" s="506">
        <v>343000000</v>
      </c>
      <c r="P369" s="507" t="s">
        <v>196</v>
      </c>
      <c r="Q369" s="508">
        <v>340000000</v>
      </c>
      <c r="R369" s="508">
        <v>340000000</v>
      </c>
      <c r="S369" s="508">
        <v>0</v>
      </c>
      <c r="T369" s="509">
        <v>340000000</v>
      </c>
      <c r="U369" s="506">
        <v>15987329</v>
      </c>
      <c r="V369" s="510"/>
    </row>
    <row r="370" spans="1:22" s="270" customFormat="1" ht="15" customHeight="1">
      <c r="A370" s="317"/>
      <c r="B370" s="334">
        <f t="shared" si="15"/>
        <v>360</v>
      </c>
      <c r="C370" s="289" t="s">
        <v>416</v>
      </c>
      <c r="D370" s="330" t="s">
        <v>270</v>
      </c>
      <c r="E370" s="289" t="s">
        <v>305</v>
      </c>
      <c r="F370" s="360" t="s">
        <v>744</v>
      </c>
      <c r="G370" s="500">
        <v>5</v>
      </c>
      <c r="H370" s="501" t="s">
        <v>212</v>
      </c>
      <c r="I370" s="502" t="s">
        <v>1134</v>
      </c>
      <c r="J370" s="503">
        <v>9.3599999999999989E-2</v>
      </c>
      <c r="K370" s="504">
        <v>45462</v>
      </c>
      <c r="L370" s="504">
        <v>45645</v>
      </c>
      <c r="M370" s="504">
        <v>45614</v>
      </c>
      <c r="N370" s="505" t="s">
        <v>196</v>
      </c>
      <c r="O370" s="506">
        <v>300000000</v>
      </c>
      <c r="P370" s="507" t="s">
        <v>196</v>
      </c>
      <c r="Q370" s="508">
        <v>300000000</v>
      </c>
      <c r="R370" s="508">
        <v>300000000</v>
      </c>
      <c r="S370" s="508">
        <v>0</v>
      </c>
      <c r="T370" s="509">
        <v>300000000</v>
      </c>
      <c r="U370" s="506">
        <v>18779283</v>
      </c>
      <c r="V370" s="510"/>
    </row>
    <row r="371" spans="1:22" s="270" customFormat="1" ht="15" customHeight="1">
      <c r="A371" s="317"/>
      <c r="B371" s="334">
        <f t="shared" si="15"/>
        <v>361</v>
      </c>
      <c r="C371" s="289" t="s">
        <v>416</v>
      </c>
      <c r="D371" s="330" t="s">
        <v>270</v>
      </c>
      <c r="E371" s="289" t="s">
        <v>305</v>
      </c>
      <c r="F371" s="360" t="s">
        <v>744</v>
      </c>
      <c r="G371" s="500">
        <v>6</v>
      </c>
      <c r="H371" s="501" t="s">
        <v>212</v>
      </c>
      <c r="I371" s="502" t="s">
        <v>1135</v>
      </c>
      <c r="J371" s="503">
        <v>0.10249999999999999</v>
      </c>
      <c r="K371" s="504">
        <v>45614</v>
      </c>
      <c r="L371" s="504">
        <v>45659</v>
      </c>
      <c r="M371" s="504">
        <v>45869</v>
      </c>
      <c r="N371" s="505" t="s">
        <v>196</v>
      </c>
      <c r="O371" s="506">
        <v>100000000</v>
      </c>
      <c r="P371" s="507" t="s">
        <v>196</v>
      </c>
      <c r="Q371" s="508">
        <v>18518427</v>
      </c>
      <c r="R371" s="508">
        <v>18518427</v>
      </c>
      <c r="S371" s="508">
        <v>0</v>
      </c>
      <c r="T371" s="509">
        <v>18518427</v>
      </c>
      <c r="U371" s="506">
        <v>176904</v>
      </c>
      <c r="V371" s="510"/>
    </row>
    <row r="372" spans="1:22" s="270" customFormat="1" ht="15" customHeight="1">
      <c r="A372" s="317"/>
      <c r="B372" s="334">
        <f t="shared" si="15"/>
        <v>362</v>
      </c>
      <c r="C372" s="289" t="s">
        <v>416</v>
      </c>
      <c r="D372" s="330" t="s">
        <v>270</v>
      </c>
      <c r="E372" s="289" t="s">
        <v>305</v>
      </c>
      <c r="F372" s="360" t="s">
        <v>744</v>
      </c>
      <c r="G372" s="500">
        <v>7</v>
      </c>
      <c r="H372" s="501" t="s">
        <v>212</v>
      </c>
      <c r="I372" s="502" t="s">
        <v>1135</v>
      </c>
      <c r="J372" s="503">
        <v>0.10249999999999999</v>
      </c>
      <c r="K372" s="504">
        <v>45614</v>
      </c>
      <c r="L372" s="504">
        <v>45659</v>
      </c>
      <c r="M372" s="504">
        <v>45642</v>
      </c>
      <c r="N372" s="505" t="s">
        <v>196</v>
      </c>
      <c r="O372" s="506">
        <v>100000000</v>
      </c>
      <c r="P372" s="507" t="s">
        <v>196</v>
      </c>
      <c r="Q372" s="508">
        <v>81481573</v>
      </c>
      <c r="R372" s="508">
        <v>81481573</v>
      </c>
      <c r="S372" s="508">
        <v>0</v>
      </c>
      <c r="T372" s="509">
        <v>81481573</v>
      </c>
      <c r="U372" s="506">
        <v>6032493</v>
      </c>
      <c r="V372" s="510"/>
    </row>
    <row r="373" spans="1:22" s="270" customFormat="1" ht="15" customHeight="1">
      <c r="A373" s="317"/>
      <c r="B373" s="334">
        <f t="shared" si="15"/>
        <v>363</v>
      </c>
      <c r="C373" s="289" t="s">
        <v>416</v>
      </c>
      <c r="D373" s="330" t="s">
        <v>270</v>
      </c>
      <c r="E373" s="289" t="s">
        <v>305</v>
      </c>
      <c r="F373" s="360" t="s">
        <v>744</v>
      </c>
      <c r="G373" s="500">
        <v>8</v>
      </c>
      <c r="H373" s="501" t="s">
        <v>431</v>
      </c>
      <c r="I373" s="502" t="s">
        <v>1136</v>
      </c>
      <c r="J373" s="503">
        <v>0.09</v>
      </c>
      <c r="K373" s="504">
        <v>45642</v>
      </c>
      <c r="L373" s="504">
        <v>45642</v>
      </c>
      <c r="M373" s="504">
        <v>45869</v>
      </c>
      <c r="N373" s="505" t="s">
        <v>196</v>
      </c>
      <c r="O373" s="506">
        <v>0</v>
      </c>
      <c r="P373" s="507" t="s">
        <v>196</v>
      </c>
      <c r="Q373" s="508">
        <v>148357442</v>
      </c>
      <c r="R373" s="508">
        <v>148357442</v>
      </c>
      <c r="S373" s="508">
        <v>0</v>
      </c>
      <c r="T373" s="509">
        <v>148357442</v>
      </c>
      <c r="U373" s="506">
        <v>8302351</v>
      </c>
      <c r="V373" s="510"/>
    </row>
    <row r="374" spans="1:22" s="270" customFormat="1" ht="15" customHeight="1">
      <c r="A374" s="317"/>
      <c r="B374" s="334">
        <f t="shared" si="15"/>
        <v>364</v>
      </c>
      <c r="C374" s="289" t="s">
        <v>416</v>
      </c>
      <c r="D374" s="330" t="s">
        <v>270</v>
      </c>
      <c r="E374" s="289" t="s">
        <v>305</v>
      </c>
      <c r="F374" s="360" t="s">
        <v>744</v>
      </c>
      <c r="G374" s="500">
        <v>9</v>
      </c>
      <c r="H374" s="501" t="s">
        <v>431</v>
      </c>
      <c r="I374" s="502" t="s">
        <v>1137</v>
      </c>
      <c r="J374" s="503">
        <v>0.09</v>
      </c>
      <c r="K374" s="504">
        <v>45680</v>
      </c>
      <c r="L374" s="504">
        <v>45680</v>
      </c>
      <c r="M374" s="504">
        <v>45869</v>
      </c>
      <c r="N374" s="505" t="s">
        <v>196</v>
      </c>
      <c r="O374" s="506">
        <v>0</v>
      </c>
      <c r="P374" s="507" t="s">
        <v>196</v>
      </c>
      <c r="Q374" s="508">
        <v>129629978</v>
      </c>
      <c r="R374" s="508">
        <v>129629978</v>
      </c>
      <c r="S374" s="508">
        <v>0</v>
      </c>
      <c r="T374" s="509">
        <v>129629978</v>
      </c>
      <c r="U374" s="506">
        <v>6041110</v>
      </c>
      <c r="V374" s="510"/>
    </row>
    <row r="375" spans="1:22" s="270" customFormat="1" ht="15" customHeight="1">
      <c r="A375" s="317"/>
      <c r="B375" s="334">
        <f t="shared" si="15"/>
        <v>365</v>
      </c>
      <c r="C375" s="289" t="s">
        <v>416</v>
      </c>
      <c r="D375" s="330" t="s">
        <v>270</v>
      </c>
      <c r="E375" s="289" t="s">
        <v>305</v>
      </c>
      <c r="F375" s="360" t="s">
        <v>744</v>
      </c>
      <c r="G375" s="500">
        <v>10</v>
      </c>
      <c r="H375" s="501" t="s">
        <v>431</v>
      </c>
      <c r="I375" s="502" t="s">
        <v>1138</v>
      </c>
      <c r="J375" s="503">
        <v>0.09</v>
      </c>
      <c r="K375" s="504">
        <v>45660</v>
      </c>
      <c r="L375" s="504">
        <v>45660</v>
      </c>
      <c r="M375" s="504">
        <v>45869</v>
      </c>
      <c r="N375" s="505" t="s">
        <v>196</v>
      </c>
      <c r="O375" s="506">
        <v>0</v>
      </c>
      <c r="P375" s="507" t="s">
        <v>196</v>
      </c>
      <c r="Q375" s="508">
        <v>35826803</v>
      </c>
      <c r="R375" s="508">
        <v>35826803</v>
      </c>
      <c r="S375" s="508">
        <v>0</v>
      </c>
      <c r="T375" s="509">
        <v>35826803</v>
      </c>
      <c r="U375" s="506">
        <v>1846306</v>
      </c>
      <c r="V375" s="510"/>
    </row>
    <row r="376" spans="1:22" s="270" customFormat="1" ht="15" customHeight="1">
      <c r="A376" s="317"/>
      <c r="B376" s="334">
        <f t="shared" si="15"/>
        <v>366</v>
      </c>
      <c r="C376" s="289" t="s">
        <v>416</v>
      </c>
      <c r="D376" s="330" t="s">
        <v>270</v>
      </c>
      <c r="E376" s="289" t="s">
        <v>305</v>
      </c>
      <c r="F376" s="360" t="s">
        <v>744</v>
      </c>
      <c r="G376" s="500">
        <v>11</v>
      </c>
      <c r="H376" s="501" t="s">
        <v>431</v>
      </c>
      <c r="I376" s="502" t="s">
        <v>1139</v>
      </c>
      <c r="J376" s="503">
        <v>0.09</v>
      </c>
      <c r="K376" s="504">
        <v>45660</v>
      </c>
      <c r="L376" s="504">
        <v>45660</v>
      </c>
      <c r="M376" s="504">
        <v>45869</v>
      </c>
      <c r="N376" s="505" t="s">
        <v>196</v>
      </c>
      <c r="O376" s="506">
        <v>0</v>
      </c>
      <c r="P376" s="507" t="s">
        <v>196</v>
      </c>
      <c r="Q376" s="508">
        <v>35780640</v>
      </c>
      <c r="R376" s="508">
        <v>35780640</v>
      </c>
      <c r="S376" s="508">
        <v>0</v>
      </c>
      <c r="T376" s="509">
        <v>35780640</v>
      </c>
      <c r="U376" s="506">
        <v>1843927</v>
      </c>
      <c r="V376" s="510"/>
    </row>
    <row r="377" spans="1:22" s="270" customFormat="1" ht="15" customHeight="1">
      <c r="A377" s="317"/>
      <c r="B377" s="334">
        <f t="shared" si="15"/>
        <v>367</v>
      </c>
      <c r="C377" s="289" t="s">
        <v>416</v>
      </c>
      <c r="D377" s="330" t="s">
        <v>270</v>
      </c>
      <c r="E377" s="289" t="s">
        <v>305</v>
      </c>
      <c r="F377" s="360" t="s">
        <v>744</v>
      </c>
      <c r="G377" s="500">
        <v>12</v>
      </c>
      <c r="H377" s="501" t="s">
        <v>431</v>
      </c>
      <c r="I377" s="502" t="s">
        <v>1140</v>
      </c>
      <c r="J377" s="503">
        <v>0.09</v>
      </c>
      <c r="K377" s="504">
        <v>45660</v>
      </c>
      <c r="L377" s="504">
        <v>45660</v>
      </c>
      <c r="M377" s="504">
        <v>45869</v>
      </c>
      <c r="N377" s="505" t="s">
        <v>196</v>
      </c>
      <c r="O377" s="506">
        <v>0</v>
      </c>
      <c r="P377" s="507" t="s">
        <v>196</v>
      </c>
      <c r="Q377" s="508">
        <v>35792715</v>
      </c>
      <c r="R377" s="508">
        <v>35792715</v>
      </c>
      <c r="S377" s="508">
        <v>0</v>
      </c>
      <c r="T377" s="509">
        <v>35792715</v>
      </c>
      <c r="U377" s="506">
        <v>1844549</v>
      </c>
      <c r="V377" s="510"/>
    </row>
    <row r="378" spans="1:22" s="270" customFormat="1" ht="15" customHeight="1">
      <c r="A378" s="317"/>
      <c r="B378" s="334">
        <f t="shared" si="15"/>
        <v>368</v>
      </c>
      <c r="C378" s="289" t="s">
        <v>416</v>
      </c>
      <c r="D378" s="330" t="s">
        <v>270</v>
      </c>
      <c r="E378" s="289" t="s">
        <v>305</v>
      </c>
      <c r="F378" s="360" t="s">
        <v>744</v>
      </c>
      <c r="G378" s="500">
        <v>13</v>
      </c>
      <c r="H378" s="501" t="s">
        <v>431</v>
      </c>
      <c r="I378" s="502" t="s">
        <v>1141</v>
      </c>
      <c r="J378" s="503">
        <v>0.09</v>
      </c>
      <c r="K378" s="504">
        <v>45660</v>
      </c>
      <c r="L378" s="504">
        <v>45660</v>
      </c>
      <c r="M378" s="504">
        <v>45869</v>
      </c>
      <c r="N378" s="505" t="s">
        <v>196</v>
      </c>
      <c r="O378" s="506">
        <v>0</v>
      </c>
      <c r="P378" s="507" t="s">
        <v>196</v>
      </c>
      <c r="Q378" s="508">
        <v>35780640</v>
      </c>
      <c r="R378" s="508">
        <v>35780640</v>
      </c>
      <c r="S378" s="508">
        <v>0</v>
      </c>
      <c r="T378" s="509">
        <v>35780640</v>
      </c>
      <c r="U378" s="506">
        <v>1843927</v>
      </c>
      <c r="V378" s="510"/>
    </row>
    <row r="379" spans="1:22" s="270" customFormat="1" ht="15" customHeight="1">
      <c r="A379" s="317"/>
      <c r="B379" s="334">
        <f t="shared" si="15"/>
        <v>369</v>
      </c>
      <c r="C379" s="289" t="s">
        <v>416</v>
      </c>
      <c r="D379" s="330" t="s">
        <v>270</v>
      </c>
      <c r="E379" s="289" t="s">
        <v>305</v>
      </c>
      <c r="F379" s="360" t="s">
        <v>744</v>
      </c>
      <c r="G379" s="500">
        <v>14</v>
      </c>
      <c r="H379" s="501" t="s">
        <v>431</v>
      </c>
      <c r="I379" s="502" t="s">
        <v>1142</v>
      </c>
      <c r="J379" s="503">
        <v>0.09</v>
      </c>
      <c r="K379" s="504">
        <v>45660</v>
      </c>
      <c r="L379" s="504">
        <v>45660</v>
      </c>
      <c r="M379" s="504">
        <v>45869</v>
      </c>
      <c r="N379" s="505" t="s">
        <v>196</v>
      </c>
      <c r="O379" s="506">
        <v>0</v>
      </c>
      <c r="P379" s="507" t="s">
        <v>196</v>
      </c>
      <c r="Q379" s="508">
        <v>36155484</v>
      </c>
      <c r="R379" s="508">
        <v>36155484</v>
      </c>
      <c r="S379" s="508">
        <v>0</v>
      </c>
      <c r="T379" s="509">
        <v>36155484</v>
      </c>
      <c r="U379" s="506">
        <v>1863244</v>
      </c>
      <c r="V379" s="510"/>
    </row>
    <row r="380" spans="1:22" s="270" customFormat="1" ht="15" customHeight="1">
      <c r="A380" s="317"/>
      <c r="B380" s="334">
        <f t="shared" si="15"/>
        <v>370</v>
      </c>
      <c r="C380" s="289" t="s">
        <v>416</v>
      </c>
      <c r="D380" s="330" t="s">
        <v>270</v>
      </c>
      <c r="E380" s="289" t="s">
        <v>305</v>
      </c>
      <c r="F380" s="360" t="s">
        <v>744</v>
      </c>
      <c r="G380" s="500">
        <v>15</v>
      </c>
      <c r="H380" s="501" t="s">
        <v>431</v>
      </c>
      <c r="I380" s="502" t="s">
        <v>1143</v>
      </c>
      <c r="J380" s="503">
        <v>0.09</v>
      </c>
      <c r="K380" s="504">
        <v>45702</v>
      </c>
      <c r="L380" s="504">
        <v>45702</v>
      </c>
      <c r="M380" s="504">
        <v>45869</v>
      </c>
      <c r="N380" s="505" t="s">
        <v>196</v>
      </c>
      <c r="O380" s="506">
        <v>0</v>
      </c>
      <c r="P380" s="507" t="s">
        <v>196</v>
      </c>
      <c r="Q380" s="508">
        <v>71218279</v>
      </c>
      <c r="R380" s="508">
        <v>71218279</v>
      </c>
      <c r="S380" s="508">
        <v>0</v>
      </c>
      <c r="T380" s="509">
        <v>71218279</v>
      </c>
      <c r="U380" s="506">
        <v>2932630</v>
      </c>
      <c r="V380" s="510"/>
    </row>
    <row r="381" spans="1:22" s="270" customFormat="1" ht="15" customHeight="1">
      <c r="A381" s="317"/>
      <c r="B381" s="334">
        <f t="shared" si="15"/>
        <v>371</v>
      </c>
      <c r="C381" s="289" t="s">
        <v>416</v>
      </c>
      <c r="D381" s="330" t="s">
        <v>270</v>
      </c>
      <c r="E381" s="289" t="s">
        <v>307</v>
      </c>
      <c r="F381" s="360" t="s">
        <v>745</v>
      </c>
      <c r="G381" s="500">
        <v>1</v>
      </c>
      <c r="H381" s="501" t="s">
        <v>422</v>
      </c>
      <c r="I381" s="502" t="s">
        <v>1144</v>
      </c>
      <c r="J381" s="503">
        <v>8.5299999999999987E-2</v>
      </c>
      <c r="K381" s="504">
        <v>43458</v>
      </c>
      <c r="L381" s="504">
        <v>46015</v>
      </c>
      <c r="M381" s="504">
        <v>45649</v>
      </c>
      <c r="N381" s="505" t="s">
        <v>196</v>
      </c>
      <c r="O381" s="506">
        <v>430000000</v>
      </c>
      <c r="P381" s="507" t="s">
        <v>196</v>
      </c>
      <c r="Q381" s="508">
        <v>71521823</v>
      </c>
      <c r="R381" s="508">
        <v>71521823</v>
      </c>
      <c r="S381" s="508">
        <v>0</v>
      </c>
      <c r="T381" s="509">
        <v>71521823</v>
      </c>
      <c r="U381" s="506">
        <v>3398895</v>
      </c>
      <c r="V381" s="510"/>
    </row>
    <row r="382" spans="1:22" s="270" customFormat="1" ht="15" customHeight="1">
      <c r="A382" s="317"/>
      <c r="B382" s="334">
        <f t="shared" si="15"/>
        <v>372</v>
      </c>
      <c r="C382" s="289" t="s">
        <v>416</v>
      </c>
      <c r="D382" s="330" t="s">
        <v>270</v>
      </c>
      <c r="E382" s="289" t="s">
        <v>307</v>
      </c>
      <c r="F382" s="360" t="s">
        <v>745</v>
      </c>
      <c r="G382" s="500">
        <v>2</v>
      </c>
      <c r="H382" s="501" t="s">
        <v>212</v>
      </c>
      <c r="I382" s="502" t="s">
        <v>1145</v>
      </c>
      <c r="J382" s="503">
        <v>9.0299999999999991E-2</v>
      </c>
      <c r="K382" s="504">
        <v>44181</v>
      </c>
      <c r="L382" s="504">
        <v>46003</v>
      </c>
      <c r="M382" s="504">
        <v>45693</v>
      </c>
      <c r="N382" s="505" t="s">
        <v>196</v>
      </c>
      <c r="O382" s="506">
        <v>130000000</v>
      </c>
      <c r="P382" s="507" t="s">
        <v>196</v>
      </c>
      <c r="Q382" s="508">
        <v>130000000</v>
      </c>
      <c r="R382" s="508">
        <v>130000000</v>
      </c>
      <c r="S382" s="508">
        <v>0</v>
      </c>
      <c r="T382" s="509">
        <v>130000000</v>
      </c>
      <c r="U382" s="506">
        <v>5394361</v>
      </c>
      <c r="V382" s="510"/>
    </row>
    <row r="383" spans="1:22" s="270" customFormat="1" ht="15" customHeight="1">
      <c r="A383" s="317"/>
      <c r="B383" s="334">
        <f t="shared" si="15"/>
        <v>373</v>
      </c>
      <c r="C383" s="289" t="s">
        <v>416</v>
      </c>
      <c r="D383" s="330" t="s">
        <v>270</v>
      </c>
      <c r="E383" s="289" t="s">
        <v>307</v>
      </c>
      <c r="F383" s="360" t="s">
        <v>745</v>
      </c>
      <c r="G383" s="500">
        <v>3</v>
      </c>
      <c r="H383" s="501" t="s">
        <v>212</v>
      </c>
      <c r="I383" s="502" t="s">
        <v>1146</v>
      </c>
      <c r="J383" s="503">
        <v>9.0999999999999998E-2</v>
      </c>
      <c r="K383" s="504">
        <v>44802</v>
      </c>
      <c r="L383" s="504">
        <v>45897</v>
      </c>
      <c r="M383" s="504">
        <v>45869</v>
      </c>
      <c r="N383" s="505" t="s">
        <v>196</v>
      </c>
      <c r="O383" s="506">
        <v>300000000</v>
      </c>
      <c r="P383" s="507" t="s">
        <v>196</v>
      </c>
      <c r="Q383" s="508">
        <v>114315823</v>
      </c>
      <c r="R383" s="508">
        <v>114315823</v>
      </c>
      <c r="S383" s="508">
        <v>0</v>
      </c>
      <c r="T383" s="509">
        <v>114315823</v>
      </c>
      <c r="U383" s="506">
        <v>969597</v>
      </c>
      <c r="V383" s="510"/>
    </row>
    <row r="384" spans="1:22" s="270" customFormat="1" ht="15" customHeight="1">
      <c r="A384" s="317"/>
      <c r="B384" s="334">
        <f t="shared" si="15"/>
        <v>374</v>
      </c>
      <c r="C384" s="289" t="s">
        <v>416</v>
      </c>
      <c r="D384" s="330" t="s">
        <v>270</v>
      </c>
      <c r="E384" s="289" t="s">
        <v>307</v>
      </c>
      <c r="F384" s="360" t="s">
        <v>745</v>
      </c>
      <c r="G384" s="500">
        <v>4</v>
      </c>
      <c r="H384" s="501" t="s">
        <v>212</v>
      </c>
      <c r="I384" s="502" t="s">
        <v>1146</v>
      </c>
      <c r="J384" s="503">
        <v>9.0999999999999998E-2</v>
      </c>
      <c r="K384" s="504">
        <v>44802</v>
      </c>
      <c r="L384" s="504">
        <v>45897</v>
      </c>
      <c r="M384" s="504">
        <v>45653</v>
      </c>
      <c r="N384" s="505" t="s">
        <v>196</v>
      </c>
      <c r="O384" s="506">
        <v>300000000</v>
      </c>
      <c r="P384" s="507" t="s">
        <v>196</v>
      </c>
      <c r="Q384" s="508">
        <v>185684177</v>
      </c>
      <c r="R384" s="508">
        <v>185684177</v>
      </c>
      <c r="S384" s="508">
        <v>0</v>
      </c>
      <c r="T384" s="509">
        <v>185684177</v>
      </c>
      <c r="U384" s="506">
        <v>13917427</v>
      </c>
      <c r="V384" s="510"/>
    </row>
    <row r="385" spans="1:22" s="270" customFormat="1" ht="15" customHeight="1">
      <c r="A385" s="317"/>
      <c r="B385" s="334">
        <f t="shared" si="15"/>
        <v>375</v>
      </c>
      <c r="C385" s="289" t="s">
        <v>416</v>
      </c>
      <c r="D385" s="330" t="s">
        <v>270</v>
      </c>
      <c r="E385" s="289" t="s">
        <v>307</v>
      </c>
      <c r="F385" s="360" t="s">
        <v>745</v>
      </c>
      <c r="G385" s="500">
        <v>5</v>
      </c>
      <c r="H385" s="501" t="s">
        <v>212</v>
      </c>
      <c r="I385" s="502" t="s">
        <v>1147</v>
      </c>
      <c r="J385" s="503">
        <v>6.7299999999999999E-2</v>
      </c>
      <c r="K385" s="504">
        <v>45121</v>
      </c>
      <c r="L385" s="504">
        <v>45852</v>
      </c>
      <c r="M385" s="504">
        <v>45644</v>
      </c>
      <c r="N385" s="505" t="s">
        <v>196</v>
      </c>
      <c r="O385" s="506">
        <v>200000000</v>
      </c>
      <c r="P385" s="507" t="s">
        <v>196</v>
      </c>
      <c r="Q385" s="508">
        <v>200000000</v>
      </c>
      <c r="R385" s="508">
        <v>200000000</v>
      </c>
      <c r="S385" s="508">
        <v>0</v>
      </c>
      <c r="T385" s="509">
        <v>200000000</v>
      </c>
      <c r="U385" s="506">
        <v>7497526</v>
      </c>
      <c r="V385" s="510"/>
    </row>
    <row r="386" spans="1:22" s="270" customFormat="1" ht="15" customHeight="1">
      <c r="A386" s="317"/>
      <c r="B386" s="334">
        <f t="shared" si="15"/>
        <v>376</v>
      </c>
      <c r="C386" s="289" t="s">
        <v>416</v>
      </c>
      <c r="D386" s="330" t="s">
        <v>270</v>
      </c>
      <c r="E386" s="289" t="s">
        <v>307</v>
      </c>
      <c r="F386" s="360" t="s">
        <v>745</v>
      </c>
      <c r="G386" s="500">
        <v>6</v>
      </c>
      <c r="H386" s="501" t="s">
        <v>424</v>
      </c>
      <c r="I386" s="502" t="s">
        <v>1148</v>
      </c>
      <c r="J386" s="503">
        <v>0.11</v>
      </c>
      <c r="K386" s="504">
        <v>42506</v>
      </c>
      <c r="L386" s="504">
        <v>45791</v>
      </c>
      <c r="M386" s="504">
        <v>45869</v>
      </c>
      <c r="N386" s="505" t="s">
        <v>196</v>
      </c>
      <c r="O386" s="506">
        <v>9089700000</v>
      </c>
      <c r="P386" s="507" t="s">
        <v>196</v>
      </c>
      <c r="Q386" s="508">
        <v>75925224</v>
      </c>
      <c r="R386" s="508">
        <v>75925224</v>
      </c>
      <c r="S386" s="508">
        <v>0</v>
      </c>
      <c r="T386" s="509">
        <v>75925224</v>
      </c>
      <c r="U386" s="506">
        <v>5926166</v>
      </c>
      <c r="V386" s="510"/>
    </row>
    <row r="387" spans="1:22" s="270" customFormat="1" ht="15" customHeight="1">
      <c r="A387" s="317"/>
      <c r="B387" s="334">
        <f t="shared" si="15"/>
        <v>377</v>
      </c>
      <c r="C387" s="289" t="s">
        <v>416</v>
      </c>
      <c r="D387" s="330" t="s">
        <v>270</v>
      </c>
      <c r="E387" s="289" t="s">
        <v>307</v>
      </c>
      <c r="F387" s="360" t="s">
        <v>745</v>
      </c>
      <c r="G387" s="500">
        <v>7</v>
      </c>
      <c r="H387" s="501" t="s">
        <v>212</v>
      </c>
      <c r="I387" s="502" t="s">
        <v>1149</v>
      </c>
      <c r="J387" s="503">
        <v>0.11</v>
      </c>
      <c r="K387" s="504">
        <v>42914</v>
      </c>
      <c r="L387" s="504">
        <v>45791</v>
      </c>
      <c r="M387" s="504">
        <v>45869</v>
      </c>
      <c r="N387" s="505" t="s">
        <v>196</v>
      </c>
      <c r="O387" s="506">
        <v>365000000</v>
      </c>
      <c r="P387" s="507" t="s">
        <v>196</v>
      </c>
      <c r="Q387" s="508">
        <v>244202000</v>
      </c>
      <c r="R387" s="508">
        <v>244202000</v>
      </c>
      <c r="S387" s="508">
        <v>0</v>
      </c>
      <c r="T387" s="509">
        <v>244202000</v>
      </c>
      <c r="U387" s="506">
        <v>2502234</v>
      </c>
      <c r="V387" s="510"/>
    </row>
    <row r="388" spans="1:22" s="270" customFormat="1" ht="15" customHeight="1">
      <c r="A388" s="317"/>
      <c r="B388" s="334">
        <f t="shared" si="15"/>
        <v>378</v>
      </c>
      <c r="C388" s="289" t="s">
        <v>416</v>
      </c>
      <c r="D388" s="330" t="s">
        <v>270</v>
      </c>
      <c r="E388" s="289" t="s">
        <v>307</v>
      </c>
      <c r="F388" s="360" t="s">
        <v>745</v>
      </c>
      <c r="G388" s="500">
        <v>8</v>
      </c>
      <c r="H388" s="501" t="s">
        <v>212</v>
      </c>
      <c r="I388" s="502" t="s">
        <v>1149</v>
      </c>
      <c r="J388" s="503">
        <v>0.11</v>
      </c>
      <c r="K388" s="504">
        <v>42914</v>
      </c>
      <c r="L388" s="504">
        <v>45791</v>
      </c>
      <c r="M388" s="504">
        <v>45666</v>
      </c>
      <c r="N388" s="505" t="s">
        <v>196</v>
      </c>
      <c r="O388" s="506">
        <v>365000000</v>
      </c>
      <c r="P388" s="507" t="s">
        <v>196</v>
      </c>
      <c r="Q388" s="508">
        <v>120798000</v>
      </c>
      <c r="R388" s="508">
        <v>120798000</v>
      </c>
      <c r="S388" s="508">
        <v>0</v>
      </c>
      <c r="T388" s="509">
        <v>120798000</v>
      </c>
      <c r="U388" s="506">
        <v>19176489</v>
      </c>
      <c r="V388" s="510"/>
    </row>
    <row r="389" spans="1:22" s="270" customFormat="1" ht="15" customHeight="1">
      <c r="A389" s="317"/>
      <c r="B389" s="334">
        <f t="shared" si="15"/>
        <v>379</v>
      </c>
      <c r="C389" s="289" t="s">
        <v>416</v>
      </c>
      <c r="D389" s="330" t="s">
        <v>270</v>
      </c>
      <c r="E389" s="289" t="s">
        <v>307</v>
      </c>
      <c r="F389" s="360" t="s">
        <v>745</v>
      </c>
      <c r="G389" s="500">
        <v>9</v>
      </c>
      <c r="H389" s="501" t="s">
        <v>212</v>
      </c>
      <c r="I389" s="502" t="s">
        <v>1150</v>
      </c>
      <c r="J389" s="503">
        <v>8.5199999999999998E-2</v>
      </c>
      <c r="K389" s="504">
        <v>43083</v>
      </c>
      <c r="L389" s="504">
        <v>46003</v>
      </c>
      <c r="M389" s="504">
        <v>45693</v>
      </c>
      <c r="N389" s="505" t="s">
        <v>196</v>
      </c>
      <c r="O389" s="506">
        <v>150000000</v>
      </c>
      <c r="P389" s="507" t="s">
        <v>196</v>
      </c>
      <c r="Q389" s="508">
        <v>150000000</v>
      </c>
      <c r="R389" s="508">
        <v>150000000</v>
      </c>
      <c r="S389" s="508">
        <v>0</v>
      </c>
      <c r="T389" s="509">
        <v>150000000</v>
      </c>
      <c r="U389" s="506">
        <v>5856680</v>
      </c>
      <c r="V389" s="510"/>
    </row>
    <row r="390" spans="1:22" s="270" customFormat="1" ht="15" customHeight="1">
      <c r="A390" s="317"/>
      <c r="B390" s="334">
        <f t="shared" si="15"/>
        <v>380</v>
      </c>
      <c r="C390" s="289" t="s">
        <v>416</v>
      </c>
      <c r="D390" s="330" t="s">
        <v>270</v>
      </c>
      <c r="E390" s="289" t="s">
        <v>307</v>
      </c>
      <c r="F390" s="360" t="s">
        <v>745</v>
      </c>
      <c r="G390" s="500">
        <v>10</v>
      </c>
      <c r="H390" s="501" t="s">
        <v>212</v>
      </c>
      <c r="I390" s="502" t="s">
        <v>1151</v>
      </c>
      <c r="J390" s="503">
        <v>7.8899999999999998E-2</v>
      </c>
      <c r="K390" s="504">
        <v>43235</v>
      </c>
      <c r="L390" s="504">
        <v>45791</v>
      </c>
      <c r="M390" s="504">
        <v>45639</v>
      </c>
      <c r="N390" s="505" t="s">
        <v>196</v>
      </c>
      <c r="O390" s="506">
        <v>400000000</v>
      </c>
      <c r="P390" s="507" t="s">
        <v>196</v>
      </c>
      <c r="Q390" s="508">
        <v>400000000</v>
      </c>
      <c r="R390" s="508">
        <v>400000000</v>
      </c>
      <c r="S390" s="508">
        <v>0</v>
      </c>
      <c r="T390" s="509">
        <v>400000000</v>
      </c>
      <c r="U390" s="506">
        <v>18213244</v>
      </c>
      <c r="V390" s="510"/>
    </row>
    <row r="391" spans="1:22" s="270" customFormat="1" ht="15" customHeight="1">
      <c r="A391" s="317"/>
      <c r="B391" s="334">
        <f t="shared" si="15"/>
        <v>381</v>
      </c>
      <c r="C391" s="289" t="s">
        <v>416</v>
      </c>
      <c r="D391" s="330" t="s">
        <v>270</v>
      </c>
      <c r="E391" s="289" t="s">
        <v>307</v>
      </c>
      <c r="F391" s="360" t="s">
        <v>745</v>
      </c>
      <c r="G391" s="500">
        <v>11</v>
      </c>
      <c r="H391" s="501" t="s">
        <v>441</v>
      </c>
      <c r="I391" s="502" t="s">
        <v>1152</v>
      </c>
      <c r="J391" s="503"/>
      <c r="K391" s="504">
        <v>45789</v>
      </c>
      <c r="L391" s="504"/>
      <c r="M391" s="504"/>
      <c r="N391" s="505" t="s">
        <v>196</v>
      </c>
      <c r="O391" s="506">
        <v>15278000</v>
      </c>
      <c r="P391" s="507" t="s">
        <v>196</v>
      </c>
      <c r="Q391" s="508">
        <v>0</v>
      </c>
      <c r="R391" s="508">
        <v>0</v>
      </c>
      <c r="S391" s="508">
        <v>15278000</v>
      </c>
      <c r="T391" s="509">
        <v>15278000</v>
      </c>
      <c r="U391" s="506">
        <v>0</v>
      </c>
      <c r="V391" s="510" t="s">
        <v>439</v>
      </c>
    </row>
    <row r="392" spans="1:22" s="270" customFormat="1" ht="15" customHeight="1">
      <c r="A392" s="317"/>
      <c r="B392" s="334">
        <f t="shared" si="15"/>
        <v>382</v>
      </c>
      <c r="C392" s="289" t="s">
        <v>416</v>
      </c>
      <c r="D392" s="330" t="s">
        <v>270</v>
      </c>
      <c r="E392" s="289" t="s">
        <v>307</v>
      </c>
      <c r="F392" s="360" t="s">
        <v>745</v>
      </c>
      <c r="G392" s="500">
        <v>12</v>
      </c>
      <c r="H392" s="501" t="s">
        <v>441</v>
      </c>
      <c r="I392" s="502" t="s">
        <v>1153</v>
      </c>
      <c r="J392" s="503"/>
      <c r="K392" s="504">
        <v>45770</v>
      </c>
      <c r="L392" s="504"/>
      <c r="M392" s="504"/>
      <c r="N392" s="505" t="s">
        <v>196</v>
      </c>
      <c r="O392" s="506">
        <v>1880260</v>
      </c>
      <c r="P392" s="507" t="s">
        <v>196</v>
      </c>
      <c r="Q392" s="508">
        <v>0</v>
      </c>
      <c r="R392" s="508">
        <v>0</v>
      </c>
      <c r="S392" s="508">
        <v>1854480</v>
      </c>
      <c r="T392" s="509">
        <v>1854480</v>
      </c>
      <c r="U392" s="506">
        <v>0</v>
      </c>
      <c r="V392" s="510" t="s">
        <v>437</v>
      </c>
    </row>
    <row r="393" spans="1:22" s="270" customFormat="1" ht="15" customHeight="1">
      <c r="A393" s="317"/>
      <c r="B393" s="334">
        <f t="shared" si="15"/>
        <v>383</v>
      </c>
      <c r="C393" s="289" t="s">
        <v>416</v>
      </c>
      <c r="D393" s="330" t="s">
        <v>270</v>
      </c>
      <c r="E393" s="289" t="s">
        <v>306</v>
      </c>
      <c r="F393" s="360" t="s">
        <v>746</v>
      </c>
      <c r="G393" s="500">
        <v>1</v>
      </c>
      <c r="H393" s="501" t="s">
        <v>212</v>
      </c>
      <c r="I393" s="502" t="s">
        <v>1154</v>
      </c>
      <c r="J393" s="503">
        <v>0.11</v>
      </c>
      <c r="K393" s="504">
        <v>44139</v>
      </c>
      <c r="L393" s="504">
        <v>45597</v>
      </c>
      <c r="M393" s="504">
        <v>45570</v>
      </c>
      <c r="N393" s="505" t="s">
        <v>196</v>
      </c>
      <c r="O393" s="506">
        <v>50000000</v>
      </c>
      <c r="P393" s="507" t="s">
        <v>196</v>
      </c>
      <c r="Q393" s="508">
        <v>49999939</v>
      </c>
      <c r="R393" s="508">
        <v>49999939</v>
      </c>
      <c r="S393" s="508">
        <v>0</v>
      </c>
      <c r="T393" s="509">
        <v>49999939</v>
      </c>
      <c r="U393" s="506">
        <v>4389249</v>
      </c>
      <c r="V393" s="510"/>
    </row>
    <row r="394" spans="1:22" s="270" customFormat="1" ht="15" customHeight="1">
      <c r="A394" s="317"/>
      <c r="B394" s="334">
        <f t="shared" si="15"/>
        <v>384</v>
      </c>
      <c r="C394" s="289" t="s">
        <v>416</v>
      </c>
      <c r="D394" s="330" t="s">
        <v>270</v>
      </c>
      <c r="E394" s="289" t="s">
        <v>306</v>
      </c>
      <c r="F394" s="360" t="s">
        <v>746</v>
      </c>
      <c r="G394" s="500">
        <v>2</v>
      </c>
      <c r="H394" s="501" t="s">
        <v>212</v>
      </c>
      <c r="I394" s="502" t="s">
        <v>1155</v>
      </c>
      <c r="J394" s="503">
        <v>8.929999999999999E-2</v>
      </c>
      <c r="K394" s="504">
        <v>42727</v>
      </c>
      <c r="L394" s="504">
        <v>45639</v>
      </c>
      <c r="M394" s="504">
        <v>45564</v>
      </c>
      <c r="N394" s="505" t="s">
        <v>196</v>
      </c>
      <c r="O394" s="506">
        <v>160000000</v>
      </c>
      <c r="P394" s="507" t="s">
        <v>196</v>
      </c>
      <c r="Q394" s="508">
        <v>21000000</v>
      </c>
      <c r="R394" s="508">
        <v>21000000</v>
      </c>
      <c r="S394" s="508">
        <v>0</v>
      </c>
      <c r="T394" s="509">
        <v>21000000</v>
      </c>
      <c r="U394" s="506">
        <v>4274545</v>
      </c>
      <c r="V394" s="510"/>
    </row>
    <row r="395" spans="1:22" s="270" customFormat="1" ht="15" customHeight="1">
      <c r="A395" s="317"/>
      <c r="B395" s="334">
        <f t="shared" si="15"/>
        <v>385</v>
      </c>
      <c r="C395" s="289" t="s">
        <v>416</v>
      </c>
      <c r="D395" s="330" t="s">
        <v>270</v>
      </c>
      <c r="E395" s="289" t="s">
        <v>306</v>
      </c>
      <c r="F395" s="360" t="s">
        <v>746</v>
      </c>
      <c r="G395" s="500">
        <v>3</v>
      </c>
      <c r="H395" s="501" t="s">
        <v>212</v>
      </c>
      <c r="I395" s="502" t="s">
        <v>1156</v>
      </c>
      <c r="J395" s="503">
        <v>9.1700000000000004E-2</v>
      </c>
      <c r="K395" s="504">
        <v>43825</v>
      </c>
      <c r="L395" s="504">
        <v>45641</v>
      </c>
      <c r="M395" s="504">
        <v>45579</v>
      </c>
      <c r="N395" s="505" t="s">
        <v>196</v>
      </c>
      <c r="O395" s="506">
        <v>845000000</v>
      </c>
      <c r="P395" s="507" t="s">
        <v>196</v>
      </c>
      <c r="Q395" s="508">
        <v>845000000</v>
      </c>
      <c r="R395" s="508">
        <v>845000000</v>
      </c>
      <c r="S395" s="508">
        <v>0</v>
      </c>
      <c r="T395" s="509">
        <v>845000000</v>
      </c>
      <c r="U395" s="506">
        <v>58183331</v>
      </c>
      <c r="V395" s="510"/>
    </row>
    <row r="396" spans="1:22" s="270" customFormat="1" ht="15" customHeight="1">
      <c r="A396" s="317"/>
      <c r="B396" s="334">
        <f t="shared" si="15"/>
        <v>386</v>
      </c>
      <c r="C396" s="289" t="s">
        <v>416</v>
      </c>
      <c r="D396" s="330" t="s">
        <v>270</v>
      </c>
      <c r="E396" s="289" t="s">
        <v>306</v>
      </c>
      <c r="F396" s="360" t="s">
        <v>746</v>
      </c>
      <c r="G396" s="500">
        <v>4</v>
      </c>
      <c r="H396" s="501" t="s">
        <v>422</v>
      </c>
      <c r="I396" s="502" t="s">
        <v>1157</v>
      </c>
      <c r="J396" s="503">
        <v>8.4100000000000008E-2</v>
      </c>
      <c r="K396" s="504">
        <v>44439</v>
      </c>
      <c r="L396" s="504">
        <v>45902</v>
      </c>
      <c r="M396" s="504">
        <v>45566</v>
      </c>
      <c r="N396" s="505" t="s">
        <v>196</v>
      </c>
      <c r="O396" s="506">
        <v>670000000</v>
      </c>
      <c r="P396" s="507" t="s">
        <v>196</v>
      </c>
      <c r="Q396" s="508">
        <v>670000000</v>
      </c>
      <c r="R396" s="508">
        <v>670000000</v>
      </c>
      <c r="S396" s="508">
        <v>0</v>
      </c>
      <c r="T396" s="509">
        <v>670000000</v>
      </c>
      <c r="U396" s="506">
        <v>43968970</v>
      </c>
      <c r="V396" s="510"/>
    </row>
    <row r="397" spans="1:22" s="270" customFormat="1" ht="15" customHeight="1">
      <c r="A397" s="317"/>
      <c r="B397" s="334">
        <f t="shared" si="15"/>
        <v>387</v>
      </c>
      <c r="C397" s="289" t="s">
        <v>416</v>
      </c>
      <c r="D397" s="330" t="s">
        <v>270</v>
      </c>
      <c r="E397" s="289" t="s">
        <v>306</v>
      </c>
      <c r="F397" s="360" t="s">
        <v>746</v>
      </c>
      <c r="G397" s="500">
        <v>5</v>
      </c>
      <c r="H397" s="501" t="s">
        <v>441</v>
      </c>
      <c r="I397" s="502" t="s">
        <v>1158</v>
      </c>
      <c r="J397" s="503"/>
      <c r="K397" s="504">
        <v>45623</v>
      </c>
      <c r="L397" s="504"/>
      <c r="M397" s="504"/>
      <c r="N397" s="505" t="s">
        <v>196</v>
      </c>
      <c r="O397" s="506">
        <v>374900</v>
      </c>
      <c r="P397" s="507" t="s">
        <v>196</v>
      </c>
      <c r="Q397" s="508">
        <v>0</v>
      </c>
      <c r="R397" s="508">
        <v>0</v>
      </c>
      <c r="S397" s="508">
        <v>374900</v>
      </c>
      <c r="T397" s="509">
        <v>374900</v>
      </c>
      <c r="U397" s="506">
        <v>0</v>
      </c>
      <c r="V397" s="510" t="s">
        <v>438</v>
      </c>
    </row>
    <row r="398" spans="1:22" s="270" customFormat="1" ht="15" customHeight="1">
      <c r="A398" s="317"/>
      <c r="B398" s="334">
        <f t="shared" si="15"/>
        <v>388</v>
      </c>
      <c r="C398" s="289" t="s">
        <v>416</v>
      </c>
      <c r="D398" s="330" t="s">
        <v>270</v>
      </c>
      <c r="E398" s="289" t="s">
        <v>306</v>
      </c>
      <c r="F398" s="360" t="s">
        <v>746</v>
      </c>
      <c r="G398" s="500">
        <v>6</v>
      </c>
      <c r="H398" s="501" t="s">
        <v>441</v>
      </c>
      <c r="I398" s="502" t="s">
        <v>1159</v>
      </c>
      <c r="J398" s="503"/>
      <c r="K398" s="504">
        <v>45855</v>
      </c>
      <c r="L398" s="504"/>
      <c r="M398" s="504"/>
      <c r="N398" s="505" t="s">
        <v>196</v>
      </c>
      <c r="O398" s="506">
        <v>7537720</v>
      </c>
      <c r="P398" s="507" t="s">
        <v>196</v>
      </c>
      <c r="Q398" s="508">
        <v>0</v>
      </c>
      <c r="R398" s="508">
        <v>0</v>
      </c>
      <c r="S398" s="508">
        <v>7537720</v>
      </c>
      <c r="T398" s="509">
        <v>7537720</v>
      </c>
      <c r="U398" s="506">
        <v>0</v>
      </c>
      <c r="V398" s="510" t="s">
        <v>439</v>
      </c>
    </row>
    <row r="399" spans="1:22" s="270" customFormat="1" ht="15" customHeight="1">
      <c r="A399" s="317"/>
      <c r="B399" s="334">
        <f t="shared" si="15"/>
        <v>389</v>
      </c>
      <c r="C399" s="289" t="s">
        <v>416</v>
      </c>
      <c r="D399" s="330" t="s">
        <v>270</v>
      </c>
      <c r="E399" s="289" t="s">
        <v>306</v>
      </c>
      <c r="F399" s="360" t="s">
        <v>746</v>
      </c>
      <c r="G399" s="500">
        <v>7</v>
      </c>
      <c r="H399" s="501" t="s">
        <v>441</v>
      </c>
      <c r="I399" s="502" t="s">
        <v>1160</v>
      </c>
      <c r="J399" s="503"/>
      <c r="K399" s="504">
        <v>45855</v>
      </c>
      <c r="L399" s="504"/>
      <c r="M399" s="504"/>
      <c r="N399" s="505" t="s">
        <v>196</v>
      </c>
      <c r="O399" s="506">
        <v>9137970</v>
      </c>
      <c r="P399" s="507" t="s">
        <v>196</v>
      </c>
      <c r="Q399" s="508">
        <v>0</v>
      </c>
      <c r="R399" s="508">
        <v>0</v>
      </c>
      <c r="S399" s="508">
        <v>9137970</v>
      </c>
      <c r="T399" s="509">
        <v>9137970</v>
      </c>
      <c r="U399" s="506">
        <v>0</v>
      </c>
      <c r="V399" s="510" t="s">
        <v>439</v>
      </c>
    </row>
    <row r="400" spans="1:22" s="270" customFormat="1" ht="15" customHeight="1">
      <c r="A400" s="317"/>
      <c r="B400" s="334">
        <f t="shared" si="15"/>
        <v>390</v>
      </c>
      <c r="C400" s="289" t="s">
        <v>416</v>
      </c>
      <c r="D400" s="330" t="s">
        <v>270</v>
      </c>
      <c r="E400" s="289" t="s">
        <v>301</v>
      </c>
      <c r="F400" s="360" t="s">
        <v>747</v>
      </c>
      <c r="G400" s="500">
        <v>1</v>
      </c>
      <c r="H400" s="501" t="s">
        <v>212</v>
      </c>
      <c r="I400" s="502" t="s">
        <v>1161</v>
      </c>
      <c r="J400" s="503">
        <v>0.11</v>
      </c>
      <c r="K400" s="504">
        <v>44091</v>
      </c>
      <c r="L400" s="504">
        <v>45827</v>
      </c>
      <c r="M400" s="504">
        <v>45675</v>
      </c>
      <c r="N400" s="505" t="s">
        <v>196</v>
      </c>
      <c r="O400" s="506">
        <v>470000000</v>
      </c>
      <c r="P400" s="507" t="s">
        <v>196</v>
      </c>
      <c r="Q400" s="508">
        <v>407840000</v>
      </c>
      <c r="R400" s="508">
        <v>407840000</v>
      </c>
      <c r="S400" s="508">
        <v>0</v>
      </c>
      <c r="T400" s="509">
        <v>407840000</v>
      </c>
      <c r="U400" s="506">
        <v>18085710</v>
      </c>
      <c r="V400" s="510"/>
    </row>
    <row r="401" spans="1:22" s="270" customFormat="1" ht="15" customHeight="1">
      <c r="A401" s="317"/>
      <c r="B401" s="334">
        <f t="shared" si="15"/>
        <v>391</v>
      </c>
      <c r="C401" s="289" t="s">
        <v>416</v>
      </c>
      <c r="D401" s="330" t="s">
        <v>270</v>
      </c>
      <c r="E401" s="289" t="s">
        <v>301</v>
      </c>
      <c r="F401" s="360" t="s">
        <v>747</v>
      </c>
      <c r="G401" s="500">
        <v>2</v>
      </c>
      <c r="H401" s="501" t="s">
        <v>212</v>
      </c>
      <c r="I401" s="502" t="s">
        <v>1162</v>
      </c>
      <c r="J401" s="503">
        <v>9.6099999999999991E-2</v>
      </c>
      <c r="K401" s="504">
        <v>44235</v>
      </c>
      <c r="L401" s="504">
        <v>46052</v>
      </c>
      <c r="M401" s="504">
        <v>45687</v>
      </c>
      <c r="N401" s="505" t="s">
        <v>196</v>
      </c>
      <c r="O401" s="506">
        <v>500000000</v>
      </c>
      <c r="P401" s="507" t="s">
        <v>196</v>
      </c>
      <c r="Q401" s="508">
        <v>488870000</v>
      </c>
      <c r="R401" s="508">
        <v>488870000</v>
      </c>
      <c r="S401" s="508">
        <v>0</v>
      </c>
      <c r="T401" s="509">
        <v>488870000</v>
      </c>
      <c r="U401" s="506">
        <v>19094690</v>
      </c>
      <c r="V401" s="510"/>
    </row>
    <row r="402" spans="1:22" s="270" customFormat="1" ht="15" customHeight="1">
      <c r="A402" s="317"/>
      <c r="B402" s="334">
        <f t="shared" si="15"/>
        <v>392</v>
      </c>
      <c r="C402" s="289" t="s">
        <v>416</v>
      </c>
      <c r="D402" s="330" t="s">
        <v>270</v>
      </c>
      <c r="E402" s="289" t="s">
        <v>301</v>
      </c>
      <c r="F402" s="360" t="s">
        <v>747</v>
      </c>
      <c r="G402" s="500">
        <v>3</v>
      </c>
      <c r="H402" s="501" t="s">
        <v>212</v>
      </c>
      <c r="I402" s="502" t="s">
        <v>1163</v>
      </c>
      <c r="J402" s="503">
        <v>0.11</v>
      </c>
      <c r="K402" s="504">
        <v>44365</v>
      </c>
      <c r="L402" s="504">
        <v>45827</v>
      </c>
      <c r="M402" s="504">
        <v>45675</v>
      </c>
      <c r="N402" s="505" t="s">
        <v>196</v>
      </c>
      <c r="O402" s="506">
        <v>300000000</v>
      </c>
      <c r="P402" s="507" t="s">
        <v>196</v>
      </c>
      <c r="Q402" s="508">
        <v>300000000</v>
      </c>
      <c r="R402" s="508">
        <v>300000000</v>
      </c>
      <c r="S402" s="508">
        <v>0</v>
      </c>
      <c r="T402" s="509">
        <v>300000000</v>
      </c>
      <c r="U402" s="506">
        <v>13303531</v>
      </c>
      <c r="V402" s="510"/>
    </row>
    <row r="403" spans="1:22" s="270" customFormat="1" ht="15" customHeight="1">
      <c r="A403" s="317"/>
      <c r="B403" s="334">
        <f t="shared" si="15"/>
        <v>393</v>
      </c>
      <c r="C403" s="289" t="s">
        <v>416</v>
      </c>
      <c r="D403" s="330" t="s">
        <v>270</v>
      </c>
      <c r="E403" s="289" t="s">
        <v>301</v>
      </c>
      <c r="F403" s="360" t="s">
        <v>747</v>
      </c>
      <c r="G403" s="500">
        <v>4</v>
      </c>
      <c r="H403" s="501" t="s">
        <v>212</v>
      </c>
      <c r="I403" s="502" t="s">
        <v>1164</v>
      </c>
      <c r="J403" s="503">
        <v>0.11</v>
      </c>
      <c r="K403" s="504">
        <v>44365</v>
      </c>
      <c r="L403" s="504">
        <v>45827</v>
      </c>
      <c r="M403" s="504">
        <v>45677</v>
      </c>
      <c r="N403" s="505" t="s">
        <v>196</v>
      </c>
      <c r="O403" s="506">
        <v>500000000</v>
      </c>
      <c r="P403" s="507" t="s">
        <v>196</v>
      </c>
      <c r="Q403" s="508">
        <v>500000000</v>
      </c>
      <c r="R403" s="508">
        <v>500000000</v>
      </c>
      <c r="S403" s="508">
        <v>0</v>
      </c>
      <c r="T403" s="509">
        <v>500000000</v>
      </c>
      <c r="U403" s="506">
        <v>22040379</v>
      </c>
      <c r="V403" s="510"/>
    </row>
    <row r="404" spans="1:22" s="270" customFormat="1" ht="15" customHeight="1">
      <c r="A404" s="317"/>
      <c r="B404" s="334">
        <f t="shared" si="15"/>
        <v>394</v>
      </c>
      <c r="C404" s="289" t="s">
        <v>416</v>
      </c>
      <c r="D404" s="330" t="s">
        <v>270</v>
      </c>
      <c r="E404" s="289" t="s">
        <v>301</v>
      </c>
      <c r="F404" s="360" t="s">
        <v>747</v>
      </c>
      <c r="G404" s="500">
        <v>5</v>
      </c>
      <c r="H404" s="501" t="s">
        <v>441</v>
      </c>
      <c r="I404" s="502" t="s">
        <v>1165</v>
      </c>
      <c r="J404" s="503"/>
      <c r="K404" s="504">
        <v>45860</v>
      </c>
      <c r="L404" s="504"/>
      <c r="M404" s="504"/>
      <c r="N404" s="505" t="s">
        <v>196</v>
      </c>
      <c r="O404" s="506">
        <v>6608880</v>
      </c>
      <c r="P404" s="507" t="s">
        <v>196</v>
      </c>
      <c r="Q404" s="508">
        <v>0</v>
      </c>
      <c r="R404" s="508">
        <v>0</v>
      </c>
      <c r="S404" s="508">
        <v>6608880</v>
      </c>
      <c r="T404" s="509">
        <v>6608880</v>
      </c>
      <c r="U404" s="506">
        <v>0</v>
      </c>
      <c r="V404" s="510" t="s">
        <v>439</v>
      </c>
    </row>
    <row r="405" spans="1:22" s="270" customFormat="1" ht="15" customHeight="1">
      <c r="A405" s="317"/>
      <c r="B405" s="334">
        <f t="shared" ref="B405:B429" si="16">ROW()-10</f>
        <v>395</v>
      </c>
      <c r="C405" s="289" t="s">
        <v>416</v>
      </c>
      <c r="D405" s="330" t="s">
        <v>270</v>
      </c>
      <c r="E405" s="289" t="s">
        <v>298</v>
      </c>
      <c r="F405" s="360" t="s">
        <v>748</v>
      </c>
      <c r="G405" s="500">
        <v>1</v>
      </c>
      <c r="H405" s="501" t="s">
        <v>422</v>
      </c>
      <c r="I405" s="502" t="s">
        <v>1166</v>
      </c>
      <c r="J405" s="503">
        <v>8.8300000000000003E-2</v>
      </c>
      <c r="K405" s="504">
        <v>42474</v>
      </c>
      <c r="L405" s="504">
        <v>47952</v>
      </c>
      <c r="M405" s="504">
        <v>45578</v>
      </c>
      <c r="N405" s="505" t="s">
        <v>196</v>
      </c>
      <c r="O405" s="506">
        <v>1300000000</v>
      </c>
      <c r="P405" s="507" t="s">
        <v>196</v>
      </c>
      <c r="Q405" s="508">
        <v>1300000000</v>
      </c>
      <c r="R405" s="508">
        <v>1300000000</v>
      </c>
      <c r="S405" s="508">
        <v>0</v>
      </c>
      <c r="T405" s="509">
        <v>1300000000</v>
      </c>
      <c r="U405" s="506">
        <v>86337789</v>
      </c>
      <c r="V405" s="510"/>
    </row>
    <row r="406" spans="1:22" s="270" customFormat="1" ht="15" customHeight="1">
      <c r="A406" s="317"/>
      <c r="B406" s="334">
        <f t="shared" si="16"/>
        <v>396</v>
      </c>
      <c r="C406" s="289" t="s">
        <v>416</v>
      </c>
      <c r="D406" s="330" t="s">
        <v>270</v>
      </c>
      <c r="E406" s="289" t="s">
        <v>298</v>
      </c>
      <c r="F406" s="360" t="s">
        <v>748</v>
      </c>
      <c r="G406" s="500">
        <v>2</v>
      </c>
      <c r="H406" s="501" t="s">
        <v>212</v>
      </c>
      <c r="I406" s="502" t="s">
        <v>1167</v>
      </c>
      <c r="J406" s="503">
        <v>9.3900000000000011E-2</v>
      </c>
      <c r="K406" s="504">
        <v>42807</v>
      </c>
      <c r="L406" s="504">
        <v>45729</v>
      </c>
      <c r="M406" s="504">
        <v>45577</v>
      </c>
      <c r="N406" s="505" t="s">
        <v>196</v>
      </c>
      <c r="O406" s="506">
        <v>200000000</v>
      </c>
      <c r="P406" s="507" t="s">
        <v>196</v>
      </c>
      <c r="Q406" s="508">
        <v>200000000</v>
      </c>
      <c r="R406" s="508">
        <v>200000000</v>
      </c>
      <c r="S406" s="508">
        <v>0</v>
      </c>
      <c r="T406" s="509">
        <v>200000000</v>
      </c>
      <c r="U406" s="506">
        <v>14215872</v>
      </c>
      <c r="V406" s="510"/>
    </row>
    <row r="407" spans="1:22" s="270" customFormat="1" ht="15" customHeight="1">
      <c r="A407" s="317"/>
      <c r="B407" s="334">
        <f t="shared" si="16"/>
        <v>397</v>
      </c>
      <c r="C407" s="289" t="s">
        <v>416</v>
      </c>
      <c r="D407" s="330" t="s">
        <v>270</v>
      </c>
      <c r="E407" s="289" t="s">
        <v>298</v>
      </c>
      <c r="F407" s="360" t="s">
        <v>748</v>
      </c>
      <c r="G407" s="500">
        <v>3</v>
      </c>
      <c r="H407" s="501" t="s">
        <v>422</v>
      </c>
      <c r="I407" s="502" t="s">
        <v>1168</v>
      </c>
      <c r="J407" s="503">
        <v>8.72E-2</v>
      </c>
      <c r="K407" s="504">
        <v>42836</v>
      </c>
      <c r="L407" s="504">
        <v>45758</v>
      </c>
      <c r="M407" s="504">
        <v>45606</v>
      </c>
      <c r="N407" s="505" t="s">
        <v>196</v>
      </c>
      <c r="O407" s="506">
        <v>141500000</v>
      </c>
      <c r="P407" s="507" t="s">
        <v>196</v>
      </c>
      <c r="Q407" s="508">
        <v>140820000</v>
      </c>
      <c r="R407" s="508">
        <v>140820000</v>
      </c>
      <c r="S407" s="508">
        <v>0</v>
      </c>
      <c r="T407" s="509">
        <v>140820000</v>
      </c>
      <c r="U407" s="506">
        <v>8321258</v>
      </c>
      <c r="V407" s="510"/>
    </row>
    <row r="408" spans="1:22" s="270" customFormat="1" ht="15" customHeight="1">
      <c r="A408" s="317"/>
      <c r="B408" s="334">
        <f t="shared" si="16"/>
        <v>398</v>
      </c>
      <c r="C408" s="289" t="s">
        <v>416</v>
      </c>
      <c r="D408" s="330" t="s">
        <v>270</v>
      </c>
      <c r="E408" s="289" t="s">
        <v>298</v>
      </c>
      <c r="F408" s="360" t="s">
        <v>748</v>
      </c>
      <c r="G408" s="500">
        <v>4</v>
      </c>
      <c r="H408" s="501" t="s">
        <v>212</v>
      </c>
      <c r="I408" s="502" t="s">
        <v>1169</v>
      </c>
      <c r="J408" s="503">
        <v>0.1038</v>
      </c>
      <c r="K408" s="504">
        <v>43248</v>
      </c>
      <c r="L408" s="504">
        <v>45793</v>
      </c>
      <c r="M408" s="504">
        <v>45581</v>
      </c>
      <c r="N408" s="505" t="s">
        <v>196</v>
      </c>
      <c r="O408" s="506">
        <v>150000000</v>
      </c>
      <c r="P408" s="507" t="s">
        <v>196</v>
      </c>
      <c r="Q408" s="508">
        <v>22500000</v>
      </c>
      <c r="R408" s="508">
        <v>22500000</v>
      </c>
      <c r="S408" s="508">
        <v>0</v>
      </c>
      <c r="T408" s="509">
        <v>22500000</v>
      </c>
      <c r="U408" s="506">
        <v>2716605</v>
      </c>
      <c r="V408" s="510"/>
    </row>
    <row r="409" spans="1:22" s="270" customFormat="1" ht="15" customHeight="1">
      <c r="A409" s="317"/>
      <c r="B409" s="334">
        <f t="shared" si="16"/>
        <v>399</v>
      </c>
      <c r="C409" s="289" t="s">
        <v>416</v>
      </c>
      <c r="D409" s="330" t="s">
        <v>270</v>
      </c>
      <c r="E409" s="289" t="s">
        <v>298</v>
      </c>
      <c r="F409" s="360" t="s">
        <v>748</v>
      </c>
      <c r="G409" s="500">
        <v>5</v>
      </c>
      <c r="H409" s="501" t="s">
        <v>441</v>
      </c>
      <c r="I409" s="502" t="s">
        <v>1170</v>
      </c>
      <c r="J409" s="503"/>
      <c r="K409" s="504">
        <v>45852</v>
      </c>
      <c r="L409" s="504"/>
      <c r="M409" s="504"/>
      <c r="N409" s="505" t="s">
        <v>196</v>
      </c>
      <c r="O409" s="506">
        <v>1088800</v>
      </c>
      <c r="P409" s="507" t="s">
        <v>196</v>
      </c>
      <c r="Q409" s="508">
        <v>0</v>
      </c>
      <c r="R409" s="508">
        <v>0</v>
      </c>
      <c r="S409" s="508">
        <v>1088800</v>
      </c>
      <c r="T409" s="509">
        <v>1088800</v>
      </c>
      <c r="U409" s="506">
        <v>0</v>
      </c>
      <c r="V409" s="510" t="s">
        <v>438</v>
      </c>
    </row>
    <row r="410" spans="1:22" s="270" customFormat="1" ht="15" customHeight="1">
      <c r="A410" s="317"/>
      <c r="B410" s="334">
        <f t="shared" si="16"/>
        <v>400</v>
      </c>
      <c r="C410" s="289" t="s">
        <v>416</v>
      </c>
      <c r="D410" s="330" t="s">
        <v>270</v>
      </c>
      <c r="E410" s="289" t="s">
        <v>298</v>
      </c>
      <c r="F410" s="360" t="s">
        <v>748</v>
      </c>
      <c r="G410" s="500">
        <v>6</v>
      </c>
      <c r="H410" s="501" t="s">
        <v>441</v>
      </c>
      <c r="I410" s="502" t="s">
        <v>1171</v>
      </c>
      <c r="J410" s="503"/>
      <c r="K410" s="504">
        <v>45709</v>
      </c>
      <c r="L410" s="504"/>
      <c r="M410" s="504"/>
      <c r="N410" s="505" t="s">
        <v>196</v>
      </c>
      <c r="O410" s="506">
        <v>11540500</v>
      </c>
      <c r="P410" s="507" t="s">
        <v>196</v>
      </c>
      <c r="Q410" s="508">
        <v>0</v>
      </c>
      <c r="R410" s="508">
        <v>0</v>
      </c>
      <c r="S410" s="508">
        <v>11514730</v>
      </c>
      <c r="T410" s="509">
        <v>11514730</v>
      </c>
      <c r="U410" s="506">
        <v>0</v>
      </c>
      <c r="V410" s="510" t="s">
        <v>439</v>
      </c>
    </row>
    <row r="411" spans="1:22" s="270" customFormat="1" ht="15" customHeight="1">
      <c r="A411" s="317"/>
      <c r="B411" s="334">
        <f t="shared" si="16"/>
        <v>401</v>
      </c>
      <c r="C411" s="289" t="s">
        <v>416</v>
      </c>
      <c r="D411" s="330" t="s">
        <v>270</v>
      </c>
      <c r="E411" s="289" t="s">
        <v>298</v>
      </c>
      <c r="F411" s="360" t="s">
        <v>748</v>
      </c>
      <c r="G411" s="500">
        <v>7</v>
      </c>
      <c r="H411" s="501" t="s">
        <v>441</v>
      </c>
      <c r="I411" s="502" t="s">
        <v>1172</v>
      </c>
      <c r="J411" s="503"/>
      <c r="K411" s="504">
        <v>45677</v>
      </c>
      <c r="L411" s="504"/>
      <c r="M411" s="504"/>
      <c r="N411" s="505" t="s">
        <v>196</v>
      </c>
      <c r="O411" s="506">
        <v>2769920</v>
      </c>
      <c r="P411" s="507" t="s">
        <v>196</v>
      </c>
      <c r="Q411" s="508">
        <v>0</v>
      </c>
      <c r="R411" s="508">
        <v>0</v>
      </c>
      <c r="S411" s="508">
        <v>2769920</v>
      </c>
      <c r="T411" s="509">
        <v>2769920</v>
      </c>
      <c r="U411" s="506">
        <v>0</v>
      </c>
      <c r="V411" s="510" t="s">
        <v>440</v>
      </c>
    </row>
    <row r="412" spans="1:22" s="270" customFormat="1" ht="15" customHeight="1">
      <c r="A412" s="317"/>
      <c r="B412" s="334">
        <f t="shared" si="16"/>
        <v>402</v>
      </c>
      <c r="C412" s="289" t="s">
        <v>416</v>
      </c>
      <c r="D412" s="330" t="s">
        <v>270</v>
      </c>
      <c r="E412" s="289" t="s">
        <v>298</v>
      </c>
      <c r="F412" s="360" t="s">
        <v>748</v>
      </c>
      <c r="G412" s="500">
        <v>8</v>
      </c>
      <c r="H412" s="501" t="s">
        <v>441</v>
      </c>
      <c r="I412" s="502" t="s">
        <v>1173</v>
      </c>
      <c r="J412" s="503"/>
      <c r="K412" s="504">
        <v>45698</v>
      </c>
      <c r="L412" s="504"/>
      <c r="M412" s="504"/>
      <c r="N412" s="505" t="s">
        <v>196</v>
      </c>
      <c r="O412" s="506">
        <v>3407700</v>
      </c>
      <c r="P412" s="507" t="s">
        <v>196</v>
      </c>
      <c r="Q412" s="508">
        <v>0</v>
      </c>
      <c r="R412" s="508">
        <v>0</v>
      </c>
      <c r="S412" s="508">
        <v>3407700</v>
      </c>
      <c r="T412" s="509">
        <v>3407700</v>
      </c>
      <c r="U412" s="506">
        <v>0</v>
      </c>
      <c r="V412" s="510" t="s">
        <v>440</v>
      </c>
    </row>
    <row r="413" spans="1:22" s="270" customFormat="1" ht="15" customHeight="1">
      <c r="A413" s="317"/>
      <c r="B413" s="334">
        <f t="shared" si="16"/>
        <v>403</v>
      </c>
      <c r="C413" s="289" t="s">
        <v>416</v>
      </c>
      <c r="D413" s="330" t="s">
        <v>270</v>
      </c>
      <c r="E413" s="289" t="s">
        <v>298</v>
      </c>
      <c r="F413" s="360" t="s">
        <v>748</v>
      </c>
      <c r="G413" s="500">
        <v>9</v>
      </c>
      <c r="H413" s="501" t="s">
        <v>441</v>
      </c>
      <c r="I413" s="502" t="s">
        <v>1174</v>
      </c>
      <c r="J413" s="503"/>
      <c r="K413" s="504">
        <v>45721</v>
      </c>
      <c r="L413" s="504"/>
      <c r="M413" s="504"/>
      <c r="N413" s="505" t="s">
        <v>196</v>
      </c>
      <c r="O413" s="506">
        <v>963310</v>
      </c>
      <c r="P413" s="507" t="s">
        <v>196</v>
      </c>
      <c r="Q413" s="508">
        <v>0</v>
      </c>
      <c r="R413" s="508">
        <v>0</v>
      </c>
      <c r="S413" s="508">
        <v>963310</v>
      </c>
      <c r="T413" s="509">
        <v>963310</v>
      </c>
      <c r="U413" s="506">
        <v>0</v>
      </c>
      <c r="V413" s="510" t="s">
        <v>440</v>
      </c>
    </row>
    <row r="414" spans="1:22" s="270" customFormat="1" ht="15" customHeight="1">
      <c r="A414" s="317"/>
      <c r="B414" s="334">
        <f t="shared" si="16"/>
        <v>404</v>
      </c>
      <c r="C414" s="289" t="s">
        <v>416</v>
      </c>
      <c r="D414" s="330" t="s">
        <v>270</v>
      </c>
      <c r="E414" s="289" t="s">
        <v>298</v>
      </c>
      <c r="F414" s="360" t="s">
        <v>748</v>
      </c>
      <c r="G414" s="500">
        <v>10</v>
      </c>
      <c r="H414" s="501" t="s">
        <v>441</v>
      </c>
      <c r="I414" s="502" t="s">
        <v>1175</v>
      </c>
      <c r="J414" s="503"/>
      <c r="K414" s="504">
        <v>45748</v>
      </c>
      <c r="L414" s="504"/>
      <c r="M414" s="504"/>
      <c r="N414" s="505" t="s">
        <v>196</v>
      </c>
      <c r="O414" s="506">
        <v>784300</v>
      </c>
      <c r="P414" s="507" t="s">
        <v>196</v>
      </c>
      <c r="Q414" s="508">
        <v>0</v>
      </c>
      <c r="R414" s="508">
        <v>0</v>
      </c>
      <c r="S414" s="508">
        <v>784300</v>
      </c>
      <c r="T414" s="509">
        <v>784300</v>
      </c>
      <c r="U414" s="506">
        <v>0</v>
      </c>
      <c r="V414" s="510" t="s">
        <v>440</v>
      </c>
    </row>
    <row r="415" spans="1:22" s="270" customFormat="1" ht="15" customHeight="1">
      <c r="A415" s="317"/>
      <c r="B415" s="334">
        <f t="shared" si="16"/>
        <v>405</v>
      </c>
      <c r="C415" s="289" t="s">
        <v>416</v>
      </c>
      <c r="D415" s="330" t="s">
        <v>270</v>
      </c>
      <c r="E415" s="289" t="s">
        <v>298</v>
      </c>
      <c r="F415" s="360" t="s">
        <v>748</v>
      </c>
      <c r="G415" s="500">
        <v>11</v>
      </c>
      <c r="H415" s="501" t="s">
        <v>441</v>
      </c>
      <c r="I415" s="502" t="s">
        <v>1176</v>
      </c>
      <c r="J415" s="503"/>
      <c r="K415" s="504">
        <v>45784</v>
      </c>
      <c r="L415" s="504"/>
      <c r="M415" s="504"/>
      <c r="N415" s="505" t="s">
        <v>196</v>
      </c>
      <c r="O415" s="506">
        <v>759000</v>
      </c>
      <c r="P415" s="507" t="s">
        <v>196</v>
      </c>
      <c r="Q415" s="508">
        <v>0</v>
      </c>
      <c r="R415" s="508">
        <v>0</v>
      </c>
      <c r="S415" s="508">
        <v>759000</v>
      </c>
      <c r="T415" s="509">
        <v>759000</v>
      </c>
      <c r="U415" s="506">
        <v>0</v>
      </c>
      <c r="V415" s="510" t="s">
        <v>440</v>
      </c>
    </row>
    <row r="416" spans="1:22" s="270" customFormat="1" ht="15" customHeight="1">
      <c r="A416" s="317"/>
      <c r="B416" s="334">
        <f t="shared" si="16"/>
        <v>406</v>
      </c>
      <c r="C416" s="289" t="s">
        <v>416</v>
      </c>
      <c r="D416" s="330" t="s">
        <v>270</v>
      </c>
      <c r="E416" s="289" t="s">
        <v>298</v>
      </c>
      <c r="F416" s="360" t="s">
        <v>748</v>
      </c>
      <c r="G416" s="500">
        <v>12</v>
      </c>
      <c r="H416" s="501" t="s">
        <v>441</v>
      </c>
      <c r="I416" s="502" t="s">
        <v>1177</v>
      </c>
      <c r="J416" s="503"/>
      <c r="K416" s="504">
        <v>45807</v>
      </c>
      <c r="L416" s="504"/>
      <c r="M416" s="504"/>
      <c r="N416" s="505" t="s">
        <v>196</v>
      </c>
      <c r="O416" s="506">
        <v>784300</v>
      </c>
      <c r="P416" s="507" t="s">
        <v>196</v>
      </c>
      <c r="Q416" s="508">
        <v>0</v>
      </c>
      <c r="R416" s="508">
        <v>0</v>
      </c>
      <c r="S416" s="508">
        <v>784300</v>
      </c>
      <c r="T416" s="509">
        <v>784300</v>
      </c>
      <c r="U416" s="506">
        <v>0</v>
      </c>
      <c r="V416" s="510" t="s">
        <v>440</v>
      </c>
    </row>
    <row r="417" spans="1:22" s="270" customFormat="1" ht="15" customHeight="1">
      <c r="A417" s="317"/>
      <c r="B417" s="334">
        <f t="shared" si="16"/>
        <v>407</v>
      </c>
      <c r="C417" s="289" t="s">
        <v>416</v>
      </c>
      <c r="D417" s="330" t="s">
        <v>270</v>
      </c>
      <c r="E417" s="289" t="s">
        <v>298</v>
      </c>
      <c r="F417" s="360" t="s">
        <v>748</v>
      </c>
      <c r="G417" s="500">
        <v>13</v>
      </c>
      <c r="H417" s="501" t="s">
        <v>441</v>
      </c>
      <c r="I417" s="502" t="s">
        <v>1178</v>
      </c>
      <c r="J417" s="503"/>
      <c r="K417" s="504">
        <v>45839</v>
      </c>
      <c r="L417" s="504"/>
      <c r="M417" s="504"/>
      <c r="N417" s="505" t="s">
        <v>196</v>
      </c>
      <c r="O417" s="506">
        <v>759000</v>
      </c>
      <c r="P417" s="507" t="s">
        <v>196</v>
      </c>
      <c r="Q417" s="508">
        <v>0</v>
      </c>
      <c r="R417" s="508">
        <v>0</v>
      </c>
      <c r="S417" s="508">
        <v>759000</v>
      </c>
      <c r="T417" s="509">
        <v>759000</v>
      </c>
      <c r="U417" s="506">
        <v>0</v>
      </c>
      <c r="V417" s="510" t="s">
        <v>440</v>
      </c>
    </row>
    <row r="418" spans="1:22" s="270" customFormat="1" ht="15" customHeight="1">
      <c r="A418" s="317"/>
      <c r="B418" s="334">
        <f t="shared" si="16"/>
        <v>408</v>
      </c>
      <c r="C418" s="289" t="s">
        <v>416</v>
      </c>
      <c r="D418" s="330" t="s">
        <v>270</v>
      </c>
      <c r="E418" s="289" t="s">
        <v>298</v>
      </c>
      <c r="F418" s="360" t="s">
        <v>748</v>
      </c>
      <c r="G418" s="500">
        <v>14</v>
      </c>
      <c r="H418" s="501" t="s">
        <v>441</v>
      </c>
      <c r="I418" s="502" t="s">
        <v>1179</v>
      </c>
      <c r="J418" s="503"/>
      <c r="K418" s="504">
        <v>45869</v>
      </c>
      <c r="L418" s="504"/>
      <c r="M418" s="504"/>
      <c r="N418" s="505" t="s">
        <v>196</v>
      </c>
      <c r="O418" s="506">
        <v>784300</v>
      </c>
      <c r="P418" s="507" t="s">
        <v>196</v>
      </c>
      <c r="Q418" s="508">
        <v>0</v>
      </c>
      <c r="R418" s="508">
        <v>0</v>
      </c>
      <c r="S418" s="508">
        <v>784300</v>
      </c>
      <c r="T418" s="509">
        <v>784300</v>
      </c>
      <c r="U418" s="506">
        <v>0</v>
      </c>
      <c r="V418" s="510" t="s">
        <v>440</v>
      </c>
    </row>
    <row r="419" spans="1:22" s="270" customFormat="1" ht="15" customHeight="1">
      <c r="A419" s="317"/>
      <c r="B419" s="334">
        <f t="shared" si="16"/>
        <v>409</v>
      </c>
      <c r="C419" s="289" t="s">
        <v>416</v>
      </c>
      <c r="D419" s="330" t="s">
        <v>270</v>
      </c>
      <c r="E419" s="289" t="s">
        <v>296</v>
      </c>
      <c r="F419" s="360" t="s">
        <v>749</v>
      </c>
      <c r="G419" s="500">
        <v>1</v>
      </c>
      <c r="H419" s="501" t="s">
        <v>422</v>
      </c>
      <c r="I419" s="502" t="s">
        <v>1180</v>
      </c>
      <c r="J419" s="503">
        <v>7.5399999999999995E-2</v>
      </c>
      <c r="K419" s="504">
        <v>45443</v>
      </c>
      <c r="L419" s="504">
        <v>46538</v>
      </c>
      <c r="M419" s="504">
        <v>45746</v>
      </c>
      <c r="N419" s="505" t="s">
        <v>196</v>
      </c>
      <c r="O419" s="506">
        <v>1000000000</v>
      </c>
      <c r="P419" s="507" t="s">
        <v>196</v>
      </c>
      <c r="Q419" s="508">
        <v>1000000000</v>
      </c>
      <c r="R419" s="508">
        <v>1000000000</v>
      </c>
      <c r="S419" s="508">
        <v>0</v>
      </c>
      <c r="T419" s="509">
        <v>1000000000</v>
      </c>
      <c r="U419" s="506">
        <v>21544469</v>
      </c>
      <c r="V419" s="510"/>
    </row>
    <row r="420" spans="1:22" s="270" customFormat="1" ht="15" customHeight="1">
      <c r="A420" s="317"/>
      <c r="B420" s="334">
        <f t="shared" si="16"/>
        <v>410</v>
      </c>
      <c r="C420" s="289" t="s">
        <v>416</v>
      </c>
      <c r="D420" s="330" t="s">
        <v>270</v>
      </c>
      <c r="E420" s="289" t="s">
        <v>296</v>
      </c>
      <c r="F420" s="360" t="s">
        <v>749</v>
      </c>
      <c r="G420" s="500">
        <v>2</v>
      </c>
      <c r="H420" s="501" t="s">
        <v>422</v>
      </c>
      <c r="I420" s="502" t="s">
        <v>1181</v>
      </c>
      <c r="J420" s="503">
        <v>7.4499999999999997E-2</v>
      </c>
      <c r="K420" s="504">
        <v>45443</v>
      </c>
      <c r="L420" s="504">
        <v>46538</v>
      </c>
      <c r="M420" s="504">
        <v>45746</v>
      </c>
      <c r="N420" s="505" t="s">
        <v>196</v>
      </c>
      <c r="O420" s="506">
        <v>400000000</v>
      </c>
      <c r="P420" s="507" t="s">
        <v>196</v>
      </c>
      <c r="Q420" s="508">
        <v>400000000</v>
      </c>
      <c r="R420" s="508">
        <v>400000000</v>
      </c>
      <c r="S420" s="508">
        <v>0</v>
      </c>
      <c r="T420" s="509">
        <v>400000000</v>
      </c>
      <c r="U420" s="506">
        <v>8490628</v>
      </c>
      <c r="V420" s="510"/>
    </row>
    <row r="421" spans="1:22" s="270" customFormat="1" ht="15" customHeight="1">
      <c r="A421" s="317"/>
      <c r="B421" s="334">
        <f t="shared" si="16"/>
        <v>411</v>
      </c>
      <c r="C421" s="289" t="s">
        <v>416</v>
      </c>
      <c r="D421" s="330" t="s">
        <v>270</v>
      </c>
      <c r="E421" s="289" t="s">
        <v>296</v>
      </c>
      <c r="F421" s="360" t="s">
        <v>749</v>
      </c>
      <c r="G421" s="500">
        <v>3</v>
      </c>
      <c r="H421" s="501" t="s">
        <v>212</v>
      </c>
      <c r="I421" s="502" t="s">
        <v>1182</v>
      </c>
      <c r="J421" s="503">
        <v>9.4200000000000006E-2</v>
      </c>
      <c r="K421" s="504">
        <v>45524</v>
      </c>
      <c r="L421" s="504">
        <v>45889</v>
      </c>
      <c r="M421" s="504">
        <v>45766</v>
      </c>
      <c r="N421" s="505" t="s">
        <v>196</v>
      </c>
      <c r="O421" s="506">
        <v>100000000</v>
      </c>
      <c r="P421" s="507" t="s">
        <v>196</v>
      </c>
      <c r="Q421" s="508">
        <v>96039275</v>
      </c>
      <c r="R421" s="508">
        <v>96039275</v>
      </c>
      <c r="S421" s="508">
        <v>0</v>
      </c>
      <c r="T421" s="509">
        <v>96039275</v>
      </c>
      <c r="U421" s="506">
        <v>2251222</v>
      </c>
      <c r="V421" s="510"/>
    </row>
    <row r="422" spans="1:22" s="270" customFormat="1" ht="15" customHeight="1">
      <c r="A422" s="317"/>
      <c r="B422" s="334">
        <f t="shared" si="16"/>
        <v>412</v>
      </c>
      <c r="C422" s="289" t="s">
        <v>416</v>
      </c>
      <c r="D422" s="330" t="s">
        <v>270</v>
      </c>
      <c r="E422" s="289" t="s">
        <v>296</v>
      </c>
      <c r="F422" s="360" t="s">
        <v>749</v>
      </c>
      <c r="G422" s="500">
        <v>4</v>
      </c>
      <c r="H422" s="501" t="s">
        <v>441</v>
      </c>
      <c r="I422" s="502" t="s">
        <v>1183</v>
      </c>
      <c r="J422" s="503"/>
      <c r="K422" s="504">
        <v>45824</v>
      </c>
      <c r="L422" s="504"/>
      <c r="M422" s="504"/>
      <c r="N422" s="505" t="s">
        <v>196</v>
      </c>
      <c r="O422" s="506">
        <v>10034100</v>
      </c>
      <c r="P422" s="507" t="s">
        <v>196</v>
      </c>
      <c r="Q422" s="508">
        <v>0</v>
      </c>
      <c r="R422" s="508">
        <v>0</v>
      </c>
      <c r="S422" s="508">
        <v>10034100</v>
      </c>
      <c r="T422" s="509">
        <v>10034100</v>
      </c>
      <c r="U422" s="506">
        <v>0</v>
      </c>
      <c r="V422" s="510" t="s">
        <v>439</v>
      </c>
    </row>
    <row r="423" spans="1:22" s="270" customFormat="1" ht="15" customHeight="1">
      <c r="A423" s="317"/>
      <c r="B423" s="334">
        <f t="shared" si="16"/>
        <v>413</v>
      </c>
      <c r="C423" s="289" t="s">
        <v>416</v>
      </c>
      <c r="D423" s="330" t="s">
        <v>270</v>
      </c>
      <c r="E423" s="289" t="s">
        <v>296</v>
      </c>
      <c r="F423" s="360" t="s">
        <v>749</v>
      </c>
      <c r="G423" s="500">
        <v>5</v>
      </c>
      <c r="H423" s="501" t="s">
        <v>441</v>
      </c>
      <c r="I423" s="502" t="s">
        <v>1184</v>
      </c>
      <c r="J423" s="503"/>
      <c r="K423" s="504">
        <v>45824</v>
      </c>
      <c r="L423" s="504"/>
      <c r="M423" s="504"/>
      <c r="N423" s="505" t="s">
        <v>196</v>
      </c>
      <c r="O423" s="506">
        <v>570940</v>
      </c>
      <c r="P423" s="507" t="s">
        <v>196</v>
      </c>
      <c r="Q423" s="508">
        <v>0</v>
      </c>
      <c r="R423" s="508">
        <v>0</v>
      </c>
      <c r="S423" s="508">
        <v>570940</v>
      </c>
      <c r="T423" s="509">
        <v>570940</v>
      </c>
      <c r="U423" s="506">
        <v>0</v>
      </c>
      <c r="V423" s="510" t="s">
        <v>437</v>
      </c>
    </row>
    <row r="424" spans="1:22" s="270" customFormat="1" ht="15" customHeight="1">
      <c r="A424" s="317"/>
      <c r="B424" s="334">
        <f t="shared" si="16"/>
        <v>414</v>
      </c>
      <c r="C424" s="289" t="s">
        <v>416</v>
      </c>
      <c r="D424" s="330" t="s">
        <v>270</v>
      </c>
      <c r="E424" s="289" t="s">
        <v>296</v>
      </c>
      <c r="F424" s="360" t="s">
        <v>749</v>
      </c>
      <c r="G424" s="500">
        <v>6</v>
      </c>
      <c r="H424" s="501" t="s">
        <v>441</v>
      </c>
      <c r="I424" s="502" t="s">
        <v>1185</v>
      </c>
      <c r="J424" s="503"/>
      <c r="K424" s="504">
        <v>45812</v>
      </c>
      <c r="L424" s="504"/>
      <c r="M424" s="504"/>
      <c r="N424" s="505" t="s">
        <v>196</v>
      </c>
      <c r="O424" s="506">
        <v>253000</v>
      </c>
      <c r="P424" s="507" t="s">
        <v>196</v>
      </c>
      <c r="Q424" s="508">
        <v>0</v>
      </c>
      <c r="R424" s="508">
        <v>0</v>
      </c>
      <c r="S424" s="508">
        <v>253000</v>
      </c>
      <c r="T424" s="509">
        <v>253000</v>
      </c>
      <c r="U424" s="506">
        <v>0</v>
      </c>
      <c r="V424" s="510" t="s">
        <v>440</v>
      </c>
    </row>
    <row r="425" spans="1:22" s="270" customFormat="1" ht="15" customHeight="1">
      <c r="A425" s="317"/>
      <c r="B425" s="334">
        <f t="shared" si="16"/>
        <v>415</v>
      </c>
      <c r="C425" s="289" t="s">
        <v>416</v>
      </c>
      <c r="D425" s="330" t="s">
        <v>270</v>
      </c>
      <c r="E425" s="289" t="s">
        <v>296</v>
      </c>
      <c r="F425" s="360" t="s">
        <v>749</v>
      </c>
      <c r="G425" s="500">
        <v>7</v>
      </c>
      <c r="H425" s="501" t="s">
        <v>441</v>
      </c>
      <c r="I425" s="502" t="s">
        <v>1186</v>
      </c>
      <c r="J425" s="503"/>
      <c r="K425" s="504">
        <v>45840</v>
      </c>
      <c r="L425" s="504"/>
      <c r="M425" s="504"/>
      <c r="N425" s="505" t="s">
        <v>196</v>
      </c>
      <c r="O425" s="506">
        <v>759000</v>
      </c>
      <c r="P425" s="507" t="s">
        <v>196</v>
      </c>
      <c r="Q425" s="508">
        <v>0</v>
      </c>
      <c r="R425" s="508">
        <v>0</v>
      </c>
      <c r="S425" s="508">
        <v>759000</v>
      </c>
      <c r="T425" s="509">
        <v>759000</v>
      </c>
      <c r="U425" s="506">
        <v>0</v>
      </c>
      <c r="V425" s="510" t="s">
        <v>440</v>
      </c>
    </row>
    <row r="426" spans="1:22" s="270" customFormat="1" ht="15" customHeight="1">
      <c r="A426" s="317"/>
      <c r="B426" s="334">
        <f t="shared" si="16"/>
        <v>416</v>
      </c>
      <c r="C426" s="289" t="s">
        <v>416</v>
      </c>
      <c r="D426" s="330" t="s">
        <v>270</v>
      </c>
      <c r="E426" s="289" t="s">
        <v>304</v>
      </c>
      <c r="F426" s="360" t="s">
        <v>750</v>
      </c>
      <c r="G426" s="500">
        <v>1</v>
      </c>
      <c r="H426" s="501" t="s">
        <v>212</v>
      </c>
      <c r="I426" s="502" t="s">
        <v>1187</v>
      </c>
      <c r="J426" s="503">
        <v>9.0399999999999994E-2</v>
      </c>
      <c r="K426" s="504">
        <v>42167</v>
      </c>
      <c r="L426" s="504">
        <v>45898</v>
      </c>
      <c r="M426" s="504">
        <v>45869</v>
      </c>
      <c r="N426" s="505" t="s">
        <v>196</v>
      </c>
      <c r="O426" s="506">
        <v>150000000</v>
      </c>
      <c r="P426" s="507" t="s">
        <v>196</v>
      </c>
      <c r="Q426" s="508">
        <v>30000000</v>
      </c>
      <c r="R426" s="508">
        <v>30000000</v>
      </c>
      <c r="S426" s="508">
        <v>0</v>
      </c>
      <c r="T426" s="509">
        <v>30000000</v>
      </c>
      <c r="U426" s="506">
        <v>2068973</v>
      </c>
      <c r="V426" s="510"/>
    </row>
    <row r="427" spans="1:22" s="270" customFormat="1" ht="15" customHeight="1">
      <c r="A427" s="317"/>
      <c r="B427" s="334">
        <f t="shared" si="16"/>
        <v>417</v>
      </c>
      <c r="C427" s="289" t="s">
        <v>416</v>
      </c>
      <c r="D427" s="330" t="s">
        <v>270</v>
      </c>
      <c r="E427" s="289" t="s">
        <v>304</v>
      </c>
      <c r="F427" s="360" t="s">
        <v>750</v>
      </c>
      <c r="G427" s="500">
        <v>2</v>
      </c>
      <c r="H427" s="501" t="s">
        <v>212</v>
      </c>
      <c r="I427" s="502" t="s">
        <v>1188</v>
      </c>
      <c r="J427" s="503">
        <v>8.3400000000000002E-2</v>
      </c>
      <c r="K427" s="504">
        <v>42853</v>
      </c>
      <c r="L427" s="504">
        <v>45776</v>
      </c>
      <c r="M427" s="504">
        <v>45654</v>
      </c>
      <c r="N427" s="505" t="s">
        <v>196</v>
      </c>
      <c r="O427" s="506">
        <v>300000000</v>
      </c>
      <c r="P427" s="507" t="s">
        <v>196</v>
      </c>
      <c r="Q427" s="508">
        <v>300000000</v>
      </c>
      <c r="R427" s="508">
        <v>300000000</v>
      </c>
      <c r="S427" s="508">
        <v>0</v>
      </c>
      <c r="T427" s="509">
        <v>300000000</v>
      </c>
      <c r="U427" s="506">
        <v>13452169</v>
      </c>
      <c r="V427" s="510"/>
    </row>
    <row r="428" spans="1:22" s="270" customFormat="1" ht="15" customHeight="1">
      <c r="A428" s="317"/>
      <c r="B428" s="334">
        <f t="shared" si="16"/>
        <v>418</v>
      </c>
      <c r="C428" s="289" t="s">
        <v>416</v>
      </c>
      <c r="D428" s="330" t="s">
        <v>270</v>
      </c>
      <c r="E428" s="289" t="s">
        <v>304</v>
      </c>
      <c r="F428" s="360" t="s">
        <v>750</v>
      </c>
      <c r="G428" s="500">
        <v>3</v>
      </c>
      <c r="H428" s="501" t="s">
        <v>212</v>
      </c>
      <c r="I428" s="502" t="s">
        <v>1189</v>
      </c>
      <c r="J428" s="503">
        <v>9.7299999999999998E-2</v>
      </c>
      <c r="K428" s="504">
        <v>42909</v>
      </c>
      <c r="L428" s="504">
        <v>45835</v>
      </c>
      <c r="M428" s="504">
        <v>45869</v>
      </c>
      <c r="N428" s="505" t="s">
        <v>196</v>
      </c>
      <c r="O428" s="506">
        <v>940000000</v>
      </c>
      <c r="P428" s="507" t="s">
        <v>196</v>
      </c>
      <c r="Q428" s="508">
        <v>406666000</v>
      </c>
      <c r="R428" s="508">
        <v>406666000</v>
      </c>
      <c r="S428" s="508">
        <v>0</v>
      </c>
      <c r="T428" s="509">
        <v>406666000</v>
      </c>
      <c r="U428" s="506">
        <v>3686145</v>
      </c>
      <c r="V428" s="510"/>
    </row>
    <row r="429" spans="1:22" s="270" customFormat="1" ht="15" customHeight="1">
      <c r="A429" s="317"/>
      <c r="B429" s="334">
        <f t="shared" si="16"/>
        <v>419</v>
      </c>
      <c r="C429" s="289" t="s">
        <v>416</v>
      </c>
      <c r="D429" s="330" t="s">
        <v>270</v>
      </c>
      <c r="E429" s="289" t="s">
        <v>304</v>
      </c>
      <c r="F429" s="360" t="s">
        <v>750</v>
      </c>
      <c r="G429" s="500">
        <v>4</v>
      </c>
      <c r="H429" s="501" t="s">
        <v>212</v>
      </c>
      <c r="I429" s="502" t="s">
        <v>1189</v>
      </c>
      <c r="J429" s="503">
        <v>9.7299999999999998E-2</v>
      </c>
      <c r="K429" s="504">
        <v>42909</v>
      </c>
      <c r="L429" s="504">
        <v>45835</v>
      </c>
      <c r="M429" s="504">
        <v>45652</v>
      </c>
      <c r="N429" s="505" t="s">
        <v>196</v>
      </c>
      <c r="O429" s="506">
        <v>940000000</v>
      </c>
      <c r="P429" s="507" t="s">
        <v>196</v>
      </c>
      <c r="Q429" s="508">
        <v>533334000</v>
      </c>
      <c r="R429" s="508">
        <v>533334000</v>
      </c>
      <c r="S429" s="508">
        <v>0</v>
      </c>
      <c r="T429" s="509">
        <v>533334000</v>
      </c>
      <c r="U429" s="506">
        <v>46598424</v>
      </c>
      <c r="V429" s="510"/>
    </row>
    <row r="430" spans="1:22" s="270" customFormat="1" ht="15" customHeight="1">
      <c r="A430" s="317"/>
      <c r="B430" s="334">
        <f t="shared" ref="B430:B461" si="17">ROW()-10</f>
        <v>420</v>
      </c>
      <c r="C430" s="289" t="s">
        <v>416</v>
      </c>
      <c r="D430" s="330" t="s">
        <v>270</v>
      </c>
      <c r="E430" s="289" t="s">
        <v>304</v>
      </c>
      <c r="F430" s="360" t="s">
        <v>750</v>
      </c>
      <c r="G430" s="500">
        <v>5</v>
      </c>
      <c r="H430" s="501" t="s">
        <v>212</v>
      </c>
      <c r="I430" s="502" t="s">
        <v>1190</v>
      </c>
      <c r="J430" s="503">
        <v>8.8900000000000007E-2</v>
      </c>
      <c r="K430" s="504">
        <v>43083</v>
      </c>
      <c r="L430" s="504">
        <v>45926</v>
      </c>
      <c r="M430" s="504">
        <v>45869</v>
      </c>
      <c r="N430" s="505" t="s">
        <v>196</v>
      </c>
      <c r="O430" s="506">
        <v>50000000</v>
      </c>
      <c r="P430" s="507" t="s">
        <v>196</v>
      </c>
      <c r="Q430" s="508">
        <v>7500000</v>
      </c>
      <c r="R430" s="508">
        <v>7500000</v>
      </c>
      <c r="S430" s="508">
        <v>0</v>
      </c>
      <c r="T430" s="509">
        <v>7500000</v>
      </c>
      <c r="U430" s="506">
        <v>557097</v>
      </c>
      <c r="V430" s="510"/>
    </row>
    <row r="431" spans="1:22" s="270" customFormat="1" ht="15" customHeight="1">
      <c r="A431" s="317"/>
      <c r="B431" s="334">
        <f t="shared" si="17"/>
        <v>421</v>
      </c>
      <c r="C431" s="289" t="s">
        <v>416</v>
      </c>
      <c r="D431" s="330" t="s">
        <v>270</v>
      </c>
      <c r="E431" s="289" t="s">
        <v>304</v>
      </c>
      <c r="F431" s="360" t="s">
        <v>750</v>
      </c>
      <c r="G431" s="500">
        <v>6</v>
      </c>
      <c r="H431" s="501" t="s">
        <v>212</v>
      </c>
      <c r="I431" s="502" t="s">
        <v>1191</v>
      </c>
      <c r="J431" s="503">
        <v>0.11</v>
      </c>
      <c r="K431" s="504">
        <v>43521</v>
      </c>
      <c r="L431" s="504">
        <v>45714</v>
      </c>
      <c r="M431" s="504">
        <v>45869</v>
      </c>
      <c r="N431" s="505" t="s">
        <v>196</v>
      </c>
      <c r="O431" s="506">
        <v>176000000</v>
      </c>
      <c r="P431" s="507" t="s">
        <v>196</v>
      </c>
      <c r="Q431" s="508">
        <v>158000000</v>
      </c>
      <c r="R431" s="508">
        <v>158000000</v>
      </c>
      <c r="S431" s="508">
        <v>0</v>
      </c>
      <c r="T431" s="509">
        <v>158000000</v>
      </c>
      <c r="U431" s="506">
        <v>9605557</v>
      </c>
      <c r="V431" s="510"/>
    </row>
    <row r="432" spans="1:22" s="270" customFormat="1" ht="15" customHeight="1">
      <c r="A432" s="317"/>
      <c r="B432" s="334">
        <f t="shared" si="17"/>
        <v>422</v>
      </c>
      <c r="C432" s="289" t="s">
        <v>416</v>
      </c>
      <c r="D432" s="330" t="s">
        <v>270</v>
      </c>
      <c r="E432" s="289" t="s">
        <v>304</v>
      </c>
      <c r="F432" s="360" t="s">
        <v>750</v>
      </c>
      <c r="G432" s="500">
        <v>7</v>
      </c>
      <c r="H432" s="501" t="s">
        <v>433</v>
      </c>
      <c r="I432" s="502" t="s">
        <v>1192</v>
      </c>
      <c r="J432" s="503">
        <v>9.2699999999999991E-2</v>
      </c>
      <c r="K432" s="504">
        <v>45573</v>
      </c>
      <c r="L432" s="504">
        <v>45752</v>
      </c>
      <c r="M432" s="504">
        <v>45869</v>
      </c>
      <c r="N432" s="505" t="s">
        <v>196</v>
      </c>
      <c r="O432" s="506">
        <v>100000000</v>
      </c>
      <c r="P432" s="507" t="s">
        <v>196</v>
      </c>
      <c r="Q432" s="508">
        <v>14200000</v>
      </c>
      <c r="R432" s="508">
        <v>14200000</v>
      </c>
      <c r="S432" s="508">
        <v>0</v>
      </c>
      <c r="T432" s="509">
        <v>14200000</v>
      </c>
      <c r="U432" s="506">
        <v>762275</v>
      </c>
      <c r="V432" s="510"/>
    </row>
    <row r="433" spans="1:22" s="270" customFormat="1" ht="15" customHeight="1">
      <c r="A433" s="317"/>
      <c r="B433" s="334">
        <f t="shared" si="17"/>
        <v>423</v>
      </c>
      <c r="C433" s="289" t="s">
        <v>416</v>
      </c>
      <c r="D433" s="330" t="s">
        <v>270</v>
      </c>
      <c r="E433" s="289" t="s">
        <v>304</v>
      </c>
      <c r="F433" s="360" t="s">
        <v>750</v>
      </c>
      <c r="G433" s="500">
        <v>8</v>
      </c>
      <c r="H433" s="501" t="s">
        <v>433</v>
      </c>
      <c r="I433" s="502" t="s">
        <v>1193</v>
      </c>
      <c r="J433" s="503">
        <v>9.1300000000000006E-2</v>
      </c>
      <c r="K433" s="504">
        <v>45629</v>
      </c>
      <c r="L433" s="504">
        <v>45808</v>
      </c>
      <c r="M433" s="504">
        <v>45869</v>
      </c>
      <c r="N433" s="505" t="s">
        <v>196</v>
      </c>
      <c r="O433" s="506">
        <v>4252050</v>
      </c>
      <c r="P433" s="507" t="s">
        <v>196</v>
      </c>
      <c r="Q433" s="508">
        <v>850410</v>
      </c>
      <c r="R433" s="508">
        <v>850410</v>
      </c>
      <c r="S433" s="508">
        <v>0</v>
      </c>
      <c r="T433" s="509">
        <v>850410</v>
      </c>
      <c r="U433" s="506">
        <v>41350</v>
      </c>
      <c r="V433" s="510"/>
    </row>
    <row r="434" spans="1:22" s="270" customFormat="1" ht="15" customHeight="1">
      <c r="A434" s="317"/>
      <c r="B434" s="334">
        <f t="shared" si="17"/>
        <v>424</v>
      </c>
      <c r="C434" s="289" t="s">
        <v>416</v>
      </c>
      <c r="D434" s="330" t="s">
        <v>270</v>
      </c>
      <c r="E434" s="289" t="s">
        <v>304</v>
      </c>
      <c r="F434" s="360" t="s">
        <v>750</v>
      </c>
      <c r="G434" s="500">
        <v>9</v>
      </c>
      <c r="H434" s="501" t="s">
        <v>433</v>
      </c>
      <c r="I434" s="502" t="s">
        <v>1194</v>
      </c>
      <c r="J434" s="503">
        <v>9.0999999999999998E-2</v>
      </c>
      <c r="K434" s="504">
        <v>45635</v>
      </c>
      <c r="L434" s="504">
        <v>45814</v>
      </c>
      <c r="M434" s="504">
        <v>45869</v>
      </c>
      <c r="N434" s="505" t="s">
        <v>196</v>
      </c>
      <c r="O434" s="506">
        <v>75900000</v>
      </c>
      <c r="P434" s="507" t="s">
        <v>196</v>
      </c>
      <c r="Q434" s="508">
        <v>15180000</v>
      </c>
      <c r="R434" s="508">
        <v>15180000</v>
      </c>
      <c r="S434" s="508">
        <v>0</v>
      </c>
      <c r="T434" s="509">
        <v>15180000</v>
      </c>
      <c r="U434" s="506">
        <v>956752</v>
      </c>
      <c r="V434" s="510"/>
    </row>
    <row r="435" spans="1:22" s="270" customFormat="1" ht="15" customHeight="1">
      <c r="A435" s="317"/>
      <c r="B435" s="334">
        <f t="shared" si="17"/>
        <v>425</v>
      </c>
      <c r="C435" s="289" t="s">
        <v>416</v>
      </c>
      <c r="D435" s="330" t="s">
        <v>270</v>
      </c>
      <c r="E435" s="289" t="s">
        <v>304</v>
      </c>
      <c r="F435" s="360" t="s">
        <v>750</v>
      </c>
      <c r="G435" s="500">
        <v>10</v>
      </c>
      <c r="H435" s="501" t="s">
        <v>433</v>
      </c>
      <c r="I435" s="502" t="s">
        <v>1195</v>
      </c>
      <c r="J435" s="503">
        <v>9.1499999999999998E-2</v>
      </c>
      <c r="K435" s="504">
        <v>45645</v>
      </c>
      <c r="L435" s="504">
        <v>45824</v>
      </c>
      <c r="M435" s="504">
        <v>45869</v>
      </c>
      <c r="N435" s="505" t="s">
        <v>196</v>
      </c>
      <c r="O435" s="506">
        <v>6875000</v>
      </c>
      <c r="P435" s="507" t="s">
        <v>196</v>
      </c>
      <c r="Q435" s="508">
        <v>1375000</v>
      </c>
      <c r="R435" s="508">
        <v>1375000</v>
      </c>
      <c r="S435" s="508">
        <v>0</v>
      </c>
      <c r="T435" s="509">
        <v>1375000</v>
      </c>
      <c r="U435" s="506">
        <v>65457</v>
      </c>
      <c r="V435" s="510"/>
    </row>
    <row r="436" spans="1:22" s="270" customFormat="1" ht="15" customHeight="1">
      <c r="A436" s="317"/>
      <c r="B436" s="334">
        <f t="shared" si="17"/>
        <v>426</v>
      </c>
      <c r="C436" s="289" t="s">
        <v>416</v>
      </c>
      <c r="D436" s="330" t="s">
        <v>270</v>
      </c>
      <c r="E436" s="289" t="s">
        <v>304</v>
      </c>
      <c r="F436" s="360" t="s">
        <v>750</v>
      </c>
      <c r="G436" s="500">
        <v>11</v>
      </c>
      <c r="H436" s="501" t="s">
        <v>433</v>
      </c>
      <c r="I436" s="502" t="s">
        <v>1196</v>
      </c>
      <c r="J436" s="503">
        <v>9.1899999999999996E-2</v>
      </c>
      <c r="K436" s="504">
        <v>45653</v>
      </c>
      <c r="L436" s="504">
        <v>45832</v>
      </c>
      <c r="M436" s="504">
        <v>45869</v>
      </c>
      <c r="N436" s="505" t="s">
        <v>196</v>
      </c>
      <c r="O436" s="506">
        <v>4907650</v>
      </c>
      <c r="P436" s="507" t="s">
        <v>196</v>
      </c>
      <c r="Q436" s="508">
        <v>981530</v>
      </c>
      <c r="R436" s="508">
        <v>981530</v>
      </c>
      <c r="S436" s="508">
        <v>0</v>
      </c>
      <c r="T436" s="509">
        <v>981530</v>
      </c>
      <c r="U436" s="506">
        <v>46296</v>
      </c>
      <c r="V436" s="510"/>
    </row>
    <row r="437" spans="1:22" s="270" customFormat="1" ht="15" customHeight="1">
      <c r="A437" s="317"/>
      <c r="B437" s="334">
        <f t="shared" si="17"/>
        <v>427</v>
      </c>
      <c r="C437" s="289" t="s">
        <v>416</v>
      </c>
      <c r="D437" s="330" t="s">
        <v>270</v>
      </c>
      <c r="E437" s="289" t="s">
        <v>304</v>
      </c>
      <c r="F437" s="360" t="s">
        <v>750</v>
      </c>
      <c r="G437" s="500">
        <v>12</v>
      </c>
      <c r="H437" s="501" t="s">
        <v>433</v>
      </c>
      <c r="I437" s="502" t="s">
        <v>1197</v>
      </c>
      <c r="J437" s="503">
        <v>9.1899999999999996E-2</v>
      </c>
      <c r="K437" s="504">
        <v>45653</v>
      </c>
      <c r="L437" s="504">
        <v>45832</v>
      </c>
      <c r="M437" s="504">
        <v>45869</v>
      </c>
      <c r="N437" s="505" t="s">
        <v>196</v>
      </c>
      <c r="O437" s="506">
        <v>4768500</v>
      </c>
      <c r="P437" s="507" t="s">
        <v>196</v>
      </c>
      <c r="Q437" s="508">
        <v>953700</v>
      </c>
      <c r="R437" s="508">
        <v>953700</v>
      </c>
      <c r="S437" s="508">
        <v>0</v>
      </c>
      <c r="T437" s="509">
        <v>953700</v>
      </c>
      <c r="U437" s="506">
        <v>44984</v>
      </c>
      <c r="V437" s="510"/>
    </row>
    <row r="438" spans="1:22" s="270" customFormat="1" ht="15" customHeight="1">
      <c r="A438" s="317"/>
      <c r="B438" s="334">
        <f t="shared" si="17"/>
        <v>428</v>
      </c>
      <c r="C438" s="289" t="s">
        <v>416</v>
      </c>
      <c r="D438" s="330" t="s">
        <v>270</v>
      </c>
      <c r="E438" s="289" t="s">
        <v>304</v>
      </c>
      <c r="F438" s="360" t="s">
        <v>750</v>
      </c>
      <c r="G438" s="500">
        <v>13</v>
      </c>
      <c r="H438" s="501" t="s">
        <v>433</v>
      </c>
      <c r="I438" s="502" t="s">
        <v>1198</v>
      </c>
      <c r="J438" s="503">
        <v>9.1899999999999996E-2</v>
      </c>
      <c r="K438" s="504">
        <v>45656</v>
      </c>
      <c r="L438" s="504">
        <v>45835</v>
      </c>
      <c r="M438" s="504">
        <v>45869</v>
      </c>
      <c r="N438" s="505" t="s">
        <v>196</v>
      </c>
      <c r="O438" s="506">
        <v>21884588</v>
      </c>
      <c r="P438" s="507" t="s">
        <v>196</v>
      </c>
      <c r="Q438" s="508">
        <v>4376918</v>
      </c>
      <c r="R438" s="508">
        <v>4376918</v>
      </c>
      <c r="S438" s="508">
        <v>0</v>
      </c>
      <c r="T438" s="509">
        <v>4376918</v>
      </c>
      <c r="U438" s="506">
        <v>205770</v>
      </c>
      <c r="V438" s="510"/>
    </row>
    <row r="439" spans="1:22" s="270" customFormat="1" ht="15" customHeight="1">
      <c r="A439" s="317"/>
      <c r="B439" s="334">
        <f t="shared" si="17"/>
        <v>429</v>
      </c>
      <c r="C439" s="289" t="s">
        <v>416</v>
      </c>
      <c r="D439" s="330" t="s">
        <v>270</v>
      </c>
      <c r="E439" s="289" t="s">
        <v>304</v>
      </c>
      <c r="F439" s="360" t="s">
        <v>750</v>
      </c>
      <c r="G439" s="500">
        <v>14</v>
      </c>
      <c r="H439" s="501" t="s">
        <v>433</v>
      </c>
      <c r="I439" s="502" t="s">
        <v>1199</v>
      </c>
      <c r="J439" s="503">
        <v>8.8699999999999987E-2</v>
      </c>
      <c r="K439" s="504">
        <v>45680</v>
      </c>
      <c r="L439" s="504">
        <v>45859</v>
      </c>
      <c r="M439" s="504">
        <v>45869</v>
      </c>
      <c r="N439" s="505" t="s">
        <v>196</v>
      </c>
      <c r="O439" s="506">
        <v>8195000</v>
      </c>
      <c r="P439" s="507" t="s">
        <v>196</v>
      </c>
      <c r="Q439" s="508">
        <v>1639000</v>
      </c>
      <c r="R439" s="508">
        <v>1639000</v>
      </c>
      <c r="S439" s="508">
        <v>0</v>
      </c>
      <c r="T439" s="509">
        <v>1639000</v>
      </c>
      <c r="U439" s="506">
        <v>74340</v>
      </c>
      <c r="V439" s="510"/>
    </row>
    <row r="440" spans="1:22" s="270" customFormat="1" ht="15" customHeight="1">
      <c r="A440" s="317"/>
      <c r="B440" s="334">
        <f t="shared" si="17"/>
        <v>430</v>
      </c>
      <c r="C440" s="289" t="s">
        <v>416</v>
      </c>
      <c r="D440" s="330" t="s">
        <v>270</v>
      </c>
      <c r="E440" s="289" t="s">
        <v>304</v>
      </c>
      <c r="F440" s="360" t="s">
        <v>750</v>
      </c>
      <c r="G440" s="500">
        <v>15</v>
      </c>
      <c r="H440" s="501" t="s">
        <v>433</v>
      </c>
      <c r="I440" s="502" t="s">
        <v>1200</v>
      </c>
      <c r="J440" s="503">
        <v>8.8699999999999987E-2</v>
      </c>
      <c r="K440" s="504">
        <v>45680</v>
      </c>
      <c r="L440" s="504">
        <v>45859</v>
      </c>
      <c r="M440" s="504">
        <v>45869</v>
      </c>
      <c r="N440" s="505" t="s">
        <v>196</v>
      </c>
      <c r="O440" s="506">
        <v>2101770</v>
      </c>
      <c r="P440" s="507" t="s">
        <v>196</v>
      </c>
      <c r="Q440" s="508">
        <v>420354</v>
      </c>
      <c r="R440" s="508">
        <v>420354</v>
      </c>
      <c r="S440" s="508">
        <v>0</v>
      </c>
      <c r="T440" s="509">
        <v>420354</v>
      </c>
      <c r="U440" s="506">
        <v>19062</v>
      </c>
      <c r="V440" s="510"/>
    </row>
    <row r="441" spans="1:22" s="270" customFormat="1" ht="15" customHeight="1">
      <c r="A441" s="317"/>
      <c r="B441" s="334">
        <f t="shared" si="17"/>
        <v>431</v>
      </c>
      <c r="C441" s="289" t="s">
        <v>416</v>
      </c>
      <c r="D441" s="330" t="s">
        <v>270</v>
      </c>
      <c r="E441" s="289" t="s">
        <v>304</v>
      </c>
      <c r="F441" s="360" t="s">
        <v>750</v>
      </c>
      <c r="G441" s="500">
        <v>16</v>
      </c>
      <c r="H441" s="501" t="s">
        <v>441</v>
      </c>
      <c r="I441" s="502" t="s">
        <v>1201</v>
      </c>
      <c r="J441" s="503"/>
      <c r="K441" s="504">
        <v>45839</v>
      </c>
      <c r="L441" s="504"/>
      <c r="M441" s="504"/>
      <c r="N441" s="505" t="s">
        <v>196</v>
      </c>
      <c r="O441" s="506">
        <v>265900</v>
      </c>
      <c r="P441" s="507" t="s">
        <v>196</v>
      </c>
      <c r="Q441" s="508">
        <v>0</v>
      </c>
      <c r="R441" s="508">
        <v>0</v>
      </c>
      <c r="S441" s="508">
        <v>265900</v>
      </c>
      <c r="T441" s="509">
        <v>265900</v>
      </c>
      <c r="U441" s="506">
        <v>0</v>
      </c>
      <c r="V441" s="510" t="s">
        <v>438</v>
      </c>
    </row>
    <row r="442" spans="1:22" s="270" customFormat="1" ht="15" customHeight="1">
      <c r="A442" s="317"/>
      <c r="B442" s="334">
        <f t="shared" si="17"/>
        <v>432</v>
      </c>
      <c r="C442" s="289" t="s">
        <v>416</v>
      </c>
      <c r="D442" s="330" t="s">
        <v>270</v>
      </c>
      <c r="E442" s="289" t="s">
        <v>304</v>
      </c>
      <c r="F442" s="360" t="s">
        <v>750</v>
      </c>
      <c r="G442" s="500">
        <v>17</v>
      </c>
      <c r="H442" s="501" t="s">
        <v>441</v>
      </c>
      <c r="I442" s="502" t="s">
        <v>1202</v>
      </c>
      <c r="J442" s="503"/>
      <c r="K442" s="504">
        <v>45832</v>
      </c>
      <c r="L442" s="504"/>
      <c r="M442" s="504"/>
      <c r="N442" s="505" t="s">
        <v>196</v>
      </c>
      <c r="O442" s="506">
        <v>22911708</v>
      </c>
      <c r="P442" s="507" t="s">
        <v>196</v>
      </c>
      <c r="Q442" s="508">
        <v>0</v>
      </c>
      <c r="R442" s="508">
        <v>0</v>
      </c>
      <c r="S442" s="508">
        <v>22911708</v>
      </c>
      <c r="T442" s="509">
        <v>22911708</v>
      </c>
      <c r="U442" s="506">
        <v>0</v>
      </c>
      <c r="V442" s="510" t="s">
        <v>439</v>
      </c>
    </row>
    <row r="443" spans="1:22" s="270" customFormat="1" ht="15" customHeight="1">
      <c r="A443" s="317"/>
      <c r="B443" s="334">
        <f t="shared" si="17"/>
        <v>433</v>
      </c>
      <c r="C443" s="289" t="s">
        <v>416</v>
      </c>
      <c r="D443" s="330" t="s">
        <v>270</v>
      </c>
      <c r="E443" s="289" t="s">
        <v>304</v>
      </c>
      <c r="F443" s="360" t="s">
        <v>750</v>
      </c>
      <c r="G443" s="500">
        <v>18</v>
      </c>
      <c r="H443" s="501" t="s">
        <v>441</v>
      </c>
      <c r="I443" s="502" t="s">
        <v>1203</v>
      </c>
      <c r="J443" s="503"/>
      <c r="K443" s="504">
        <v>45841</v>
      </c>
      <c r="L443" s="504"/>
      <c r="M443" s="504"/>
      <c r="N443" s="505" t="s">
        <v>196</v>
      </c>
      <c r="O443" s="506">
        <v>8973660</v>
      </c>
      <c r="P443" s="507" t="s">
        <v>196</v>
      </c>
      <c r="Q443" s="508">
        <v>0</v>
      </c>
      <c r="R443" s="508">
        <v>0</v>
      </c>
      <c r="S443" s="508">
        <v>8731770</v>
      </c>
      <c r="T443" s="509">
        <v>8731770</v>
      </c>
      <c r="U443" s="506">
        <v>0</v>
      </c>
      <c r="V443" s="510" t="s">
        <v>439</v>
      </c>
    </row>
    <row r="444" spans="1:22" s="270" customFormat="1" ht="15" customHeight="1">
      <c r="A444" s="317"/>
      <c r="B444" s="334">
        <f t="shared" si="17"/>
        <v>434</v>
      </c>
      <c r="C444" s="289" t="s">
        <v>416</v>
      </c>
      <c r="D444" s="330" t="s">
        <v>270</v>
      </c>
      <c r="E444" s="289" t="s">
        <v>304</v>
      </c>
      <c r="F444" s="360" t="s">
        <v>750</v>
      </c>
      <c r="G444" s="500">
        <v>19</v>
      </c>
      <c r="H444" s="501" t="s">
        <v>441</v>
      </c>
      <c r="I444" s="502" t="s">
        <v>1204</v>
      </c>
      <c r="J444" s="503"/>
      <c r="K444" s="504">
        <v>45748</v>
      </c>
      <c r="L444" s="504"/>
      <c r="M444" s="504"/>
      <c r="N444" s="505" t="s">
        <v>196</v>
      </c>
      <c r="O444" s="506">
        <v>480700</v>
      </c>
      <c r="P444" s="507" t="s">
        <v>196</v>
      </c>
      <c r="Q444" s="508">
        <v>0</v>
      </c>
      <c r="R444" s="508">
        <v>0</v>
      </c>
      <c r="S444" s="508">
        <v>480700</v>
      </c>
      <c r="T444" s="509">
        <v>480700</v>
      </c>
      <c r="U444" s="506">
        <v>0</v>
      </c>
      <c r="V444" s="510" t="s">
        <v>440</v>
      </c>
    </row>
    <row r="445" spans="1:22" s="270" customFormat="1" ht="15" customHeight="1">
      <c r="A445" s="317"/>
      <c r="B445" s="334">
        <f t="shared" si="17"/>
        <v>435</v>
      </c>
      <c r="C445" s="289" t="s">
        <v>416</v>
      </c>
      <c r="D445" s="330" t="s">
        <v>270</v>
      </c>
      <c r="E445" s="289" t="s">
        <v>304</v>
      </c>
      <c r="F445" s="360" t="s">
        <v>750</v>
      </c>
      <c r="G445" s="500">
        <v>20</v>
      </c>
      <c r="H445" s="501" t="s">
        <v>441</v>
      </c>
      <c r="I445" s="502" t="s">
        <v>1205</v>
      </c>
      <c r="J445" s="503"/>
      <c r="K445" s="504">
        <v>45779</v>
      </c>
      <c r="L445" s="504"/>
      <c r="M445" s="504"/>
      <c r="N445" s="505" t="s">
        <v>196</v>
      </c>
      <c r="O445" s="506">
        <v>759000</v>
      </c>
      <c r="P445" s="507" t="s">
        <v>196</v>
      </c>
      <c r="Q445" s="508">
        <v>0</v>
      </c>
      <c r="R445" s="508">
        <v>0</v>
      </c>
      <c r="S445" s="508">
        <v>759000</v>
      </c>
      <c r="T445" s="509">
        <v>759000</v>
      </c>
      <c r="U445" s="506">
        <v>0</v>
      </c>
      <c r="V445" s="510" t="s">
        <v>440</v>
      </c>
    </row>
    <row r="446" spans="1:22" s="270" customFormat="1" ht="15" customHeight="1">
      <c r="A446" s="317"/>
      <c r="B446" s="334">
        <f t="shared" si="17"/>
        <v>436</v>
      </c>
      <c r="C446" s="289" t="s">
        <v>416</v>
      </c>
      <c r="D446" s="330" t="s">
        <v>270</v>
      </c>
      <c r="E446" s="289" t="s">
        <v>304</v>
      </c>
      <c r="F446" s="360" t="s">
        <v>750</v>
      </c>
      <c r="G446" s="500">
        <v>21</v>
      </c>
      <c r="H446" s="501" t="s">
        <v>441</v>
      </c>
      <c r="I446" s="502" t="s">
        <v>1206</v>
      </c>
      <c r="J446" s="503"/>
      <c r="K446" s="504">
        <v>45810</v>
      </c>
      <c r="L446" s="504"/>
      <c r="M446" s="504"/>
      <c r="N446" s="505" t="s">
        <v>196</v>
      </c>
      <c r="O446" s="506">
        <v>784300</v>
      </c>
      <c r="P446" s="507" t="s">
        <v>196</v>
      </c>
      <c r="Q446" s="508">
        <v>0</v>
      </c>
      <c r="R446" s="508">
        <v>0</v>
      </c>
      <c r="S446" s="508">
        <v>784300</v>
      </c>
      <c r="T446" s="509">
        <v>784300</v>
      </c>
      <c r="U446" s="506">
        <v>0</v>
      </c>
      <c r="V446" s="510" t="s">
        <v>440</v>
      </c>
    </row>
    <row r="447" spans="1:22" s="270" customFormat="1" ht="15" customHeight="1">
      <c r="A447" s="317"/>
      <c r="B447" s="334">
        <f t="shared" si="17"/>
        <v>437</v>
      </c>
      <c r="C447" s="289" t="s">
        <v>416</v>
      </c>
      <c r="D447" s="330" t="s">
        <v>270</v>
      </c>
      <c r="E447" s="289" t="s">
        <v>304</v>
      </c>
      <c r="F447" s="360" t="s">
        <v>750</v>
      </c>
      <c r="G447" s="500">
        <v>22</v>
      </c>
      <c r="H447" s="501" t="s">
        <v>441</v>
      </c>
      <c r="I447" s="502" t="s">
        <v>1207</v>
      </c>
      <c r="J447" s="503"/>
      <c r="K447" s="504">
        <v>45840</v>
      </c>
      <c r="L447" s="504"/>
      <c r="M447" s="504"/>
      <c r="N447" s="505" t="s">
        <v>196</v>
      </c>
      <c r="O447" s="506">
        <v>759000</v>
      </c>
      <c r="P447" s="507" t="s">
        <v>196</v>
      </c>
      <c r="Q447" s="508">
        <v>0</v>
      </c>
      <c r="R447" s="508">
        <v>0</v>
      </c>
      <c r="S447" s="508">
        <v>759000</v>
      </c>
      <c r="T447" s="509">
        <v>759000</v>
      </c>
      <c r="U447" s="506">
        <v>0</v>
      </c>
      <c r="V447" s="510" t="s">
        <v>440</v>
      </c>
    </row>
    <row r="448" spans="1:22" s="270" customFormat="1" ht="15" customHeight="1">
      <c r="A448" s="317"/>
      <c r="B448" s="334">
        <f t="shared" si="17"/>
        <v>438</v>
      </c>
      <c r="C448" s="289" t="s">
        <v>416</v>
      </c>
      <c r="D448" s="330" t="s">
        <v>270</v>
      </c>
      <c r="E448" s="289" t="s">
        <v>311</v>
      </c>
      <c r="F448" s="360" t="s">
        <v>751</v>
      </c>
      <c r="G448" s="500">
        <v>1</v>
      </c>
      <c r="H448" s="501" t="s">
        <v>212</v>
      </c>
      <c r="I448" s="502" t="s">
        <v>1208</v>
      </c>
      <c r="J448" s="503">
        <v>9.35E-2</v>
      </c>
      <c r="K448" s="504">
        <v>44175</v>
      </c>
      <c r="L448" s="504">
        <v>45996</v>
      </c>
      <c r="M448" s="504">
        <v>45752</v>
      </c>
      <c r="N448" s="505" t="s">
        <v>196</v>
      </c>
      <c r="O448" s="506">
        <v>100000000</v>
      </c>
      <c r="P448" s="507" t="s">
        <v>196</v>
      </c>
      <c r="Q448" s="508">
        <v>100000000</v>
      </c>
      <c r="R448" s="508">
        <v>100000000</v>
      </c>
      <c r="S448" s="508">
        <v>0</v>
      </c>
      <c r="T448" s="509">
        <v>100000000</v>
      </c>
      <c r="U448" s="506">
        <v>2596313</v>
      </c>
      <c r="V448" s="510"/>
    </row>
    <row r="449" spans="1:22" s="270" customFormat="1" ht="15" customHeight="1">
      <c r="A449" s="317"/>
      <c r="B449" s="334">
        <f t="shared" si="17"/>
        <v>439</v>
      </c>
      <c r="C449" s="289" t="s">
        <v>416</v>
      </c>
      <c r="D449" s="330" t="s">
        <v>270</v>
      </c>
      <c r="E449" s="289" t="s">
        <v>311</v>
      </c>
      <c r="F449" s="360" t="s">
        <v>751</v>
      </c>
      <c r="G449" s="500">
        <v>2</v>
      </c>
      <c r="H449" s="501" t="s">
        <v>422</v>
      </c>
      <c r="I449" s="502" t="s">
        <v>1209</v>
      </c>
      <c r="J449" s="503">
        <v>8.8699999999999987E-2</v>
      </c>
      <c r="K449" s="504">
        <v>44365</v>
      </c>
      <c r="L449" s="504">
        <v>47286</v>
      </c>
      <c r="M449" s="504">
        <v>45733</v>
      </c>
      <c r="N449" s="505" t="s">
        <v>196</v>
      </c>
      <c r="O449" s="506">
        <v>210000000</v>
      </c>
      <c r="P449" s="507" t="s">
        <v>196</v>
      </c>
      <c r="Q449" s="508">
        <v>210000000</v>
      </c>
      <c r="R449" s="508">
        <v>210000000</v>
      </c>
      <c r="S449" s="508">
        <v>0</v>
      </c>
      <c r="T449" s="509">
        <v>210000000</v>
      </c>
      <c r="U449" s="506">
        <v>5971618</v>
      </c>
      <c r="V449" s="510"/>
    </row>
    <row r="450" spans="1:22" s="270" customFormat="1" ht="15" customHeight="1">
      <c r="A450" s="317"/>
      <c r="B450" s="334">
        <f t="shared" si="17"/>
        <v>440</v>
      </c>
      <c r="C450" s="289" t="s">
        <v>416</v>
      </c>
      <c r="D450" s="330" t="s">
        <v>270</v>
      </c>
      <c r="E450" s="289" t="s">
        <v>311</v>
      </c>
      <c r="F450" s="360" t="s">
        <v>751</v>
      </c>
      <c r="G450" s="500">
        <v>3</v>
      </c>
      <c r="H450" s="501" t="s">
        <v>422</v>
      </c>
      <c r="I450" s="502" t="s">
        <v>1210</v>
      </c>
      <c r="J450" s="503">
        <v>7.9100000000000004E-2</v>
      </c>
      <c r="K450" s="504">
        <v>44407</v>
      </c>
      <c r="L450" s="504">
        <v>47286</v>
      </c>
      <c r="M450" s="504">
        <v>45745</v>
      </c>
      <c r="N450" s="505" t="s">
        <v>196</v>
      </c>
      <c r="O450" s="506">
        <v>500000000</v>
      </c>
      <c r="P450" s="507" t="s">
        <v>196</v>
      </c>
      <c r="Q450" s="508">
        <v>500000000</v>
      </c>
      <c r="R450" s="508">
        <v>500000000</v>
      </c>
      <c r="S450" s="508">
        <v>0</v>
      </c>
      <c r="T450" s="509">
        <v>500000000</v>
      </c>
      <c r="U450" s="506">
        <v>10929190</v>
      </c>
      <c r="V450" s="510"/>
    </row>
    <row r="451" spans="1:22" s="270" customFormat="1" ht="15" customHeight="1">
      <c r="A451" s="317"/>
      <c r="B451" s="334">
        <f t="shared" si="17"/>
        <v>441</v>
      </c>
      <c r="C451" s="289" t="s">
        <v>416</v>
      </c>
      <c r="D451" s="330" t="s">
        <v>270</v>
      </c>
      <c r="E451" s="289" t="s">
        <v>311</v>
      </c>
      <c r="F451" s="360" t="s">
        <v>751</v>
      </c>
      <c r="G451" s="500">
        <v>4</v>
      </c>
      <c r="H451" s="501" t="s">
        <v>422</v>
      </c>
      <c r="I451" s="502" t="s">
        <v>1211</v>
      </c>
      <c r="J451" s="503">
        <v>8.0500000000000002E-2</v>
      </c>
      <c r="K451" s="504">
        <v>44407</v>
      </c>
      <c r="L451" s="504">
        <v>47286</v>
      </c>
      <c r="M451" s="504">
        <v>45745</v>
      </c>
      <c r="N451" s="505" t="s">
        <v>196</v>
      </c>
      <c r="O451" s="506">
        <v>440000000</v>
      </c>
      <c r="P451" s="507" t="s">
        <v>196</v>
      </c>
      <c r="Q451" s="508">
        <v>440000000</v>
      </c>
      <c r="R451" s="508">
        <v>440000000</v>
      </c>
      <c r="S451" s="508">
        <v>0</v>
      </c>
      <c r="T451" s="509">
        <v>440000000</v>
      </c>
      <c r="U451" s="506">
        <v>9822895</v>
      </c>
      <c r="V451" s="510"/>
    </row>
    <row r="452" spans="1:22" s="270" customFormat="1" ht="15" customHeight="1">
      <c r="A452" s="317"/>
      <c r="B452" s="334">
        <f t="shared" si="17"/>
        <v>442</v>
      </c>
      <c r="C452" s="289" t="s">
        <v>416</v>
      </c>
      <c r="D452" s="330" t="s">
        <v>270</v>
      </c>
      <c r="E452" s="289" t="s">
        <v>311</v>
      </c>
      <c r="F452" s="360" t="s">
        <v>751</v>
      </c>
      <c r="G452" s="500">
        <v>5</v>
      </c>
      <c r="H452" s="501" t="s">
        <v>212</v>
      </c>
      <c r="I452" s="502" t="s">
        <v>1212</v>
      </c>
      <c r="J452" s="503">
        <v>8.5000000000000006E-2</v>
      </c>
      <c r="K452" s="504">
        <v>45008</v>
      </c>
      <c r="L452" s="504">
        <v>48661</v>
      </c>
      <c r="M452" s="504">
        <v>45738</v>
      </c>
      <c r="N452" s="505" t="s">
        <v>196</v>
      </c>
      <c r="O452" s="506">
        <v>100000000</v>
      </c>
      <c r="P452" s="507" t="s">
        <v>196</v>
      </c>
      <c r="Q452" s="508">
        <v>100000000</v>
      </c>
      <c r="R452" s="508">
        <v>100000000</v>
      </c>
      <c r="S452" s="508">
        <v>0</v>
      </c>
      <c r="T452" s="509">
        <v>100000000</v>
      </c>
      <c r="U452" s="506">
        <v>2568359</v>
      </c>
      <c r="V452" s="510"/>
    </row>
    <row r="453" spans="1:22" s="270" customFormat="1" ht="15" customHeight="1">
      <c r="A453" s="317"/>
      <c r="B453" s="334">
        <f t="shared" si="17"/>
        <v>443</v>
      </c>
      <c r="C453" s="289" t="s">
        <v>416</v>
      </c>
      <c r="D453" s="330" t="s">
        <v>270</v>
      </c>
      <c r="E453" s="289" t="s">
        <v>311</v>
      </c>
      <c r="F453" s="360" t="s">
        <v>751</v>
      </c>
      <c r="G453" s="500">
        <v>6</v>
      </c>
      <c r="H453" s="501" t="s">
        <v>212</v>
      </c>
      <c r="I453" s="502" t="s">
        <v>1213</v>
      </c>
      <c r="J453" s="503">
        <v>8.2799999999999999E-2</v>
      </c>
      <c r="K453" s="504">
        <v>45583</v>
      </c>
      <c r="L453" s="504">
        <v>45948</v>
      </c>
      <c r="M453" s="504">
        <v>45733</v>
      </c>
      <c r="N453" s="505" t="s">
        <v>196</v>
      </c>
      <c r="O453" s="506">
        <v>80000000</v>
      </c>
      <c r="P453" s="507" t="s">
        <v>196</v>
      </c>
      <c r="Q453" s="508">
        <v>80000000</v>
      </c>
      <c r="R453" s="508">
        <v>80000000</v>
      </c>
      <c r="S453" s="508">
        <v>0</v>
      </c>
      <c r="T453" s="509">
        <v>80000000</v>
      </c>
      <c r="U453" s="506">
        <v>2138123</v>
      </c>
      <c r="V453" s="510"/>
    </row>
    <row r="454" spans="1:22" s="270" customFormat="1" ht="15" customHeight="1">
      <c r="A454" s="317"/>
      <c r="B454" s="334">
        <f t="shared" si="17"/>
        <v>444</v>
      </c>
      <c r="C454" s="289" t="s">
        <v>416</v>
      </c>
      <c r="D454" s="330" t="s">
        <v>270</v>
      </c>
      <c r="E454" s="289" t="s">
        <v>311</v>
      </c>
      <c r="F454" s="360" t="s">
        <v>751</v>
      </c>
      <c r="G454" s="500">
        <v>7</v>
      </c>
      <c r="H454" s="501" t="s">
        <v>441</v>
      </c>
      <c r="I454" s="502" t="s">
        <v>1214</v>
      </c>
      <c r="J454" s="503"/>
      <c r="K454" s="504">
        <v>45832</v>
      </c>
      <c r="L454" s="504"/>
      <c r="M454" s="504"/>
      <c r="N454" s="505" t="s">
        <v>196</v>
      </c>
      <c r="O454" s="506">
        <v>7353000</v>
      </c>
      <c r="P454" s="507" t="s">
        <v>196</v>
      </c>
      <c r="Q454" s="508">
        <v>0</v>
      </c>
      <c r="R454" s="508">
        <v>0</v>
      </c>
      <c r="S454" s="508">
        <v>7353000</v>
      </c>
      <c r="T454" s="509">
        <v>7353000</v>
      </c>
      <c r="U454" s="506">
        <v>0</v>
      </c>
      <c r="V454" s="510" t="s">
        <v>438</v>
      </c>
    </row>
    <row r="455" spans="1:22" s="270" customFormat="1" ht="15" customHeight="1">
      <c r="A455" s="317"/>
      <c r="B455" s="334">
        <f t="shared" si="17"/>
        <v>445</v>
      </c>
      <c r="C455" s="289" t="s">
        <v>416</v>
      </c>
      <c r="D455" s="330" t="s">
        <v>270</v>
      </c>
      <c r="E455" s="289" t="s">
        <v>311</v>
      </c>
      <c r="F455" s="360" t="s">
        <v>751</v>
      </c>
      <c r="G455" s="500">
        <v>8</v>
      </c>
      <c r="H455" s="501" t="s">
        <v>441</v>
      </c>
      <c r="I455" s="502" t="s">
        <v>1215</v>
      </c>
      <c r="J455" s="503"/>
      <c r="K455" s="504">
        <v>45842</v>
      </c>
      <c r="L455" s="504"/>
      <c r="M455" s="504"/>
      <c r="N455" s="505" t="s">
        <v>196</v>
      </c>
      <c r="O455" s="506">
        <v>4159260</v>
      </c>
      <c r="P455" s="507" t="s">
        <v>196</v>
      </c>
      <c r="Q455" s="508">
        <v>0</v>
      </c>
      <c r="R455" s="508">
        <v>0</v>
      </c>
      <c r="S455" s="508">
        <v>4159260</v>
      </c>
      <c r="T455" s="509">
        <v>4159260</v>
      </c>
      <c r="U455" s="506">
        <v>0</v>
      </c>
      <c r="V455" s="510" t="s">
        <v>439</v>
      </c>
    </row>
    <row r="456" spans="1:22" s="270" customFormat="1" ht="15" customHeight="1">
      <c r="A456" s="317"/>
      <c r="B456" s="334">
        <f t="shared" si="17"/>
        <v>446</v>
      </c>
      <c r="C456" s="289" t="s">
        <v>416</v>
      </c>
      <c r="D456" s="330" t="s">
        <v>270</v>
      </c>
      <c r="E456" s="289" t="s">
        <v>311</v>
      </c>
      <c r="F456" s="360" t="s">
        <v>751</v>
      </c>
      <c r="G456" s="500">
        <v>9</v>
      </c>
      <c r="H456" s="501" t="s">
        <v>441</v>
      </c>
      <c r="I456" s="502" t="s">
        <v>1216</v>
      </c>
      <c r="J456" s="503"/>
      <c r="K456" s="504">
        <v>45842</v>
      </c>
      <c r="L456" s="504"/>
      <c r="M456" s="504"/>
      <c r="N456" s="505" t="s">
        <v>196</v>
      </c>
      <c r="O456" s="506">
        <v>408800</v>
      </c>
      <c r="P456" s="507" t="s">
        <v>196</v>
      </c>
      <c r="Q456" s="508">
        <v>0</v>
      </c>
      <c r="R456" s="508">
        <v>0</v>
      </c>
      <c r="S456" s="508">
        <v>408800</v>
      </c>
      <c r="T456" s="509">
        <v>408800</v>
      </c>
      <c r="U456" s="506">
        <v>0</v>
      </c>
      <c r="V456" s="510" t="s">
        <v>437</v>
      </c>
    </row>
    <row r="457" spans="1:22" s="270" customFormat="1" ht="15" customHeight="1">
      <c r="A457" s="317"/>
      <c r="B457" s="334">
        <f t="shared" si="17"/>
        <v>447</v>
      </c>
      <c r="C457" s="289" t="s">
        <v>416</v>
      </c>
      <c r="D457" s="330" t="s">
        <v>270</v>
      </c>
      <c r="E457" s="289" t="s">
        <v>311</v>
      </c>
      <c r="F457" s="360" t="s">
        <v>751</v>
      </c>
      <c r="G457" s="500">
        <v>10</v>
      </c>
      <c r="H457" s="501" t="s">
        <v>441</v>
      </c>
      <c r="I457" s="502" t="s">
        <v>1217</v>
      </c>
      <c r="J457" s="503"/>
      <c r="K457" s="504">
        <v>45855</v>
      </c>
      <c r="L457" s="504"/>
      <c r="M457" s="504"/>
      <c r="N457" s="505" t="s">
        <v>196</v>
      </c>
      <c r="O457" s="506">
        <v>354200</v>
      </c>
      <c r="P457" s="507" t="s">
        <v>196</v>
      </c>
      <c r="Q457" s="508">
        <v>0</v>
      </c>
      <c r="R457" s="508">
        <v>0</v>
      </c>
      <c r="S457" s="508">
        <v>354200</v>
      </c>
      <c r="T457" s="509">
        <v>354200</v>
      </c>
      <c r="U457" s="506">
        <v>0</v>
      </c>
      <c r="V457" s="510" t="s">
        <v>440</v>
      </c>
    </row>
    <row r="458" spans="1:22" s="270" customFormat="1" ht="15" customHeight="1">
      <c r="A458" s="317"/>
      <c r="B458" s="334">
        <f t="shared" si="17"/>
        <v>448</v>
      </c>
      <c r="C458" s="289" t="s">
        <v>416</v>
      </c>
      <c r="D458" s="330" t="s">
        <v>270</v>
      </c>
      <c r="E458" s="289" t="s">
        <v>312</v>
      </c>
      <c r="F458" s="360" t="s">
        <v>752</v>
      </c>
      <c r="G458" s="500">
        <v>1</v>
      </c>
      <c r="H458" s="501" t="s">
        <v>212</v>
      </c>
      <c r="I458" s="502" t="s">
        <v>1218</v>
      </c>
      <c r="J458" s="503">
        <v>0.11</v>
      </c>
      <c r="K458" s="504">
        <v>43517</v>
      </c>
      <c r="L458" s="504">
        <v>45701</v>
      </c>
      <c r="M458" s="504">
        <v>45869</v>
      </c>
      <c r="N458" s="505" t="s">
        <v>196</v>
      </c>
      <c r="O458" s="506">
        <v>300000000</v>
      </c>
      <c r="P458" s="507" t="s">
        <v>196</v>
      </c>
      <c r="Q458" s="508">
        <v>250000000</v>
      </c>
      <c r="R458" s="508">
        <v>250000000</v>
      </c>
      <c r="S458" s="508">
        <v>0</v>
      </c>
      <c r="T458" s="509">
        <v>250000000</v>
      </c>
      <c r="U458" s="506">
        <v>2561643</v>
      </c>
      <c r="V458" s="510"/>
    </row>
    <row r="459" spans="1:22" s="270" customFormat="1" ht="15" customHeight="1">
      <c r="A459" s="317"/>
      <c r="B459" s="334">
        <f t="shared" si="17"/>
        <v>449</v>
      </c>
      <c r="C459" s="289" t="s">
        <v>416</v>
      </c>
      <c r="D459" s="330" t="s">
        <v>270</v>
      </c>
      <c r="E459" s="289" t="s">
        <v>312</v>
      </c>
      <c r="F459" s="360" t="s">
        <v>752</v>
      </c>
      <c r="G459" s="500">
        <v>2</v>
      </c>
      <c r="H459" s="501" t="s">
        <v>212</v>
      </c>
      <c r="I459" s="502" t="s">
        <v>1218</v>
      </c>
      <c r="J459" s="503">
        <v>0.11</v>
      </c>
      <c r="K459" s="504">
        <v>43517</v>
      </c>
      <c r="L459" s="504">
        <v>45701</v>
      </c>
      <c r="M459" s="504">
        <v>45638</v>
      </c>
      <c r="N459" s="505" t="s">
        <v>196</v>
      </c>
      <c r="O459" s="506">
        <v>300000000</v>
      </c>
      <c r="P459" s="507" t="s">
        <v>196</v>
      </c>
      <c r="Q459" s="508">
        <v>50000000</v>
      </c>
      <c r="R459" s="508">
        <v>50000000</v>
      </c>
      <c r="S459" s="508">
        <v>0</v>
      </c>
      <c r="T459" s="509">
        <v>50000000</v>
      </c>
      <c r="U459" s="506">
        <v>17625490</v>
      </c>
      <c r="V459" s="510"/>
    </row>
    <row r="460" spans="1:22" s="270" customFormat="1" ht="15" customHeight="1">
      <c r="A460" s="317"/>
      <c r="B460" s="334">
        <f t="shared" si="17"/>
        <v>450</v>
      </c>
      <c r="C460" s="289" t="s">
        <v>416</v>
      </c>
      <c r="D460" s="330" t="s">
        <v>270</v>
      </c>
      <c r="E460" s="289" t="s">
        <v>312</v>
      </c>
      <c r="F460" s="360" t="s">
        <v>752</v>
      </c>
      <c r="G460" s="500">
        <v>3</v>
      </c>
      <c r="H460" s="501" t="s">
        <v>212</v>
      </c>
      <c r="I460" s="502" t="s">
        <v>1219</v>
      </c>
      <c r="J460" s="503">
        <v>8.5099999999999995E-2</v>
      </c>
      <c r="K460" s="504">
        <v>43874</v>
      </c>
      <c r="L460" s="504">
        <v>45701</v>
      </c>
      <c r="M460" s="504">
        <v>45638</v>
      </c>
      <c r="N460" s="505" t="s">
        <v>196</v>
      </c>
      <c r="O460" s="506">
        <v>500000000</v>
      </c>
      <c r="P460" s="507" t="s">
        <v>196</v>
      </c>
      <c r="Q460" s="508">
        <v>500000000</v>
      </c>
      <c r="R460" s="508">
        <v>500000000</v>
      </c>
      <c r="S460" s="508">
        <v>0</v>
      </c>
      <c r="T460" s="509">
        <v>500000000</v>
      </c>
      <c r="U460" s="506">
        <v>24781703</v>
      </c>
      <c r="V460" s="510"/>
    </row>
    <row r="461" spans="1:22" s="270" customFormat="1" ht="15" customHeight="1">
      <c r="A461" s="317"/>
      <c r="B461" s="334">
        <f t="shared" si="17"/>
        <v>451</v>
      </c>
      <c r="C461" s="289" t="s">
        <v>416</v>
      </c>
      <c r="D461" s="330" t="s">
        <v>270</v>
      </c>
      <c r="E461" s="289" t="s">
        <v>312</v>
      </c>
      <c r="F461" s="360" t="s">
        <v>752</v>
      </c>
      <c r="G461" s="500">
        <v>4</v>
      </c>
      <c r="H461" s="501" t="s">
        <v>212</v>
      </c>
      <c r="I461" s="502" t="s">
        <v>1220</v>
      </c>
      <c r="J461" s="503">
        <v>8.0199999999999994E-2</v>
      </c>
      <c r="K461" s="504">
        <v>43888</v>
      </c>
      <c r="L461" s="504">
        <v>45712</v>
      </c>
      <c r="M461" s="504">
        <v>45652</v>
      </c>
      <c r="N461" s="505" t="s">
        <v>196</v>
      </c>
      <c r="O461" s="506">
        <v>300000000</v>
      </c>
      <c r="P461" s="507" t="s">
        <v>196</v>
      </c>
      <c r="Q461" s="508">
        <v>18750000</v>
      </c>
      <c r="R461" s="508">
        <v>18750000</v>
      </c>
      <c r="S461" s="508">
        <v>0</v>
      </c>
      <c r="T461" s="509">
        <v>18750000</v>
      </c>
      <c r="U461" s="506">
        <v>813042</v>
      </c>
      <c r="V461" s="510"/>
    </row>
    <row r="462" spans="1:22" s="270" customFormat="1" ht="15" customHeight="1">
      <c r="A462" s="317"/>
      <c r="B462" s="334">
        <f t="shared" ref="B462:B500" si="18">ROW()-10</f>
        <v>452</v>
      </c>
      <c r="C462" s="289" t="s">
        <v>416</v>
      </c>
      <c r="D462" s="330" t="s">
        <v>270</v>
      </c>
      <c r="E462" s="289" t="s">
        <v>312</v>
      </c>
      <c r="F462" s="360" t="s">
        <v>752</v>
      </c>
      <c r="G462" s="500">
        <v>5</v>
      </c>
      <c r="H462" s="501" t="s">
        <v>212</v>
      </c>
      <c r="I462" s="502" t="s">
        <v>1221</v>
      </c>
      <c r="J462" s="503">
        <v>0.09</v>
      </c>
      <c r="K462" s="504">
        <v>44165</v>
      </c>
      <c r="L462" s="504">
        <v>45989</v>
      </c>
      <c r="M462" s="504">
        <v>45869</v>
      </c>
      <c r="N462" s="505" t="s">
        <v>196</v>
      </c>
      <c r="O462" s="506">
        <v>330000000</v>
      </c>
      <c r="P462" s="507" t="s">
        <v>196</v>
      </c>
      <c r="Q462" s="508">
        <v>10312000</v>
      </c>
      <c r="R462" s="508">
        <v>10312000</v>
      </c>
      <c r="S462" s="508">
        <v>0</v>
      </c>
      <c r="T462" s="509">
        <v>10312000</v>
      </c>
      <c r="U462" s="506">
        <v>86460</v>
      </c>
      <c r="V462" s="510"/>
    </row>
    <row r="463" spans="1:22" s="270" customFormat="1" ht="15" customHeight="1">
      <c r="A463" s="317"/>
      <c r="B463" s="334">
        <f t="shared" si="18"/>
        <v>453</v>
      </c>
      <c r="C463" s="289" t="s">
        <v>416</v>
      </c>
      <c r="D463" s="330" t="s">
        <v>270</v>
      </c>
      <c r="E463" s="289" t="s">
        <v>312</v>
      </c>
      <c r="F463" s="360" t="s">
        <v>752</v>
      </c>
      <c r="G463" s="500">
        <v>6</v>
      </c>
      <c r="H463" s="501" t="s">
        <v>212</v>
      </c>
      <c r="I463" s="502" t="s">
        <v>1221</v>
      </c>
      <c r="J463" s="503">
        <v>0.09</v>
      </c>
      <c r="K463" s="504">
        <v>44165</v>
      </c>
      <c r="L463" s="504">
        <v>45989</v>
      </c>
      <c r="M463" s="504">
        <v>45655</v>
      </c>
      <c r="N463" s="505" t="s">
        <v>196</v>
      </c>
      <c r="O463" s="506">
        <v>330000000</v>
      </c>
      <c r="P463" s="507" t="s">
        <v>196</v>
      </c>
      <c r="Q463" s="508">
        <v>92808000</v>
      </c>
      <c r="R463" s="508">
        <v>92808000</v>
      </c>
      <c r="S463" s="508">
        <v>0</v>
      </c>
      <c r="T463" s="509">
        <v>92808000</v>
      </c>
      <c r="U463" s="506">
        <v>4933424</v>
      </c>
      <c r="V463" s="510"/>
    </row>
    <row r="464" spans="1:22" s="270" customFormat="1" ht="15" customHeight="1">
      <c r="A464" s="317"/>
      <c r="B464" s="334">
        <f t="shared" si="18"/>
        <v>454</v>
      </c>
      <c r="C464" s="289" t="s">
        <v>416</v>
      </c>
      <c r="D464" s="330" t="s">
        <v>270</v>
      </c>
      <c r="E464" s="289" t="s">
        <v>312</v>
      </c>
      <c r="F464" s="360" t="s">
        <v>752</v>
      </c>
      <c r="G464" s="500">
        <v>7</v>
      </c>
      <c r="H464" s="501" t="s">
        <v>212</v>
      </c>
      <c r="I464" s="502" t="s">
        <v>1222</v>
      </c>
      <c r="J464" s="503">
        <v>7.9299999999999995E-2</v>
      </c>
      <c r="K464" s="504">
        <v>44546</v>
      </c>
      <c r="L464" s="504">
        <v>46009</v>
      </c>
      <c r="M464" s="504">
        <v>45649</v>
      </c>
      <c r="N464" s="505" t="s">
        <v>196</v>
      </c>
      <c r="O464" s="506">
        <v>200000000</v>
      </c>
      <c r="P464" s="507" t="s">
        <v>196</v>
      </c>
      <c r="Q464" s="508">
        <v>200000000</v>
      </c>
      <c r="R464" s="508">
        <v>200000000</v>
      </c>
      <c r="S464" s="508">
        <v>0</v>
      </c>
      <c r="T464" s="509">
        <v>200000000</v>
      </c>
      <c r="U464" s="506">
        <v>8766590</v>
      </c>
      <c r="V464" s="510"/>
    </row>
    <row r="465" spans="1:22" s="270" customFormat="1" ht="15" customHeight="1">
      <c r="A465" s="317"/>
      <c r="B465" s="334">
        <f t="shared" si="18"/>
        <v>455</v>
      </c>
      <c r="C465" s="289" t="s">
        <v>416</v>
      </c>
      <c r="D465" s="330" t="s">
        <v>270</v>
      </c>
      <c r="E465" s="289" t="s">
        <v>312</v>
      </c>
      <c r="F465" s="360" t="s">
        <v>752</v>
      </c>
      <c r="G465" s="500">
        <v>8</v>
      </c>
      <c r="H465" s="501" t="s">
        <v>212</v>
      </c>
      <c r="I465" s="502" t="s">
        <v>1223</v>
      </c>
      <c r="J465" s="503">
        <v>0.11</v>
      </c>
      <c r="K465" s="504">
        <v>45288</v>
      </c>
      <c r="L465" s="504">
        <v>45753</v>
      </c>
      <c r="M465" s="504">
        <v>45869</v>
      </c>
      <c r="N465" s="505" t="s">
        <v>196</v>
      </c>
      <c r="O465" s="506">
        <v>88000000</v>
      </c>
      <c r="P465" s="507" t="s">
        <v>196</v>
      </c>
      <c r="Q465" s="508">
        <v>7580000</v>
      </c>
      <c r="R465" s="508">
        <v>7580000</v>
      </c>
      <c r="S465" s="508">
        <v>0</v>
      </c>
      <c r="T465" s="509">
        <v>7580000</v>
      </c>
      <c r="U465" s="506">
        <v>456510</v>
      </c>
      <c r="V465" s="510"/>
    </row>
    <row r="466" spans="1:22" s="270" customFormat="1" ht="15" customHeight="1">
      <c r="A466" s="317"/>
      <c r="B466" s="334">
        <f t="shared" si="18"/>
        <v>456</v>
      </c>
      <c r="C466" s="289" t="s">
        <v>416</v>
      </c>
      <c r="D466" s="330" t="s">
        <v>270</v>
      </c>
      <c r="E466" s="289" t="s">
        <v>312</v>
      </c>
      <c r="F466" s="360" t="s">
        <v>752</v>
      </c>
      <c r="G466" s="500">
        <v>9</v>
      </c>
      <c r="H466" s="501" t="s">
        <v>212</v>
      </c>
      <c r="I466" s="502" t="s">
        <v>1224</v>
      </c>
      <c r="J466" s="503">
        <v>9.1799999999999993E-2</v>
      </c>
      <c r="K466" s="504">
        <v>45455</v>
      </c>
      <c r="L466" s="504">
        <v>45777</v>
      </c>
      <c r="M466" s="504">
        <v>45637</v>
      </c>
      <c r="N466" s="505" t="s">
        <v>196</v>
      </c>
      <c r="O466" s="506">
        <v>230000000</v>
      </c>
      <c r="P466" s="507" t="s">
        <v>196</v>
      </c>
      <c r="Q466" s="508">
        <v>192460939</v>
      </c>
      <c r="R466" s="508">
        <v>192460939</v>
      </c>
      <c r="S466" s="508">
        <v>0</v>
      </c>
      <c r="T466" s="509">
        <v>192460939</v>
      </c>
      <c r="U466" s="506">
        <v>10373939</v>
      </c>
      <c r="V466" s="510"/>
    </row>
    <row r="467" spans="1:22" s="270" customFormat="1" ht="15" customHeight="1">
      <c r="A467" s="317"/>
      <c r="B467" s="334">
        <f t="shared" si="18"/>
        <v>457</v>
      </c>
      <c r="C467" s="289" t="s">
        <v>416</v>
      </c>
      <c r="D467" s="330" t="s">
        <v>270</v>
      </c>
      <c r="E467" s="289" t="s">
        <v>312</v>
      </c>
      <c r="F467" s="360" t="s">
        <v>752</v>
      </c>
      <c r="G467" s="500">
        <v>10</v>
      </c>
      <c r="H467" s="501" t="s">
        <v>434</v>
      </c>
      <c r="I467" s="502" t="s">
        <v>1225</v>
      </c>
      <c r="J467" s="503">
        <v>4.4999999999999998E-2</v>
      </c>
      <c r="K467" s="504">
        <v>44798</v>
      </c>
      <c r="L467" s="504">
        <v>48395</v>
      </c>
      <c r="M467" s="504">
        <v>45869</v>
      </c>
      <c r="N467" s="505" t="s">
        <v>196</v>
      </c>
      <c r="O467" s="506">
        <v>22000000</v>
      </c>
      <c r="P467" s="507" t="s">
        <v>196</v>
      </c>
      <c r="Q467" s="508">
        <v>18779070</v>
      </c>
      <c r="R467" s="508">
        <v>18779070</v>
      </c>
      <c r="S467" s="508">
        <v>0</v>
      </c>
      <c r="T467" s="509">
        <v>18779070</v>
      </c>
      <c r="U467" s="506">
        <v>354965</v>
      </c>
      <c r="V467" s="510"/>
    </row>
    <row r="468" spans="1:22" s="270" customFormat="1" ht="15" customHeight="1">
      <c r="A468" s="317"/>
      <c r="B468" s="334">
        <f t="shared" si="18"/>
        <v>458</v>
      </c>
      <c r="C468" s="289" t="s">
        <v>416</v>
      </c>
      <c r="D468" s="330" t="s">
        <v>270</v>
      </c>
      <c r="E468" s="289" t="s">
        <v>312</v>
      </c>
      <c r="F468" s="360" t="s">
        <v>752</v>
      </c>
      <c r="G468" s="500">
        <v>11</v>
      </c>
      <c r="H468" s="501" t="s">
        <v>441</v>
      </c>
      <c r="I468" s="502" t="s">
        <v>1226</v>
      </c>
      <c r="J468" s="503"/>
      <c r="K468" s="504">
        <v>45818</v>
      </c>
      <c r="L468" s="504"/>
      <c r="M468" s="504"/>
      <c r="N468" s="505" t="s">
        <v>196</v>
      </c>
      <c r="O468" s="506">
        <v>2528920</v>
      </c>
      <c r="P468" s="507" t="s">
        <v>196</v>
      </c>
      <c r="Q468" s="508">
        <v>0</v>
      </c>
      <c r="R468" s="508">
        <v>0</v>
      </c>
      <c r="S468" s="508">
        <v>2528920</v>
      </c>
      <c r="T468" s="509">
        <v>2528920</v>
      </c>
      <c r="U468" s="506">
        <v>0</v>
      </c>
      <c r="V468" s="510" t="s">
        <v>439</v>
      </c>
    </row>
    <row r="469" spans="1:22" s="270" customFormat="1" ht="15" customHeight="1">
      <c r="A469" s="317"/>
      <c r="B469" s="334">
        <f t="shared" si="18"/>
        <v>459</v>
      </c>
      <c r="C469" s="289" t="s">
        <v>416</v>
      </c>
      <c r="D469" s="330" t="s">
        <v>270</v>
      </c>
      <c r="E469" s="289" t="s">
        <v>312</v>
      </c>
      <c r="F469" s="360" t="s">
        <v>752</v>
      </c>
      <c r="G469" s="500">
        <v>12</v>
      </c>
      <c r="H469" s="501" t="s">
        <v>441</v>
      </c>
      <c r="I469" s="502" t="s">
        <v>1227</v>
      </c>
      <c r="J469" s="503"/>
      <c r="K469" s="504">
        <v>45819</v>
      </c>
      <c r="L469" s="504"/>
      <c r="M469" s="504"/>
      <c r="N469" s="505" t="s">
        <v>196</v>
      </c>
      <c r="O469" s="506">
        <v>7338800</v>
      </c>
      <c r="P469" s="507" t="s">
        <v>196</v>
      </c>
      <c r="Q469" s="508">
        <v>0</v>
      </c>
      <c r="R469" s="508">
        <v>0</v>
      </c>
      <c r="S469" s="508">
        <v>7338800</v>
      </c>
      <c r="T469" s="509">
        <v>7338800</v>
      </c>
      <c r="U469" s="506">
        <v>0</v>
      </c>
      <c r="V469" s="510" t="s">
        <v>439</v>
      </c>
    </row>
    <row r="470" spans="1:22" s="270" customFormat="1" ht="15" customHeight="1">
      <c r="A470" s="317"/>
      <c r="B470" s="334">
        <f t="shared" si="18"/>
        <v>460</v>
      </c>
      <c r="C470" s="289" t="s">
        <v>416</v>
      </c>
      <c r="D470" s="330" t="s">
        <v>270</v>
      </c>
      <c r="E470" s="289" t="s">
        <v>312</v>
      </c>
      <c r="F470" s="360" t="s">
        <v>752</v>
      </c>
      <c r="G470" s="500">
        <v>13</v>
      </c>
      <c r="H470" s="501" t="s">
        <v>441</v>
      </c>
      <c r="I470" s="502" t="s">
        <v>1228</v>
      </c>
      <c r="J470" s="503"/>
      <c r="K470" s="504">
        <v>45790</v>
      </c>
      <c r="L470" s="504"/>
      <c r="M470" s="504"/>
      <c r="N470" s="505" t="s">
        <v>196</v>
      </c>
      <c r="O470" s="506">
        <v>117320</v>
      </c>
      <c r="P470" s="507" t="s">
        <v>196</v>
      </c>
      <c r="Q470" s="508">
        <v>0</v>
      </c>
      <c r="R470" s="508">
        <v>0</v>
      </c>
      <c r="S470" s="508">
        <v>117320</v>
      </c>
      <c r="T470" s="509">
        <v>117320</v>
      </c>
      <c r="U470" s="506">
        <v>0</v>
      </c>
      <c r="V470" s="510" t="s">
        <v>440</v>
      </c>
    </row>
    <row r="471" spans="1:22" s="270" customFormat="1" ht="15" customHeight="1">
      <c r="A471" s="317"/>
      <c r="B471" s="334">
        <f t="shared" si="18"/>
        <v>461</v>
      </c>
      <c r="C471" s="289" t="s">
        <v>416</v>
      </c>
      <c r="D471" s="330" t="s">
        <v>270</v>
      </c>
      <c r="E471" s="289" t="s">
        <v>312</v>
      </c>
      <c r="F471" s="360" t="s">
        <v>752</v>
      </c>
      <c r="G471" s="500">
        <v>14</v>
      </c>
      <c r="H471" s="501" t="s">
        <v>441</v>
      </c>
      <c r="I471" s="502" t="s">
        <v>1229</v>
      </c>
      <c r="J471" s="503"/>
      <c r="K471" s="504">
        <v>45790</v>
      </c>
      <c r="L471" s="504"/>
      <c r="M471" s="504"/>
      <c r="N471" s="505" t="s">
        <v>196</v>
      </c>
      <c r="O471" s="506">
        <v>1320000</v>
      </c>
      <c r="P471" s="507" t="s">
        <v>196</v>
      </c>
      <c r="Q471" s="508">
        <v>0</v>
      </c>
      <c r="R471" s="508">
        <v>0</v>
      </c>
      <c r="S471" s="508">
        <v>1320000</v>
      </c>
      <c r="T471" s="509">
        <v>1320000</v>
      </c>
      <c r="U471" s="506">
        <v>0</v>
      </c>
      <c r="V471" s="510" t="s">
        <v>440</v>
      </c>
    </row>
    <row r="472" spans="1:22" s="270" customFormat="1" ht="15" customHeight="1">
      <c r="A472" s="317"/>
      <c r="B472" s="334">
        <f t="shared" si="18"/>
        <v>462</v>
      </c>
      <c r="C472" s="289" t="s">
        <v>416</v>
      </c>
      <c r="D472" s="330" t="s">
        <v>270</v>
      </c>
      <c r="E472" s="289" t="s">
        <v>312</v>
      </c>
      <c r="F472" s="360" t="s">
        <v>752</v>
      </c>
      <c r="G472" s="500">
        <v>15</v>
      </c>
      <c r="H472" s="501" t="s">
        <v>441</v>
      </c>
      <c r="I472" s="502" t="s">
        <v>1230</v>
      </c>
      <c r="J472" s="503"/>
      <c r="K472" s="504">
        <v>45820</v>
      </c>
      <c r="L472" s="504"/>
      <c r="M472" s="504"/>
      <c r="N472" s="505" t="s">
        <v>196</v>
      </c>
      <c r="O472" s="506">
        <v>440000</v>
      </c>
      <c r="P472" s="507" t="s">
        <v>196</v>
      </c>
      <c r="Q472" s="508">
        <v>0</v>
      </c>
      <c r="R472" s="508">
        <v>0</v>
      </c>
      <c r="S472" s="508">
        <v>440000</v>
      </c>
      <c r="T472" s="509">
        <v>440000</v>
      </c>
      <c r="U472" s="506">
        <v>0</v>
      </c>
      <c r="V472" s="510" t="s">
        <v>440</v>
      </c>
    </row>
    <row r="473" spans="1:22" s="270" customFormat="1" ht="15" customHeight="1">
      <c r="A473" s="317"/>
      <c r="B473" s="334">
        <f t="shared" si="18"/>
        <v>463</v>
      </c>
      <c r="C473" s="289" t="s">
        <v>416</v>
      </c>
      <c r="D473" s="330" t="s">
        <v>270</v>
      </c>
      <c r="E473" s="289" t="s">
        <v>312</v>
      </c>
      <c r="F473" s="360" t="s">
        <v>752</v>
      </c>
      <c r="G473" s="500">
        <v>16</v>
      </c>
      <c r="H473" s="501" t="s">
        <v>441</v>
      </c>
      <c r="I473" s="502" t="s">
        <v>1231</v>
      </c>
      <c r="J473" s="503"/>
      <c r="K473" s="504">
        <v>45848</v>
      </c>
      <c r="L473" s="504"/>
      <c r="M473" s="504"/>
      <c r="N473" s="505" t="s">
        <v>196</v>
      </c>
      <c r="O473" s="506">
        <v>440000</v>
      </c>
      <c r="P473" s="507" t="s">
        <v>196</v>
      </c>
      <c r="Q473" s="508">
        <v>0</v>
      </c>
      <c r="R473" s="508">
        <v>0</v>
      </c>
      <c r="S473" s="508">
        <v>440000</v>
      </c>
      <c r="T473" s="509">
        <v>440000</v>
      </c>
      <c r="U473" s="506">
        <v>0</v>
      </c>
      <c r="V473" s="510" t="s">
        <v>440</v>
      </c>
    </row>
    <row r="474" spans="1:22" s="270" customFormat="1" ht="15" customHeight="1">
      <c r="A474" s="317"/>
      <c r="B474" s="334">
        <f t="shared" si="18"/>
        <v>464</v>
      </c>
      <c r="C474" s="289" t="s">
        <v>416</v>
      </c>
      <c r="D474" s="330" t="s">
        <v>270</v>
      </c>
      <c r="E474" s="289" t="s">
        <v>299</v>
      </c>
      <c r="F474" s="360" t="s">
        <v>753</v>
      </c>
      <c r="G474" s="500">
        <v>1</v>
      </c>
      <c r="H474" s="501" t="s">
        <v>212</v>
      </c>
      <c r="I474" s="502" t="s">
        <v>1232</v>
      </c>
      <c r="J474" s="503">
        <v>0.1045</v>
      </c>
      <c r="K474" s="504">
        <v>45320</v>
      </c>
      <c r="L474" s="504">
        <v>46047</v>
      </c>
      <c r="M474" s="504">
        <v>45715</v>
      </c>
      <c r="N474" s="505" t="s">
        <v>196</v>
      </c>
      <c r="O474" s="506">
        <v>100000000</v>
      </c>
      <c r="P474" s="507" t="s">
        <v>196</v>
      </c>
      <c r="Q474" s="508">
        <v>95159400</v>
      </c>
      <c r="R474" s="508">
        <v>95159400</v>
      </c>
      <c r="S474" s="508">
        <v>0</v>
      </c>
      <c r="T474" s="509">
        <v>95159400</v>
      </c>
      <c r="U474" s="506">
        <v>3899946</v>
      </c>
      <c r="V474" s="510"/>
    </row>
    <row r="475" spans="1:22" s="270" customFormat="1" ht="15" customHeight="1">
      <c r="A475" s="317"/>
      <c r="B475" s="334">
        <f t="shared" si="18"/>
        <v>465</v>
      </c>
      <c r="C475" s="289" t="s">
        <v>416</v>
      </c>
      <c r="D475" s="330" t="s">
        <v>270</v>
      </c>
      <c r="E475" s="289" t="s">
        <v>299</v>
      </c>
      <c r="F475" s="360" t="s">
        <v>753</v>
      </c>
      <c r="G475" s="500">
        <v>2</v>
      </c>
      <c r="H475" s="501" t="s">
        <v>212</v>
      </c>
      <c r="I475" s="502" t="s">
        <v>1233</v>
      </c>
      <c r="J475" s="503">
        <v>8.1600000000000006E-2</v>
      </c>
      <c r="K475" s="504">
        <v>43950</v>
      </c>
      <c r="L475" s="504">
        <v>45772</v>
      </c>
      <c r="M475" s="504">
        <v>45715</v>
      </c>
      <c r="N475" s="505" t="s">
        <v>196</v>
      </c>
      <c r="O475" s="506">
        <v>15000000</v>
      </c>
      <c r="P475" s="507" t="s">
        <v>196</v>
      </c>
      <c r="Q475" s="508">
        <v>620000</v>
      </c>
      <c r="R475" s="508">
        <v>620000</v>
      </c>
      <c r="S475" s="508">
        <v>0</v>
      </c>
      <c r="T475" s="509">
        <v>620000</v>
      </c>
      <c r="U475" s="506">
        <v>18951</v>
      </c>
      <c r="V475" s="510"/>
    </row>
    <row r="476" spans="1:22" s="270" customFormat="1" ht="15" customHeight="1">
      <c r="A476" s="317"/>
      <c r="B476" s="334">
        <f t="shared" si="18"/>
        <v>466</v>
      </c>
      <c r="C476" s="289" t="s">
        <v>416</v>
      </c>
      <c r="D476" s="330" t="s">
        <v>270</v>
      </c>
      <c r="E476" s="289" t="s">
        <v>299</v>
      </c>
      <c r="F476" s="360" t="s">
        <v>753</v>
      </c>
      <c r="G476" s="500">
        <v>3</v>
      </c>
      <c r="H476" s="501" t="s">
        <v>422</v>
      </c>
      <c r="I476" s="502" t="s">
        <v>1234</v>
      </c>
      <c r="J476" s="503">
        <v>8.1799999999999998E-2</v>
      </c>
      <c r="K476" s="504">
        <v>44586</v>
      </c>
      <c r="L476" s="504">
        <v>46047</v>
      </c>
      <c r="M476" s="504">
        <v>45715</v>
      </c>
      <c r="N476" s="505" t="s">
        <v>196</v>
      </c>
      <c r="O476" s="506">
        <v>900000000</v>
      </c>
      <c r="P476" s="507" t="s">
        <v>196</v>
      </c>
      <c r="Q476" s="508">
        <v>900000000</v>
      </c>
      <c r="R476" s="508">
        <v>900000000</v>
      </c>
      <c r="S476" s="508">
        <v>0</v>
      </c>
      <c r="T476" s="509">
        <v>900000000</v>
      </c>
      <c r="U476" s="506">
        <v>27484677</v>
      </c>
      <c r="V476" s="510"/>
    </row>
    <row r="477" spans="1:22" s="270" customFormat="1" ht="15" customHeight="1">
      <c r="A477" s="317"/>
      <c r="B477" s="334">
        <f t="shared" si="18"/>
        <v>467</v>
      </c>
      <c r="C477" s="289" t="s">
        <v>416</v>
      </c>
      <c r="D477" s="330" t="s">
        <v>270</v>
      </c>
      <c r="E477" s="289" t="s">
        <v>299</v>
      </c>
      <c r="F477" s="360" t="s">
        <v>753</v>
      </c>
      <c r="G477" s="500">
        <v>4</v>
      </c>
      <c r="H477" s="501" t="s">
        <v>212</v>
      </c>
      <c r="I477" s="502" t="s">
        <v>1235</v>
      </c>
      <c r="J477" s="503">
        <v>8.6599999999999996E-2</v>
      </c>
      <c r="K477" s="504">
        <v>44614</v>
      </c>
      <c r="L477" s="504">
        <v>46073</v>
      </c>
      <c r="M477" s="504">
        <v>45713</v>
      </c>
      <c r="N477" s="505" t="s">
        <v>196</v>
      </c>
      <c r="O477" s="506">
        <v>100000000</v>
      </c>
      <c r="P477" s="507" t="s">
        <v>196</v>
      </c>
      <c r="Q477" s="508">
        <v>100000000</v>
      </c>
      <c r="R477" s="508">
        <v>100000000</v>
      </c>
      <c r="S477" s="508">
        <v>0</v>
      </c>
      <c r="T477" s="509">
        <v>100000000</v>
      </c>
      <c r="U477" s="506">
        <v>3333887</v>
      </c>
      <c r="V477" s="510"/>
    </row>
    <row r="478" spans="1:22" s="270" customFormat="1" ht="15" customHeight="1">
      <c r="A478" s="317"/>
      <c r="B478" s="334">
        <f t="shared" si="18"/>
        <v>468</v>
      </c>
      <c r="C478" s="289" t="s">
        <v>416</v>
      </c>
      <c r="D478" s="330" t="s">
        <v>270</v>
      </c>
      <c r="E478" s="289" t="s">
        <v>299</v>
      </c>
      <c r="F478" s="360" t="s">
        <v>753</v>
      </c>
      <c r="G478" s="500">
        <v>5</v>
      </c>
      <c r="H478" s="501" t="s">
        <v>212</v>
      </c>
      <c r="I478" s="502" t="s">
        <v>1236</v>
      </c>
      <c r="J478" s="503">
        <v>8.5699999999999998E-2</v>
      </c>
      <c r="K478" s="504">
        <v>44830</v>
      </c>
      <c r="L478" s="504">
        <v>45912</v>
      </c>
      <c r="M478" s="504">
        <v>45700</v>
      </c>
      <c r="N478" s="505" t="s">
        <v>196</v>
      </c>
      <c r="O478" s="506">
        <v>230000000</v>
      </c>
      <c r="P478" s="507" t="s">
        <v>196</v>
      </c>
      <c r="Q478" s="508">
        <v>230000000</v>
      </c>
      <c r="R478" s="508">
        <v>230000000</v>
      </c>
      <c r="S478" s="508">
        <v>0</v>
      </c>
      <c r="T478" s="509">
        <v>230000000</v>
      </c>
      <c r="U478" s="506">
        <v>8266732</v>
      </c>
      <c r="V478" s="510"/>
    </row>
    <row r="479" spans="1:22" s="270" customFormat="1" ht="15" customHeight="1">
      <c r="A479" s="317"/>
      <c r="B479" s="334">
        <f t="shared" si="18"/>
        <v>469</v>
      </c>
      <c r="C479" s="289" t="s">
        <v>416</v>
      </c>
      <c r="D479" s="330" t="s">
        <v>270</v>
      </c>
      <c r="E479" s="289" t="s">
        <v>299</v>
      </c>
      <c r="F479" s="360" t="s">
        <v>753</v>
      </c>
      <c r="G479" s="500">
        <v>6</v>
      </c>
      <c r="H479" s="501" t="s">
        <v>441</v>
      </c>
      <c r="I479" s="502" t="s">
        <v>1237</v>
      </c>
      <c r="J479" s="503"/>
      <c r="K479" s="504">
        <v>45841</v>
      </c>
      <c r="L479" s="504"/>
      <c r="M479" s="504"/>
      <c r="N479" s="505" t="s">
        <v>196</v>
      </c>
      <c r="O479" s="506">
        <v>7722200</v>
      </c>
      <c r="P479" s="507" t="s">
        <v>196</v>
      </c>
      <c r="Q479" s="508">
        <v>0</v>
      </c>
      <c r="R479" s="508">
        <v>0</v>
      </c>
      <c r="S479" s="508">
        <v>7722200</v>
      </c>
      <c r="T479" s="509">
        <v>7722200</v>
      </c>
      <c r="U479" s="506">
        <v>0</v>
      </c>
      <c r="V479" s="510" t="s">
        <v>439</v>
      </c>
    </row>
    <row r="480" spans="1:22" s="270" customFormat="1" ht="15" customHeight="1">
      <c r="A480" s="317"/>
      <c r="B480" s="334">
        <f t="shared" si="18"/>
        <v>470</v>
      </c>
      <c r="C480" s="289" t="s">
        <v>416</v>
      </c>
      <c r="D480" s="330" t="s">
        <v>270</v>
      </c>
      <c r="E480" s="289" t="s">
        <v>303</v>
      </c>
      <c r="F480" s="360" t="s">
        <v>754</v>
      </c>
      <c r="G480" s="500">
        <v>1</v>
      </c>
      <c r="H480" s="501" t="s">
        <v>212</v>
      </c>
      <c r="I480" s="502" t="s">
        <v>1238</v>
      </c>
      <c r="J480" s="503">
        <v>9.4600000000000004E-2</v>
      </c>
      <c r="K480" s="504">
        <v>43397</v>
      </c>
      <c r="L480" s="504">
        <v>45947</v>
      </c>
      <c r="M480" s="504">
        <v>45680</v>
      </c>
      <c r="N480" s="505" t="s">
        <v>196</v>
      </c>
      <c r="O480" s="506">
        <v>45000000</v>
      </c>
      <c r="P480" s="507" t="s">
        <v>196</v>
      </c>
      <c r="Q480" s="508">
        <v>45000000</v>
      </c>
      <c r="R480" s="508">
        <v>45000000</v>
      </c>
      <c r="S480" s="508">
        <v>0</v>
      </c>
      <c r="T480" s="509">
        <v>45000000</v>
      </c>
      <c r="U480" s="506">
        <v>5094586</v>
      </c>
      <c r="V480" s="510"/>
    </row>
    <row r="481" spans="1:22" s="270" customFormat="1" ht="15" customHeight="1">
      <c r="A481" s="317"/>
      <c r="B481" s="334">
        <f t="shared" si="18"/>
        <v>471</v>
      </c>
      <c r="C481" s="289" t="s">
        <v>416</v>
      </c>
      <c r="D481" s="330" t="s">
        <v>270</v>
      </c>
      <c r="E481" s="289" t="s">
        <v>303</v>
      </c>
      <c r="F481" s="360" t="s">
        <v>754</v>
      </c>
      <c r="G481" s="500">
        <v>2</v>
      </c>
      <c r="H481" s="501" t="s">
        <v>212</v>
      </c>
      <c r="I481" s="502" t="s">
        <v>1239</v>
      </c>
      <c r="J481" s="503">
        <v>0.11</v>
      </c>
      <c r="K481" s="504">
        <v>43354</v>
      </c>
      <c r="L481" s="504">
        <v>45913</v>
      </c>
      <c r="M481" s="504">
        <v>45638</v>
      </c>
      <c r="N481" s="505" t="s">
        <v>196</v>
      </c>
      <c r="O481" s="506">
        <v>500000000</v>
      </c>
      <c r="P481" s="507" t="s">
        <v>196</v>
      </c>
      <c r="Q481" s="508">
        <v>438278716</v>
      </c>
      <c r="R481" s="508">
        <v>438278716</v>
      </c>
      <c r="S481" s="508">
        <v>0</v>
      </c>
      <c r="T481" s="509">
        <v>438278716</v>
      </c>
      <c r="U481" s="506">
        <v>31245751</v>
      </c>
      <c r="V481" s="510"/>
    </row>
    <row r="482" spans="1:22" s="270" customFormat="1" ht="15" customHeight="1">
      <c r="A482" s="317"/>
      <c r="B482" s="334">
        <f t="shared" si="18"/>
        <v>472</v>
      </c>
      <c r="C482" s="289" t="s">
        <v>416</v>
      </c>
      <c r="D482" s="330" t="s">
        <v>270</v>
      </c>
      <c r="E482" s="289" t="s">
        <v>303</v>
      </c>
      <c r="F482" s="360" t="s">
        <v>754</v>
      </c>
      <c r="G482" s="500">
        <v>3</v>
      </c>
      <c r="H482" s="501" t="s">
        <v>212</v>
      </c>
      <c r="I482" s="502" t="s">
        <v>1240</v>
      </c>
      <c r="J482" s="503">
        <v>0.11</v>
      </c>
      <c r="K482" s="504">
        <v>44001</v>
      </c>
      <c r="L482" s="504">
        <v>45828</v>
      </c>
      <c r="M482" s="504">
        <v>45646</v>
      </c>
      <c r="N482" s="505" t="s">
        <v>196</v>
      </c>
      <c r="O482" s="506">
        <v>81000000</v>
      </c>
      <c r="P482" s="507" t="s">
        <v>196</v>
      </c>
      <c r="Q482" s="508">
        <v>81000000</v>
      </c>
      <c r="R482" s="508">
        <v>81000000</v>
      </c>
      <c r="S482" s="508">
        <v>0</v>
      </c>
      <c r="T482" s="509">
        <v>81000000</v>
      </c>
      <c r="U482" s="506">
        <v>5268226</v>
      </c>
      <c r="V482" s="510"/>
    </row>
    <row r="483" spans="1:22" s="270" customFormat="1" ht="15" customHeight="1">
      <c r="A483" s="317"/>
      <c r="B483" s="334">
        <f t="shared" si="18"/>
        <v>473</v>
      </c>
      <c r="C483" s="289" t="s">
        <v>416</v>
      </c>
      <c r="D483" s="330" t="s">
        <v>270</v>
      </c>
      <c r="E483" s="289" t="s">
        <v>303</v>
      </c>
      <c r="F483" s="360" t="s">
        <v>754</v>
      </c>
      <c r="G483" s="500">
        <v>4</v>
      </c>
      <c r="H483" s="501" t="s">
        <v>212</v>
      </c>
      <c r="I483" s="502" t="s">
        <v>1241</v>
      </c>
      <c r="J483" s="503">
        <v>0.11</v>
      </c>
      <c r="K483" s="504">
        <v>44041</v>
      </c>
      <c r="L483" s="504">
        <v>45828</v>
      </c>
      <c r="M483" s="504">
        <v>45646</v>
      </c>
      <c r="N483" s="505" t="s">
        <v>196</v>
      </c>
      <c r="O483" s="506">
        <v>83000000</v>
      </c>
      <c r="P483" s="507" t="s">
        <v>196</v>
      </c>
      <c r="Q483" s="508">
        <v>83000000</v>
      </c>
      <c r="R483" s="508">
        <v>83000000</v>
      </c>
      <c r="S483" s="508">
        <v>0</v>
      </c>
      <c r="T483" s="509">
        <v>83000000</v>
      </c>
      <c r="U483" s="506">
        <v>5398307</v>
      </c>
      <c r="V483" s="510"/>
    </row>
    <row r="484" spans="1:22" s="270" customFormat="1" ht="15" customHeight="1">
      <c r="A484" s="317"/>
      <c r="B484" s="334">
        <f t="shared" si="18"/>
        <v>474</v>
      </c>
      <c r="C484" s="289" t="s">
        <v>416</v>
      </c>
      <c r="D484" s="330" t="s">
        <v>270</v>
      </c>
      <c r="E484" s="289" t="s">
        <v>303</v>
      </c>
      <c r="F484" s="360" t="s">
        <v>754</v>
      </c>
      <c r="G484" s="500">
        <v>5</v>
      </c>
      <c r="H484" s="501" t="s">
        <v>212</v>
      </c>
      <c r="I484" s="502" t="s">
        <v>1242</v>
      </c>
      <c r="J484" s="503">
        <v>8.5600000000000009E-2</v>
      </c>
      <c r="K484" s="504">
        <v>44448</v>
      </c>
      <c r="L484" s="504">
        <v>45913</v>
      </c>
      <c r="M484" s="504">
        <v>45638</v>
      </c>
      <c r="N484" s="505" t="s">
        <v>196</v>
      </c>
      <c r="O484" s="506">
        <v>478000000</v>
      </c>
      <c r="P484" s="507" t="s">
        <v>196</v>
      </c>
      <c r="Q484" s="508">
        <v>478000000</v>
      </c>
      <c r="R484" s="508">
        <v>478000000</v>
      </c>
      <c r="S484" s="508">
        <v>0</v>
      </c>
      <c r="T484" s="509">
        <v>478000000</v>
      </c>
      <c r="U484" s="506">
        <v>23830564</v>
      </c>
      <c r="V484" s="510"/>
    </row>
    <row r="485" spans="1:22" s="270" customFormat="1" ht="15" customHeight="1">
      <c r="A485" s="317"/>
      <c r="B485" s="334">
        <f t="shared" si="18"/>
        <v>475</v>
      </c>
      <c r="C485" s="289" t="s">
        <v>416</v>
      </c>
      <c r="D485" s="330" t="s">
        <v>270</v>
      </c>
      <c r="E485" s="289" t="s">
        <v>303</v>
      </c>
      <c r="F485" s="360" t="s">
        <v>754</v>
      </c>
      <c r="G485" s="500">
        <v>6</v>
      </c>
      <c r="H485" s="501" t="s">
        <v>212</v>
      </c>
      <c r="I485" s="502" t="s">
        <v>1243</v>
      </c>
      <c r="J485" s="503">
        <v>0.11</v>
      </c>
      <c r="K485" s="504">
        <v>44462</v>
      </c>
      <c r="L485" s="504">
        <v>45925</v>
      </c>
      <c r="M485" s="504">
        <v>45650</v>
      </c>
      <c r="N485" s="505" t="s">
        <v>196</v>
      </c>
      <c r="O485" s="506">
        <v>78000000</v>
      </c>
      <c r="P485" s="507" t="s">
        <v>196</v>
      </c>
      <c r="Q485" s="508">
        <v>78000000</v>
      </c>
      <c r="R485" s="508">
        <v>78000000</v>
      </c>
      <c r="S485" s="508">
        <v>0</v>
      </c>
      <c r="T485" s="509">
        <v>78000000</v>
      </c>
      <c r="U485" s="506">
        <v>4960069</v>
      </c>
      <c r="V485" s="510"/>
    </row>
    <row r="486" spans="1:22" s="270" customFormat="1" ht="15" customHeight="1">
      <c r="A486" s="317"/>
      <c r="B486" s="334">
        <f t="shared" si="18"/>
        <v>476</v>
      </c>
      <c r="C486" s="289" t="s">
        <v>416</v>
      </c>
      <c r="D486" s="330" t="s">
        <v>270</v>
      </c>
      <c r="E486" s="289" t="s">
        <v>303</v>
      </c>
      <c r="F486" s="360" t="s">
        <v>754</v>
      </c>
      <c r="G486" s="500">
        <v>7</v>
      </c>
      <c r="H486" s="501" t="s">
        <v>441</v>
      </c>
      <c r="I486" s="502" t="s">
        <v>1244</v>
      </c>
      <c r="J486" s="503"/>
      <c r="K486" s="504">
        <v>45825</v>
      </c>
      <c r="L486" s="504"/>
      <c r="M486" s="504"/>
      <c r="N486" s="505" t="s">
        <v>196</v>
      </c>
      <c r="O486" s="506">
        <v>6123920</v>
      </c>
      <c r="P486" s="507" t="s">
        <v>196</v>
      </c>
      <c r="Q486" s="508">
        <v>0</v>
      </c>
      <c r="R486" s="508">
        <v>0</v>
      </c>
      <c r="S486" s="508">
        <v>6123920</v>
      </c>
      <c r="T486" s="509">
        <v>6123920</v>
      </c>
      <c r="U486" s="506">
        <v>0</v>
      </c>
      <c r="V486" s="510" t="s">
        <v>439</v>
      </c>
    </row>
    <row r="487" spans="1:22" s="270" customFormat="1" ht="15" customHeight="1">
      <c r="A487" s="317"/>
      <c r="B487" s="334">
        <f t="shared" si="18"/>
        <v>477</v>
      </c>
      <c r="C487" s="289" t="s">
        <v>416</v>
      </c>
      <c r="D487" s="330" t="s">
        <v>270</v>
      </c>
      <c r="E487" s="289" t="s">
        <v>303</v>
      </c>
      <c r="F487" s="360" t="s">
        <v>754</v>
      </c>
      <c r="G487" s="500">
        <v>8</v>
      </c>
      <c r="H487" s="501" t="s">
        <v>441</v>
      </c>
      <c r="I487" s="502" t="s">
        <v>1245</v>
      </c>
      <c r="J487" s="503"/>
      <c r="K487" s="504">
        <v>45740</v>
      </c>
      <c r="L487" s="504"/>
      <c r="M487" s="504"/>
      <c r="N487" s="505" t="s">
        <v>196</v>
      </c>
      <c r="O487" s="506">
        <v>2266230</v>
      </c>
      <c r="P487" s="507" t="s">
        <v>196</v>
      </c>
      <c r="Q487" s="508">
        <v>0</v>
      </c>
      <c r="R487" s="508">
        <v>0</v>
      </c>
      <c r="S487" s="508">
        <v>2240480</v>
      </c>
      <c r="T487" s="509">
        <v>2240480</v>
      </c>
      <c r="U487" s="506">
        <v>0</v>
      </c>
      <c r="V487" s="510" t="s">
        <v>437</v>
      </c>
    </row>
    <row r="488" spans="1:22" s="270" customFormat="1" ht="15" customHeight="1">
      <c r="A488" s="317"/>
      <c r="B488" s="334">
        <f t="shared" si="18"/>
        <v>478</v>
      </c>
      <c r="C488" s="289" t="s">
        <v>416</v>
      </c>
      <c r="D488" s="330" t="s">
        <v>270</v>
      </c>
      <c r="E488" s="289" t="s">
        <v>295</v>
      </c>
      <c r="F488" s="360" t="s">
        <v>755</v>
      </c>
      <c r="G488" s="500">
        <v>1</v>
      </c>
      <c r="H488" s="501" t="s">
        <v>422</v>
      </c>
      <c r="I488" s="502" t="s">
        <v>1246</v>
      </c>
      <c r="J488" s="503">
        <v>7.3399999999999993E-2</v>
      </c>
      <c r="K488" s="504">
        <v>45397</v>
      </c>
      <c r="L488" s="504">
        <v>46492</v>
      </c>
      <c r="M488" s="504">
        <v>45869</v>
      </c>
      <c r="N488" s="505" t="s">
        <v>196</v>
      </c>
      <c r="O488" s="506">
        <v>558000000</v>
      </c>
      <c r="P488" s="507" t="s">
        <v>196</v>
      </c>
      <c r="Q488" s="508">
        <v>275000000</v>
      </c>
      <c r="R488" s="508">
        <v>275000000</v>
      </c>
      <c r="S488" s="508">
        <v>0</v>
      </c>
      <c r="T488" s="509">
        <v>275000000</v>
      </c>
      <c r="U488" s="506">
        <v>1881015</v>
      </c>
      <c r="V488" s="510"/>
    </row>
    <row r="489" spans="1:22" s="270" customFormat="1" ht="15" customHeight="1">
      <c r="A489" s="317"/>
      <c r="B489" s="334">
        <f t="shared" si="18"/>
        <v>479</v>
      </c>
      <c r="C489" s="289" t="s">
        <v>416</v>
      </c>
      <c r="D489" s="330" t="s">
        <v>270</v>
      </c>
      <c r="E489" s="289" t="s">
        <v>295</v>
      </c>
      <c r="F489" s="360" t="s">
        <v>755</v>
      </c>
      <c r="G489" s="500">
        <v>2</v>
      </c>
      <c r="H489" s="501" t="s">
        <v>422</v>
      </c>
      <c r="I489" s="502" t="s">
        <v>1246</v>
      </c>
      <c r="J489" s="503">
        <v>7.3399999999999993E-2</v>
      </c>
      <c r="K489" s="504">
        <v>45397</v>
      </c>
      <c r="L489" s="504">
        <v>46492</v>
      </c>
      <c r="M489" s="504">
        <v>45702</v>
      </c>
      <c r="N489" s="505" t="s">
        <v>196</v>
      </c>
      <c r="O489" s="506">
        <v>558000000</v>
      </c>
      <c r="P489" s="507" t="s">
        <v>196</v>
      </c>
      <c r="Q489" s="508">
        <v>283000000</v>
      </c>
      <c r="R489" s="508">
        <v>283000000</v>
      </c>
      <c r="S489" s="508">
        <v>0</v>
      </c>
      <c r="T489" s="509">
        <v>283000000</v>
      </c>
      <c r="U489" s="506">
        <v>14695105</v>
      </c>
      <c r="V489" s="510"/>
    </row>
    <row r="490" spans="1:22" s="270" customFormat="1" ht="15" customHeight="1">
      <c r="A490" s="317"/>
      <c r="B490" s="334">
        <f t="shared" si="18"/>
        <v>480</v>
      </c>
      <c r="C490" s="289" t="s">
        <v>416</v>
      </c>
      <c r="D490" s="330" t="s">
        <v>270</v>
      </c>
      <c r="E490" s="289" t="s">
        <v>295</v>
      </c>
      <c r="F490" s="360" t="s">
        <v>755</v>
      </c>
      <c r="G490" s="500">
        <v>3</v>
      </c>
      <c r="H490" s="501" t="s">
        <v>212</v>
      </c>
      <c r="I490" s="502" t="s">
        <v>1247</v>
      </c>
      <c r="J490" s="503">
        <v>8.1500000000000003E-2</v>
      </c>
      <c r="K490" s="504">
        <v>45455</v>
      </c>
      <c r="L490" s="504">
        <v>46672</v>
      </c>
      <c r="M490" s="504">
        <v>45869</v>
      </c>
      <c r="N490" s="505" t="s">
        <v>196</v>
      </c>
      <c r="O490" s="506">
        <v>100000000</v>
      </c>
      <c r="P490" s="507" t="s">
        <v>196</v>
      </c>
      <c r="Q490" s="508">
        <v>77173679</v>
      </c>
      <c r="R490" s="508">
        <v>77173679</v>
      </c>
      <c r="S490" s="508">
        <v>0</v>
      </c>
      <c r="T490" s="509">
        <v>77173679</v>
      </c>
      <c r="U490" s="506">
        <v>2134039</v>
      </c>
      <c r="V490" s="510"/>
    </row>
    <row r="491" spans="1:22" s="270" customFormat="1" ht="15" customHeight="1">
      <c r="A491" s="317"/>
      <c r="B491" s="334">
        <f t="shared" si="18"/>
        <v>481</v>
      </c>
      <c r="C491" s="289" t="s">
        <v>416</v>
      </c>
      <c r="D491" s="330" t="s">
        <v>270</v>
      </c>
      <c r="E491" s="289" t="s">
        <v>295</v>
      </c>
      <c r="F491" s="360" t="s">
        <v>755</v>
      </c>
      <c r="G491" s="500">
        <v>4</v>
      </c>
      <c r="H491" s="501" t="s">
        <v>212</v>
      </c>
      <c r="I491" s="502" t="s">
        <v>1248</v>
      </c>
      <c r="J491" s="503">
        <v>8.6099999999999996E-2</v>
      </c>
      <c r="K491" s="504">
        <v>43614</v>
      </c>
      <c r="L491" s="504">
        <v>45800</v>
      </c>
      <c r="M491" s="504">
        <v>45869</v>
      </c>
      <c r="N491" s="505" t="s">
        <v>196</v>
      </c>
      <c r="O491" s="506">
        <v>150000000</v>
      </c>
      <c r="P491" s="507" t="s">
        <v>196</v>
      </c>
      <c r="Q491" s="508">
        <v>15000000</v>
      </c>
      <c r="R491" s="508">
        <v>15000000</v>
      </c>
      <c r="S491" s="508">
        <v>0</v>
      </c>
      <c r="T491" s="509">
        <v>15000000</v>
      </c>
      <c r="U491" s="506">
        <v>120304</v>
      </c>
      <c r="V491" s="510"/>
    </row>
    <row r="492" spans="1:22" s="270" customFormat="1" ht="15" customHeight="1">
      <c r="A492" s="317"/>
      <c r="B492" s="334">
        <f t="shared" si="18"/>
        <v>482</v>
      </c>
      <c r="C492" s="289" t="s">
        <v>416</v>
      </c>
      <c r="D492" s="330" t="s">
        <v>270</v>
      </c>
      <c r="E492" s="289" t="s">
        <v>295</v>
      </c>
      <c r="F492" s="360" t="s">
        <v>755</v>
      </c>
      <c r="G492" s="500">
        <v>5</v>
      </c>
      <c r="H492" s="501" t="s">
        <v>212</v>
      </c>
      <c r="I492" s="502" t="s">
        <v>1248</v>
      </c>
      <c r="J492" s="503">
        <v>8.6099999999999996E-2</v>
      </c>
      <c r="K492" s="504">
        <v>43614</v>
      </c>
      <c r="L492" s="504">
        <v>45800</v>
      </c>
      <c r="M492" s="504">
        <v>45711</v>
      </c>
      <c r="N492" s="505" t="s">
        <v>196</v>
      </c>
      <c r="O492" s="506">
        <v>150000000</v>
      </c>
      <c r="P492" s="507" t="s">
        <v>196</v>
      </c>
      <c r="Q492" s="508">
        <v>135000000</v>
      </c>
      <c r="R492" s="508">
        <v>135000000</v>
      </c>
      <c r="S492" s="508">
        <v>0</v>
      </c>
      <c r="T492" s="509">
        <v>135000000</v>
      </c>
      <c r="U492" s="506">
        <v>4828986</v>
      </c>
      <c r="V492" s="510"/>
    </row>
    <row r="493" spans="1:22" s="270" customFormat="1" ht="15" customHeight="1">
      <c r="A493" s="317"/>
      <c r="B493" s="334">
        <f t="shared" si="18"/>
        <v>483</v>
      </c>
      <c r="C493" s="289" t="s">
        <v>416</v>
      </c>
      <c r="D493" s="330" t="s">
        <v>270</v>
      </c>
      <c r="E493" s="289" t="s">
        <v>295</v>
      </c>
      <c r="F493" s="360" t="s">
        <v>755</v>
      </c>
      <c r="G493" s="500">
        <v>6</v>
      </c>
      <c r="H493" s="501" t="s">
        <v>212</v>
      </c>
      <c r="I493" s="502" t="s">
        <v>1249</v>
      </c>
      <c r="J493" s="503">
        <v>8.6199999999999999E-2</v>
      </c>
      <c r="K493" s="504">
        <v>43614</v>
      </c>
      <c r="L493" s="504">
        <v>45800</v>
      </c>
      <c r="M493" s="504">
        <v>45869</v>
      </c>
      <c r="N493" s="505" t="s">
        <v>196</v>
      </c>
      <c r="O493" s="506">
        <v>118000000</v>
      </c>
      <c r="P493" s="507" t="s">
        <v>196</v>
      </c>
      <c r="Q493" s="508">
        <v>11800000</v>
      </c>
      <c r="R493" s="508">
        <v>11800000</v>
      </c>
      <c r="S493" s="508">
        <v>0</v>
      </c>
      <c r="T493" s="509">
        <v>11800000</v>
      </c>
      <c r="U493" s="506">
        <v>94793</v>
      </c>
      <c r="V493" s="510"/>
    </row>
    <row r="494" spans="1:22" s="270" customFormat="1" ht="15" customHeight="1">
      <c r="A494" s="317"/>
      <c r="B494" s="334">
        <f t="shared" si="18"/>
        <v>484</v>
      </c>
      <c r="C494" s="289" t="s">
        <v>416</v>
      </c>
      <c r="D494" s="330" t="s">
        <v>270</v>
      </c>
      <c r="E494" s="289" t="s">
        <v>295</v>
      </c>
      <c r="F494" s="360" t="s">
        <v>755</v>
      </c>
      <c r="G494" s="500">
        <v>7</v>
      </c>
      <c r="H494" s="501" t="s">
        <v>212</v>
      </c>
      <c r="I494" s="502" t="s">
        <v>1249</v>
      </c>
      <c r="J494" s="503">
        <v>8.6199999999999999E-2</v>
      </c>
      <c r="K494" s="504">
        <v>43614</v>
      </c>
      <c r="L494" s="504">
        <v>45800</v>
      </c>
      <c r="M494" s="504">
        <v>45711</v>
      </c>
      <c r="N494" s="505" t="s">
        <v>196</v>
      </c>
      <c r="O494" s="506">
        <v>118000000</v>
      </c>
      <c r="P494" s="507" t="s">
        <v>196</v>
      </c>
      <c r="Q494" s="508">
        <v>106200000</v>
      </c>
      <c r="R494" s="508">
        <v>106200000</v>
      </c>
      <c r="S494" s="508">
        <v>0</v>
      </c>
      <c r="T494" s="509">
        <v>106200000</v>
      </c>
      <c r="U494" s="506">
        <v>3805761</v>
      </c>
      <c r="V494" s="510"/>
    </row>
    <row r="495" spans="1:22" s="270" customFormat="1" ht="15" customHeight="1">
      <c r="A495" s="317"/>
      <c r="B495" s="334">
        <f t="shared" si="18"/>
        <v>485</v>
      </c>
      <c r="C495" s="289" t="s">
        <v>416</v>
      </c>
      <c r="D495" s="330" t="s">
        <v>270</v>
      </c>
      <c r="E495" s="289" t="s">
        <v>295</v>
      </c>
      <c r="F495" s="360" t="s">
        <v>755</v>
      </c>
      <c r="G495" s="500">
        <v>8</v>
      </c>
      <c r="H495" s="501" t="s">
        <v>212</v>
      </c>
      <c r="I495" s="502" t="s">
        <v>1250</v>
      </c>
      <c r="J495" s="503">
        <v>8.3199999999999996E-2</v>
      </c>
      <c r="K495" s="504">
        <v>44497</v>
      </c>
      <c r="L495" s="504">
        <v>45947</v>
      </c>
      <c r="M495" s="504">
        <v>45869</v>
      </c>
      <c r="N495" s="505" t="s">
        <v>196</v>
      </c>
      <c r="O495" s="506">
        <v>15000000</v>
      </c>
      <c r="P495" s="507" t="s">
        <v>196</v>
      </c>
      <c r="Q495" s="508">
        <v>750000</v>
      </c>
      <c r="R495" s="508">
        <v>750000</v>
      </c>
      <c r="S495" s="508">
        <v>0</v>
      </c>
      <c r="T495" s="509">
        <v>750000</v>
      </c>
      <c r="U495" s="506">
        <v>5814</v>
      </c>
      <c r="V495" s="510"/>
    </row>
    <row r="496" spans="1:22" s="270" customFormat="1" ht="15" customHeight="1">
      <c r="A496" s="317"/>
      <c r="B496" s="334">
        <f t="shared" si="18"/>
        <v>486</v>
      </c>
      <c r="C496" s="289" t="s">
        <v>416</v>
      </c>
      <c r="D496" s="330" t="s">
        <v>270</v>
      </c>
      <c r="E496" s="289" t="s">
        <v>295</v>
      </c>
      <c r="F496" s="360" t="s">
        <v>755</v>
      </c>
      <c r="G496" s="500">
        <v>9</v>
      </c>
      <c r="H496" s="501" t="s">
        <v>212</v>
      </c>
      <c r="I496" s="502" t="s">
        <v>1250</v>
      </c>
      <c r="J496" s="503">
        <v>8.3199999999999996E-2</v>
      </c>
      <c r="K496" s="504">
        <v>44497</v>
      </c>
      <c r="L496" s="504">
        <v>45947</v>
      </c>
      <c r="M496" s="504">
        <v>45733</v>
      </c>
      <c r="N496" s="505" t="s">
        <v>196</v>
      </c>
      <c r="O496" s="506">
        <v>15000000</v>
      </c>
      <c r="P496" s="507" t="s">
        <v>196</v>
      </c>
      <c r="Q496" s="508">
        <v>14250000</v>
      </c>
      <c r="R496" s="508">
        <v>14250000</v>
      </c>
      <c r="S496" s="508">
        <v>0</v>
      </c>
      <c r="T496" s="509">
        <v>14250000</v>
      </c>
      <c r="U496" s="506">
        <v>397416</v>
      </c>
      <c r="V496" s="510"/>
    </row>
    <row r="497" spans="1:22" s="270" customFormat="1" ht="15" customHeight="1">
      <c r="A497" s="317"/>
      <c r="B497" s="334">
        <f t="shared" si="18"/>
        <v>487</v>
      </c>
      <c r="C497" s="289" t="s">
        <v>416</v>
      </c>
      <c r="D497" s="330" t="s">
        <v>270</v>
      </c>
      <c r="E497" s="289" t="s">
        <v>295</v>
      </c>
      <c r="F497" s="360" t="s">
        <v>755</v>
      </c>
      <c r="G497" s="500">
        <v>10</v>
      </c>
      <c r="H497" s="501" t="s">
        <v>212</v>
      </c>
      <c r="I497" s="502" t="s">
        <v>1251</v>
      </c>
      <c r="J497" s="503">
        <v>8.09E-2</v>
      </c>
      <c r="K497" s="504">
        <v>44497</v>
      </c>
      <c r="L497" s="504">
        <v>45947</v>
      </c>
      <c r="M497" s="504">
        <v>45869</v>
      </c>
      <c r="N497" s="505" t="s">
        <v>196</v>
      </c>
      <c r="O497" s="506">
        <v>100000000</v>
      </c>
      <c r="P497" s="507" t="s">
        <v>196</v>
      </c>
      <c r="Q497" s="508">
        <v>5000000</v>
      </c>
      <c r="R497" s="508">
        <v>5000000</v>
      </c>
      <c r="S497" s="508">
        <v>0</v>
      </c>
      <c r="T497" s="509">
        <v>5000000</v>
      </c>
      <c r="U497" s="506">
        <v>37707</v>
      </c>
      <c r="V497" s="510"/>
    </row>
    <row r="498" spans="1:22" s="270" customFormat="1" ht="15" customHeight="1">
      <c r="A498" s="317"/>
      <c r="B498" s="334">
        <f t="shared" si="18"/>
        <v>488</v>
      </c>
      <c r="C498" s="289" t="s">
        <v>416</v>
      </c>
      <c r="D498" s="330" t="s">
        <v>270</v>
      </c>
      <c r="E498" s="289" t="s">
        <v>295</v>
      </c>
      <c r="F498" s="360" t="s">
        <v>755</v>
      </c>
      <c r="G498" s="500">
        <v>11</v>
      </c>
      <c r="H498" s="501" t="s">
        <v>212</v>
      </c>
      <c r="I498" s="502" t="s">
        <v>1251</v>
      </c>
      <c r="J498" s="503">
        <v>8.09E-2</v>
      </c>
      <c r="K498" s="504">
        <v>44497</v>
      </c>
      <c r="L498" s="504">
        <v>45947</v>
      </c>
      <c r="M498" s="504">
        <v>45733</v>
      </c>
      <c r="N498" s="505" t="s">
        <v>196</v>
      </c>
      <c r="O498" s="506">
        <v>100000000</v>
      </c>
      <c r="P498" s="507" t="s">
        <v>196</v>
      </c>
      <c r="Q498" s="508">
        <v>95000000</v>
      </c>
      <c r="R498" s="508">
        <v>95000000</v>
      </c>
      <c r="S498" s="508">
        <v>0</v>
      </c>
      <c r="T498" s="509">
        <v>95000000</v>
      </c>
      <c r="U498" s="506">
        <v>2566812</v>
      </c>
      <c r="V498" s="510"/>
    </row>
    <row r="499" spans="1:22" s="270" customFormat="1" ht="15" customHeight="1">
      <c r="A499" s="317"/>
      <c r="B499" s="334">
        <f t="shared" si="18"/>
        <v>489</v>
      </c>
      <c r="C499" s="289" t="s">
        <v>416</v>
      </c>
      <c r="D499" s="330" t="s">
        <v>270</v>
      </c>
      <c r="E499" s="289" t="s">
        <v>295</v>
      </c>
      <c r="F499" s="360" t="s">
        <v>755</v>
      </c>
      <c r="G499" s="500">
        <v>12</v>
      </c>
      <c r="H499" s="501" t="s">
        <v>212</v>
      </c>
      <c r="I499" s="502" t="s">
        <v>1252</v>
      </c>
      <c r="J499" s="503">
        <v>8.4199999999999997E-2</v>
      </c>
      <c r="K499" s="504">
        <v>45239</v>
      </c>
      <c r="L499" s="504">
        <v>45970</v>
      </c>
      <c r="M499" s="504">
        <v>45869</v>
      </c>
      <c r="N499" s="505" t="s">
        <v>196</v>
      </c>
      <c r="O499" s="506">
        <v>100000000</v>
      </c>
      <c r="P499" s="507" t="s">
        <v>196</v>
      </c>
      <c r="Q499" s="508">
        <v>100000000</v>
      </c>
      <c r="R499" s="508">
        <v>100000000</v>
      </c>
      <c r="S499" s="508">
        <v>0</v>
      </c>
      <c r="T499" s="509">
        <v>100000000</v>
      </c>
      <c r="U499" s="506">
        <v>2901465</v>
      </c>
      <c r="V499" s="510"/>
    </row>
    <row r="500" spans="1:22" s="270" customFormat="1" ht="15" customHeight="1">
      <c r="A500" s="317"/>
      <c r="B500" s="334">
        <f t="shared" si="18"/>
        <v>490</v>
      </c>
      <c r="C500" s="289" t="s">
        <v>416</v>
      </c>
      <c r="D500" s="330" t="s">
        <v>270</v>
      </c>
      <c r="E500" s="289" t="s">
        <v>295</v>
      </c>
      <c r="F500" s="360" t="s">
        <v>755</v>
      </c>
      <c r="G500" s="500">
        <v>13</v>
      </c>
      <c r="H500" s="501" t="s">
        <v>441</v>
      </c>
      <c r="I500" s="502" t="s">
        <v>1253</v>
      </c>
      <c r="J500" s="503"/>
      <c r="K500" s="504">
        <v>45867</v>
      </c>
      <c r="L500" s="504"/>
      <c r="M500" s="504"/>
      <c r="N500" s="505" t="s">
        <v>196</v>
      </c>
      <c r="O500" s="506">
        <v>6745610</v>
      </c>
      <c r="P500" s="507" t="s">
        <v>196</v>
      </c>
      <c r="Q500" s="508">
        <v>0</v>
      </c>
      <c r="R500" s="508">
        <v>0</v>
      </c>
      <c r="S500" s="508">
        <v>6745610</v>
      </c>
      <c r="T500" s="509">
        <v>6745610</v>
      </c>
      <c r="U500" s="506">
        <v>0</v>
      </c>
      <c r="V500" s="510" t="s">
        <v>439</v>
      </c>
    </row>
    <row r="501" spans="1:22" s="270" customFormat="1" ht="15" customHeight="1">
      <c r="A501" s="317"/>
      <c r="B501" s="334">
        <f t="shared" ref="B501:B517" si="19">ROW()-10</f>
        <v>491</v>
      </c>
      <c r="C501" s="289" t="s">
        <v>416</v>
      </c>
      <c r="D501" s="330" t="s">
        <v>270</v>
      </c>
      <c r="E501" s="289" t="s">
        <v>295</v>
      </c>
      <c r="F501" s="360" t="s">
        <v>755</v>
      </c>
      <c r="G501" s="500">
        <v>14</v>
      </c>
      <c r="H501" s="501" t="s">
        <v>441</v>
      </c>
      <c r="I501" s="502" t="s">
        <v>1254</v>
      </c>
      <c r="J501" s="503"/>
      <c r="K501" s="504">
        <v>45798</v>
      </c>
      <c r="L501" s="504"/>
      <c r="M501" s="504"/>
      <c r="N501" s="505" t="s">
        <v>196</v>
      </c>
      <c r="O501" s="506">
        <v>908950</v>
      </c>
      <c r="P501" s="507" t="s">
        <v>196</v>
      </c>
      <c r="Q501" s="508">
        <v>0</v>
      </c>
      <c r="R501" s="508">
        <v>0</v>
      </c>
      <c r="S501" s="508">
        <v>883165</v>
      </c>
      <c r="T501" s="509">
        <v>883165</v>
      </c>
      <c r="U501" s="506">
        <v>0</v>
      </c>
      <c r="V501" s="510" t="s">
        <v>437</v>
      </c>
    </row>
    <row r="502" spans="1:22" s="270" customFormat="1" ht="15" customHeight="1">
      <c r="A502" s="317"/>
      <c r="B502" s="334">
        <f t="shared" si="19"/>
        <v>492</v>
      </c>
      <c r="C502" s="289" t="s">
        <v>416</v>
      </c>
      <c r="D502" s="330" t="s">
        <v>270</v>
      </c>
      <c r="E502" s="289" t="s">
        <v>308</v>
      </c>
      <c r="F502" s="360" t="s">
        <v>756</v>
      </c>
      <c r="G502" s="500">
        <v>1</v>
      </c>
      <c r="H502" s="501" t="s">
        <v>212</v>
      </c>
      <c r="I502" s="502" t="s">
        <v>1255</v>
      </c>
      <c r="J502" s="503">
        <v>8.6099999999999996E-2</v>
      </c>
      <c r="K502" s="504">
        <v>42664</v>
      </c>
      <c r="L502" s="504">
        <v>45919</v>
      </c>
      <c r="M502" s="504">
        <v>45615</v>
      </c>
      <c r="N502" s="505" t="s">
        <v>196</v>
      </c>
      <c r="O502" s="506">
        <v>100000000</v>
      </c>
      <c r="P502" s="511" t="s">
        <v>196</v>
      </c>
      <c r="Q502" s="508">
        <v>66000000</v>
      </c>
      <c r="R502" s="508">
        <v>66000000</v>
      </c>
      <c r="S502" s="508">
        <v>0</v>
      </c>
      <c r="T502" s="509">
        <v>66000000</v>
      </c>
      <c r="U502" s="506">
        <v>3693723</v>
      </c>
      <c r="V502" s="510"/>
    </row>
    <row r="503" spans="1:22" s="270" customFormat="1" ht="15" customHeight="1">
      <c r="A503" s="317"/>
      <c r="B503" s="334">
        <f t="shared" si="19"/>
        <v>493</v>
      </c>
      <c r="C503" s="289" t="s">
        <v>416</v>
      </c>
      <c r="D503" s="330" t="s">
        <v>270</v>
      </c>
      <c r="E503" s="289" t="s">
        <v>308</v>
      </c>
      <c r="F503" s="360" t="s">
        <v>756</v>
      </c>
      <c r="G503" s="500">
        <v>2</v>
      </c>
      <c r="H503" s="501" t="s">
        <v>212</v>
      </c>
      <c r="I503" s="502" t="s">
        <v>1256</v>
      </c>
      <c r="J503" s="503">
        <v>9.1600000000000001E-2</v>
      </c>
      <c r="K503" s="504">
        <v>43007</v>
      </c>
      <c r="L503" s="504">
        <v>45919</v>
      </c>
      <c r="M503" s="504">
        <v>45869</v>
      </c>
      <c r="N503" s="505" t="s">
        <v>196</v>
      </c>
      <c r="O503" s="506">
        <v>200000000</v>
      </c>
      <c r="P503" s="505" t="s">
        <v>196</v>
      </c>
      <c r="Q503" s="508">
        <v>18000000</v>
      </c>
      <c r="R503" s="508">
        <v>18000000</v>
      </c>
      <c r="S503" s="508">
        <v>0</v>
      </c>
      <c r="T503" s="509">
        <v>18000000</v>
      </c>
      <c r="U503" s="506">
        <v>578827</v>
      </c>
      <c r="V503" s="510"/>
    </row>
    <row r="504" spans="1:22" s="270" customFormat="1" ht="15" customHeight="1">
      <c r="A504" s="317"/>
      <c r="B504" s="334">
        <f t="shared" si="19"/>
        <v>494</v>
      </c>
      <c r="C504" s="289" t="s">
        <v>416</v>
      </c>
      <c r="D504" s="330" t="s">
        <v>270</v>
      </c>
      <c r="E504" s="289" t="s">
        <v>308</v>
      </c>
      <c r="F504" s="360" t="s">
        <v>756</v>
      </c>
      <c r="G504" s="500">
        <v>3</v>
      </c>
      <c r="H504" s="501" t="s">
        <v>212</v>
      </c>
      <c r="I504" s="502" t="s">
        <v>1256</v>
      </c>
      <c r="J504" s="503">
        <v>9.1600000000000001E-2</v>
      </c>
      <c r="K504" s="504">
        <v>43007</v>
      </c>
      <c r="L504" s="504">
        <v>45919</v>
      </c>
      <c r="M504" s="504">
        <v>45606</v>
      </c>
      <c r="N504" s="505" t="s">
        <v>196</v>
      </c>
      <c r="O504" s="506">
        <v>200000000</v>
      </c>
      <c r="P504" s="505" t="s">
        <v>196</v>
      </c>
      <c r="Q504" s="508">
        <v>0</v>
      </c>
      <c r="R504" s="508">
        <v>0</v>
      </c>
      <c r="S504" s="508">
        <v>0</v>
      </c>
      <c r="T504" s="509">
        <v>0</v>
      </c>
      <c r="U504" s="506">
        <v>2500579</v>
      </c>
      <c r="V504" s="510"/>
    </row>
    <row r="505" spans="1:22" s="270" customFormat="1" ht="15" customHeight="1">
      <c r="A505" s="317"/>
      <c r="B505" s="334">
        <f t="shared" si="19"/>
        <v>495</v>
      </c>
      <c r="C505" s="289" t="s">
        <v>416</v>
      </c>
      <c r="D505" s="330" t="s">
        <v>270</v>
      </c>
      <c r="E505" s="289" t="s">
        <v>308</v>
      </c>
      <c r="F505" s="360" t="s">
        <v>756</v>
      </c>
      <c r="G505" s="500">
        <v>4</v>
      </c>
      <c r="H505" s="501" t="s">
        <v>212</v>
      </c>
      <c r="I505" s="502" t="s">
        <v>1257</v>
      </c>
      <c r="J505" s="503">
        <v>8.900000000000001E-2</v>
      </c>
      <c r="K505" s="504">
        <v>43234</v>
      </c>
      <c r="L505" s="504">
        <v>45791</v>
      </c>
      <c r="M505" s="504">
        <v>45609</v>
      </c>
      <c r="N505" s="505" t="s">
        <v>196</v>
      </c>
      <c r="O505" s="506">
        <v>170000000</v>
      </c>
      <c r="P505" s="505" t="s">
        <v>196</v>
      </c>
      <c r="Q505" s="508">
        <v>28000000</v>
      </c>
      <c r="R505" s="508">
        <v>28000000</v>
      </c>
      <c r="S505" s="508">
        <v>0</v>
      </c>
      <c r="T505" s="509">
        <v>28000000</v>
      </c>
      <c r="U505" s="506">
        <v>1660498</v>
      </c>
      <c r="V505" s="510"/>
    </row>
    <row r="506" spans="1:22" s="270" customFormat="1" ht="15" customHeight="1">
      <c r="A506" s="317"/>
      <c r="B506" s="334">
        <f t="shared" si="19"/>
        <v>496</v>
      </c>
      <c r="C506" s="289" t="s">
        <v>416</v>
      </c>
      <c r="D506" s="330" t="s">
        <v>270</v>
      </c>
      <c r="E506" s="289" t="s">
        <v>308</v>
      </c>
      <c r="F506" s="360" t="s">
        <v>756</v>
      </c>
      <c r="G506" s="500">
        <v>5</v>
      </c>
      <c r="H506" s="501" t="s">
        <v>212</v>
      </c>
      <c r="I506" s="502" t="s">
        <v>1258</v>
      </c>
      <c r="J506" s="503">
        <v>9.4299999999999995E-2</v>
      </c>
      <c r="K506" s="504">
        <v>44959</v>
      </c>
      <c r="L506" s="504">
        <v>45690</v>
      </c>
      <c r="M506" s="504">
        <v>45869</v>
      </c>
      <c r="N506" s="505" t="s">
        <v>196</v>
      </c>
      <c r="O506" s="506">
        <v>100000000</v>
      </c>
      <c r="P506" s="505" t="s">
        <v>196</v>
      </c>
      <c r="Q506" s="508">
        <v>62400000</v>
      </c>
      <c r="R506" s="508">
        <v>62400000</v>
      </c>
      <c r="S506" s="508">
        <v>0</v>
      </c>
      <c r="T506" s="509">
        <v>62400000</v>
      </c>
      <c r="U506" s="506">
        <v>2064373</v>
      </c>
      <c r="V506" s="510"/>
    </row>
    <row r="507" spans="1:22" s="270" customFormat="1" ht="15" customHeight="1">
      <c r="A507" s="317"/>
      <c r="B507" s="334">
        <f t="shared" si="19"/>
        <v>497</v>
      </c>
      <c r="C507" s="289" t="s">
        <v>416</v>
      </c>
      <c r="D507" s="330" t="s">
        <v>270</v>
      </c>
      <c r="E507" s="289" t="s">
        <v>308</v>
      </c>
      <c r="F507" s="360" t="s">
        <v>756</v>
      </c>
      <c r="G507" s="500">
        <v>6</v>
      </c>
      <c r="H507" s="501" t="s">
        <v>212</v>
      </c>
      <c r="I507" s="502" t="s">
        <v>1258</v>
      </c>
      <c r="J507" s="503">
        <v>9.4299999999999995E-2</v>
      </c>
      <c r="K507" s="504">
        <v>44959</v>
      </c>
      <c r="L507" s="504">
        <v>45690</v>
      </c>
      <c r="M507" s="504">
        <v>45597</v>
      </c>
      <c r="N507" s="505" t="s">
        <v>196</v>
      </c>
      <c r="O507" s="506">
        <v>100000000</v>
      </c>
      <c r="P507" s="505" t="s">
        <v>196</v>
      </c>
      <c r="Q507" s="508">
        <v>37600000</v>
      </c>
      <c r="R507" s="508">
        <v>37600000</v>
      </c>
      <c r="S507" s="508">
        <v>0</v>
      </c>
      <c r="T507" s="509">
        <v>37600000</v>
      </c>
      <c r="U507" s="506">
        <v>4568710</v>
      </c>
      <c r="V507" s="510"/>
    </row>
    <row r="508" spans="1:22" s="270" customFormat="1" ht="15" customHeight="1">
      <c r="A508" s="317"/>
      <c r="B508" s="334">
        <f t="shared" si="19"/>
        <v>498</v>
      </c>
      <c r="C508" s="289" t="s">
        <v>416</v>
      </c>
      <c r="D508" s="330" t="s">
        <v>270</v>
      </c>
      <c r="E508" s="289" t="s">
        <v>308</v>
      </c>
      <c r="F508" s="360" t="s">
        <v>756</v>
      </c>
      <c r="G508" s="500">
        <v>7</v>
      </c>
      <c r="H508" s="501" t="s">
        <v>212</v>
      </c>
      <c r="I508" s="502" t="s">
        <v>1259</v>
      </c>
      <c r="J508" s="503">
        <v>9.2799999999999994E-2</v>
      </c>
      <c r="K508" s="504">
        <v>44963</v>
      </c>
      <c r="L508" s="504">
        <v>45694</v>
      </c>
      <c r="M508" s="504">
        <v>45601</v>
      </c>
      <c r="N508" s="505" t="s">
        <v>196</v>
      </c>
      <c r="O508" s="506">
        <v>120000000</v>
      </c>
      <c r="P508" s="505" t="s">
        <v>196</v>
      </c>
      <c r="Q508" s="508">
        <v>120000000</v>
      </c>
      <c r="R508" s="508">
        <v>120000000</v>
      </c>
      <c r="S508" s="508">
        <v>0</v>
      </c>
      <c r="T508" s="509">
        <v>120000000</v>
      </c>
      <c r="U508" s="506">
        <v>7707016</v>
      </c>
      <c r="V508" s="510"/>
    </row>
    <row r="509" spans="1:22" s="270" customFormat="1" ht="15" customHeight="1">
      <c r="A509" s="317"/>
      <c r="B509" s="334">
        <f t="shared" si="19"/>
        <v>499</v>
      </c>
      <c r="C509" s="289" t="s">
        <v>416</v>
      </c>
      <c r="D509" s="330" t="s">
        <v>270</v>
      </c>
      <c r="E509" s="289" t="s">
        <v>308</v>
      </c>
      <c r="F509" s="360" t="s">
        <v>756</v>
      </c>
      <c r="G509" s="500">
        <v>8</v>
      </c>
      <c r="H509" s="501" t="s">
        <v>212</v>
      </c>
      <c r="I509" s="502" t="s">
        <v>1260</v>
      </c>
      <c r="J509" s="503">
        <v>0.08</v>
      </c>
      <c r="K509" s="504">
        <v>45281</v>
      </c>
      <c r="L509" s="504">
        <v>48934</v>
      </c>
      <c r="M509" s="504">
        <v>45869</v>
      </c>
      <c r="N509" s="505" t="s">
        <v>196</v>
      </c>
      <c r="O509" s="506">
        <v>100000000</v>
      </c>
      <c r="P509" s="505" t="s">
        <v>196</v>
      </c>
      <c r="Q509" s="508">
        <v>10000000</v>
      </c>
      <c r="R509" s="508">
        <v>10000000</v>
      </c>
      <c r="S509" s="508">
        <v>0</v>
      </c>
      <c r="T509" s="509">
        <v>10000000</v>
      </c>
      <c r="U509" s="506">
        <v>280547</v>
      </c>
      <c r="V509" s="510"/>
    </row>
    <row r="510" spans="1:22" s="270" customFormat="1" ht="15" customHeight="1">
      <c r="A510" s="317"/>
      <c r="B510" s="334">
        <f t="shared" si="19"/>
        <v>500</v>
      </c>
      <c r="C510" s="289" t="s">
        <v>416</v>
      </c>
      <c r="D510" s="330" t="s">
        <v>270</v>
      </c>
      <c r="E510" s="289" t="s">
        <v>308</v>
      </c>
      <c r="F510" s="360" t="s">
        <v>756</v>
      </c>
      <c r="G510" s="500">
        <v>9</v>
      </c>
      <c r="H510" s="501" t="s">
        <v>212</v>
      </c>
      <c r="I510" s="502" t="s">
        <v>1260</v>
      </c>
      <c r="J510" s="503">
        <v>0.08</v>
      </c>
      <c r="K510" s="504">
        <v>45281</v>
      </c>
      <c r="L510" s="504">
        <v>48934</v>
      </c>
      <c r="M510" s="504">
        <v>45585</v>
      </c>
      <c r="N510" s="505" t="s">
        <v>196</v>
      </c>
      <c r="O510" s="506">
        <v>100000000</v>
      </c>
      <c r="P510" s="505" t="s">
        <v>196</v>
      </c>
      <c r="Q510" s="508">
        <v>90000000</v>
      </c>
      <c r="R510" s="508">
        <v>90000000</v>
      </c>
      <c r="S510" s="508">
        <v>0</v>
      </c>
      <c r="T510" s="509">
        <v>90000000</v>
      </c>
      <c r="U510" s="506">
        <v>5542125</v>
      </c>
      <c r="V510" s="510"/>
    </row>
    <row r="511" spans="1:22" s="270" customFormat="1" ht="15" customHeight="1">
      <c r="A511" s="317"/>
      <c r="B511" s="334">
        <f t="shared" si="19"/>
        <v>501</v>
      </c>
      <c r="C511" s="289" t="s">
        <v>416</v>
      </c>
      <c r="D511" s="330" t="s">
        <v>270</v>
      </c>
      <c r="E511" s="289" t="s">
        <v>308</v>
      </c>
      <c r="F511" s="360" t="s">
        <v>756</v>
      </c>
      <c r="G511" s="500">
        <v>10</v>
      </c>
      <c r="H511" s="501" t="s">
        <v>212</v>
      </c>
      <c r="I511" s="502" t="s">
        <v>1261</v>
      </c>
      <c r="J511" s="503">
        <v>6.6400000000000001E-2</v>
      </c>
      <c r="K511" s="504">
        <v>45327</v>
      </c>
      <c r="L511" s="504">
        <v>46058</v>
      </c>
      <c r="M511" s="504">
        <v>45869</v>
      </c>
      <c r="N511" s="505" t="s">
        <v>196</v>
      </c>
      <c r="O511" s="506">
        <v>130000000</v>
      </c>
      <c r="P511" s="505" t="s">
        <v>196</v>
      </c>
      <c r="Q511" s="508">
        <v>62479000</v>
      </c>
      <c r="R511" s="508">
        <v>62479000</v>
      </c>
      <c r="S511" s="508">
        <v>0</v>
      </c>
      <c r="T511" s="509">
        <v>62479000</v>
      </c>
      <c r="U511" s="506">
        <v>1454853</v>
      </c>
      <c r="V511" s="510"/>
    </row>
    <row r="512" spans="1:22" s="270" customFormat="1" ht="15" customHeight="1">
      <c r="A512" s="317"/>
      <c r="B512" s="334">
        <f t="shared" si="19"/>
        <v>502</v>
      </c>
      <c r="C512" s="289" t="s">
        <v>416</v>
      </c>
      <c r="D512" s="330" t="s">
        <v>270</v>
      </c>
      <c r="E512" s="289" t="s">
        <v>308</v>
      </c>
      <c r="F512" s="360" t="s">
        <v>756</v>
      </c>
      <c r="G512" s="500">
        <v>11</v>
      </c>
      <c r="H512" s="501" t="s">
        <v>212</v>
      </c>
      <c r="I512" s="502" t="s">
        <v>1261</v>
      </c>
      <c r="J512" s="503">
        <v>6.6400000000000001E-2</v>
      </c>
      <c r="K512" s="504">
        <v>45327</v>
      </c>
      <c r="L512" s="504">
        <v>46058</v>
      </c>
      <c r="M512" s="504">
        <v>45600</v>
      </c>
      <c r="N512" s="505" t="s">
        <v>196</v>
      </c>
      <c r="O512" s="506">
        <v>130000000</v>
      </c>
      <c r="P512" s="505" t="s">
        <v>196</v>
      </c>
      <c r="Q512" s="508">
        <v>67521000</v>
      </c>
      <c r="R512" s="508">
        <v>67521000</v>
      </c>
      <c r="S512" s="508">
        <v>0</v>
      </c>
      <c r="T512" s="509">
        <v>67521000</v>
      </c>
      <c r="U512" s="506">
        <v>4881273</v>
      </c>
      <c r="V512" s="510"/>
    </row>
    <row r="513" spans="1:22" s="270" customFormat="1" ht="15" customHeight="1">
      <c r="A513" s="317"/>
      <c r="B513" s="334">
        <f t="shared" si="19"/>
        <v>503</v>
      </c>
      <c r="C513" s="289" t="s">
        <v>416</v>
      </c>
      <c r="D513" s="330" t="s">
        <v>270</v>
      </c>
      <c r="E513" s="289" t="s">
        <v>308</v>
      </c>
      <c r="F513" s="360" t="s">
        <v>756</v>
      </c>
      <c r="G513" s="500">
        <v>12</v>
      </c>
      <c r="H513" s="501" t="s">
        <v>212</v>
      </c>
      <c r="I513" s="502" t="s">
        <v>1262</v>
      </c>
      <c r="J513" s="503">
        <v>0.11</v>
      </c>
      <c r="K513" s="504">
        <v>45509</v>
      </c>
      <c r="L513" s="504">
        <v>45874</v>
      </c>
      <c r="M513" s="504">
        <v>45869</v>
      </c>
      <c r="N513" s="505" t="s">
        <v>196</v>
      </c>
      <c r="O513" s="506">
        <v>65000000</v>
      </c>
      <c r="P513" s="505" t="s">
        <v>196</v>
      </c>
      <c r="Q513" s="508">
        <v>65000000</v>
      </c>
      <c r="R513" s="508">
        <v>65000000</v>
      </c>
      <c r="S513" s="508">
        <v>0</v>
      </c>
      <c r="T513" s="509">
        <v>65000000</v>
      </c>
      <c r="U513" s="506">
        <v>5129061</v>
      </c>
      <c r="V513" s="510"/>
    </row>
    <row r="514" spans="1:22" s="270" customFormat="1" ht="15" customHeight="1">
      <c r="A514" s="317"/>
      <c r="B514" s="334">
        <f t="shared" si="19"/>
        <v>504</v>
      </c>
      <c r="C514" s="289" t="s">
        <v>416</v>
      </c>
      <c r="D514" s="330" t="s">
        <v>270</v>
      </c>
      <c r="E514" s="289" t="s">
        <v>308</v>
      </c>
      <c r="F514" s="360" t="s">
        <v>756</v>
      </c>
      <c r="G514" s="500">
        <v>13</v>
      </c>
      <c r="H514" s="501" t="s">
        <v>429</v>
      </c>
      <c r="I514" s="502" t="s">
        <v>1263</v>
      </c>
      <c r="J514" s="503">
        <v>5.2999999999999999E-2</v>
      </c>
      <c r="K514" s="504">
        <v>43136</v>
      </c>
      <c r="L514" s="504">
        <v>46788</v>
      </c>
      <c r="M514" s="504">
        <v>45615</v>
      </c>
      <c r="N514" s="505" t="s">
        <v>196</v>
      </c>
      <c r="O514" s="506">
        <v>780000000</v>
      </c>
      <c r="P514" s="505" t="s">
        <v>196</v>
      </c>
      <c r="Q514" s="508">
        <v>455000000</v>
      </c>
      <c r="R514" s="508">
        <v>455000000</v>
      </c>
      <c r="S514" s="508">
        <v>0</v>
      </c>
      <c r="T514" s="509">
        <v>455000000</v>
      </c>
      <c r="U514" s="506">
        <v>13472467</v>
      </c>
      <c r="V514" s="510"/>
    </row>
    <row r="515" spans="1:22" s="270" customFormat="1" ht="15" customHeight="1">
      <c r="A515" s="317"/>
      <c r="B515" s="334">
        <f t="shared" si="19"/>
        <v>505</v>
      </c>
      <c r="C515" s="289" t="s">
        <v>416</v>
      </c>
      <c r="D515" s="330" t="s">
        <v>270</v>
      </c>
      <c r="E515" s="289" t="s">
        <v>308</v>
      </c>
      <c r="F515" s="360" t="s">
        <v>756</v>
      </c>
      <c r="G515" s="500">
        <v>14</v>
      </c>
      <c r="H515" s="501" t="s">
        <v>429</v>
      </c>
      <c r="I515" s="502" t="s">
        <v>1264</v>
      </c>
      <c r="J515" s="503">
        <v>5.2999999999999999E-2</v>
      </c>
      <c r="K515" s="504">
        <v>43166</v>
      </c>
      <c r="L515" s="504">
        <v>46811</v>
      </c>
      <c r="M515" s="504">
        <v>45869</v>
      </c>
      <c r="N515" s="505" t="s">
        <v>196</v>
      </c>
      <c r="O515" s="506">
        <v>230000000</v>
      </c>
      <c r="P515" s="505" t="s">
        <v>196</v>
      </c>
      <c r="Q515" s="508">
        <v>11500000</v>
      </c>
      <c r="R515" s="508">
        <v>11500000</v>
      </c>
      <c r="S515" s="508">
        <v>0</v>
      </c>
      <c r="T515" s="509">
        <v>11500000</v>
      </c>
      <c r="U515" s="506">
        <v>213742</v>
      </c>
      <c r="V515" s="510"/>
    </row>
    <row r="516" spans="1:22" s="270" customFormat="1" ht="15" customHeight="1">
      <c r="A516" s="317"/>
      <c r="B516" s="334">
        <f t="shared" si="19"/>
        <v>506</v>
      </c>
      <c r="C516" s="289" t="s">
        <v>416</v>
      </c>
      <c r="D516" s="330" t="s">
        <v>270</v>
      </c>
      <c r="E516" s="289" t="s">
        <v>308</v>
      </c>
      <c r="F516" s="360" t="s">
        <v>756</v>
      </c>
      <c r="G516" s="500">
        <v>15</v>
      </c>
      <c r="H516" s="501" t="s">
        <v>429</v>
      </c>
      <c r="I516" s="502" t="s">
        <v>1264</v>
      </c>
      <c r="J516" s="503">
        <v>5.2999999999999999E-2</v>
      </c>
      <c r="K516" s="504">
        <v>43166</v>
      </c>
      <c r="L516" s="504">
        <v>46811</v>
      </c>
      <c r="M516" s="504">
        <v>45532</v>
      </c>
      <c r="N516" s="505" t="s">
        <v>196</v>
      </c>
      <c r="O516" s="506">
        <v>230000000</v>
      </c>
      <c r="P516" s="505" t="s">
        <v>196</v>
      </c>
      <c r="Q516" s="508">
        <v>19162000</v>
      </c>
      <c r="R516" s="508">
        <v>19162000</v>
      </c>
      <c r="S516" s="508">
        <v>0</v>
      </c>
      <c r="T516" s="509">
        <v>19162000</v>
      </c>
      <c r="U516" s="506">
        <v>2103578</v>
      </c>
      <c r="V516" s="510"/>
    </row>
    <row r="517" spans="1:22" s="270" customFormat="1" ht="15" customHeight="1">
      <c r="A517" s="317"/>
      <c r="B517" s="334">
        <f t="shared" si="19"/>
        <v>507</v>
      </c>
      <c r="C517" s="289" t="s">
        <v>416</v>
      </c>
      <c r="D517" s="330" t="s">
        <v>270</v>
      </c>
      <c r="E517" s="289" t="s">
        <v>308</v>
      </c>
      <c r="F517" s="360" t="s">
        <v>756</v>
      </c>
      <c r="G517" s="500">
        <v>16</v>
      </c>
      <c r="H517" s="501" t="s">
        <v>441</v>
      </c>
      <c r="I517" s="502" t="s">
        <v>1265</v>
      </c>
      <c r="J517" s="503"/>
      <c r="K517" s="504">
        <v>45625</v>
      </c>
      <c r="L517" s="504"/>
      <c r="M517" s="504"/>
      <c r="N517" s="505" t="s">
        <v>196</v>
      </c>
      <c r="O517" s="506">
        <v>664500</v>
      </c>
      <c r="P517" s="505" t="s">
        <v>196</v>
      </c>
      <c r="Q517" s="508">
        <v>0</v>
      </c>
      <c r="R517" s="508">
        <v>0</v>
      </c>
      <c r="S517" s="508">
        <v>664500</v>
      </c>
      <c r="T517" s="509">
        <v>664500</v>
      </c>
      <c r="U517" s="506">
        <v>0</v>
      </c>
      <c r="V517" s="510" t="s">
        <v>438</v>
      </c>
    </row>
    <row r="518" spans="1:22" s="270" customFormat="1" ht="15" customHeight="1">
      <c r="A518" s="317"/>
      <c r="B518" s="334">
        <f t="shared" ref="B518:B538" si="20">ROW()-10</f>
        <v>508</v>
      </c>
      <c r="C518" s="289" t="s">
        <v>416</v>
      </c>
      <c r="D518" s="330" t="s">
        <v>270</v>
      </c>
      <c r="E518" s="289" t="s">
        <v>300</v>
      </c>
      <c r="F518" s="360" t="s">
        <v>757</v>
      </c>
      <c r="G518" s="500">
        <v>1</v>
      </c>
      <c r="H518" s="501" t="s">
        <v>212</v>
      </c>
      <c r="I518" s="502" t="s">
        <v>1266</v>
      </c>
      <c r="J518" s="503">
        <v>0.11</v>
      </c>
      <c r="K518" s="504">
        <v>43131</v>
      </c>
      <c r="L518" s="504">
        <v>46045</v>
      </c>
      <c r="M518" s="504">
        <v>45721</v>
      </c>
      <c r="N518" s="505" t="s">
        <v>196</v>
      </c>
      <c r="O518" s="506">
        <v>30000000</v>
      </c>
      <c r="P518" s="507" t="s">
        <v>196</v>
      </c>
      <c r="Q518" s="508">
        <v>30000000</v>
      </c>
      <c r="R518" s="508">
        <v>30000000</v>
      </c>
      <c r="S518" s="508">
        <v>0</v>
      </c>
      <c r="T518" s="509">
        <v>30000000</v>
      </c>
      <c r="U518" s="506">
        <v>1296985</v>
      </c>
      <c r="V518" s="510"/>
    </row>
    <row r="519" spans="1:22" s="270" customFormat="1" ht="15" customHeight="1">
      <c r="A519" s="317"/>
      <c r="B519" s="334">
        <f t="shared" si="20"/>
        <v>509</v>
      </c>
      <c r="C519" s="289" t="s">
        <v>416</v>
      </c>
      <c r="D519" s="330" t="s">
        <v>270</v>
      </c>
      <c r="E519" s="289" t="s">
        <v>300</v>
      </c>
      <c r="F519" s="360" t="s">
        <v>757</v>
      </c>
      <c r="G519" s="500">
        <v>2</v>
      </c>
      <c r="H519" s="501" t="s">
        <v>212</v>
      </c>
      <c r="I519" s="502" t="s">
        <v>1267</v>
      </c>
      <c r="J519" s="503">
        <v>7.9399999999999998E-2</v>
      </c>
      <c r="K519" s="504">
        <v>44540</v>
      </c>
      <c r="L519" s="504">
        <v>45989</v>
      </c>
      <c r="M519" s="504">
        <v>45721</v>
      </c>
      <c r="N519" s="505" t="s">
        <v>196</v>
      </c>
      <c r="O519" s="506">
        <v>215000000</v>
      </c>
      <c r="P519" s="507" t="s">
        <v>196</v>
      </c>
      <c r="Q519" s="508">
        <v>215000000</v>
      </c>
      <c r="R519" s="508">
        <v>215000000</v>
      </c>
      <c r="S519" s="508">
        <v>0</v>
      </c>
      <c r="T519" s="509">
        <v>215000000</v>
      </c>
      <c r="U519" s="506">
        <v>7405496</v>
      </c>
      <c r="V519" s="510"/>
    </row>
    <row r="520" spans="1:22" s="270" customFormat="1" ht="15" customHeight="1">
      <c r="A520" s="317"/>
      <c r="B520" s="334">
        <f t="shared" si="20"/>
        <v>510</v>
      </c>
      <c r="C520" s="289" t="s">
        <v>416</v>
      </c>
      <c r="D520" s="330" t="s">
        <v>270</v>
      </c>
      <c r="E520" s="289" t="s">
        <v>300</v>
      </c>
      <c r="F520" s="360" t="s">
        <v>757</v>
      </c>
      <c r="G520" s="500">
        <v>3</v>
      </c>
      <c r="H520" s="501" t="s">
        <v>212</v>
      </c>
      <c r="I520" s="502" t="s">
        <v>1268</v>
      </c>
      <c r="J520" s="503">
        <v>7.9399999999999998E-2</v>
      </c>
      <c r="K520" s="504">
        <v>43578</v>
      </c>
      <c r="L520" s="504">
        <v>45758</v>
      </c>
      <c r="M520" s="504">
        <v>45707</v>
      </c>
      <c r="N520" s="505" t="s">
        <v>196</v>
      </c>
      <c r="O520" s="506">
        <v>300000000</v>
      </c>
      <c r="P520" s="507" t="s">
        <v>196</v>
      </c>
      <c r="Q520" s="508">
        <v>300000000</v>
      </c>
      <c r="R520" s="508">
        <v>300000000</v>
      </c>
      <c r="S520" s="508">
        <v>0</v>
      </c>
      <c r="T520" s="509">
        <v>300000000</v>
      </c>
      <c r="U520" s="506">
        <v>9652319</v>
      </c>
      <c r="V520" s="510"/>
    </row>
    <row r="521" spans="1:22" s="270" customFormat="1" ht="15" customHeight="1">
      <c r="A521" s="317"/>
      <c r="B521" s="334">
        <f t="shared" si="20"/>
        <v>511</v>
      </c>
      <c r="C521" s="289" t="s">
        <v>416</v>
      </c>
      <c r="D521" s="330" t="s">
        <v>270</v>
      </c>
      <c r="E521" s="289" t="s">
        <v>300</v>
      </c>
      <c r="F521" s="360" t="s">
        <v>757</v>
      </c>
      <c r="G521" s="500">
        <v>4</v>
      </c>
      <c r="H521" s="501" t="s">
        <v>422</v>
      </c>
      <c r="I521" s="502" t="s">
        <v>1269</v>
      </c>
      <c r="J521" s="503">
        <v>8.539999999999999E-2</v>
      </c>
      <c r="K521" s="504">
        <v>45412</v>
      </c>
      <c r="L521" s="504">
        <v>46507</v>
      </c>
      <c r="M521" s="504">
        <v>45715</v>
      </c>
      <c r="N521" s="505" t="s">
        <v>196</v>
      </c>
      <c r="O521" s="506">
        <v>145000000</v>
      </c>
      <c r="P521" s="507" t="s">
        <v>196</v>
      </c>
      <c r="Q521" s="508">
        <v>145000000</v>
      </c>
      <c r="R521" s="508">
        <v>145000000</v>
      </c>
      <c r="S521" s="508">
        <v>0</v>
      </c>
      <c r="T521" s="509">
        <v>145000000</v>
      </c>
      <c r="U521" s="506">
        <v>4809311</v>
      </c>
      <c r="V521" s="510"/>
    </row>
    <row r="522" spans="1:22" s="270" customFormat="1" ht="15" customHeight="1">
      <c r="A522" s="317"/>
      <c r="B522" s="334">
        <f t="shared" si="20"/>
        <v>512</v>
      </c>
      <c r="C522" s="289" t="s">
        <v>416</v>
      </c>
      <c r="D522" s="330" t="s">
        <v>270</v>
      </c>
      <c r="E522" s="289" t="s">
        <v>300</v>
      </c>
      <c r="F522" s="360" t="s">
        <v>757</v>
      </c>
      <c r="G522" s="500">
        <v>5</v>
      </c>
      <c r="H522" s="501" t="s">
        <v>422</v>
      </c>
      <c r="I522" s="502" t="s">
        <v>1270</v>
      </c>
      <c r="J522" s="503">
        <v>8.5199999999999998E-2</v>
      </c>
      <c r="K522" s="504">
        <v>45412</v>
      </c>
      <c r="L522" s="504">
        <v>46507</v>
      </c>
      <c r="M522" s="504">
        <v>45715</v>
      </c>
      <c r="N522" s="505" t="s">
        <v>196</v>
      </c>
      <c r="O522" s="506">
        <v>184000000</v>
      </c>
      <c r="P522" s="507" t="s">
        <v>196</v>
      </c>
      <c r="Q522" s="508">
        <v>184000000</v>
      </c>
      <c r="R522" s="508">
        <v>184000000</v>
      </c>
      <c r="S522" s="508">
        <v>0</v>
      </c>
      <c r="T522" s="509">
        <v>184000000</v>
      </c>
      <c r="U522" s="506">
        <v>6089738</v>
      </c>
      <c r="V522" s="510"/>
    </row>
    <row r="523" spans="1:22" s="270" customFormat="1" ht="15" customHeight="1">
      <c r="A523" s="317"/>
      <c r="B523" s="334">
        <f t="shared" si="20"/>
        <v>513</v>
      </c>
      <c r="C523" s="289" t="s">
        <v>416</v>
      </c>
      <c r="D523" s="330" t="s">
        <v>270</v>
      </c>
      <c r="E523" s="289" t="s">
        <v>300</v>
      </c>
      <c r="F523" s="360" t="s">
        <v>757</v>
      </c>
      <c r="G523" s="500">
        <v>6</v>
      </c>
      <c r="H523" s="501" t="s">
        <v>441</v>
      </c>
      <c r="I523" s="502" t="s">
        <v>1271</v>
      </c>
      <c r="J523" s="503"/>
      <c r="K523" s="504">
        <v>45786</v>
      </c>
      <c r="L523" s="504"/>
      <c r="M523" s="504"/>
      <c r="N523" s="505" t="s">
        <v>196</v>
      </c>
      <c r="O523" s="506">
        <v>4684260</v>
      </c>
      <c r="P523" s="507" t="s">
        <v>196</v>
      </c>
      <c r="Q523" s="508">
        <v>0</v>
      </c>
      <c r="R523" s="508">
        <v>0</v>
      </c>
      <c r="S523" s="508">
        <v>4684260</v>
      </c>
      <c r="T523" s="509">
        <v>4684260</v>
      </c>
      <c r="U523" s="506">
        <v>0</v>
      </c>
      <c r="V523" s="510" t="s">
        <v>439</v>
      </c>
    </row>
    <row r="524" spans="1:22" s="270" customFormat="1" ht="15" customHeight="1">
      <c r="A524" s="317"/>
      <c r="B524" s="334">
        <f t="shared" si="20"/>
        <v>514</v>
      </c>
      <c r="C524" s="289" t="s">
        <v>416</v>
      </c>
      <c r="D524" s="330" t="s">
        <v>270</v>
      </c>
      <c r="E524" s="289" t="s">
        <v>300</v>
      </c>
      <c r="F524" s="360" t="s">
        <v>757</v>
      </c>
      <c r="G524" s="500">
        <v>7</v>
      </c>
      <c r="H524" s="501" t="s">
        <v>441</v>
      </c>
      <c r="I524" s="502" t="s">
        <v>1272</v>
      </c>
      <c r="J524" s="503"/>
      <c r="K524" s="504">
        <v>45791</v>
      </c>
      <c r="L524" s="504"/>
      <c r="M524" s="504"/>
      <c r="N524" s="505" t="s">
        <v>196</v>
      </c>
      <c r="O524" s="506">
        <v>332810</v>
      </c>
      <c r="P524" s="511" t="s">
        <v>196</v>
      </c>
      <c r="Q524" s="508">
        <v>0</v>
      </c>
      <c r="R524" s="508">
        <v>0</v>
      </c>
      <c r="S524" s="508">
        <v>332810</v>
      </c>
      <c r="T524" s="509">
        <v>332810</v>
      </c>
      <c r="U524" s="506">
        <v>0</v>
      </c>
      <c r="V524" s="510" t="s">
        <v>437</v>
      </c>
    </row>
    <row r="525" spans="1:22" s="270" customFormat="1" ht="15" customHeight="1">
      <c r="A525" s="317"/>
      <c r="B525" s="334">
        <f t="shared" si="20"/>
        <v>515</v>
      </c>
      <c r="C525" s="289" t="s">
        <v>416</v>
      </c>
      <c r="D525" s="330" t="s">
        <v>270</v>
      </c>
      <c r="E525" s="289" t="s">
        <v>302</v>
      </c>
      <c r="F525" s="360" t="s">
        <v>758</v>
      </c>
      <c r="G525" s="500">
        <v>1</v>
      </c>
      <c r="H525" s="501" t="s">
        <v>422</v>
      </c>
      <c r="I525" s="502" t="s">
        <v>1273</v>
      </c>
      <c r="J525" s="503">
        <v>7.6399999999999996E-2</v>
      </c>
      <c r="K525" s="504">
        <v>45357</v>
      </c>
      <c r="L525" s="504">
        <v>46452</v>
      </c>
      <c r="M525" s="504">
        <v>45721</v>
      </c>
      <c r="N525" s="505" t="s">
        <v>196</v>
      </c>
      <c r="O525" s="506">
        <v>800000000</v>
      </c>
      <c r="P525" s="507" t="s">
        <v>196</v>
      </c>
      <c r="Q525" s="508">
        <v>800000000</v>
      </c>
      <c r="R525" s="508">
        <v>800000000</v>
      </c>
      <c r="S525" s="508">
        <v>0</v>
      </c>
      <c r="T525" s="509">
        <v>800000000</v>
      </c>
      <c r="U525" s="506">
        <v>21042852</v>
      </c>
      <c r="V525" s="510"/>
    </row>
    <row r="526" spans="1:22" s="270" customFormat="1" ht="15" customHeight="1">
      <c r="A526" s="317"/>
      <c r="B526" s="334">
        <f t="shared" si="20"/>
        <v>516</v>
      </c>
      <c r="C526" s="289" t="s">
        <v>416</v>
      </c>
      <c r="D526" s="330" t="s">
        <v>270</v>
      </c>
      <c r="E526" s="289" t="s">
        <v>302</v>
      </c>
      <c r="F526" s="360" t="s">
        <v>758</v>
      </c>
      <c r="G526" s="500">
        <v>2</v>
      </c>
      <c r="H526" s="501" t="s">
        <v>441</v>
      </c>
      <c r="I526" s="502" t="s">
        <v>1274</v>
      </c>
      <c r="J526" s="503"/>
      <c r="K526" s="504">
        <v>45847</v>
      </c>
      <c r="L526" s="504"/>
      <c r="M526" s="504"/>
      <c r="N526" s="505" t="s">
        <v>196</v>
      </c>
      <c r="O526" s="506">
        <v>7118720</v>
      </c>
      <c r="P526" s="507" t="s">
        <v>196</v>
      </c>
      <c r="Q526" s="508">
        <v>0</v>
      </c>
      <c r="R526" s="508">
        <v>0</v>
      </c>
      <c r="S526" s="508">
        <v>7118720</v>
      </c>
      <c r="T526" s="509">
        <v>7118720</v>
      </c>
      <c r="U526" s="506">
        <v>0</v>
      </c>
      <c r="V526" s="510" t="s">
        <v>439</v>
      </c>
    </row>
    <row r="527" spans="1:22" s="270" customFormat="1" ht="15" customHeight="1">
      <c r="A527" s="317"/>
      <c r="B527" s="334">
        <f t="shared" si="20"/>
        <v>517</v>
      </c>
      <c r="C527" s="289" t="s">
        <v>416</v>
      </c>
      <c r="D527" s="330" t="s">
        <v>270</v>
      </c>
      <c r="E527" s="289" t="s">
        <v>302</v>
      </c>
      <c r="F527" s="360" t="s">
        <v>758</v>
      </c>
      <c r="G527" s="500">
        <v>3</v>
      </c>
      <c r="H527" s="501" t="s">
        <v>441</v>
      </c>
      <c r="I527" s="502" t="s">
        <v>1275</v>
      </c>
      <c r="J527" s="503"/>
      <c r="K527" s="504">
        <v>45845</v>
      </c>
      <c r="L527" s="504"/>
      <c r="M527" s="504"/>
      <c r="N527" s="505" t="s">
        <v>196</v>
      </c>
      <c r="O527" s="506">
        <v>917390</v>
      </c>
      <c r="P527" s="507" t="s">
        <v>196</v>
      </c>
      <c r="Q527" s="508">
        <v>0</v>
      </c>
      <c r="R527" s="508">
        <v>0</v>
      </c>
      <c r="S527" s="508">
        <v>917390</v>
      </c>
      <c r="T527" s="509">
        <v>917390</v>
      </c>
      <c r="U527" s="506">
        <v>0</v>
      </c>
      <c r="V527" s="510" t="s">
        <v>437</v>
      </c>
    </row>
    <row r="528" spans="1:22" s="270" customFormat="1" ht="15" customHeight="1">
      <c r="A528" s="317"/>
      <c r="B528" s="334">
        <f t="shared" si="20"/>
        <v>518</v>
      </c>
      <c r="C528" s="289" t="s">
        <v>416</v>
      </c>
      <c r="D528" s="330" t="s">
        <v>270</v>
      </c>
      <c r="E528" s="289" t="s">
        <v>302</v>
      </c>
      <c r="F528" s="360" t="s">
        <v>758</v>
      </c>
      <c r="G528" s="500">
        <v>4</v>
      </c>
      <c r="H528" s="501" t="s">
        <v>441</v>
      </c>
      <c r="I528" s="502" t="s">
        <v>1276</v>
      </c>
      <c r="J528" s="503"/>
      <c r="K528" s="504">
        <v>45845</v>
      </c>
      <c r="L528" s="504"/>
      <c r="M528" s="504"/>
      <c r="N528" s="505" t="s">
        <v>196</v>
      </c>
      <c r="O528" s="506">
        <v>816600</v>
      </c>
      <c r="P528" s="507" t="s">
        <v>196</v>
      </c>
      <c r="Q528" s="508">
        <v>0</v>
      </c>
      <c r="R528" s="508">
        <v>0</v>
      </c>
      <c r="S528" s="508">
        <v>816600</v>
      </c>
      <c r="T528" s="509">
        <v>816600</v>
      </c>
      <c r="U528" s="506">
        <v>0</v>
      </c>
      <c r="V528" s="510" t="s">
        <v>437</v>
      </c>
    </row>
    <row r="529" spans="1:22" s="270" customFormat="1" ht="15" customHeight="1">
      <c r="A529" s="317"/>
      <c r="B529" s="334">
        <f t="shared" si="20"/>
        <v>519</v>
      </c>
      <c r="C529" s="289" t="s">
        <v>416</v>
      </c>
      <c r="D529" s="330" t="s">
        <v>270</v>
      </c>
      <c r="E529" s="289" t="s">
        <v>362</v>
      </c>
      <c r="F529" s="360" t="s">
        <v>637</v>
      </c>
      <c r="G529" s="500">
        <v>1</v>
      </c>
      <c r="H529" s="501" t="s">
        <v>423</v>
      </c>
      <c r="I529" s="502" t="s">
        <v>1277</v>
      </c>
      <c r="J529" s="503">
        <v>8.4000000000000005E-2</v>
      </c>
      <c r="K529" s="504">
        <v>42251</v>
      </c>
      <c r="L529" s="504">
        <v>45720</v>
      </c>
      <c r="M529" s="504">
        <v>45869</v>
      </c>
      <c r="N529" s="505" t="s">
        <v>196</v>
      </c>
      <c r="O529" s="506">
        <v>300000000</v>
      </c>
      <c r="P529" s="507" t="s">
        <v>196</v>
      </c>
      <c r="Q529" s="508">
        <v>289974534</v>
      </c>
      <c r="R529" s="508">
        <v>289974534</v>
      </c>
      <c r="S529" s="508">
        <v>0</v>
      </c>
      <c r="T529" s="509">
        <v>289974534</v>
      </c>
      <c r="U529" s="506">
        <v>13594852</v>
      </c>
      <c r="V529" s="510"/>
    </row>
    <row r="530" spans="1:22" s="270" customFormat="1" ht="15" customHeight="1">
      <c r="A530" s="317"/>
      <c r="B530" s="334">
        <f t="shared" si="20"/>
        <v>520</v>
      </c>
      <c r="C530" s="289" t="s">
        <v>416</v>
      </c>
      <c r="D530" s="330" t="s">
        <v>270</v>
      </c>
      <c r="E530" s="289" t="s">
        <v>362</v>
      </c>
      <c r="F530" s="360" t="s">
        <v>637</v>
      </c>
      <c r="G530" s="500">
        <v>2</v>
      </c>
      <c r="H530" s="501" t="s">
        <v>423</v>
      </c>
      <c r="I530" s="502" t="s">
        <v>1278</v>
      </c>
      <c r="J530" s="503">
        <v>8.0399999999999985E-2</v>
      </c>
      <c r="K530" s="504">
        <v>42265</v>
      </c>
      <c r="L530" s="504">
        <v>53223</v>
      </c>
      <c r="M530" s="504">
        <v>45643</v>
      </c>
      <c r="N530" s="505" t="s">
        <v>196</v>
      </c>
      <c r="O530" s="506">
        <v>350000000</v>
      </c>
      <c r="P530" s="507" t="s">
        <v>196</v>
      </c>
      <c r="Q530" s="508">
        <v>290334000</v>
      </c>
      <c r="R530" s="508">
        <v>290334000</v>
      </c>
      <c r="S530" s="508">
        <v>0</v>
      </c>
      <c r="T530" s="509">
        <v>290334000</v>
      </c>
      <c r="U530" s="506">
        <v>12405000</v>
      </c>
      <c r="V530" s="510"/>
    </row>
    <row r="531" spans="1:22" s="270" customFormat="1" ht="15" customHeight="1">
      <c r="A531" s="317"/>
      <c r="B531" s="334">
        <f t="shared" si="20"/>
        <v>521</v>
      </c>
      <c r="C531" s="289" t="s">
        <v>416</v>
      </c>
      <c r="D531" s="330" t="s">
        <v>270</v>
      </c>
      <c r="E531" s="289" t="s">
        <v>362</v>
      </c>
      <c r="F531" s="360" t="s">
        <v>637</v>
      </c>
      <c r="G531" s="500">
        <v>3</v>
      </c>
      <c r="H531" s="501" t="s">
        <v>441</v>
      </c>
      <c r="I531" s="502" t="s">
        <v>1279</v>
      </c>
      <c r="J531" s="503"/>
      <c r="K531" s="504">
        <v>45813</v>
      </c>
      <c r="L531" s="504"/>
      <c r="M531" s="504"/>
      <c r="N531" s="505" t="s">
        <v>196</v>
      </c>
      <c r="O531" s="506">
        <v>4604010</v>
      </c>
      <c r="P531" s="507" t="s">
        <v>196</v>
      </c>
      <c r="Q531" s="508">
        <v>0</v>
      </c>
      <c r="R531" s="508">
        <v>0</v>
      </c>
      <c r="S531" s="508">
        <v>4604010</v>
      </c>
      <c r="T531" s="509">
        <v>4604010</v>
      </c>
      <c r="U531" s="506">
        <v>0</v>
      </c>
      <c r="V531" s="510" t="s">
        <v>439</v>
      </c>
    </row>
    <row r="532" spans="1:22" s="270" customFormat="1" ht="15" customHeight="1">
      <c r="A532" s="317"/>
      <c r="B532" s="334">
        <f t="shared" si="20"/>
        <v>522</v>
      </c>
      <c r="C532" s="289" t="s">
        <v>416</v>
      </c>
      <c r="D532" s="330" t="s">
        <v>270</v>
      </c>
      <c r="E532" s="289" t="s">
        <v>362</v>
      </c>
      <c r="F532" s="360" t="s">
        <v>637</v>
      </c>
      <c r="G532" s="500">
        <v>4</v>
      </c>
      <c r="H532" s="501" t="s">
        <v>441</v>
      </c>
      <c r="I532" s="502" t="s">
        <v>1280</v>
      </c>
      <c r="J532" s="503"/>
      <c r="K532" s="504">
        <v>45799</v>
      </c>
      <c r="L532" s="504"/>
      <c r="M532" s="504"/>
      <c r="N532" s="505" t="s">
        <v>196</v>
      </c>
      <c r="O532" s="506">
        <v>1107920</v>
      </c>
      <c r="P532" s="507" t="s">
        <v>196</v>
      </c>
      <c r="Q532" s="508">
        <v>0</v>
      </c>
      <c r="R532" s="508">
        <v>0</v>
      </c>
      <c r="S532" s="508">
        <v>1107920</v>
      </c>
      <c r="T532" s="509">
        <v>1107920</v>
      </c>
      <c r="U532" s="506">
        <v>0</v>
      </c>
      <c r="V532" s="510" t="s">
        <v>437</v>
      </c>
    </row>
    <row r="533" spans="1:22" s="270" customFormat="1" ht="15" customHeight="1">
      <c r="A533" s="317"/>
      <c r="B533" s="334">
        <f t="shared" si="20"/>
        <v>523</v>
      </c>
      <c r="C533" s="289" t="s">
        <v>416</v>
      </c>
      <c r="D533" s="330" t="s">
        <v>270</v>
      </c>
      <c r="E533" s="289" t="s">
        <v>363</v>
      </c>
      <c r="F533" s="360" t="s">
        <v>759</v>
      </c>
      <c r="G533" s="500">
        <v>1</v>
      </c>
      <c r="H533" s="501" t="s">
        <v>422</v>
      </c>
      <c r="I533" s="502" t="s">
        <v>1281</v>
      </c>
      <c r="J533" s="503">
        <v>8.0500000000000002E-2</v>
      </c>
      <c r="K533" s="504">
        <v>44326</v>
      </c>
      <c r="L533" s="504">
        <v>45630</v>
      </c>
      <c r="M533" s="504">
        <v>45599</v>
      </c>
      <c r="N533" s="505" t="s">
        <v>196</v>
      </c>
      <c r="O533" s="506">
        <v>2500000000</v>
      </c>
      <c r="P533" s="507" t="s">
        <v>196</v>
      </c>
      <c r="Q533" s="508">
        <v>500000000</v>
      </c>
      <c r="R533" s="508">
        <v>500000000</v>
      </c>
      <c r="S533" s="508">
        <v>0</v>
      </c>
      <c r="T533" s="509">
        <v>500000000</v>
      </c>
      <c r="U533" s="506">
        <v>28394143</v>
      </c>
      <c r="V533" s="510"/>
    </row>
    <row r="534" spans="1:22" s="270" customFormat="1" ht="15" customHeight="1">
      <c r="A534" s="317"/>
      <c r="B534" s="334">
        <f t="shared" si="20"/>
        <v>524</v>
      </c>
      <c r="C534" s="289" t="s">
        <v>416</v>
      </c>
      <c r="D534" s="330" t="s">
        <v>270</v>
      </c>
      <c r="E534" s="289" t="s">
        <v>363</v>
      </c>
      <c r="F534" s="360" t="s">
        <v>759</v>
      </c>
      <c r="G534" s="500">
        <v>2</v>
      </c>
      <c r="H534" s="501" t="s">
        <v>441</v>
      </c>
      <c r="I534" s="502" t="s">
        <v>1282</v>
      </c>
      <c r="J534" s="503"/>
      <c r="K534" s="504">
        <v>45761</v>
      </c>
      <c r="L534" s="504"/>
      <c r="M534" s="504"/>
      <c r="N534" s="505" t="s">
        <v>196</v>
      </c>
      <c r="O534" s="506">
        <v>6860380</v>
      </c>
      <c r="P534" s="507" t="s">
        <v>196</v>
      </c>
      <c r="Q534" s="508">
        <v>0</v>
      </c>
      <c r="R534" s="508">
        <v>0</v>
      </c>
      <c r="S534" s="508">
        <v>6860380</v>
      </c>
      <c r="T534" s="509">
        <v>6860380</v>
      </c>
      <c r="U534" s="506">
        <v>0</v>
      </c>
      <c r="V534" s="510" t="s">
        <v>439</v>
      </c>
    </row>
    <row r="535" spans="1:22" s="270" customFormat="1" ht="15" customHeight="1">
      <c r="A535" s="317"/>
      <c r="B535" s="334">
        <f t="shared" si="20"/>
        <v>525</v>
      </c>
      <c r="C535" s="289" t="s">
        <v>416</v>
      </c>
      <c r="D535" s="330" t="s">
        <v>270</v>
      </c>
      <c r="E535" s="289" t="s">
        <v>364</v>
      </c>
      <c r="F535" s="360" t="s">
        <v>634</v>
      </c>
      <c r="G535" s="500">
        <v>1</v>
      </c>
      <c r="H535" s="501" t="s">
        <v>423</v>
      </c>
      <c r="I535" s="502" t="s">
        <v>1283</v>
      </c>
      <c r="J535" s="503">
        <v>7.85E-2</v>
      </c>
      <c r="K535" s="504">
        <v>42641</v>
      </c>
      <c r="L535" s="504">
        <v>45751</v>
      </c>
      <c r="M535" s="504">
        <v>45726</v>
      </c>
      <c r="N535" s="505" t="s">
        <v>196</v>
      </c>
      <c r="O535" s="506">
        <v>100000000</v>
      </c>
      <c r="P535" s="507" t="s">
        <v>196</v>
      </c>
      <c r="Q535" s="508">
        <v>100000000</v>
      </c>
      <c r="R535" s="508">
        <v>100000000</v>
      </c>
      <c r="S535" s="508">
        <v>0</v>
      </c>
      <c r="T535" s="509">
        <v>100000000</v>
      </c>
      <c r="U535" s="506">
        <v>2852102</v>
      </c>
      <c r="V535" s="510"/>
    </row>
    <row r="536" spans="1:22" s="270" customFormat="1" ht="15" customHeight="1">
      <c r="A536" s="317"/>
      <c r="B536" s="334">
        <f t="shared" si="20"/>
        <v>526</v>
      </c>
      <c r="C536" s="289" t="s">
        <v>416</v>
      </c>
      <c r="D536" s="330" t="s">
        <v>270</v>
      </c>
      <c r="E536" s="289" t="s">
        <v>364</v>
      </c>
      <c r="F536" s="360" t="s">
        <v>634</v>
      </c>
      <c r="G536" s="500">
        <v>2</v>
      </c>
      <c r="H536" s="501" t="s">
        <v>423</v>
      </c>
      <c r="I536" s="502" t="s">
        <v>1284</v>
      </c>
      <c r="J536" s="503">
        <v>7.8399999999999997E-2</v>
      </c>
      <c r="K536" s="504">
        <v>43311</v>
      </c>
      <c r="L536" s="504">
        <v>45870</v>
      </c>
      <c r="M536" s="504">
        <v>45726</v>
      </c>
      <c r="N536" s="505" t="s">
        <v>196</v>
      </c>
      <c r="O536" s="506">
        <v>100000000</v>
      </c>
      <c r="P536" s="507" t="s">
        <v>196</v>
      </c>
      <c r="Q536" s="508">
        <v>95000000</v>
      </c>
      <c r="R536" s="508">
        <v>95000000</v>
      </c>
      <c r="S536" s="508">
        <v>0</v>
      </c>
      <c r="T536" s="509">
        <v>95000000</v>
      </c>
      <c r="U536" s="506">
        <v>2410000</v>
      </c>
      <c r="V536" s="510"/>
    </row>
    <row r="537" spans="1:22" s="270" customFormat="1" ht="15" customHeight="1">
      <c r="A537" s="317"/>
      <c r="B537" s="334">
        <f t="shared" si="20"/>
        <v>527</v>
      </c>
      <c r="C537" s="289" t="s">
        <v>416</v>
      </c>
      <c r="D537" s="330" t="s">
        <v>270</v>
      </c>
      <c r="E537" s="289" t="s">
        <v>364</v>
      </c>
      <c r="F537" s="360" t="s">
        <v>634</v>
      </c>
      <c r="G537" s="500">
        <v>3</v>
      </c>
      <c r="H537" s="501" t="s">
        <v>423</v>
      </c>
      <c r="I537" s="502" t="s">
        <v>1285</v>
      </c>
      <c r="J537" s="503">
        <v>7.7199999999999991E-2</v>
      </c>
      <c r="K537" s="504">
        <v>43815</v>
      </c>
      <c r="L537" s="504">
        <v>46009</v>
      </c>
      <c r="M537" s="504">
        <v>45726</v>
      </c>
      <c r="N537" s="505" t="s">
        <v>196</v>
      </c>
      <c r="O537" s="506">
        <v>50000000</v>
      </c>
      <c r="P537" s="507" t="s">
        <v>196</v>
      </c>
      <c r="Q537" s="508">
        <v>50000000</v>
      </c>
      <c r="R537" s="508">
        <v>50000000</v>
      </c>
      <c r="S537" s="508">
        <v>0</v>
      </c>
      <c r="T537" s="509">
        <v>50000000</v>
      </c>
      <c r="U537" s="506">
        <v>1245000</v>
      </c>
      <c r="V537" s="510"/>
    </row>
    <row r="538" spans="1:22" s="270" customFormat="1" ht="15" customHeight="1">
      <c r="A538" s="317"/>
      <c r="B538" s="334">
        <f t="shared" si="20"/>
        <v>528</v>
      </c>
      <c r="C538" s="289" t="s">
        <v>416</v>
      </c>
      <c r="D538" s="330" t="s">
        <v>270</v>
      </c>
      <c r="E538" s="289" t="s">
        <v>364</v>
      </c>
      <c r="F538" s="360" t="s">
        <v>634</v>
      </c>
      <c r="G538" s="500">
        <v>4</v>
      </c>
      <c r="H538" s="501" t="s">
        <v>423</v>
      </c>
      <c r="I538" s="502" t="s">
        <v>1286</v>
      </c>
      <c r="J538" s="503">
        <v>7.1199999999999999E-2</v>
      </c>
      <c r="K538" s="504">
        <v>45419</v>
      </c>
      <c r="L538" s="504">
        <v>56351</v>
      </c>
      <c r="M538" s="504">
        <v>45727</v>
      </c>
      <c r="N538" s="505" t="s">
        <v>196</v>
      </c>
      <c r="O538" s="506">
        <v>115000000</v>
      </c>
      <c r="P538" s="507" t="s">
        <v>196</v>
      </c>
      <c r="Q538" s="508">
        <v>111331000</v>
      </c>
      <c r="R538" s="508">
        <v>111331000</v>
      </c>
      <c r="S538" s="508">
        <v>0</v>
      </c>
      <c r="T538" s="509">
        <v>111331000</v>
      </c>
      <c r="U538" s="506">
        <v>2164200</v>
      </c>
      <c r="V538" s="510"/>
    </row>
    <row r="539" spans="1:22" s="270" customFormat="1" ht="15" customHeight="1">
      <c r="A539" s="317"/>
      <c r="B539" s="334">
        <f t="shared" ref="B539:B573" si="21">ROW()-10</f>
        <v>529</v>
      </c>
      <c r="C539" s="289" t="s">
        <v>416</v>
      </c>
      <c r="D539" s="330" t="s">
        <v>270</v>
      </c>
      <c r="E539" s="289" t="s">
        <v>365</v>
      </c>
      <c r="F539" s="360" t="s">
        <v>761</v>
      </c>
      <c r="G539" s="500">
        <v>1</v>
      </c>
      <c r="H539" s="501" t="s">
        <v>423</v>
      </c>
      <c r="I539" s="502" t="s">
        <v>1287</v>
      </c>
      <c r="J539" s="503">
        <v>8.2500000000000004E-2</v>
      </c>
      <c r="K539" s="504">
        <v>43563</v>
      </c>
      <c r="L539" s="504">
        <v>45752</v>
      </c>
      <c r="M539" s="504">
        <v>45661</v>
      </c>
      <c r="N539" s="505" t="s">
        <v>196</v>
      </c>
      <c r="O539" s="506">
        <v>222000000</v>
      </c>
      <c r="P539" s="507" t="s">
        <v>196</v>
      </c>
      <c r="Q539" s="508">
        <v>215000000</v>
      </c>
      <c r="R539" s="508">
        <v>215000000</v>
      </c>
      <c r="S539" s="508">
        <v>0</v>
      </c>
      <c r="T539" s="509">
        <v>215000000</v>
      </c>
      <c r="U539" s="506">
        <v>9014910</v>
      </c>
      <c r="V539" s="510"/>
    </row>
    <row r="540" spans="1:22" s="270" customFormat="1" ht="15" customHeight="1">
      <c r="A540" s="317"/>
      <c r="B540" s="334">
        <f t="shared" si="21"/>
        <v>530</v>
      </c>
      <c r="C540" s="289" t="s">
        <v>416</v>
      </c>
      <c r="D540" s="330" t="s">
        <v>270</v>
      </c>
      <c r="E540" s="289" t="s">
        <v>365</v>
      </c>
      <c r="F540" s="360" t="s">
        <v>761</v>
      </c>
      <c r="G540" s="500">
        <v>2</v>
      </c>
      <c r="H540" s="501" t="s">
        <v>441</v>
      </c>
      <c r="I540" s="502" t="s">
        <v>1288</v>
      </c>
      <c r="J540" s="503"/>
      <c r="K540" s="504">
        <v>45863</v>
      </c>
      <c r="L540" s="504"/>
      <c r="M540" s="504"/>
      <c r="N540" s="505" t="s">
        <v>196</v>
      </c>
      <c r="O540" s="506">
        <v>9589460</v>
      </c>
      <c r="P540" s="507" t="s">
        <v>196</v>
      </c>
      <c r="Q540" s="508">
        <v>0</v>
      </c>
      <c r="R540" s="508">
        <v>0</v>
      </c>
      <c r="S540" s="508">
        <v>9589460</v>
      </c>
      <c r="T540" s="509">
        <v>9589460</v>
      </c>
      <c r="U540" s="506">
        <v>0</v>
      </c>
      <c r="V540" s="510" t="s">
        <v>439</v>
      </c>
    </row>
    <row r="541" spans="1:22" s="270" customFormat="1" ht="15" customHeight="1">
      <c r="A541" s="317"/>
      <c r="B541" s="334">
        <f t="shared" si="21"/>
        <v>531</v>
      </c>
      <c r="C541" s="289" t="s">
        <v>416</v>
      </c>
      <c r="D541" s="330" t="s">
        <v>270</v>
      </c>
      <c r="E541" s="289" t="s">
        <v>376</v>
      </c>
      <c r="F541" s="360" t="s">
        <v>762</v>
      </c>
      <c r="G541" s="500">
        <v>1</v>
      </c>
      <c r="H541" s="501" t="s">
        <v>423</v>
      </c>
      <c r="I541" s="502" t="s">
        <v>1289</v>
      </c>
      <c r="J541" s="503">
        <v>8.0399999999999985E-2</v>
      </c>
      <c r="K541" s="504">
        <v>44805</v>
      </c>
      <c r="L541" s="504">
        <v>45718</v>
      </c>
      <c r="M541" s="504">
        <v>45566</v>
      </c>
      <c r="N541" s="505" t="s">
        <v>196</v>
      </c>
      <c r="O541" s="506">
        <v>200000000</v>
      </c>
      <c r="P541" s="507" t="s">
        <v>196</v>
      </c>
      <c r="Q541" s="508">
        <v>190000000</v>
      </c>
      <c r="R541" s="508">
        <v>190000000</v>
      </c>
      <c r="S541" s="508">
        <v>0</v>
      </c>
      <c r="T541" s="509">
        <v>190000000</v>
      </c>
      <c r="U541" s="506">
        <v>11648738</v>
      </c>
      <c r="V541" s="510"/>
    </row>
    <row r="542" spans="1:22" s="270" customFormat="1" ht="15" customHeight="1">
      <c r="A542" s="317"/>
      <c r="B542" s="334">
        <f t="shared" si="21"/>
        <v>532</v>
      </c>
      <c r="C542" s="289" t="s">
        <v>416</v>
      </c>
      <c r="D542" s="330" t="s">
        <v>270</v>
      </c>
      <c r="E542" s="289" t="s">
        <v>376</v>
      </c>
      <c r="F542" s="360" t="s">
        <v>762</v>
      </c>
      <c r="G542" s="500">
        <v>2</v>
      </c>
      <c r="H542" s="501" t="s">
        <v>441</v>
      </c>
      <c r="I542" s="502" t="s">
        <v>1290</v>
      </c>
      <c r="J542" s="503"/>
      <c r="K542" s="504">
        <v>45748</v>
      </c>
      <c r="L542" s="504"/>
      <c r="M542" s="504"/>
      <c r="N542" s="505" t="s">
        <v>196</v>
      </c>
      <c r="O542" s="506">
        <v>3981840</v>
      </c>
      <c r="P542" s="507" t="s">
        <v>196</v>
      </c>
      <c r="Q542" s="508">
        <v>0</v>
      </c>
      <c r="R542" s="508">
        <v>0</v>
      </c>
      <c r="S542" s="508">
        <v>3981840</v>
      </c>
      <c r="T542" s="509">
        <v>3981840</v>
      </c>
      <c r="U542" s="506">
        <v>0</v>
      </c>
      <c r="V542" s="510" t="s">
        <v>439</v>
      </c>
    </row>
    <row r="543" spans="1:22" s="270" customFormat="1" ht="15" customHeight="1">
      <c r="A543" s="317"/>
      <c r="B543" s="334">
        <f t="shared" si="21"/>
        <v>533</v>
      </c>
      <c r="C543" s="289" t="s">
        <v>416</v>
      </c>
      <c r="D543" s="330" t="s">
        <v>270</v>
      </c>
      <c r="E543" s="289" t="s">
        <v>377</v>
      </c>
      <c r="F543" s="360" t="s">
        <v>763</v>
      </c>
      <c r="G543" s="500">
        <v>1</v>
      </c>
      <c r="H543" s="501" t="s">
        <v>423</v>
      </c>
      <c r="I543" s="502" t="s">
        <v>1291</v>
      </c>
      <c r="J543" s="503">
        <v>9.0800000000000006E-2</v>
      </c>
      <c r="K543" s="504">
        <v>43924</v>
      </c>
      <c r="L543" s="504">
        <v>45744</v>
      </c>
      <c r="M543" s="504">
        <v>45654</v>
      </c>
      <c r="N543" s="505" t="s">
        <v>196</v>
      </c>
      <c r="O543" s="506">
        <v>50000000</v>
      </c>
      <c r="P543" s="507" t="s">
        <v>196</v>
      </c>
      <c r="Q543" s="508">
        <v>50000000</v>
      </c>
      <c r="R543" s="508">
        <v>50000000</v>
      </c>
      <c r="S543" s="508">
        <v>0</v>
      </c>
      <c r="T543" s="509">
        <v>50000000</v>
      </c>
      <c r="U543" s="506">
        <v>2411119</v>
      </c>
      <c r="V543" s="510"/>
    </row>
    <row r="544" spans="1:22" s="270" customFormat="1" ht="15" customHeight="1">
      <c r="A544" s="317"/>
      <c r="B544" s="334">
        <f t="shared" si="21"/>
        <v>534</v>
      </c>
      <c r="C544" s="289" t="s">
        <v>416</v>
      </c>
      <c r="D544" s="330" t="s">
        <v>270</v>
      </c>
      <c r="E544" s="289" t="s">
        <v>377</v>
      </c>
      <c r="F544" s="360" t="s">
        <v>763</v>
      </c>
      <c r="G544" s="500">
        <v>2</v>
      </c>
      <c r="H544" s="501" t="s">
        <v>423</v>
      </c>
      <c r="I544" s="502" t="s">
        <v>1292</v>
      </c>
      <c r="J544" s="503">
        <v>7.8600000000000003E-2</v>
      </c>
      <c r="K544" s="504">
        <v>44148</v>
      </c>
      <c r="L544" s="504">
        <v>45968</v>
      </c>
      <c r="M544" s="504">
        <v>45664</v>
      </c>
      <c r="N544" s="505" t="s">
        <v>196</v>
      </c>
      <c r="O544" s="506">
        <v>129000000</v>
      </c>
      <c r="P544" s="507" t="s">
        <v>196</v>
      </c>
      <c r="Q544" s="508">
        <v>129000000</v>
      </c>
      <c r="R544" s="508">
        <v>129000000</v>
      </c>
      <c r="S544" s="508">
        <v>0</v>
      </c>
      <c r="T544" s="509">
        <v>129000000</v>
      </c>
      <c r="U544" s="506">
        <v>5019072</v>
      </c>
      <c r="V544" s="510"/>
    </row>
    <row r="545" spans="1:22" s="270" customFormat="1" ht="15" customHeight="1">
      <c r="A545" s="317"/>
      <c r="B545" s="334">
        <f t="shared" si="21"/>
        <v>535</v>
      </c>
      <c r="C545" s="289" t="s">
        <v>416</v>
      </c>
      <c r="D545" s="330" t="s">
        <v>270</v>
      </c>
      <c r="E545" s="289" t="s">
        <v>377</v>
      </c>
      <c r="F545" s="360" t="s">
        <v>763</v>
      </c>
      <c r="G545" s="500">
        <v>3</v>
      </c>
      <c r="H545" s="501" t="s">
        <v>441</v>
      </c>
      <c r="I545" s="502" t="s">
        <v>1293</v>
      </c>
      <c r="J545" s="503"/>
      <c r="K545" s="504">
        <v>45863</v>
      </c>
      <c r="L545" s="504"/>
      <c r="M545" s="504"/>
      <c r="N545" s="505" t="s">
        <v>196</v>
      </c>
      <c r="O545" s="506">
        <v>1394250</v>
      </c>
      <c r="P545" s="507" t="s">
        <v>196</v>
      </c>
      <c r="Q545" s="508">
        <v>0</v>
      </c>
      <c r="R545" s="508">
        <v>0</v>
      </c>
      <c r="S545" s="508">
        <v>1394250</v>
      </c>
      <c r="T545" s="509">
        <v>1394250</v>
      </c>
      <c r="U545" s="506">
        <v>0</v>
      </c>
      <c r="V545" s="510" t="s">
        <v>439</v>
      </c>
    </row>
    <row r="546" spans="1:22" s="270" customFormat="1" ht="15" customHeight="1">
      <c r="A546" s="317"/>
      <c r="B546" s="334">
        <f t="shared" si="21"/>
        <v>536</v>
      </c>
      <c r="C546" s="289" t="s">
        <v>416</v>
      </c>
      <c r="D546" s="330" t="s">
        <v>270</v>
      </c>
      <c r="E546" s="289" t="s">
        <v>378</v>
      </c>
      <c r="F546" s="360" t="s">
        <v>764</v>
      </c>
      <c r="G546" s="500">
        <v>1</v>
      </c>
      <c r="H546" s="501" t="s">
        <v>423</v>
      </c>
      <c r="I546" s="502" t="s">
        <v>1294</v>
      </c>
      <c r="J546" s="503">
        <v>8.6699999999999999E-2</v>
      </c>
      <c r="K546" s="504">
        <v>42524</v>
      </c>
      <c r="L546" s="504">
        <v>45443</v>
      </c>
      <c r="M546" s="504">
        <v>45381</v>
      </c>
      <c r="N546" s="505" t="s">
        <v>196</v>
      </c>
      <c r="O546" s="506">
        <v>60000000</v>
      </c>
      <c r="P546" s="507" t="s">
        <v>196</v>
      </c>
      <c r="Q546" s="508">
        <v>60000000</v>
      </c>
      <c r="R546" s="508">
        <v>60000000</v>
      </c>
      <c r="S546" s="508">
        <v>0</v>
      </c>
      <c r="T546" s="509">
        <v>60000000</v>
      </c>
      <c r="U546" s="506">
        <v>6635443</v>
      </c>
      <c r="V546" s="510"/>
    </row>
    <row r="547" spans="1:22" s="270" customFormat="1" ht="15" customHeight="1">
      <c r="A547" s="317"/>
      <c r="B547" s="334">
        <f t="shared" si="21"/>
        <v>537</v>
      </c>
      <c r="C547" s="289" t="s">
        <v>416</v>
      </c>
      <c r="D547" s="330" t="s">
        <v>270</v>
      </c>
      <c r="E547" s="289" t="s">
        <v>378</v>
      </c>
      <c r="F547" s="360" t="s">
        <v>764</v>
      </c>
      <c r="G547" s="500">
        <v>2</v>
      </c>
      <c r="H547" s="501" t="s">
        <v>423</v>
      </c>
      <c r="I547" s="502" t="s">
        <v>1295</v>
      </c>
      <c r="J547" s="503">
        <v>8.14E-2</v>
      </c>
      <c r="K547" s="504">
        <v>43679</v>
      </c>
      <c r="L547" s="504">
        <v>45506</v>
      </c>
      <c r="M547" s="504">
        <v>45352</v>
      </c>
      <c r="N547" s="505" t="s">
        <v>196</v>
      </c>
      <c r="O547" s="506">
        <v>50000000</v>
      </c>
      <c r="P547" s="507" t="s">
        <v>196</v>
      </c>
      <c r="Q547" s="508">
        <v>32617623</v>
      </c>
      <c r="R547" s="508">
        <v>32617623</v>
      </c>
      <c r="S547" s="508">
        <v>0</v>
      </c>
      <c r="T547" s="509">
        <v>32617623</v>
      </c>
      <c r="U547" s="506">
        <v>5084778</v>
      </c>
      <c r="V547" s="510"/>
    </row>
    <row r="548" spans="1:22" s="270" customFormat="1" ht="15" customHeight="1">
      <c r="A548" s="317"/>
      <c r="B548" s="334">
        <f t="shared" si="21"/>
        <v>538</v>
      </c>
      <c r="C548" s="289" t="s">
        <v>416</v>
      </c>
      <c r="D548" s="330" t="s">
        <v>270</v>
      </c>
      <c r="E548" s="289" t="s">
        <v>378</v>
      </c>
      <c r="F548" s="360" t="s">
        <v>764</v>
      </c>
      <c r="G548" s="500">
        <v>3</v>
      </c>
      <c r="H548" s="501" t="s">
        <v>423</v>
      </c>
      <c r="I548" s="502" t="s">
        <v>1296</v>
      </c>
      <c r="J548" s="503">
        <v>8.3400000000000002E-2</v>
      </c>
      <c r="K548" s="504">
        <v>43665</v>
      </c>
      <c r="L548" s="504">
        <v>45492</v>
      </c>
      <c r="M548" s="504">
        <v>45369</v>
      </c>
      <c r="N548" s="505" t="s">
        <v>196</v>
      </c>
      <c r="O548" s="506">
        <v>80000000</v>
      </c>
      <c r="P548" s="507" t="s">
        <v>196</v>
      </c>
      <c r="Q548" s="508">
        <v>80000000</v>
      </c>
      <c r="R548" s="508">
        <v>80000000</v>
      </c>
      <c r="S548" s="508">
        <v>0</v>
      </c>
      <c r="T548" s="509">
        <v>80000000</v>
      </c>
      <c r="U548" s="506">
        <v>8701964</v>
      </c>
      <c r="V548" s="510"/>
    </row>
    <row r="549" spans="1:22" s="270" customFormat="1" ht="15" customHeight="1">
      <c r="A549" s="317"/>
      <c r="B549" s="334">
        <f t="shared" si="21"/>
        <v>539</v>
      </c>
      <c r="C549" s="289" t="s">
        <v>416</v>
      </c>
      <c r="D549" s="330" t="s">
        <v>270</v>
      </c>
      <c r="E549" s="289" t="s">
        <v>379</v>
      </c>
      <c r="F549" s="360" t="s">
        <v>765</v>
      </c>
      <c r="G549" s="500">
        <v>1</v>
      </c>
      <c r="H549" s="501" t="s">
        <v>423</v>
      </c>
      <c r="I549" s="502" t="s">
        <v>1297</v>
      </c>
      <c r="J549" s="503">
        <v>8.8100000000000012E-2</v>
      </c>
      <c r="K549" s="504">
        <v>42767</v>
      </c>
      <c r="L549" s="504">
        <v>45412</v>
      </c>
      <c r="M549" s="504">
        <v>45378</v>
      </c>
      <c r="N549" s="505" t="s">
        <v>196</v>
      </c>
      <c r="O549" s="506">
        <v>132000000</v>
      </c>
      <c r="P549" s="507" t="s">
        <v>196</v>
      </c>
      <c r="Q549" s="508">
        <v>130000000</v>
      </c>
      <c r="R549" s="508">
        <v>130000000</v>
      </c>
      <c r="S549" s="508">
        <v>0</v>
      </c>
      <c r="T549" s="509">
        <v>130000000</v>
      </c>
      <c r="U549" s="506">
        <v>15002897</v>
      </c>
      <c r="V549" s="510"/>
    </row>
    <row r="550" spans="1:22" s="270" customFormat="1" ht="15" customHeight="1">
      <c r="A550" s="317"/>
      <c r="B550" s="334">
        <f t="shared" si="21"/>
        <v>540</v>
      </c>
      <c r="C550" s="289" t="s">
        <v>416</v>
      </c>
      <c r="D550" s="330" t="s">
        <v>270</v>
      </c>
      <c r="E550" s="289" t="s">
        <v>379</v>
      </c>
      <c r="F550" s="360" t="s">
        <v>765</v>
      </c>
      <c r="G550" s="500">
        <v>2</v>
      </c>
      <c r="H550" s="501" t="s">
        <v>441</v>
      </c>
      <c r="I550" s="502" t="s">
        <v>1298</v>
      </c>
      <c r="J550" s="503"/>
      <c r="K550" s="504">
        <v>45827</v>
      </c>
      <c r="L550" s="504"/>
      <c r="M550" s="504"/>
      <c r="N550" s="505" t="s">
        <v>196</v>
      </c>
      <c r="O550" s="506">
        <v>3077580</v>
      </c>
      <c r="P550" s="507" t="s">
        <v>196</v>
      </c>
      <c r="Q550" s="508">
        <v>0</v>
      </c>
      <c r="R550" s="508">
        <v>0</v>
      </c>
      <c r="S550" s="508">
        <v>3077580</v>
      </c>
      <c r="T550" s="509">
        <v>3077580</v>
      </c>
      <c r="U550" s="506">
        <v>0</v>
      </c>
      <c r="V550" s="510" t="s">
        <v>439</v>
      </c>
    </row>
    <row r="551" spans="1:22" s="270" customFormat="1" ht="15" customHeight="1">
      <c r="A551" s="317"/>
      <c r="B551" s="334">
        <f t="shared" si="21"/>
        <v>541</v>
      </c>
      <c r="C551" s="289" t="s">
        <v>416</v>
      </c>
      <c r="D551" s="330" t="s">
        <v>270</v>
      </c>
      <c r="E551" s="289" t="s">
        <v>380</v>
      </c>
      <c r="F551" s="360" t="s">
        <v>766</v>
      </c>
      <c r="G551" s="500">
        <v>1</v>
      </c>
      <c r="H551" s="501" t="s">
        <v>423</v>
      </c>
      <c r="I551" s="502" t="s">
        <v>1299</v>
      </c>
      <c r="J551" s="503">
        <v>8.8000000000000009E-2</v>
      </c>
      <c r="K551" s="504">
        <v>42664</v>
      </c>
      <c r="L551" s="504">
        <v>49969</v>
      </c>
      <c r="M551" s="504">
        <v>45585</v>
      </c>
      <c r="N551" s="505" t="s">
        <v>196</v>
      </c>
      <c r="O551" s="506">
        <v>110000000</v>
      </c>
      <c r="P551" s="507" t="s">
        <v>196</v>
      </c>
      <c r="Q551" s="508">
        <v>65952000</v>
      </c>
      <c r="R551" s="508">
        <v>65952000</v>
      </c>
      <c r="S551" s="508">
        <v>0</v>
      </c>
      <c r="T551" s="509">
        <v>65952000</v>
      </c>
      <c r="U551" s="506">
        <v>3854000</v>
      </c>
      <c r="V551" s="510"/>
    </row>
    <row r="552" spans="1:22" s="270" customFormat="1" ht="15" customHeight="1">
      <c r="A552" s="317"/>
      <c r="B552" s="334">
        <f t="shared" si="21"/>
        <v>542</v>
      </c>
      <c r="C552" s="289" t="s">
        <v>416</v>
      </c>
      <c r="D552" s="330" t="s">
        <v>270</v>
      </c>
      <c r="E552" s="289" t="s">
        <v>635</v>
      </c>
      <c r="F552" s="360" t="s">
        <v>767</v>
      </c>
      <c r="G552" s="500">
        <v>1</v>
      </c>
      <c r="H552" s="501" t="s">
        <v>430</v>
      </c>
      <c r="I552" s="502" t="s">
        <v>1300</v>
      </c>
      <c r="J552" s="503">
        <v>9.06E-2</v>
      </c>
      <c r="K552" s="504">
        <v>42432</v>
      </c>
      <c r="L552" s="504">
        <v>55215</v>
      </c>
      <c r="M552" s="504">
        <v>45538</v>
      </c>
      <c r="N552" s="505" t="s">
        <v>196</v>
      </c>
      <c r="O552" s="506">
        <v>75000000</v>
      </c>
      <c r="P552" s="507" t="s">
        <v>196</v>
      </c>
      <c r="Q552" s="508">
        <v>54000000</v>
      </c>
      <c r="R552" s="508">
        <v>54000000</v>
      </c>
      <c r="S552" s="508">
        <v>0</v>
      </c>
      <c r="T552" s="509">
        <v>54000000</v>
      </c>
      <c r="U552" s="506">
        <v>4020734</v>
      </c>
      <c r="V552" s="510"/>
    </row>
    <row r="553" spans="1:22" s="270" customFormat="1" ht="15" customHeight="1">
      <c r="A553" s="317"/>
      <c r="B553" s="334">
        <f t="shared" si="21"/>
        <v>543</v>
      </c>
      <c r="C553" s="289" t="s">
        <v>416</v>
      </c>
      <c r="D553" s="330" t="s">
        <v>270</v>
      </c>
      <c r="E553" s="289" t="s">
        <v>635</v>
      </c>
      <c r="F553" s="360" t="s">
        <v>767</v>
      </c>
      <c r="G553" s="500">
        <v>2</v>
      </c>
      <c r="H553" s="501" t="s">
        <v>441</v>
      </c>
      <c r="I553" s="502" t="s">
        <v>1301</v>
      </c>
      <c r="J553" s="503"/>
      <c r="K553" s="504">
        <v>45839</v>
      </c>
      <c r="L553" s="504"/>
      <c r="M553" s="504"/>
      <c r="N553" s="505" t="s">
        <v>196</v>
      </c>
      <c r="O553" s="506">
        <v>1036970</v>
      </c>
      <c r="P553" s="507" t="s">
        <v>196</v>
      </c>
      <c r="Q553" s="508">
        <v>0</v>
      </c>
      <c r="R553" s="508">
        <v>0</v>
      </c>
      <c r="S553" s="508">
        <v>1036970</v>
      </c>
      <c r="T553" s="509">
        <v>1036970</v>
      </c>
      <c r="U553" s="506">
        <v>0</v>
      </c>
      <c r="V553" s="510" t="s">
        <v>439</v>
      </c>
    </row>
    <row r="554" spans="1:22" s="270" customFormat="1" ht="15" customHeight="1">
      <c r="A554" s="317"/>
      <c r="B554" s="334">
        <f t="shared" si="21"/>
        <v>544</v>
      </c>
      <c r="C554" s="289" t="s">
        <v>416</v>
      </c>
      <c r="D554" s="330" t="s">
        <v>270</v>
      </c>
      <c r="E554" s="289" t="s">
        <v>381</v>
      </c>
      <c r="F554" s="360" t="s">
        <v>768</v>
      </c>
      <c r="G554" s="500">
        <v>1</v>
      </c>
      <c r="H554" s="501" t="s">
        <v>430</v>
      </c>
      <c r="I554" s="502" t="s">
        <v>1302</v>
      </c>
      <c r="J554" s="503">
        <v>6.3099999999999989E-2</v>
      </c>
      <c r="K554" s="504">
        <v>43880</v>
      </c>
      <c r="L554" s="504">
        <v>56664</v>
      </c>
      <c r="M554" s="504">
        <v>45554</v>
      </c>
      <c r="N554" s="505" t="s">
        <v>196</v>
      </c>
      <c r="O554" s="506">
        <v>54000000</v>
      </c>
      <c r="P554" s="507" t="s">
        <v>196</v>
      </c>
      <c r="Q554" s="508">
        <v>49925162</v>
      </c>
      <c r="R554" s="508">
        <v>49925162</v>
      </c>
      <c r="S554" s="508">
        <v>0</v>
      </c>
      <c r="T554" s="509">
        <v>49925162</v>
      </c>
      <c r="U554" s="506">
        <v>2324080</v>
      </c>
      <c r="V554" s="510"/>
    </row>
    <row r="555" spans="1:22" s="270" customFormat="1" ht="15" customHeight="1">
      <c r="A555" s="317"/>
      <c r="B555" s="334">
        <f t="shared" si="21"/>
        <v>545</v>
      </c>
      <c r="C555" s="289" t="s">
        <v>416</v>
      </c>
      <c r="D555" s="330" t="s">
        <v>270</v>
      </c>
      <c r="E555" s="289" t="s">
        <v>381</v>
      </c>
      <c r="F555" s="360" t="s">
        <v>768</v>
      </c>
      <c r="G555" s="500">
        <v>2</v>
      </c>
      <c r="H555" s="501" t="s">
        <v>441</v>
      </c>
      <c r="I555" s="502" t="s">
        <v>1303</v>
      </c>
      <c r="J555" s="503"/>
      <c r="K555" s="504">
        <v>45810</v>
      </c>
      <c r="L555" s="504"/>
      <c r="M555" s="504"/>
      <c r="N555" s="505" t="s">
        <v>196</v>
      </c>
      <c r="O555" s="506">
        <v>2424110</v>
      </c>
      <c r="P555" s="507" t="s">
        <v>196</v>
      </c>
      <c r="Q555" s="508">
        <v>0</v>
      </c>
      <c r="R555" s="508">
        <v>0</v>
      </c>
      <c r="S555" s="508">
        <v>2424110</v>
      </c>
      <c r="T555" s="509">
        <v>2424110</v>
      </c>
      <c r="U555" s="506">
        <v>0</v>
      </c>
      <c r="V555" s="510" t="s">
        <v>439</v>
      </c>
    </row>
    <row r="556" spans="1:22" s="270" customFormat="1" ht="15" customHeight="1">
      <c r="A556" s="317"/>
      <c r="B556" s="334">
        <f t="shared" si="21"/>
        <v>546</v>
      </c>
      <c r="C556" s="289" t="s">
        <v>416</v>
      </c>
      <c r="D556" s="330" t="s">
        <v>270</v>
      </c>
      <c r="E556" s="289" t="s">
        <v>382</v>
      </c>
      <c r="F556" s="360" t="s">
        <v>769</v>
      </c>
      <c r="G556" s="500">
        <v>1</v>
      </c>
      <c r="H556" s="501" t="s">
        <v>423</v>
      </c>
      <c r="I556" s="502" t="s">
        <v>1304</v>
      </c>
      <c r="J556" s="503">
        <v>8.2100000000000006E-2</v>
      </c>
      <c r="K556" s="504">
        <v>42453</v>
      </c>
      <c r="L556" s="504">
        <v>47931</v>
      </c>
      <c r="M556" s="504">
        <v>45619</v>
      </c>
      <c r="N556" s="505" t="s">
        <v>196</v>
      </c>
      <c r="O556" s="506">
        <v>100000000</v>
      </c>
      <c r="P556" s="507" t="s">
        <v>196</v>
      </c>
      <c r="Q556" s="508">
        <v>45220000</v>
      </c>
      <c r="R556" s="508">
        <v>45220000</v>
      </c>
      <c r="S556" s="508">
        <v>0</v>
      </c>
      <c r="T556" s="509">
        <v>45220000</v>
      </c>
      <c r="U556" s="506">
        <v>2197000</v>
      </c>
      <c r="V556" s="510"/>
    </row>
    <row r="557" spans="1:22" s="270" customFormat="1" ht="15" customHeight="1">
      <c r="A557" s="317"/>
      <c r="B557" s="334">
        <f t="shared" si="21"/>
        <v>547</v>
      </c>
      <c r="C557" s="289" t="s">
        <v>416</v>
      </c>
      <c r="D557" s="330" t="s">
        <v>270</v>
      </c>
      <c r="E557" s="289" t="s">
        <v>383</v>
      </c>
      <c r="F557" s="360" t="s">
        <v>770</v>
      </c>
      <c r="G557" s="500">
        <v>1</v>
      </c>
      <c r="H557" s="501" t="s">
        <v>430</v>
      </c>
      <c r="I557" s="502" t="s">
        <v>1305</v>
      </c>
      <c r="J557" s="503">
        <v>5.8700000000000002E-2</v>
      </c>
      <c r="K557" s="504">
        <v>43740</v>
      </c>
      <c r="L557" s="504">
        <v>56524</v>
      </c>
      <c r="M557" s="504">
        <v>45262</v>
      </c>
      <c r="N557" s="505" t="s">
        <v>196</v>
      </c>
      <c r="O557" s="506">
        <v>32000000</v>
      </c>
      <c r="P557" s="507" t="s">
        <v>196</v>
      </c>
      <c r="Q557" s="508">
        <v>29675564</v>
      </c>
      <c r="R557" s="508">
        <v>29675564</v>
      </c>
      <c r="S557" s="508">
        <v>0</v>
      </c>
      <c r="T557" s="509">
        <v>29675564</v>
      </c>
      <c r="U557" s="506">
        <v>2665802</v>
      </c>
      <c r="V557" s="510"/>
    </row>
    <row r="558" spans="1:22" s="270" customFormat="1" ht="15" customHeight="1">
      <c r="A558" s="317"/>
      <c r="B558" s="334">
        <f t="shared" si="21"/>
        <v>548</v>
      </c>
      <c r="C558" s="289" t="s">
        <v>416</v>
      </c>
      <c r="D558" s="330" t="s">
        <v>270</v>
      </c>
      <c r="E558" s="289" t="s">
        <v>383</v>
      </c>
      <c r="F558" s="360" t="s">
        <v>770</v>
      </c>
      <c r="G558" s="500">
        <v>2</v>
      </c>
      <c r="H558" s="501" t="s">
        <v>441</v>
      </c>
      <c r="I558" s="502" t="s">
        <v>1306</v>
      </c>
      <c r="J558" s="503"/>
      <c r="K558" s="504">
        <v>45827</v>
      </c>
      <c r="L558" s="504"/>
      <c r="M558" s="504"/>
      <c r="N558" s="505" t="s">
        <v>196</v>
      </c>
      <c r="O558" s="506">
        <v>2374370</v>
      </c>
      <c r="P558" s="507" t="s">
        <v>196</v>
      </c>
      <c r="Q558" s="508">
        <v>0</v>
      </c>
      <c r="R558" s="508">
        <v>0</v>
      </c>
      <c r="S558" s="508">
        <v>2374370</v>
      </c>
      <c r="T558" s="509">
        <v>2374370</v>
      </c>
      <c r="U558" s="506">
        <v>0</v>
      </c>
      <c r="V558" s="510" t="s">
        <v>439</v>
      </c>
    </row>
    <row r="559" spans="1:22" s="270" customFormat="1" ht="15" customHeight="1">
      <c r="A559" s="317"/>
      <c r="B559" s="334">
        <f t="shared" si="21"/>
        <v>549</v>
      </c>
      <c r="C559" s="289" t="s">
        <v>416</v>
      </c>
      <c r="D559" s="330" t="s">
        <v>270</v>
      </c>
      <c r="E559" s="289" t="s">
        <v>384</v>
      </c>
      <c r="F559" s="360" t="s">
        <v>771</v>
      </c>
      <c r="G559" s="500">
        <v>1</v>
      </c>
      <c r="H559" s="501" t="s">
        <v>423</v>
      </c>
      <c r="I559" s="502" t="s">
        <v>1307</v>
      </c>
      <c r="J559" s="503">
        <v>0.1079</v>
      </c>
      <c r="K559" s="504">
        <v>44008</v>
      </c>
      <c r="L559" s="504">
        <v>45828</v>
      </c>
      <c r="M559" s="504">
        <v>45601</v>
      </c>
      <c r="N559" s="505" t="s">
        <v>196</v>
      </c>
      <c r="O559" s="506">
        <v>5762706</v>
      </c>
      <c r="P559" s="507" t="s">
        <v>196</v>
      </c>
      <c r="Q559" s="508">
        <v>5762706</v>
      </c>
      <c r="R559" s="508">
        <v>5762706</v>
      </c>
      <c r="S559" s="508">
        <v>0</v>
      </c>
      <c r="T559" s="509">
        <v>5762706</v>
      </c>
      <c r="U559" s="506">
        <v>494653</v>
      </c>
      <c r="V559" s="510"/>
    </row>
    <row r="560" spans="1:22" s="270" customFormat="1" ht="15" customHeight="1">
      <c r="A560" s="317"/>
      <c r="B560" s="334">
        <f t="shared" si="21"/>
        <v>550</v>
      </c>
      <c r="C560" s="289" t="s">
        <v>416</v>
      </c>
      <c r="D560" s="330" t="s">
        <v>270</v>
      </c>
      <c r="E560" s="289" t="s">
        <v>384</v>
      </c>
      <c r="F560" s="360" t="s">
        <v>771</v>
      </c>
      <c r="G560" s="500">
        <v>2</v>
      </c>
      <c r="H560" s="501" t="s">
        <v>423</v>
      </c>
      <c r="I560" s="502" t="s">
        <v>1308</v>
      </c>
      <c r="J560" s="503">
        <v>9.5299999999999996E-2</v>
      </c>
      <c r="K560" s="504">
        <v>44830</v>
      </c>
      <c r="L560" s="504">
        <v>46656</v>
      </c>
      <c r="M560" s="504">
        <v>45652</v>
      </c>
      <c r="N560" s="505" t="s">
        <v>196</v>
      </c>
      <c r="O560" s="506">
        <v>15000000</v>
      </c>
      <c r="P560" s="507" t="s">
        <v>196</v>
      </c>
      <c r="Q560" s="508">
        <v>8822001</v>
      </c>
      <c r="R560" s="508">
        <v>8822001</v>
      </c>
      <c r="S560" s="508">
        <v>0</v>
      </c>
      <c r="T560" s="509">
        <v>8822001</v>
      </c>
      <c r="U560" s="506">
        <v>433735</v>
      </c>
      <c r="V560" s="510"/>
    </row>
    <row r="561" spans="1:22" s="270" customFormat="1" ht="15" customHeight="1">
      <c r="A561" s="317"/>
      <c r="B561" s="334">
        <f t="shared" si="21"/>
        <v>551</v>
      </c>
      <c r="C561" s="289" t="s">
        <v>416</v>
      </c>
      <c r="D561" s="330" t="s">
        <v>270</v>
      </c>
      <c r="E561" s="289" t="s">
        <v>384</v>
      </c>
      <c r="F561" s="360" t="s">
        <v>771</v>
      </c>
      <c r="G561" s="500">
        <v>3</v>
      </c>
      <c r="H561" s="501" t="s">
        <v>441</v>
      </c>
      <c r="I561" s="502" t="s">
        <v>1309</v>
      </c>
      <c r="J561" s="503"/>
      <c r="K561" s="504">
        <v>45768</v>
      </c>
      <c r="L561" s="504"/>
      <c r="M561" s="504"/>
      <c r="N561" s="505" t="s">
        <v>196</v>
      </c>
      <c r="O561" s="506">
        <v>703740</v>
      </c>
      <c r="P561" s="507" t="s">
        <v>196</v>
      </c>
      <c r="Q561" s="508">
        <v>0</v>
      </c>
      <c r="R561" s="508">
        <v>0</v>
      </c>
      <c r="S561" s="508">
        <v>703740</v>
      </c>
      <c r="T561" s="509">
        <v>703740</v>
      </c>
      <c r="U561" s="506">
        <v>0</v>
      </c>
      <c r="V561" s="510" t="s">
        <v>439</v>
      </c>
    </row>
    <row r="562" spans="1:22" s="270" customFormat="1" ht="15" customHeight="1">
      <c r="A562" s="317"/>
      <c r="B562" s="334">
        <f t="shared" si="21"/>
        <v>552</v>
      </c>
      <c r="C562" s="289" t="s">
        <v>416</v>
      </c>
      <c r="D562" s="330" t="s">
        <v>270</v>
      </c>
      <c r="E562" s="289" t="s">
        <v>384</v>
      </c>
      <c r="F562" s="360" t="s">
        <v>771</v>
      </c>
      <c r="G562" s="500">
        <v>4</v>
      </c>
      <c r="H562" s="501" t="s">
        <v>441</v>
      </c>
      <c r="I562" s="502" t="s">
        <v>1310</v>
      </c>
      <c r="J562" s="503"/>
      <c r="K562" s="504">
        <v>45761</v>
      </c>
      <c r="L562" s="504"/>
      <c r="M562" s="504"/>
      <c r="N562" s="505" t="s">
        <v>196</v>
      </c>
      <c r="O562" s="506">
        <v>269020</v>
      </c>
      <c r="P562" s="507" t="s">
        <v>196</v>
      </c>
      <c r="Q562" s="508">
        <v>0</v>
      </c>
      <c r="R562" s="508">
        <v>0</v>
      </c>
      <c r="S562" s="508">
        <v>243245</v>
      </c>
      <c r="T562" s="509">
        <v>243245</v>
      </c>
      <c r="U562" s="506">
        <v>0</v>
      </c>
      <c r="V562" s="510" t="s">
        <v>437</v>
      </c>
    </row>
    <row r="563" spans="1:22" s="270" customFormat="1" ht="15" customHeight="1">
      <c r="A563" s="317"/>
      <c r="B563" s="334">
        <f t="shared" si="21"/>
        <v>553</v>
      </c>
      <c r="C563" s="289" t="s">
        <v>416</v>
      </c>
      <c r="D563" s="330" t="s">
        <v>270</v>
      </c>
      <c r="E563" s="289" t="s">
        <v>385</v>
      </c>
      <c r="F563" s="360" t="s">
        <v>772</v>
      </c>
      <c r="G563" s="500">
        <v>1</v>
      </c>
      <c r="H563" s="501" t="s">
        <v>423</v>
      </c>
      <c r="I563" s="502" t="s">
        <v>1311</v>
      </c>
      <c r="J563" s="503">
        <v>8.1199999999999994E-2</v>
      </c>
      <c r="K563" s="504">
        <v>41863</v>
      </c>
      <c r="L563" s="504">
        <v>45516</v>
      </c>
      <c r="M563" s="504">
        <v>45210</v>
      </c>
      <c r="N563" s="505" t="s">
        <v>196</v>
      </c>
      <c r="O563" s="506">
        <v>100000000</v>
      </c>
      <c r="P563" s="507" t="s">
        <v>196</v>
      </c>
      <c r="Q563" s="508">
        <v>14835839</v>
      </c>
      <c r="R563" s="508">
        <v>14835839</v>
      </c>
      <c r="S563" s="508">
        <v>0</v>
      </c>
      <c r="T563" s="509">
        <v>14835839</v>
      </c>
      <c r="U563" s="506">
        <v>2105522</v>
      </c>
      <c r="V563" s="510"/>
    </row>
    <row r="564" spans="1:22" s="270" customFormat="1" ht="15" customHeight="1">
      <c r="A564" s="317"/>
      <c r="B564" s="334">
        <f t="shared" si="21"/>
        <v>554</v>
      </c>
      <c r="C564" s="289" t="s">
        <v>416</v>
      </c>
      <c r="D564" s="330" t="s">
        <v>270</v>
      </c>
      <c r="E564" s="289" t="s">
        <v>385</v>
      </c>
      <c r="F564" s="360" t="s">
        <v>772</v>
      </c>
      <c r="G564" s="500">
        <v>2</v>
      </c>
      <c r="H564" s="501" t="s">
        <v>441</v>
      </c>
      <c r="I564" s="502" t="s">
        <v>1312</v>
      </c>
      <c r="J564" s="503"/>
      <c r="K564" s="504">
        <v>45868</v>
      </c>
      <c r="L564" s="504"/>
      <c r="M564" s="504"/>
      <c r="N564" s="505" t="s">
        <v>196</v>
      </c>
      <c r="O564" s="506">
        <v>704220</v>
      </c>
      <c r="P564" s="507" t="s">
        <v>196</v>
      </c>
      <c r="Q564" s="508">
        <v>0</v>
      </c>
      <c r="R564" s="508">
        <v>0</v>
      </c>
      <c r="S564" s="508">
        <v>704220</v>
      </c>
      <c r="T564" s="509">
        <v>704220</v>
      </c>
      <c r="U564" s="506">
        <v>0</v>
      </c>
      <c r="V564" s="510" t="s">
        <v>439</v>
      </c>
    </row>
    <row r="565" spans="1:22" s="270" customFormat="1" ht="15" customHeight="1">
      <c r="A565" s="317"/>
      <c r="B565" s="334">
        <f t="shared" si="21"/>
        <v>555</v>
      </c>
      <c r="C565" s="289" t="s">
        <v>416</v>
      </c>
      <c r="D565" s="330" t="s">
        <v>270</v>
      </c>
      <c r="E565" s="289" t="s">
        <v>386</v>
      </c>
      <c r="F565" s="360" t="s">
        <v>773</v>
      </c>
      <c r="G565" s="500">
        <v>1</v>
      </c>
      <c r="H565" s="501" t="s">
        <v>430</v>
      </c>
      <c r="I565" s="502" t="s">
        <v>1313</v>
      </c>
      <c r="J565" s="503">
        <v>8.43E-2</v>
      </c>
      <c r="K565" s="504">
        <v>41656</v>
      </c>
      <c r="L565" s="504">
        <v>52613</v>
      </c>
      <c r="M565" s="504">
        <v>45670</v>
      </c>
      <c r="N565" s="505" t="s">
        <v>196</v>
      </c>
      <c r="O565" s="506">
        <v>32000000</v>
      </c>
      <c r="P565" s="507" t="s">
        <v>196</v>
      </c>
      <c r="Q565" s="508">
        <v>14708000</v>
      </c>
      <c r="R565" s="508">
        <v>14708000</v>
      </c>
      <c r="S565" s="508">
        <v>0</v>
      </c>
      <c r="T565" s="509">
        <v>14708000</v>
      </c>
      <c r="U565" s="506">
        <v>579000</v>
      </c>
      <c r="V565" s="510"/>
    </row>
    <row r="566" spans="1:22" s="270" customFormat="1" ht="15" customHeight="1">
      <c r="A566" s="317"/>
      <c r="B566" s="334">
        <f t="shared" si="21"/>
        <v>556</v>
      </c>
      <c r="C566" s="289" t="s">
        <v>416</v>
      </c>
      <c r="D566" s="330" t="s">
        <v>270</v>
      </c>
      <c r="E566" s="289" t="s">
        <v>386</v>
      </c>
      <c r="F566" s="360" t="s">
        <v>773</v>
      </c>
      <c r="G566" s="500">
        <v>2</v>
      </c>
      <c r="H566" s="501" t="s">
        <v>441</v>
      </c>
      <c r="I566" s="502" t="s">
        <v>1314</v>
      </c>
      <c r="J566" s="503"/>
      <c r="K566" s="504">
        <v>45839</v>
      </c>
      <c r="L566" s="504"/>
      <c r="M566" s="504"/>
      <c r="N566" s="505" t="s">
        <v>196</v>
      </c>
      <c r="O566" s="506">
        <v>2200290</v>
      </c>
      <c r="P566" s="507" t="s">
        <v>196</v>
      </c>
      <c r="Q566" s="508">
        <v>0</v>
      </c>
      <c r="R566" s="508">
        <v>0</v>
      </c>
      <c r="S566" s="508">
        <v>2200290</v>
      </c>
      <c r="T566" s="509">
        <v>2200290</v>
      </c>
      <c r="U566" s="506">
        <v>0</v>
      </c>
      <c r="V566" s="510" t="s">
        <v>439</v>
      </c>
    </row>
    <row r="567" spans="1:22" s="270" customFormat="1" ht="15" customHeight="1">
      <c r="A567" s="317"/>
      <c r="B567" s="334">
        <f t="shared" si="21"/>
        <v>557</v>
      </c>
      <c r="C567" s="289" t="s">
        <v>416</v>
      </c>
      <c r="D567" s="330" t="s">
        <v>270</v>
      </c>
      <c r="E567" s="289" t="s">
        <v>636</v>
      </c>
      <c r="F567" s="360" t="s">
        <v>774</v>
      </c>
      <c r="G567" s="500">
        <v>1</v>
      </c>
      <c r="H567" s="501" t="s">
        <v>423</v>
      </c>
      <c r="I567" s="502" t="s">
        <v>1315</v>
      </c>
      <c r="J567" s="503">
        <v>8.3000000000000004E-2</v>
      </c>
      <c r="K567" s="504">
        <v>44438</v>
      </c>
      <c r="L567" s="504">
        <v>46264</v>
      </c>
      <c r="M567" s="504">
        <v>45565</v>
      </c>
      <c r="N567" s="505" t="s">
        <v>196</v>
      </c>
      <c r="O567" s="506">
        <v>4000000</v>
      </c>
      <c r="P567" s="507" t="s">
        <v>196</v>
      </c>
      <c r="Q567" s="508">
        <v>1659571</v>
      </c>
      <c r="R567" s="508">
        <v>1659571</v>
      </c>
      <c r="S567" s="508">
        <v>0</v>
      </c>
      <c r="T567" s="509">
        <v>1659571</v>
      </c>
      <c r="U567" s="506">
        <v>103542</v>
      </c>
      <c r="V567" s="510"/>
    </row>
    <row r="568" spans="1:22" s="270" customFormat="1" ht="15" customHeight="1">
      <c r="A568" s="317"/>
      <c r="B568" s="334">
        <f t="shared" si="21"/>
        <v>558</v>
      </c>
      <c r="C568" s="289" t="s">
        <v>416</v>
      </c>
      <c r="D568" s="330" t="s">
        <v>270</v>
      </c>
      <c r="E568" s="289" t="s">
        <v>636</v>
      </c>
      <c r="F568" s="360" t="s">
        <v>774</v>
      </c>
      <c r="G568" s="500">
        <v>2</v>
      </c>
      <c r="H568" s="501" t="s">
        <v>430</v>
      </c>
      <c r="I568" s="502" t="s">
        <v>1316</v>
      </c>
      <c r="J568" s="503">
        <v>9.1799999999999993E-2</v>
      </c>
      <c r="K568" s="504">
        <v>44438</v>
      </c>
      <c r="L568" s="504">
        <v>48090</v>
      </c>
      <c r="M568" s="504">
        <v>45565</v>
      </c>
      <c r="N568" s="505" t="s">
        <v>196</v>
      </c>
      <c r="O568" s="506">
        <v>15750000</v>
      </c>
      <c r="P568" s="507" t="s">
        <v>196</v>
      </c>
      <c r="Q568" s="508">
        <v>11751103</v>
      </c>
      <c r="R568" s="508">
        <v>11751103</v>
      </c>
      <c r="S568" s="508">
        <v>0</v>
      </c>
      <c r="T568" s="509">
        <v>11751103</v>
      </c>
      <c r="U568" s="506">
        <v>811015</v>
      </c>
      <c r="V568" s="510"/>
    </row>
    <row r="569" spans="1:22" s="270" customFormat="1" ht="15" customHeight="1">
      <c r="A569" s="317"/>
      <c r="B569" s="334">
        <f t="shared" si="21"/>
        <v>559</v>
      </c>
      <c r="C569" s="289" t="s">
        <v>416</v>
      </c>
      <c r="D569" s="330" t="s">
        <v>270</v>
      </c>
      <c r="E569" s="289" t="s">
        <v>636</v>
      </c>
      <c r="F569" s="360" t="s">
        <v>774</v>
      </c>
      <c r="G569" s="500">
        <v>3</v>
      </c>
      <c r="H569" s="501" t="s">
        <v>441</v>
      </c>
      <c r="I569" s="502" t="s">
        <v>1317</v>
      </c>
      <c r="J569" s="503"/>
      <c r="K569" s="504">
        <v>45673</v>
      </c>
      <c r="L569" s="504"/>
      <c r="M569" s="504"/>
      <c r="N569" s="505" t="s">
        <v>196</v>
      </c>
      <c r="O569" s="506">
        <v>20000</v>
      </c>
      <c r="P569" s="507" t="s">
        <v>196</v>
      </c>
      <c r="Q569" s="508">
        <v>0</v>
      </c>
      <c r="R569" s="508">
        <v>0</v>
      </c>
      <c r="S569" s="508">
        <v>20000</v>
      </c>
      <c r="T569" s="509">
        <v>20000</v>
      </c>
      <c r="U569" s="506">
        <v>0</v>
      </c>
      <c r="V569" s="510" t="s">
        <v>438</v>
      </c>
    </row>
    <row r="570" spans="1:22" s="270" customFormat="1" ht="15" customHeight="1">
      <c r="A570" s="317"/>
      <c r="B570" s="334">
        <f t="shared" si="21"/>
        <v>560</v>
      </c>
      <c r="C570" s="289" t="s">
        <v>416</v>
      </c>
      <c r="D570" s="330" t="s">
        <v>271</v>
      </c>
      <c r="E570" s="289" t="s">
        <v>238</v>
      </c>
      <c r="F570" s="360" t="s">
        <v>775</v>
      </c>
      <c r="G570" s="500">
        <v>1</v>
      </c>
      <c r="H570" s="501" t="s">
        <v>426</v>
      </c>
      <c r="I570" s="502" t="s">
        <v>1318</v>
      </c>
      <c r="J570" s="503">
        <v>0.25</v>
      </c>
      <c r="K570" s="504">
        <v>45800</v>
      </c>
      <c r="L570" s="504">
        <v>47362</v>
      </c>
      <c r="M570" s="504">
        <v>45869</v>
      </c>
      <c r="N570" s="505" t="s">
        <v>196</v>
      </c>
      <c r="O570" s="506">
        <v>81291481</v>
      </c>
      <c r="P570" s="507" t="s">
        <v>196</v>
      </c>
      <c r="Q570" s="508">
        <v>81291481</v>
      </c>
      <c r="R570" s="508">
        <v>81291481</v>
      </c>
      <c r="S570" s="508">
        <v>0</v>
      </c>
      <c r="T570" s="509">
        <v>81291481</v>
      </c>
      <c r="U570" s="506">
        <v>1218260</v>
      </c>
      <c r="V570" s="510"/>
    </row>
    <row r="571" spans="1:22" s="270" customFormat="1" ht="15" customHeight="1">
      <c r="A571" s="317"/>
      <c r="B571" s="334">
        <f t="shared" si="21"/>
        <v>561</v>
      </c>
      <c r="C571" s="289" t="s">
        <v>416</v>
      </c>
      <c r="D571" s="330" t="s">
        <v>271</v>
      </c>
      <c r="E571" s="289" t="s">
        <v>238</v>
      </c>
      <c r="F571" s="360" t="s">
        <v>775</v>
      </c>
      <c r="G571" s="500">
        <v>2</v>
      </c>
      <c r="H571" s="501" t="s">
        <v>212</v>
      </c>
      <c r="I571" s="502" t="s">
        <v>1319</v>
      </c>
      <c r="J571" s="503">
        <v>8.4900000000000003E-2</v>
      </c>
      <c r="K571" s="504">
        <v>44651</v>
      </c>
      <c r="L571" s="504">
        <v>45934</v>
      </c>
      <c r="M571" s="504">
        <v>45780</v>
      </c>
      <c r="N571" s="505" t="s">
        <v>196</v>
      </c>
      <c r="O571" s="506">
        <v>470000000</v>
      </c>
      <c r="P571" s="507" t="s">
        <v>196</v>
      </c>
      <c r="Q571" s="508">
        <v>470000000</v>
      </c>
      <c r="R571" s="508">
        <v>470000000</v>
      </c>
      <c r="S571" s="508">
        <v>0</v>
      </c>
      <c r="T571" s="509">
        <v>470000000</v>
      </c>
      <c r="U571" s="506">
        <v>7850598</v>
      </c>
      <c r="V571" s="510"/>
    </row>
    <row r="572" spans="1:22" s="270" customFormat="1" ht="15" customHeight="1">
      <c r="A572" s="317"/>
      <c r="B572" s="334">
        <f t="shared" si="21"/>
        <v>562</v>
      </c>
      <c r="C572" s="289" t="s">
        <v>416</v>
      </c>
      <c r="D572" s="330" t="s">
        <v>271</v>
      </c>
      <c r="E572" s="289" t="s">
        <v>238</v>
      </c>
      <c r="F572" s="360" t="s">
        <v>775</v>
      </c>
      <c r="G572" s="500">
        <v>3</v>
      </c>
      <c r="H572" s="501" t="s">
        <v>212</v>
      </c>
      <c r="I572" s="502" t="s">
        <v>1320</v>
      </c>
      <c r="J572" s="503">
        <v>8.5500000000000007E-2</v>
      </c>
      <c r="K572" s="504">
        <v>44924</v>
      </c>
      <c r="L572" s="504">
        <v>45934</v>
      </c>
      <c r="M572" s="504">
        <v>45780</v>
      </c>
      <c r="N572" s="505" t="s">
        <v>196</v>
      </c>
      <c r="O572" s="506">
        <v>1000000000</v>
      </c>
      <c r="P572" s="507" t="s">
        <v>196</v>
      </c>
      <c r="Q572" s="508">
        <v>500000000</v>
      </c>
      <c r="R572" s="508">
        <v>500000000</v>
      </c>
      <c r="S572" s="508">
        <v>0</v>
      </c>
      <c r="T572" s="509">
        <v>500000000</v>
      </c>
      <c r="U572" s="506">
        <v>8431412</v>
      </c>
      <c r="V572" s="510"/>
    </row>
    <row r="573" spans="1:22" s="270" customFormat="1" ht="15" customHeight="1">
      <c r="A573" s="317"/>
      <c r="B573" s="334">
        <f t="shared" si="21"/>
        <v>563</v>
      </c>
      <c r="C573" s="289" t="s">
        <v>416</v>
      </c>
      <c r="D573" s="330" t="s">
        <v>271</v>
      </c>
      <c r="E573" s="289" t="s">
        <v>238</v>
      </c>
      <c r="F573" s="360" t="s">
        <v>775</v>
      </c>
      <c r="G573" s="500">
        <v>4</v>
      </c>
      <c r="H573" s="501" t="s">
        <v>212</v>
      </c>
      <c r="I573" s="502" t="s">
        <v>1321</v>
      </c>
      <c r="J573" s="503">
        <v>8.4100000000000008E-2</v>
      </c>
      <c r="K573" s="504">
        <v>45176</v>
      </c>
      <c r="L573" s="504">
        <v>45909</v>
      </c>
      <c r="M573" s="504">
        <v>45785</v>
      </c>
      <c r="N573" s="505" t="s">
        <v>196</v>
      </c>
      <c r="O573" s="506">
        <v>1000000000</v>
      </c>
      <c r="P573" s="507" t="s">
        <v>196</v>
      </c>
      <c r="Q573" s="508">
        <v>1000000000</v>
      </c>
      <c r="R573" s="508">
        <v>1000000000</v>
      </c>
      <c r="S573" s="508">
        <v>0</v>
      </c>
      <c r="T573" s="509">
        <v>1000000000</v>
      </c>
      <c r="U573" s="506">
        <v>15606062</v>
      </c>
      <c r="V573" s="510"/>
    </row>
    <row r="574" spans="1:22" s="270" customFormat="1" ht="15" customHeight="1">
      <c r="A574" s="317"/>
      <c r="B574" s="334">
        <f t="shared" ref="B574:B614" si="22">ROW()-10</f>
        <v>564</v>
      </c>
      <c r="C574" s="289" t="s">
        <v>416</v>
      </c>
      <c r="D574" s="330" t="s">
        <v>271</v>
      </c>
      <c r="E574" s="289" t="s">
        <v>238</v>
      </c>
      <c r="F574" s="360" t="s">
        <v>775</v>
      </c>
      <c r="G574" s="500">
        <v>5</v>
      </c>
      <c r="H574" s="501" t="s">
        <v>212</v>
      </c>
      <c r="I574" s="502" t="s">
        <v>1322</v>
      </c>
      <c r="J574" s="503">
        <v>8.6300000000000002E-2</v>
      </c>
      <c r="K574" s="504">
        <v>45181</v>
      </c>
      <c r="L574" s="504">
        <v>45912</v>
      </c>
      <c r="M574" s="504">
        <v>45788</v>
      </c>
      <c r="N574" s="505" t="s">
        <v>196</v>
      </c>
      <c r="O574" s="506">
        <v>1200000000</v>
      </c>
      <c r="P574" s="507" t="s">
        <v>196</v>
      </c>
      <c r="Q574" s="508">
        <v>1100000000</v>
      </c>
      <c r="R574" s="508">
        <v>1100000000</v>
      </c>
      <c r="S574" s="508">
        <v>0</v>
      </c>
      <c r="T574" s="509">
        <v>1100000000</v>
      </c>
      <c r="U574" s="506">
        <v>17204911</v>
      </c>
      <c r="V574" s="510"/>
    </row>
    <row r="575" spans="1:22" s="270" customFormat="1" ht="15" customHeight="1">
      <c r="A575" s="317"/>
      <c r="B575" s="334">
        <f t="shared" si="22"/>
        <v>565</v>
      </c>
      <c r="C575" s="289" t="s">
        <v>416</v>
      </c>
      <c r="D575" s="330" t="s">
        <v>271</v>
      </c>
      <c r="E575" s="289" t="s">
        <v>238</v>
      </c>
      <c r="F575" s="360" t="s">
        <v>775</v>
      </c>
      <c r="G575" s="500">
        <v>6</v>
      </c>
      <c r="H575" s="501" t="s">
        <v>212</v>
      </c>
      <c r="I575" s="502" t="s">
        <v>1323</v>
      </c>
      <c r="J575" s="503">
        <v>7.8700000000000006E-2</v>
      </c>
      <c r="K575" s="504">
        <v>45216</v>
      </c>
      <c r="L575" s="504">
        <v>45947</v>
      </c>
      <c r="M575" s="504">
        <v>45793</v>
      </c>
      <c r="N575" s="505" t="s">
        <v>196</v>
      </c>
      <c r="O575" s="506">
        <v>500000000</v>
      </c>
      <c r="P575" s="507" t="s">
        <v>196</v>
      </c>
      <c r="Q575" s="508">
        <v>500000000</v>
      </c>
      <c r="R575" s="508">
        <v>500000000</v>
      </c>
      <c r="S575" s="508">
        <v>0</v>
      </c>
      <c r="T575" s="509">
        <v>500000000</v>
      </c>
      <c r="U575" s="506">
        <v>6653735</v>
      </c>
      <c r="V575" s="510"/>
    </row>
    <row r="576" spans="1:22" s="270" customFormat="1" ht="15" customHeight="1">
      <c r="A576" s="317"/>
      <c r="B576" s="334">
        <f t="shared" si="22"/>
        <v>566</v>
      </c>
      <c r="C576" s="289" t="s">
        <v>416</v>
      </c>
      <c r="D576" s="330" t="s">
        <v>271</v>
      </c>
      <c r="E576" s="289" t="s">
        <v>238</v>
      </c>
      <c r="F576" s="360" t="s">
        <v>775</v>
      </c>
      <c r="G576" s="500">
        <v>7</v>
      </c>
      <c r="H576" s="501" t="s">
        <v>212</v>
      </c>
      <c r="I576" s="502" t="s">
        <v>1324</v>
      </c>
      <c r="J576" s="503">
        <v>9.3399999999999997E-2</v>
      </c>
      <c r="K576" s="504">
        <v>45537</v>
      </c>
      <c r="L576" s="504">
        <v>45902</v>
      </c>
      <c r="M576" s="504">
        <v>45778</v>
      </c>
      <c r="N576" s="505" t="s">
        <v>196</v>
      </c>
      <c r="O576" s="506">
        <v>1899000000</v>
      </c>
      <c r="P576" s="507" t="s">
        <v>196</v>
      </c>
      <c r="Q576" s="508">
        <v>1899000000</v>
      </c>
      <c r="R576" s="508">
        <v>1899000000</v>
      </c>
      <c r="S576" s="508">
        <v>0</v>
      </c>
      <c r="T576" s="509">
        <v>1899000000</v>
      </c>
      <c r="U576" s="506">
        <v>36591080</v>
      </c>
      <c r="V576" s="510"/>
    </row>
    <row r="577" spans="1:22" s="270" customFormat="1" ht="15" customHeight="1">
      <c r="A577" s="317"/>
      <c r="B577" s="334">
        <f t="shared" si="22"/>
        <v>567</v>
      </c>
      <c r="C577" s="289" t="s">
        <v>416</v>
      </c>
      <c r="D577" s="330" t="s">
        <v>271</v>
      </c>
      <c r="E577" s="289" t="s">
        <v>238</v>
      </c>
      <c r="F577" s="360" t="s">
        <v>775</v>
      </c>
      <c r="G577" s="500">
        <v>8</v>
      </c>
      <c r="H577" s="501" t="s">
        <v>435</v>
      </c>
      <c r="I577" s="502" t="s">
        <v>1325</v>
      </c>
      <c r="J577" s="503">
        <v>9.6099999999999991E-2</v>
      </c>
      <c r="K577" s="504">
        <v>45520</v>
      </c>
      <c r="L577" s="504">
        <v>45884</v>
      </c>
      <c r="M577" s="504">
        <v>45791</v>
      </c>
      <c r="N577" s="505" t="s">
        <v>196</v>
      </c>
      <c r="O577" s="506">
        <v>400000000</v>
      </c>
      <c r="P577" s="507" t="s">
        <v>196</v>
      </c>
      <c r="Q577" s="508">
        <v>400000000</v>
      </c>
      <c r="R577" s="508">
        <v>400000000</v>
      </c>
      <c r="S577" s="508">
        <v>0</v>
      </c>
      <c r="T577" s="509">
        <v>400000000</v>
      </c>
      <c r="U577" s="506">
        <v>6998136</v>
      </c>
      <c r="V577" s="510"/>
    </row>
    <row r="578" spans="1:22" s="270" customFormat="1" ht="15" customHeight="1">
      <c r="A578" s="317"/>
      <c r="B578" s="334">
        <f t="shared" si="22"/>
        <v>568</v>
      </c>
      <c r="C578" s="289" t="s">
        <v>416</v>
      </c>
      <c r="D578" s="330" t="s">
        <v>271</v>
      </c>
      <c r="E578" s="289" t="s">
        <v>238</v>
      </c>
      <c r="F578" s="360" t="s">
        <v>775</v>
      </c>
      <c r="G578" s="500">
        <v>9</v>
      </c>
      <c r="H578" s="501" t="s">
        <v>432</v>
      </c>
      <c r="I578" s="502" t="s">
        <v>1326</v>
      </c>
      <c r="J578" s="503">
        <v>7.5800000000000006E-2</v>
      </c>
      <c r="K578" s="504">
        <v>45579</v>
      </c>
      <c r="L578" s="504">
        <v>45848</v>
      </c>
      <c r="M578" s="504">
        <v>45791</v>
      </c>
      <c r="N578" s="505" t="s">
        <v>196</v>
      </c>
      <c r="O578" s="506">
        <v>150000000</v>
      </c>
      <c r="P578" s="507" t="s">
        <v>196</v>
      </c>
      <c r="Q578" s="508">
        <v>150000000</v>
      </c>
      <c r="R578" s="508">
        <v>150000000</v>
      </c>
      <c r="S578" s="508">
        <v>0</v>
      </c>
      <c r="T578" s="509">
        <v>150000000</v>
      </c>
      <c r="U578" s="506">
        <v>1943555</v>
      </c>
      <c r="V578" s="510"/>
    </row>
    <row r="579" spans="1:22" s="270" customFormat="1" ht="15" customHeight="1">
      <c r="A579" s="317"/>
      <c r="B579" s="334">
        <f t="shared" si="22"/>
        <v>569</v>
      </c>
      <c r="C579" s="289" t="s">
        <v>416</v>
      </c>
      <c r="D579" s="330" t="s">
        <v>271</v>
      </c>
      <c r="E579" s="289" t="s">
        <v>238</v>
      </c>
      <c r="F579" s="360" t="s">
        <v>775</v>
      </c>
      <c r="G579" s="500">
        <v>10</v>
      </c>
      <c r="H579" s="501" t="s">
        <v>432</v>
      </c>
      <c r="I579" s="502" t="s">
        <v>1327</v>
      </c>
      <c r="J579" s="503">
        <v>7.5800000000000006E-2</v>
      </c>
      <c r="K579" s="504">
        <v>45579</v>
      </c>
      <c r="L579" s="504">
        <v>45848</v>
      </c>
      <c r="M579" s="504">
        <v>45791</v>
      </c>
      <c r="N579" s="505" t="s">
        <v>196</v>
      </c>
      <c r="O579" s="506">
        <v>150000000</v>
      </c>
      <c r="P579" s="507" t="s">
        <v>196</v>
      </c>
      <c r="Q579" s="508">
        <v>150000000</v>
      </c>
      <c r="R579" s="508">
        <v>150000000</v>
      </c>
      <c r="S579" s="508">
        <v>0</v>
      </c>
      <c r="T579" s="509">
        <v>150000000</v>
      </c>
      <c r="U579" s="506">
        <v>1943555</v>
      </c>
      <c r="V579" s="510"/>
    </row>
    <row r="580" spans="1:22" s="270" customFormat="1" ht="15" customHeight="1">
      <c r="A580" s="317"/>
      <c r="B580" s="334">
        <f t="shared" si="22"/>
        <v>570</v>
      </c>
      <c r="C580" s="289" t="s">
        <v>416</v>
      </c>
      <c r="D580" s="330" t="s">
        <v>271</v>
      </c>
      <c r="E580" s="289" t="s">
        <v>238</v>
      </c>
      <c r="F580" s="360" t="s">
        <v>775</v>
      </c>
      <c r="G580" s="500">
        <v>11</v>
      </c>
      <c r="H580" s="501" t="s">
        <v>432</v>
      </c>
      <c r="I580" s="502" t="s">
        <v>1328</v>
      </c>
      <c r="J580" s="503">
        <v>7.5800000000000006E-2</v>
      </c>
      <c r="K580" s="504">
        <v>45579</v>
      </c>
      <c r="L580" s="504">
        <v>45848</v>
      </c>
      <c r="M580" s="504">
        <v>45791</v>
      </c>
      <c r="N580" s="505" t="s">
        <v>196</v>
      </c>
      <c r="O580" s="506">
        <v>150000000</v>
      </c>
      <c r="P580" s="507" t="s">
        <v>196</v>
      </c>
      <c r="Q580" s="508">
        <v>150000000</v>
      </c>
      <c r="R580" s="508">
        <v>150000000</v>
      </c>
      <c r="S580" s="508">
        <v>0</v>
      </c>
      <c r="T580" s="509">
        <v>150000000</v>
      </c>
      <c r="U580" s="506">
        <v>1943555</v>
      </c>
      <c r="V580" s="510"/>
    </row>
    <row r="581" spans="1:22" s="270" customFormat="1" ht="15" customHeight="1">
      <c r="A581" s="317"/>
      <c r="B581" s="334">
        <f t="shared" si="22"/>
        <v>571</v>
      </c>
      <c r="C581" s="289" t="s">
        <v>416</v>
      </c>
      <c r="D581" s="330" t="s">
        <v>271</v>
      </c>
      <c r="E581" s="289" t="s">
        <v>238</v>
      </c>
      <c r="F581" s="360" t="s">
        <v>775</v>
      </c>
      <c r="G581" s="500">
        <v>12</v>
      </c>
      <c r="H581" s="501" t="s">
        <v>432</v>
      </c>
      <c r="I581" s="502" t="s">
        <v>1329</v>
      </c>
      <c r="J581" s="503">
        <v>7.5800000000000006E-2</v>
      </c>
      <c r="K581" s="504">
        <v>45579</v>
      </c>
      <c r="L581" s="504">
        <v>45848</v>
      </c>
      <c r="M581" s="504">
        <v>45791</v>
      </c>
      <c r="N581" s="505" t="s">
        <v>196</v>
      </c>
      <c r="O581" s="506">
        <v>150000000</v>
      </c>
      <c r="P581" s="507" t="s">
        <v>196</v>
      </c>
      <c r="Q581" s="508">
        <v>150000000</v>
      </c>
      <c r="R581" s="508">
        <v>150000000</v>
      </c>
      <c r="S581" s="508">
        <v>0</v>
      </c>
      <c r="T581" s="509">
        <v>150000000</v>
      </c>
      <c r="U581" s="506">
        <v>1943555</v>
      </c>
      <c r="V581" s="510"/>
    </row>
    <row r="582" spans="1:22" s="270" customFormat="1" ht="15" customHeight="1">
      <c r="A582" s="317"/>
      <c r="B582" s="334">
        <f t="shared" si="22"/>
        <v>572</v>
      </c>
      <c r="C582" s="289" t="s">
        <v>416</v>
      </c>
      <c r="D582" s="330" t="s">
        <v>271</v>
      </c>
      <c r="E582" s="289" t="s">
        <v>238</v>
      </c>
      <c r="F582" s="360" t="s">
        <v>775</v>
      </c>
      <c r="G582" s="500">
        <v>13</v>
      </c>
      <c r="H582" s="501" t="s">
        <v>432</v>
      </c>
      <c r="I582" s="502" t="s">
        <v>1330</v>
      </c>
      <c r="J582" s="503">
        <v>7.5800000000000006E-2</v>
      </c>
      <c r="K582" s="504">
        <v>45579</v>
      </c>
      <c r="L582" s="504">
        <v>45848</v>
      </c>
      <c r="M582" s="504">
        <v>45791</v>
      </c>
      <c r="N582" s="505" t="s">
        <v>196</v>
      </c>
      <c r="O582" s="506">
        <v>150000000</v>
      </c>
      <c r="P582" s="507" t="s">
        <v>196</v>
      </c>
      <c r="Q582" s="508">
        <v>150000000</v>
      </c>
      <c r="R582" s="508">
        <v>150000000</v>
      </c>
      <c r="S582" s="508">
        <v>0</v>
      </c>
      <c r="T582" s="509">
        <v>150000000</v>
      </c>
      <c r="U582" s="506">
        <v>1943555</v>
      </c>
      <c r="V582" s="510"/>
    </row>
    <row r="583" spans="1:22" s="270" customFormat="1" ht="15" customHeight="1">
      <c r="A583" s="317"/>
      <c r="B583" s="334">
        <f t="shared" si="22"/>
        <v>573</v>
      </c>
      <c r="C583" s="289" t="s">
        <v>416</v>
      </c>
      <c r="D583" s="330" t="s">
        <v>271</v>
      </c>
      <c r="E583" s="289" t="s">
        <v>238</v>
      </c>
      <c r="F583" s="360" t="s">
        <v>775</v>
      </c>
      <c r="G583" s="500">
        <v>14</v>
      </c>
      <c r="H583" s="501" t="s">
        <v>432</v>
      </c>
      <c r="I583" s="502" t="s">
        <v>1331</v>
      </c>
      <c r="J583" s="503">
        <v>7.5800000000000006E-2</v>
      </c>
      <c r="K583" s="504">
        <v>45579</v>
      </c>
      <c r="L583" s="504">
        <v>45848</v>
      </c>
      <c r="M583" s="504">
        <v>45791</v>
      </c>
      <c r="N583" s="505" t="s">
        <v>196</v>
      </c>
      <c r="O583" s="506">
        <v>150000000</v>
      </c>
      <c r="P583" s="507" t="s">
        <v>196</v>
      </c>
      <c r="Q583" s="508">
        <v>150000000</v>
      </c>
      <c r="R583" s="508">
        <v>150000000</v>
      </c>
      <c r="S583" s="508">
        <v>0</v>
      </c>
      <c r="T583" s="509">
        <v>150000000</v>
      </c>
      <c r="U583" s="506">
        <v>1943555</v>
      </c>
      <c r="V583" s="510"/>
    </row>
    <row r="584" spans="1:22" s="270" customFormat="1" ht="15" customHeight="1">
      <c r="A584" s="317"/>
      <c r="B584" s="334">
        <f t="shared" si="22"/>
        <v>574</v>
      </c>
      <c r="C584" s="289" t="s">
        <v>416</v>
      </c>
      <c r="D584" s="330" t="s">
        <v>271</v>
      </c>
      <c r="E584" s="289" t="s">
        <v>238</v>
      </c>
      <c r="F584" s="360" t="s">
        <v>775</v>
      </c>
      <c r="G584" s="500">
        <v>15</v>
      </c>
      <c r="H584" s="501" t="s">
        <v>432</v>
      </c>
      <c r="I584" s="502" t="s">
        <v>1332</v>
      </c>
      <c r="J584" s="503">
        <v>7.5800000000000006E-2</v>
      </c>
      <c r="K584" s="504">
        <v>45579</v>
      </c>
      <c r="L584" s="504">
        <v>45848</v>
      </c>
      <c r="M584" s="504">
        <v>45791</v>
      </c>
      <c r="N584" s="505" t="s">
        <v>196</v>
      </c>
      <c r="O584" s="506">
        <v>100000000</v>
      </c>
      <c r="P584" s="507" t="s">
        <v>196</v>
      </c>
      <c r="Q584" s="508">
        <v>100000000</v>
      </c>
      <c r="R584" s="508">
        <v>100000000</v>
      </c>
      <c r="S584" s="508">
        <v>0</v>
      </c>
      <c r="T584" s="509">
        <v>100000000</v>
      </c>
      <c r="U584" s="506">
        <v>1295703</v>
      </c>
      <c r="V584" s="510"/>
    </row>
    <row r="585" spans="1:22" s="270" customFormat="1" ht="15" customHeight="1">
      <c r="A585" s="317"/>
      <c r="B585" s="334">
        <f t="shared" si="22"/>
        <v>575</v>
      </c>
      <c r="C585" s="289" t="s">
        <v>416</v>
      </c>
      <c r="D585" s="330" t="s">
        <v>271</v>
      </c>
      <c r="E585" s="289" t="s">
        <v>238</v>
      </c>
      <c r="F585" s="360" t="s">
        <v>775</v>
      </c>
      <c r="G585" s="500">
        <v>16</v>
      </c>
      <c r="H585" s="501" t="s">
        <v>432</v>
      </c>
      <c r="I585" s="502" t="s">
        <v>1333</v>
      </c>
      <c r="J585" s="503">
        <v>7.5800000000000006E-2</v>
      </c>
      <c r="K585" s="504">
        <v>45579</v>
      </c>
      <c r="L585" s="504">
        <v>45848</v>
      </c>
      <c r="M585" s="504">
        <v>45791</v>
      </c>
      <c r="N585" s="505" t="s">
        <v>196</v>
      </c>
      <c r="O585" s="506">
        <v>64000000</v>
      </c>
      <c r="P585" s="507" t="s">
        <v>196</v>
      </c>
      <c r="Q585" s="508">
        <v>64000000</v>
      </c>
      <c r="R585" s="508">
        <v>64000000</v>
      </c>
      <c r="S585" s="508">
        <v>0</v>
      </c>
      <c r="T585" s="509">
        <v>64000000</v>
      </c>
      <c r="U585" s="506">
        <v>829248</v>
      </c>
      <c r="V585" s="510"/>
    </row>
    <row r="586" spans="1:22" s="270" customFormat="1" ht="15" customHeight="1">
      <c r="A586" s="317"/>
      <c r="B586" s="334">
        <f t="shared" si="22"/>
        <v>576</v>
      </c>
      <c r="C586" s="289" t="s">
        <v>416</v>
      </c>
      <c r="D586" s="330" t="s">
        <v>271</v>
      </c>
      <c r="E586" s="289" t="s">
        <v>238</v>
      </c>
      <c r="F586" s="360" t="s">
        <v>775</v>
      </c>
      <c r="G586" s="500">
        <v>17</v>
      </c>
      <c r="H586" s="501" t="s">
        <v>212</v>
      </c>
      <c r="I586" s="502" t="s">
        <v>1334</v>
      </c>
      <c r="J586" s="503">
        <v>7.8100000000000003E-2</v>
      </c>
      <c r="K586" s="504">
        <v>42643</v>
      </c>
      <c r="L586" s="504">
        <v>45898</v>
      </c>
      <c r="M586" s="504">
        <v>45782</v>
      </c>
      <c r="N586" s="505" t="s">
        <v>196</v>
      </c>
      <c r="O586" s="506">
        <v>150000000</v>
      </c>
      <c r="P586" s="507" t="s">
        <v>196</v>
      </c>
      <c r="Q586" s="508">
        <v>149500000</v>
      </c>
      <c r="R586" s="508">
        <v>149500000</v>
      </c>
      <c r="S586" s="508">
        <v>0</v>
      </c>
      <c r="T586" s="509">
        <v>149500000</v>
      </c>
      <c r="U586" s="506">
        <v>2323190</v>
      </c>
      <c r="V586" s="510"/>
    </row>
    <row r="587" spans="1:22" s="270" customFormat="1" ht="15" customHeight="1">
      <c r="A587" s="317"/>
      <c r="B587" s="334">
        <f t="shared" si="22"/>
        <v>577</v>
      </c>
      <c r="C587" s="289" t="s">
        <v>416</v>
      </c>
      <c r="D587" s="330" t="s">
        <v>271</v>
      </c>
      <c r="E587" s="289" t="s">
        <v>238</v>
      </c>
      <c r="F587" s="360" t="s">
        <v>775</v>
      </c>
      <c r="G587" s="500">
        <v>18</v>
      </c>
      <c r="H587" s="501" t="s">
        <v>212</v>
      </c>
      <c r="I587" s="502" t="s">
        <v>1335</v>
      </c>
      <c r="J587" s="503">
        <v>7.8399999999999997E-2</v>
      </c>
      <c r="K587" s="504">
        <v>43539</v>
      </c>
      <c r="L587" s="504">
        <v>46081</v>
      </c>
      <c r="M587" s="504">
        <v>45774</v>
      </c>
      <c r="N587" s="505" t="s">
        <v>196</v>
      </c>
      <c r="O587" s="506">
        <v>3000000000</v>
      </c>
      <c r="P587" s="507" t="s">
        <v>196</v>
      </c>
      <c r="Q587" s="508">
        <v>1600000000</v>
      </c>
      <c r="R587" s="508">
        <v>1600000000</v>
      </c>
      <c r="S587" s="508">
        <v>0</v>
      </c>
      <c r="T587" s="509">
        <v>1600000000</v>
      </c>
      <c r="U587" s="506">
        <v>26414679</v>
      </c>
      <c r="V587" s="510"/>
    </row>
    <row r="588" spans="1:22" s="270" customFormat="1" ht="15" customHeight="1">
      <c r="A588" s="317"/>
      <c r="B588" s="334">
        <f t="shared" si="22"/>
        <v>578</v>
      </c>
      <c r="C588" s="289" t="s">
        <v>416</v>
      </c>
      <c r="D588" s="330" t="s">
        <v>271</v>
      </c>
      <c r="E588" s="289" t="s">
        <v>238</v>
      </c>
      <c r="F588" s="360" t="s">
        <v>775</v>
      </c>
      <c r="G588" s="500">
        <v>19</v>
      </c>
      <c r="H588" s="501" t="s">
        <v>1336</v>
      </c>
      <c r="I588" s="502" t="s">
        <v>1337</v>
      </c>
      <c r="J588" s="503">
        <v>0.09</v>
      </c>
      <c r="K588" s="504">
        <v>45821</v>
      </c>
      <c r="L588" s="504">
        <v>45821</v>
      </c>
      <c r="M588" s="504"/>
      <c r="N588" s="505" t="s">
        <v>196</v>
      </c>
      <c r="O588" s="506">
        <v>198212844</v>
      </c>
      <c r="P588" s="507" t="s">
        <v>196</v>
      </c>
      <c r="Q588" s="508">
        <v>198212844</v>
      </c>
      <c r="R588" s="508">
        <v>198212844</v>
      </c>
      <c r="S588" s="508">
        <v>0</v>
      </c>
      <c r="T588" s="509">
        <v>198212844</v>
      </c>
      <c r="U588" s="506">
        <v>2394845</v>
      </c>
      <c r="V588" s="510"/>
    </row>
    <row r="589" spans="1:22" s="270" customFormat="1" ht="15" customHeight="1">
      <c r="A589" s="317"/>
      <c r="B589" s="334">
        <f t="shared" si="22"/>
        <v>579</v>
      </c>
      <c r="C589" s="289" t="s">
        <v>416</v>
      </c>
      <c r="D589" s="330" t="s">
        <v>271</v>
      </c>
      <c r="E589" s="289" t="s">
        <v>238</v>
      </c>
      <c r="F589" s="360" t="s">
        <v>775</v>
      </c>
      <c r="G589" s="500">
        <v>20</v>
      </c>
      <c r="H589" s="501" t="s">
        <v>441</v>
      </c>
      <c r="I589" s="502" t="s">
        <v>1338</v>
      </c>
      <c r="J589" s="503"/>
      <c r="K589" s="504">
        <v>45831</v>
      </c>
      <c r="L589" s="504"/>
      <c r="M589" s="504"/>
      <c r="N589" s="505" t="s">
        <v>196</v>
      </c>
      <c r="O589" s="506">
        <v>1716800</v>
      </c>
      <c r="P589" s="507" t="s">
        <v>196</v>
      </c>
      <c r="Q589" s="508">
        <v>0</v>
      </c>
      <c r="R589" s="508">
        <v>0</v>
      </c>
      <c r="S589" s="508">
        <v>1716800</v>
      </c>
      <c r="T589" s="509">
        <v>1716800</v>
      </c>
      <c r="U589" s="506">
        <v>0</v>
      </c>
      <c r="V589" s="510" t="s">
        <v>438</v>
      </c>
    </row>
    <row r="590" spans="1:22" s="270" customFormat="1" ht="15" customHeight="1">
      <c r="A590" s="317"/>
      <c r="B590" s="334">
        <f t="shared" si="22"/>
        <v>580</v>
      </c>
      <c r="C590" s="289" t="s">
        <v>416</v>
      </c>
      <c r="D590" s="330" t="s">
        <v>271</v>
      </c>
      <c r="E590" s="289" t="s">
        <v>239</v>
      </c>
      <c r="F590" s="360" t="s">
        <v>777</v>
      </c>
      <c r="G590" s="500">
        <v>1</v>
      </c>
      <c r="H590" s="501" t="s">
        <v>212</v>
      </c>
      <c r="I590" s="502" t="s">
        <v>1340</v>
      </c>
      <c r="J590" s="503">
        <v>8.3499999999999991E-2</v>
      </c>
      <c r="K590" s="504">
        <v>44757</v>
      </c>
      <c r="L590" s="504">
        <v>45853</v>
      </c>
      <c r="M590" s="504">
        <v>45703</v>
      </c>
      <c r="N590" s="505" t="s">
        <v>196</v>
      </c>
      <c r="O590" s="506">
        <v>2305000000</v>
      </c>
      <c r="P590" s="507" t="s">
        <v>196</v>
      </c>
      <c r="Q590" s="508">
        <v>2305000000</v>
      </c>
      <c r="R590" s="508">
        <v>2305000000</v>
      </c>
      <c r="S590" s="508">
        <v>0</v>
      </c>
      <c r="T590" s="509">
        <v>2305000000</v>
      </c>
      <c r="U590" s="506">
        <v>72918426</v>
      </c>
      <c r="V590" s="510"/>
    </row>
    <row r="591" spans="1:22" s="270" customFormat="1" ht="15" customHeight="1">
      <c r="A591" s="317"/>
      <c r="B591" s="334">
        <f t="shared" si="22"/>
        <v>581</v>
      </c>
      <c r="C591" s="289" t="s">
        <v>416</v>
      </c>
      <c r="D591" s="330" t="s">
        <v>271</v>
      </c>
      <c r="E591" s="289" t="s">
        <v>239</v>
      </c>
      <c r="F591" s="360" t="s">
        <v>777</v>
      </c>
      <c r="G591" s="500">
        <v>2</v>
      </c>
      <c r="H591" s="501" t="s">
        <v>212</v>
      </c>
      <c r="I591" s="502" t="s">
        <v>1341</v>
      </c>
      <c r="J591" s="503">
        <v>9.9700000000000011E-2</v>
      </c>
      <c r="K591" s="504">
        <v>44757</v>
      </c>
      <c r="L591" s="504">
        <v>45853</v>
      </c>
      <c r="M591" s="504">
        <v>45869</v>
      </c>
      <c r="N591" s="505" t="s">
        <v>196</v>
      </c>
      <c r="O591" s="506">
        <v>200000000</v>
      </c>
      <c r="P591" s="507" t="s">
        <v>196</v>
      </c>
      <c r="Q591" s="508">
        <v>195916953</v>
      </c>
      <c r="R591" s="508">
        <v>195916953</v>
      </c>
      <c r="S591" s="508">
        <v>0</v>
      </c>
      <c r="T591" s="509">
        <v>195916953</v>
      </c>
      <c r="U591" s="506">
        <v>6899845</v>
      </c>
      <c r="V591" s="510"/>
    </row>
    <row r="592" spans="1:22" s="270" customFormat="1" ht="15" customHeight="1">
      <c r="A592" s="317"/>
      <c r="B592" s="334">
        <f t="shared" si="22"/>
        <v>582</v>
      </c>
      <c r="C592" s="289" t="s">
        <v>416</v>
      </c>
      <c r="D592" s="330" t="s">
        <v>271</v>
      </c>
      <c r="E592" s="289" t="s">
        <v>239</v>
      </c>
      <c r="F592" s="360" t="s">
        <v>777</v>
      </c>
      <c r="G592" s="500">
        <v>3</v>
      </c>
      <c r="H592" s="501" t="s">
        <v>212</v>
      </c>
      <c r="I592" s="502" t="s">
        <v>1342</v>
      </c>
      <c r="J592" s="503">
        <v>8.14E-2</v>
      </c>
      <c r="K592" s="504">
        <v>44757</v>
      </c>
      <c r="L592" s="504">
        <v>45849</v>
      </c>
      <c r="M592" s="504">
        <v>45869</v>
      </c>
      <c r="N592" s="505" t="s">
        <v>196</v>
      </c>
      <c r="O592" s="506">
        <v>334000000</v>
      </c>
      <c r="P592" s="507" t="s">
        <v>196</v>
      </c>
      <c r="Q592" s="508">
        <v>50100000</v>
      </c>
      <c r="R592" s="508">
        <v>50100000</v>
      </c>
      <c r="S592" s="508">
        <v>0</v>
      </c>
      <c r="T592" s="509">
        <v>50100000</v>
      </c>
      <c r="U592" s="506">
        <v>380021</v>
      </c>
      <c r="V592" s="510"/>
    </row>
    <row r="593" spans="1:22" s="270" customFormat="1" ht="15" customHeight="1">
      <c r="A593" s="317"/>
      <c r="B593" s="334">
        <f t="shared" si="22"/>
        <v>583</v>
      </c>
      <c r="C593" s="289" t="s">
        <v>416</v>
      </c>
      <c r="D593" s="330" t="s">
        <v>271</v>
      </c>
      <c r="E593" s="289" t="s">
        <v>239</v>
      </c>
      <c r="F593" s="360" t="s">
        <v>777</v>
      </c>
      <c r="G593" s="500">
        <v>4</v>
      </c>
      <c r="H593" s="501" t="s">
        <v>212</v>
      </c>
      <c r="I593" s="502" t="s">
        <v>1342</v>
      </c>
      <c r="J593" s="503">
        <v>8.14E-2</v>
      </c>
      <c r="K593" s="504">
        <v>44757</v>
      </c>
      <c r="L593" s="504">
        <v>45849</v>
      </c>
      <c r="M593" s="504">
        <v>45727</v>
      </c>
      <c r="N593" s="505" t="s">
        <v>196</v>
      </c>
      <c r="O593" s="506">
        <v>334000000</v>
      </c>
      <c r="P593" s="507" t="s">
        <v>196</v>
      </c>
      <c r="Q593" s="508">
        <v>283900000</v>
      </c>
      <c r="R593" s="508">
        <v>283900000</v>
      </c>
      <c r="S593" s="508">
        <v>0</v>
      </c>
      <c r="T593" s="509">
        <v>283900000</v>
      </c>
      <c r="U593" s="506">
        <v>8381952</v>
      </c>
      <c r="V593" s="510"/>
    </row>
    <row r="594" spans="1:22" s="270" customFormat="1" ht="15" customHeight="1">
      <c r="A594" s="317"/>
      <c r="B594" s="334">
        <f t="shared" si="22"/>
        <v>584</v>
      </c>
      <c r="C594" s="289" t="s">
        <v>416</v>
      </c>
      <c r="D594" s="330" t="s">
        <v>271</v>
      </c>
      <c r="E594" s="289" t="s">
        <v>239</v>
      </c>
      <c r="F594" s="360" t="s">
        <v>777</v>
      </c>
      <c r="G594" s="500">
        <v>5</v>
      </c>
      <c r="H594" s="501" t="s">
        <v>212</v>
      </c>
      <c r="I594" s="502" t="s">
        <v>1343</v>
      </c>
      <c r="J594" s="503">
        <v>8.0700000000000008E-2</v>
      </c>
      <c r="K594" s="504">
        <v>44851</v>
      </c>
      <c r="L594" s="504">
        <v>45940</v>
      </c>
      <c r="M594" s="504">
        <v>45869</v>
      </c>
      <c r="N594" s="505" t="s">
        <v>196</v>
      </c>
      <c r="O594" s="506">
        <v>300000000</v>
      </c>
      <c r="P594" s="507" t="s">
        <v>196</v>
      </c>
      <c r="Q594" s="508">
        <v>30000000</v>
      </c>
      <c r="R594" s="508">
        <v>30000000</v>
      </c>
      <c r="S594" s="508">
        <v>0</v>
      </c>
      <c r="T594" s="509">
        <v>30000000</v>
      </c>
      <c r="U594" s="506">
        <v>225573</v>
      </c>
      <c r="V594" s="510"/>
    </row>
    <row r="595" spans="1:22" s="270" customFormat="1" ht="15" customHeight="1">
      <c r="A595" s="317"/>
      <c r="B595" s="334">
        <f t="shared" si="22"/>
        <v>585</v>
      </c>
      <c r="C595" s="289" t="s">
        <v>416</v>
      </c>
      <c r="D595" s="330" t="s">
        <v>271</v>
      </c>
      <c r="E595" s="289" t="s">
        <v>239</v>
      </c>
      <c r="F595" s="360" t="s">
        <v>777</v>
      </c>
      <c r="G595" s="500">
        <v>6</v>
      </c>
      <c r="H595" s="501" t="s">
        <v>212</v>
      </c>
      <c r="I595" s="502" t="s">
        <v>1343</v>
      </c>
      <c r="J595" s="503">
        <v>8.0700000000000008E-2</v>
      </c>
      <c r="K595" s="504">
        <v>44851</v>
      </c>
      <c r="L595" s="504">
        <v>45940</v>
      </c>
      <c r="M595" s="504">
        <v>45726</v>
      </c>
      <c r="N595" s="505" t="s">
        <v>196</v>
      </c>
      <c r="O595" s="506">
        <v>300000000</v>
      </c>
      <c r="P595" s="507" t="s">
        <v>196</v>
      </c>
      <c r="Q595" s="508">
        <v>270000000</v>
      </c>
      <c r="R595" s="508">
        <v>270000000</v>
      </c>
      <c r="S595" s="508">
        <v>0</v>
      </c>
      <c r="T595" s="509">
        <v>270000000</v>
      </c>
      <c r="U595" s="506">
        <v>7687686</v>
      </c>
      <c r="V595" s="510"/>
    </row>
    <row r="596" spans="1:22" s="270" customFormat="1" ht="15" customHeight="1">
      <c r="A596" s="317"/>
      <c r="B596" s="334">
        <f t="shared" si="22"/>
        <v>586</v>
      </c>
      <c r="C596" s="289" t="s">
        <v>416</v>
      </c>
      <c r="D596" s="330" t="s">
        <v>271</v>
      </c>
      <c r="E596" s="289" t="s">
        <v>239</v>
      </c>
      <c r="F596" s="360" t="s">
        <v>777</v>
      </c>
      <c r="G596" s="500">
        <v>7</v>
      </c>
      <c r="H596" s="501" t="s">
        <v>422</v>
      </c>
      <c r="I596" s="502" t="s">
        <v>1344</v>
      </c>
      <c r="J596" s="503">
        <v>7.0499999999999993E-2</v>
      </c>
      <c r="K596" s="504">
        <v>44965</v>
      </c>
      <c r="L596" s="504">
        <v>46766</v>
      </c>
      <c r="M596" s="504">
        <v>45723</v>
      </c>
      <c r="N596" s="505" t="s">
        <v>196</v>
      </c>
      <c r="O596" s="506">
        <v>1000000000</v>
      </c>
      <c r="P596" s="507" t="s">
        <v>196</v>
      </c>
      <c r="Q596" s="508">
        <v>1000000000</v>
      </c>
      <c r="R596" s="508">
        <v>1000000000</v>
      </c>
      <c r="S596" s="508">
        <v>0</v>
      </c>
      <c r="T596" s="509">
        <v>1000000000</v>
      </c>
      <c r="U596" s="506">
        <v>24069376</v>
      </c>
      <c r="V596" s="510"/>
    </row>
    <row r="597" spans="1:22" s="270" customFormat="1" ht="15" customHeight="1">
      <c r="A597" s="317"/>
      <c r="B597" s="334">
        <f t="shared" si="22"/>
        <v>587</v>
      </c>
      <c r="C597" s="289" t="s">
        <v>416</v>
      </c>
      <c r="D597" s="330" t="s">
        <v>271</v>
      </c>
      <c r="E597" s="289" t="s">
        <v>239</v>
      </c>
      <c r="F597" s="360" t="s">
        <v>777</v>
      </c>
      <c r="G597" s="500">
        <v>8</v>
      </c>
      <c r="H597" s="501" t="s">
        <v>422</v>
      </c>
      <c r="I597" s="502" t="s">
        <v>1345</v>
      </c>
      <c r="J597" s="503">
        <v>0.10210000000000001</v>
      </c>
      <c r="K597" s="504">
        <v>45159</v>
      </c>
      <c r="L597" s="504">
        <v>48081</v>
      </c>
      <c r="M597" s="504">
        <v>45869</v>
      </c>
      <c r="N597" s="505" t="s">
        <v>196</v>
      </c>
      <c r="O597" s="506">
        <v>210000000</v>
      </c>
      <c r="P597" s="507" t="s">
        <v>196</v>
      </c>
      <c r="Q597" s="508">
        <v>176975000</v>
      </c>
      <c r="R597" s="508">
        <v>176975000</v>
      </c>
      <c r="S597" s="508">
        <v>0</v>
      </c>
      <c r="T597" s="509">
        <v>176975000</v>
      </c>
      <c r="U597" s="506">
        <v>1683318</v>
      </c>
      <c r="V597" s="510"/>
    </row>
    <row r="598" spans="1:22" s="270" customFormat="1" ht="15" customHeight="1">
      <c r="A598" s="317"/>
      <c r="B598" s="334">
        <f t="shared" si="22"/>
        <v>588</v>
      </c>
      <c r="C598" s="289" t="s">
        <v>416</v>
      </c>
      <c r="D598" s="330" t="s">
        <v>271</v>
      </c>
      <c r="E598" s="289" t="s">
        <v>239</v>
      </c>
      <c r="F598" s="360" t="s">
        <v>777</v>
      </c>
      <c r="G598" s="500">
        <v>9</v>
      </c>
      <c r="H598" s="501" t="s">
        <v>422</v>
      </c>
      <c r="I598" s="502" t="s">
        <v>1345</v>
      </c>
      <c r="J598" s="503">
        <v>0.10210000000000001</v>
      </c>
      <c r="K598" s="504">
        <v>45159</v>
      </c>
      <c r="L598" s="504">
        <v>48081</v>
      </c>
      <c r="M598" s="504">
        <v>45708</v>
      </c>
      <c r="N598" s="505" t="s">
        <v>196</v>
      </c>
      <c r="O598" s="506">
        <v>210000000</v>
      </c>
      <c r="P598" s="507" t="s">
        <v>196</v>
      </c>
      <c r="Q598" s="508">
        <v>33025000</v>
      </c>
      <c r="R598" s="508">
        <v>33025000</v>
      </c>
      <c r="S598" s="508">
        <v>0</v>
      </c>
      <c r="T598" s="509">
        <v>33025000</v>
      </c>
      <c r="U598" s="506">
        <v>5916053</v>
      </c>
      <c r="V598" s="510"/>
    </row>
    <row r="599" spans="1:22" s="270" customFormat="1" ht="15" customHeight="1">
      <c r="A599" s="317"/>
      <c r="B599" s="334">
        <f t="shared" si="22"/>
        <v>589</v>
      </c>
      <c r="C599" s="289" t="s">
        <v>416</v>
      </c>
      <c r="D599" s="330" t="s">
        <v>271</v>
      </c>
      <c r="E599" s="289" t="s">
        <v>239</v>
      </c>
      <c r="F599" s="360" t="s">
        <v>777</v>
      </c>
      <c r="G599" s="500">
        <v>10</v>
      </c>
      <c r="H599" s="501" t="s">
        <v>422</v>
      </c>
      <c r="I599" s="502" t="s">
        <v>1346</v>
      </c>
      <c r="J599" s="503">
        <v>6.6500000000000004E-2</v>
      </c>
      <c r="K599" s="504">
        <v>45194</v>
      </c>
      <c r="L599" s="504">
        <v>46990</v>
      </c>
      <c r="M599" s="504">
        <v>45869</v>
      </c>
      <c r="N599" s="505" t="s">
        <v>196</v>
      </c>
      <c r="O599" s="506">
        <v>1000000000</v>
      </c>
      <c r="P599" s="507" t="s">
        <v>196</v>
      </c>
      <c r="Q599" s="508">
        <v>70000000</v>
      </c>
      <c r="R599" s="508">
        <v>70000000</v>
      </c>
      <c r="S599" s="508">
        <v>0</v>
      </c>
      <c r="T599" s="509">
        <v>70000000</v>
      </c>
      <c r="U599" s="506">
        <v>433812</v>
      </c>
      <c r="V599" s="510"/>
    </row>
    <row r="600" spans="1:22" s="270" customFormat="1" ht="15" customHeight="1">
      <c r="A600" s="317"/>
      <c r="B600" s="334">
        <f t="shared" si="22"/>
        <v>590</v>
      </c>
      <c r="C600" s="289" t="s">
        <v>416</v>
      </c>
      <c r="D600" s="330" t="s">
        <v>271</v>
      </c>
      <c r="E600" s="289" t="s">
        <v>239</v>
      </c>
      <c r="F600" s="360" t="s">
        <v>777</v>
      </c>
      <c r="G600" s="500">
        <v>11</v>
      </c>
      <c r="H600" s="501" t="s">
        <v>422</v>
      </c>
      <c r="I600" s="502" t="s">
        <v>1346</v>
      </c>
      <c r="J600" s="503">
        <v>6.6500000000000004E-2</v>
      </c>
      <c r="K600" s="504">
        <v>45194</v>
      </c>
      <c r="L600" s="504">
        <v>46990</v>
      </c>
      <c r="M600" s="504">
        <v>45712</v>
      </c>
      <c r="N600" s="505" t="s">
        <v>196</v>
      </c>
      <c r="O600" s="506">
        <v>1000000000</v>
      </c>
      <c r="P600" s="507" t="s">
        <v>196</v>
      </c>
      <c r="Q600" s="508">
        <v>930000000</v>
      </c>
      <c r="R600" s="508">
        <v>930000000</v>
      </c>
      <c r="S600" s="508">
        <v>0</v>
      </c>
      <c r="T600" s="509">
        <v>930000000</v>
      </c>
      <c r="U600" s="506">
        <v>24615240</v>
      </c>
      <c r="V600" s="510"/>
    </row>
    <row r="601" spans="1:22" s="270" customFormat="1" ht="15" customHeight="1">
      <c r="A601" s="317"/>
      <c r="B601" s="334">
        <f t="shared" si="22"/>
        <v>591</v>
      </c>
      <c r="C601" s="289" t="s">
        <v>416</v>
      </c>
      <c r="D601" s="330" t="s">
        <v>271</v>
      </c>
      <c r="E601" s="289" t="s">
        <v>239</v>
      </c>
      <c r="F601" s="360" t="s">
        <v>777</v>
      </c>
      <c r="G601" s="500">
        <v>12</v>
      </c>
      <c r="H601" s="501" t="s">
        <v>422</v>
      </c>
      <c r="I601" s="502" t="s">
        <v>1347</v>
      </c>
      <c r="J601" s="503">
        <v>8.8200000000000001E-2</v>
      </c>
      <c r="K601" s="504">
        <v>45180</v>
      </c>
      <c r="L601" s="504">
        <v>48087</v>
      </c>
      <c r="M601" s="504">
        <v>45869</v>
      </c>
      <c r="N601" s="505" t="s">
        <v>196</v>
      </c>
      <c r="O601" s="506">
        <v>500000000</v>
      </c>
      <c r="P601" s="507" t="s">
        <v>196</v>
      </c>
      <c r="Q601" s="508">
        <v>35000000</v>
      </c>
      <c r="R601" s="508">
        <v>35000000</v>
      </c>
      <c r="S601" s="508">
        <v>0</v>
      </c>
      <c r="T601" s="509">
        <v>35000000</v>
      </c>
      <c r="U601" s="506">
        <v>287751</v>
      </c>
      <c r="V601" s="510"/>
    </row>
    <row r="602" spans="1:22" s="270" customFormat="1" ht="15" customHeight="1">
      <c r="A602" s="317"/>
      <c r="B602" s="334">
        <f t="shared" si="22"/>
        <v>592</v>
      </c>
      <c r="C602" s="289" t="s">
        <v>416</v>
      </c>
      <c r="D602" s="330" t="s">
        <v>271</v>
      </c>
      <c r="E602" s="289" t="s">
        <v>239</v>
      </c>
      <c r="F602" s="360" t="s">
        <v>777</v>
      </c>
      <c r="G602" s="500">
        <v>13</v>
      </c>
      <c r="H602" s="501" t="s">
        <v>422</v>
      </c>
      <c r="I602" s="502" t="s">
        <v>1347</v>
      </c>
      <c r="J602" s="503">
        <v>8.8200000000000001E-2</v>
      </c>
      <c r="K602" s="504">
        <v>45180</v>
      </c>
      <c r="L602" s="504">
        <v>48087</v>
      </c>
      <c r="M602" s="504">
        <v>45726</v>
      </c>
      <c r="N602" s="505" t="s">
        <v>196</v>
      </c>
      <c r="O602" s="506">
        <v>500000000</v>
      </c>
      <c r="P602" s="507" t="s">
        <v>196</v>
      </c>
      <c r="Q602" s="508">
        <v>465000000</v>
      </c>
      <c r="R602" s="508">
        <v>465000000</v>
      </c>
      <c r="S602" s="508">
        <v>0</v>
      </c>
      <c r="T602" s="509">
        <v>465000000</v>
      </c>
      <c r="U602" s="506">
        <v>13996198</v>
      </c>
      <c r="V602" s="510"/>
    </row>
    <row r="603" spans="1:22" s="270" customFormat="1" ht="15" customHeight="1">
      <c r="A603" s="317"/>
      <c r="B603" s="334">
        <f t="shared" si="22"/>
        <v>593</v>
      </c>
      <c r="C603" s="289" t="s">
        <v>416</v>
      </c>
      <c r="D603" s="330" t="s">
        <v>271</v>
      </c>
      <c r="E603" s="289" t="s">
        <v>239</v>
      </c>
      <c r="F603" s="360" t="s">
        <v>777</v>
      </c>
      <c r="G603" s="500">
        <v>14</v>
      </c>
      <c r="H603" s="501" t="s">
        <v>212</v>
      </c>
      <c r="I603" s="502" t="s">
        <v>1348</v>
      </c>
      <c r="J603" s="503">
        <v>0.1016</v>
      </c>
      <c r="K603" s="504">
        <v>45223</v>
      </c>
      <c r="L603" s="504">
        <v>45954</v>
      </c>
      <c r="M603" s="504">
        <v>45869</v>
      </c>
      <c r="N603" s="505" t="s">
        <v>196</v>
      </c>
      <c r="O603" s="506">
        <v>300000000</v>
      </c>
      <c r="P603" s="507" t="s">
        <v>196</v>
      </c>
      <c r="Q603" s="508">
        <v>300000000</v>
      </c>
      <c r="R603" s="508">
        <v>300000000</v>
      </c>
      <c r="S603" s="508">
        <v>0</v>
      </c>
      <c r="T603" s="509">
        <v>300000000</v>
      </c>
      <c r="U603" s="506">
        <v>10644140</v>
      </c>
      <c r="V603" s="510"/>
    </row>
    <row r="604" spans="1:22" s="270" customFormat="1" ht="15" customHeight="1">
      <c r="A604" s="317"/>
      <c r="B604" s="334">
        <f t="shared" si="22"/>
        <v>594</v>
      </c>
      <c r="C604" s="289" t="s">
        <v>416</v>
      </c>
      <c r="D604" s="330" t="s">
        <v>271</v>
      </c>
      <c r="E604" s="289" t="s">
        <v>239</v>
      </c>
      <c r="F604" s="360" t="s">
        <v>777</v>
      </c>
      <c r="G604" s="500">
        <v>15</v>
      </c>
      <c r="H604" s="501" t="s">
        <v>212</v>
      </c>
      <c r="I604" s="502" t="s">
        <v>1349</v>
      </c>
      <c r="J604" s="503">
        <v>0.1</v>
      </c>
      <c r="K604" s="504">
        <v>45223</v>
      </c>
      <c r="L604" s="504">
        <v>46319</v>
      </c>
      <c r="M604" s="504">
        <v>45869</v>
      </c>
      <c r="N604" s="505" t="s">
        <v>196</v>
      </c>
      <c r="O604" s="506">
        <v>300000000</v>
      </c>
      <c r="P604" s="507" t="s">
        <v>196</v>
      </c>
      <c r="Q604" s="508">
        <v>250000000</v>
      </c>
      <c r="R604" s="508">
        <v>250000000</v>
      </c>
      <c r="S604" s="508">
        <v>0</v>
      </c>
      <c r="T604" s="509">
        <v>250000000</v>
      </c>
      <c r="U604" s="506">
        <v>8759034</v>
      </c>
      <c r="V604" s="510"/>
    </row>
    <row r="605" spans="1:22" s="270" customFormat="1" ht="15" customHeight="1">
      <c r="A605" s="317"/>
      <c r="B605" s="334">
        <f t="shared" si="22"/>
        <v>595</v>
      </c>
      <c r="C605" s="289" t="s">
        <v>416</v>
      </c>
      <c r="D605" s="330" t="s">
        <v>271</v>
      </c>
      <c r="E605" s="289" t="s">
        <v>239</v>
      </c>
      <c r="F605" s="360" t="s">
        <v>777</v>
      </c>
      <c r="G605" s="500">
        <v>16</v>
      </c>
      <c r="H605" s="501" t="s">
        <v>212</v>
      </c>
      <c r="I605" s="502" t="s">
        <v>1350</v>
      </c>
      <c r="J605" s="503">
        <v>0.11</v>
      </c>
      <c r="K605" s="504">
        <v>45565</v>
      </c>
      <c r="L605" s="504">
        <v>45930</v>
      </c>
      <c r="M605" s="504">
        <v>45869</v>
      </c>
      <c r="N605" s="505" t="s">
        <v>196</v>
      </c>
      <c r="O605" s="506">
        <v>100000000</v>
      </c>
      <c r="P605" s="507" t="s">
        <v>196</v>
      </c>
      <c r="Q605" s="508">
        <v>58310000</v>
      </c>
      <c r="R605" s="508">
        <v>58310000</v>
      </c>
      <c r="S605" s="508">
        <v>0</v>
      </c>
      <c r="T605" s="509">
        <v>58310000</v>
      </c>
      <c r="U605" s="506">
        <v>2157832</v>
      </c>
      <c r="V605" s="510"/>
    </row>
    <row r="606" spans="1:22" s="270" customFormat="1" ht="15" customHeight="1">
      <c r="A606" s="317"/>
      <c r="B606" s="334">
        <f t="shared" si="22"/>
        <v>596</v>
      </c>
      <c r="C606" s="289" t="s">
        <v>416</v>
      </c>
      <c r="D606" s="330" t="s">
        <v>271</v>
      </c>
      <c r="E606" s="289" t="s">
        <v>239</v>
      </c>
      <c r="F606" s="360" t="s">
        <v>777</v>
      </c>
      <c r="G606" s="500">
        <v>17</v>
      </c>
      <c r="H606" s="501" t="s">
        <v>212</v>
      </c>
      <c r="I606" s="502" t="s">
        <v>1351</v>
      </c>
      <c r="J606" s="503">
        <v>0.11</v>
      </c>
      <c r="K606" s="504">
        <v>45596</v>
      </c>
      <c r="L606" s="504">
        <v>45961</v>
      </c>
      <c r="M606" s="504">
        <v>45869</v>
      </c>
      <c r="N606" s="505" t="s">
        <v>196</v>
      </c>
      <c r="O606" s="506">
        <v>60000000</v>
      </c>
      <c r="P606" s="507" t="s">
        <v>196</v>
      </c>
      <c r="Q606" s="508">
        <v>40000000</v>
      </c>
      <c r="R606" s="508">
        <v>40000000</v>
      </c>
      <c r="S606" s="508">
        <v>0</v>
      </c>
      <c r="T606" s="509">
        <v>40000000</v>
      </c>
      <c r="U606" s="506">
        <v>1716633</v>
      </c>
      <c r="V606" s="510"/>
    </row>
    <row r="607" spans="1:22" s="270" customFormat="1" ht="15" customHeight="1">
      <c r="A607" s="317"/>
      <c r="B607" s="334">
        <f t="shared" si="22"/>
        <v>597</v>
      </c>
      <c r="C607" s="289" t="s">
        <v>416</v>
      </c>
      <c r="D607" s="330" t="s">
        <v>271</v>
      </c>
      <c r="E607" s="289" t="s">
        <v>239</v>
      </c>
      <c r="F607" s="360" t="s">
        <v>777</v>
      </c>
      <c r="G607" s="500">
        <v>18</v>
      </c>
      <c r="H607" s="501" t="s">
        <v>433</v>
      </c>
      <c r="I607" s="502" t="s">
        <v>1352</v>
      </c>
      <c r="J607" s="503">
        <v>8.539999999999999E-2</v>
      </c>
      <c r="K607" s="504">
        <v>45713</v>
      </c>
      <c r="L607" s="504">
        <v>45891</v>
      </c>
      <c r="M607" s="504">
        <v>45869</v>
      </c>
      <c r="N607" s="505" t="s">
        <v>196</v>
      </c>
      <c r="O607" s="506">
        <v>100000000</v>
      </c>
      <c r="P607" s="507" t="s">
        <v>196</v>
      </c>
      <c r="Q607" s="508">
        <v>15000000</v>
      </c>
      <c r="R607" s="508">
        <v>15000000</v>
      </c>
      <c r="S607" s="508">
        <v>0</v>
      </c>
      <c r="T607" s="509">
        <v>15000000</v>
      </c>
      <c r="U607" s="506">
        <v>119390</v>
      </c>
      <c r="V607" s="510"/>
    </row>
    <row r="608" spans="1:22" s="270" customFormat="1" ht="15" customHeight="1">
      <c r="A608" s="317"/>
      <c r="B608" s="334">
        <f t="shared" si="22"/>
        <v>598</v>
      </c>
      <c r="C608" s="289" t="s">
        <v>416</v>
      </c>
      <c r="D608" s="330" t="s">
        <v>271</v>
      </c>
      <c r="E608" s="289" t="s">
        <v>239</v>
      </c>
      <c r="F608" s="360" t="s">
        <v>777</v>
      </c>
      <c r="G608" s="500">
        <v>19</v>
      </c>
      <c r="H608" s="501" t="s">
        <v>433</v>
      </c>
      <c r="I608" s="502" t="s">
        <v>1352</v>
      </c>
      <c r="J608" s="503">
        <v>8.539999999999999E-2</v>
      </c>
      <c r="K608" s="504">
        <v>45713</v>
      </c>
      <c r="L608" s="504">
        <v>45891</v>
      </c>
      <c r="M608" s="504"/>
      <c r="N608" s="505" t="s">
        <v>196</v>
      </c>
      <c r="O608" s="506">
        <v>100000000</v>
      </c>
      <c r="P608" s="507" t="s">
        <v>196</v>
      </c>
      <c r="Q608" s="508">
        <v>85000000</v>
      </c>
      <c r="R608" s="508">
        <v>85000000</v>
      </c>
      <c r="S608" s="508">
        <v>0</v>
      </c>
      <c r="T608" s="509">
        <v>85000000</v>
      </c>
      <c r="U608" s="506">
        <v>2940894</v>
      </c>
      <c r="V608" s="510"/>
    </row>
    <row r="609" spans="1:22" s="270" customFormat="1" ht="15" customHeight="1">
      <c r="A609" s="317"/>
      <c r="B609" s="334">
        <f t="shared" si="22"/>
        <v>599</v>
      </c>
      <c r="C609" s="289" t="s">
        <v>416</v>
      </c>
      <c r="D609" s="330" t="s">
        <v>271</v>
      </c>
      <c r="E609" s="289" t="s">
        <v>239</v>
      </c>
      <c r="F609" s="360" t="s">
        <v>777</v>
      </c>
      <c r="G609" s="500">
        <v>20</v>
      </c>
      <c r="H609" s="501" t="s">
        <v>426</v>
      </c>
      <c r="I609" s="502" t="s">
        <v>1353</v>
      </c>
      <c r="J609" s="503">
        <v>0.25</v>
      </c>
      <c r="K609" s="504">
        <v>45741</v>
      </c>
      <c r="L609" s="504">
        <v>46813</v>
      </c>
      <c r="M609" s="504">
        <v>45869</v>
      </c>
      <c r="N609" s="505" t="s">
        <v>196</v>
      </c>
      <c r="O609" s="506">
        <v>88325958</v>
      </c>
      <c r="P609" s="507" t="s">
        <v>196</v>
      </c>
      <c r="Q609" s="508">
        <v>88325958</v>
      </c>
      <c r="R609" s="508">
        <v>88325958</v>
      </c>
      <c r="S609" s="508">
        <v>0</v>
      </c>
      <c r="T609" s="509">
        <v>88325958</v>
      </c>
      <c r="U609" s="506">
        <v>5222459</v>
      </c>
      <c r="V609" s="510"/>
    </row>
    <row r="610" spans="1:22" s="270" customFormat="1" ht="15" customHeight="1">
      <c r="A610" s="317"/>
      <c r="B610" s="334">
        <f t="shared" si="22"/>
        <v>600</v>
      </c>
      <c r="C610" s="289" t="s">
        <v>416</v>
      </c>
      <c r="D610" s="330" t="s">
        <v>271</v>
      </c>
      <c r="E610" s="289" t="s">
        <v>239</v>
      </c>
      <c r="F610" s="360" t="s">
        <v>777</v>
      </c>
      <c r="G610" s="500">
        <v>21</v>
      </c>
      <c r="H610" s="501" t="s">
        <v>441</v>
      </c>
      <c r="I610" s="502" t="s">
        <v>1354</v>
      </c>
      <c r="J610" s="503"/>
      <c r="K610" s="504">
        <v>45861</v>
      </c>
      <c r="L610" s="504"/>
      <c r="M610" s="504"/>
      <c r="N610" s="505" t="s">
        <v>196</v>
      </c>
      <c r="O610" s="506">
        <v>426620</v>
      </c>
      <c r="P610" s="507" t="s">
        <v>196</v>
      </c>
      <c r="Q610" s="508">
        <v>0</v>
      </c>
      <c r="R610" s="508">
        <v>0</v>
      </c>
      <c r="S610" s="508">
        <v>426620</v>
      </c>
      <c r="T610" s="509">
        <v>426620</v>
      </c>
      <c r="U610" s="506">
        <v>0</v>
      </c>
      <c r="V610" s="510" t="s">
        <v>1339</v>
      </c>
    </row>
    <row r="611" spans="1:22" s="270" customFormat="1" ht="15" customHeight="1">
      <c r="A611" s="317"/>
      <c r="B611" s="334">
        <f t="shared" si="22"/>
        <v>601</v>
      </c>
      <c r="C611" s="289" t="s">
        <v>416</v>
      </c>
      <c r="D611" s="330" t="s">
        <v>271</v>
      </c>
      <c r="E611" s="289" t="s">
        <v>239</v>
      </c>
      <c r="F611" s="360" t="s">
        <v>777</v>
      </c>
      <c r="G611" s="500">
        <v>22</v>
      </c>
      <c r="H611" s="501" t="s">
        <v>441</v>
      </c>
      <c r="I611" s="502" t="s">
        <v>1355</v>
      </c>
      <c r="J611" s="503"/>
      <c r="K611" s="504">
        <v>45824</v>
      </c>
      <c r="L611" s="504"/>
      <c r="M611" s="504"/>
      <c r="N611" s="505" t="s">
        <v>196</v>
      </c>
      <c r="O611" s="506">
        <v>1044710</v>
      </c>
      <c r="P611" s="507" t="s">
        <v>196</v>
      </c>
      <c r="Q611" s="508">
        <v>0</v>
      </c>
      <c r="R611" s="508">
        <v>0</v>
      </c>
      <c r="S611" s="508">
        <v>1044710</v>
      </c>
      <c r="T611" s="509">
        <v>1044710</v>
      </c>
      <c r="U611" s="506">
        <v>0</v>
      </c>
      <c r="V611" s="510" t="s">
        <v>437</v>
      </c>
    </row>
    <row r="612" spans="1:22" s="270" customFormat="1" ht="15" customHeight="1">
      <c r="A612" s="317"/>
      <c r="B612" s="334">
        <f t="shared" si="22"/>
        <v>602</v>
      </c>
      <c r="C612" s="289" t="s">
        <v>416</v>
      </c>
      <c r="D612" s="330" t="s">
        <v>271</v>
      </c>
      <c r="E612" s="289" t="s">
        <v>239</v>
      </c>
      <c r="F612" s="360" t="s">
        <v>777</v>
      </c>
      <c r="G612" s="500">
        <v>23</v>
      </c>
      <c r="H612" s="501" t="s">
        <v>441</v>
      </c>
      <c r="I612" s="502" t="s">
        <v>1356</v>
      </c>
      <c r="J612" s="503"/>
      <c r="K612" s="504">
        <v>45796</v>
      </c>
      <c r="L612" s="504"/>
      <c r="M612" s="504"/>
      <c r="N612" s="505" t="s">
        <v>196</v>
      </c>
      <c r="O612" s="506">
        <v>759000</v>
      </c>
      <c r="P612" s="507" t="s">
        <v>196</v>
      </c>
      <c r="Q612" s="508">
        <v>0</v>
      </c>
      <c r="R612" s="508">
        <v>0</v>
      </c>
      <c r="S612" s="508">
        <v>759000</v>
      </c>
      <c r="T612" s="509">
        <v>759000</v>
      </c>
      <c r="U612" s="506">
        <v>0</v>
      </c>
      <c r="V612" s="510" t="s">
        <v>440</v>
      </c>
    </row>
    <row r="613" spans="1:22" s="270" customFormat="1" ht="15" customHeight="1">
      <c r="A613" s="317"/>
      <c r="B613" s="334">
        <f t="shared" si="22"/>
        <v>603</v>
      </c>
      <c r="C613" s="289" t="s">
        <v>416</v>
      </c>
      <c r="D613" s="330" t="s">
        <v>271</v>
      </c>
      <c r="E613" s="289" t="s">
        <v>239</v>
      </c>
      <c r="F613" s="360" t="s">
        <v>777</v>
      </c>
      <c r="G613" s="500">
        <v>24</v>
      </c>
      <c r="H613" s="501" t="s">
        <v>441</v>
      </c>
      <c r="I613" s="502" t="s">
        <v>1357</v>
      </c>
      <c r="J613" s="503"/>
      <c r="K613" s="504">
        <v>45827</v>
      </c>
      <c r="L613" s="504"/>
      <c r="M613" s="504"/>
      <c r="N613" s="505" t="s">
        <v>196</v>
      </c>
      <c r="O613" s="506">
        <v>784300</v>
      </c>
      <c r="P613" s="507" t="s">
        <v>196</v>
      </c>
      <c r="Q613" s="508">
        <v>0</v>
      </c>
      <c r="R613" s="508">
        <v>0</v>
      </c>
      <c r="S613" s="508">
        <v>784300</v>
      </c>
      <c r="T613" s="509">
        <v>784300</v>
      </c>
      <c r="U613" s="506">
        <v>0</v>
      </c>
      <c r="V613" s="510" t="s">
        <v>440</v>
      </c>
    </row>
    <row r="614" spans="1:22" s="270" customFormat="1" ht="15" customHeight="1">
      <c r="A614" s="317"/>
      <c r="B614" s="334">
        <f t="shared" si="22"/>
        <v>604</v>
      </c>
      <c r="C614" s="289" t="s">
        <v>416</v>
      </c>
      <c r="D614" s="330" t="s">
        <v>271</v>
      </c>
      <c r="E614" s="289" t="s">
        <v>239</v>
      </c>
      <c r="F614" s="360" t="s">
        <v>777</v>
      </c>
      <c r="G614" s="500">
        <v>25</v>
      </c>
      <c r="H614" s="501" t="s">
        <v>441</v>
      </c>
      <c r="I614" s="502" t="s">
        <v>1358</v>
      </c>
      <c r="J614" s="503"/>
      <c r="K614" s="504">
        <v>45855</v>
      </c>
      <c r="L614" s="504"/>
      <c r="M614" s="504"/>
      <c r="N614" s="505" t="s">
        <v>196</v>
      </c>
      <c r="O614" s="506">
        <v>759000</v>
      </c>
      <c r="P614" s="507" t="s">
        <v>196</v>
      </c>
      <c r="Q614" s="508">
        <v>0</v>
      </c>
      <c r="R614" s="508">
        <v>0</v>
      </c>
      <c r="S614" s="508">
        <v>759000</v>
      </c>
      <c r="T614" s="509">
        <v>759000</v>
      </c>
      <c r="U614" s="506">
        <v>0</v>
      </c>
      <c r="V614" s="510" t="s">
        <v>440</v>
      </c>
    </row>
    <row r="615" spans="1:22" s="270" customFormat="1" ht="15" customHeight="1">
      <c r="A615" s="317"/>
      <c r="B615" s="334">
        <f t="shared" ref="B615:B646" si="23">ROW()-10</f>
        <v>605</v>
      </c>
      <c r="C615" s="289" t="s">
        <v>416</v>
      </c>
      <c r="D615" s="330" t="s">
        <v>271</v>
      </c>
      <c r="E615" s="289" t="s">
        <v>240</v>
      </c>
      <c r="F615" s="360" t="s">
        <v>779</v>
      </c>
      <c r="G615" s="500">
        <v>1</v>
      </c>
      <c r="H615" s="501" t="s">
        <v>212</v>
      </c>
      <c r="I615" s="502" t="s">
        <v>1359</v>
      </c>
      <c r="J615" s="503">
        <v>9.9000000000000005E-2</v>
      </c>
      <c r="K615" s="504">
        <v>45114</v>
      </c>
      <c r="L615" s="504">
        <v>45845</v>
      </c>
      <c r="M615" s="504">
        <v>45869</v>
      </c>
      <c r="N615" s="505" t="s">
        <v>196</v>
      </c>
      <c r="O615" s="506">
        <v>500000000</v>
      </c>
      <c r="P615" s="507" t="s">
        <v>196</v>
      </c>
      <c r="Q615" s="508">
        <v>243043286</v>
      </c>
      <c r="R615" s="508">
        <v>243043286</v>
      </c>
      <c r="S615" s="508">
        <v>0</v>
      </c>
      <c r="T615" s="509">
        <v>243043286</v>
      </c>
      <c r="U615" s="506">
        <v>20429123</v>
      </c>
      <c r="V615" s="510"/>
    </row>
    <row r="616" spans="1:22" s="270" customFormat="1" ht="15" customHeight="1">
      <c r="A616" s="317"/>
      <c r="B616" s="334">
        <f t="shared" si="23"/>
        <v>606</v>
      </c>
      <c r="C616" s="289" t="s">
        <v>416</v>
      </c>
      <c r="D616" s="330" t="s">
        <v>271</v>
      </c>
      <c r="E616" s="289" t="s">
        <v>240</v>
      </c>
      <c r="F616" s="360" t="s">
        <v>779</v>
      </c>
      <c r="G616" s="500">
        <v>2</v>
      </c>
      <c r="H616" s="501" t="s">
        <v>212</v>
      </c>
      <c r="I616" s="502" t="s">
        <v>1359</v>
      </c>
      <c r="J616" s="503">
        <v>9.9000000000000005E-2</v>
      </c>
      <c r="K616" s="504">
        <v>45114</v>
      </c>
      <c r="L616" s="504">
        <v>45845</v>
      </c>
      <c r="M616" s="504">
        <v>45480</v>
      </c>
      <c r="N616" s="505" t="s">
        <v>196</v>
      </c>
      <c r="O616" s="506">
        <v>500000000</v>
      </c>
      <c r="P616" s="507" t="s">
        <v>196</v>
      </c>
      <c r="Q616" s="508">
        <v>256956714</v>
      </c>
      <c r="R616" s="508">
        <v>256956714</v>
      </c>
      <c r="S616" s="508">
        <v>0</v>
      </c>
      <c r="T616" s="509">
        <v>256956714</v>
      </c>
      <c r="U616" s="506">
        <v>30279496</v>
      </c>
      <c r="V616" s="510"/>
    </row>
    <row r="617" spans="1:22" s="270" customFormat="1" ht="15" customHeight="1">
      <c r="A617" s="317"/>
      <c r="B617" s="334">
        <f t="shared" si="23"/>
        <v>607</v>
      </c>
      <c r="C617" s="289" t="s">
        <v>416</v>
      </c>
      <c r="D617" s="330" t="s">
        <v>271</v>
      </c>
      <c r="E617" s="289" t="s">
        <v>240</v>
      </c>
      <c r="F617" s="360" t="s">
        <v>779</v>
      </c>
      <c r="G617" s="500">
        <v>3</v>
      </c>
      <c r="H617" s="501" t="s">
        <v>212</v>
      </c>
      <c r="I617" s="502" t="s">
        <v>1360</v>
      </c>
      <c r="J617" s="503">
        <v>0.11</v>
      </c>
      <c r="K617" s="504">
        <v>45134</v>
      </c>
      <c r="L617" s="504">
        <v>45500</v>
      </c>
      <c r="M617" s="504">
        <v>45869</v>
      </c>
      <c r="N617" s="505" t="s">
        <v>196</v>
      </c>
      <c r="O617" s="506">
        <v>500000000</v>
      </c>
      <c r="P617" s="507" t="s">
        <v>196</v>
      </c>
      <c r="Q617" s="508">
        <v>497203787</v>
      </c>
      <c r="R617" s="508">
        <v>497203787</v>
      </c>
      <c r="S617" s="508">
        <v>0</v>
      </c>
      <c r="T617" s="509">
        <v>497203787</v>
      </c>
      <c r="U617" s="506">
        <v>59066628</v>
      </c>
      <c r="V617" s="510"/>
    </row>
    <row r="618" spans="1:22" s="270" customFormat="1" ht="15" customHeight="1">
      <c r="A618" s="317"/>
      <c r="B618" s="334">
        <f t="shared" si="23"/>
        <v>608</v>
      </c>
      <c r="C618" s="289" t="s">
        <v>416</v>
      </c>
      <c r="D618" s="330" t="s">
        <v>271</v>
      </c>
      <c r="E618" s="289" t="s">
        <v>240</v>
      </c>
      <c r="F618" s="360" t="s">
        <v>779</v>
      </c>
      <c r="G618" s="500">
        <v>4</v>
      </c>
      <c r="H618" s="501" t="s">
        <v>212</v>
      </c>
      <c r="I618" s="502" t="s">
        <v>1361</v>
      </c>
      <c r="J618" s="503">
        <v>0.11</v>
      </c>
      <c r="K618" s="504">
        <v>45348</v>
      </c>
      <c r="L618" s="504">
        <v>45505</v>
      </c>
      <c r="M618" s="504">
        <v>45869</v>
      </c>
      <c r="N618" s="505" t="s">
        <v>196</v>
      </c>
      <c r="O618" s="506">
        <v>160000000</v>
      </c>
      <c r="P618" s="507" t="s">
        <v>196</v>
      </c>
      <c r="Q618" s="508">
        <v>120000000</v>
      </c>
      <c r="R618" s="508">
        <v>120000000</v>
      </c>
      <c r="S618" s="508">
        <v>0</v>
      </c>
      <c r="T618" s="509">
        <v>120000000</v>
      </c>
      <c r="U618" s="506">
        <v>14109371</v>
      </c>
      <c r="V618" s="510"/>
    </row>
    <row r="619" spans="1:22" s="270" customFormat="1" ht="15" customHeight="1">
      <c r="A619" s="317"/>
      <c r="B619" s="334">
        <f t="shared" si="23"/>
        <v>609</v>
      </c>
      <c r="C619" s="289" t="s">
        <v>416</v>
      </c>
      <c r="D619" s="330" t="s">
        <v>271</v>
      </c>
      <c r="E619" s="289" t="s">
        <v>240</v>
      </c>
      <c r="F619" s="360" t="s">
        <v>779</v>
      </c>
      <c r="G619" s="500">
        <v>5</v>
      </c>
      <c r="H619" s="501" t="s">
        <v>436</v>
      </c>
      <c r="I619" s="502" t="s">
        <v>1362</v>
      </c>
      <c r="J619" s="503">
        <v>0.04</v>
      </c>
      <c r="K619" s="504">
        <v>44512</v>
      </c>
      <c r="L619" s="504">
        <v>45930</v>
      </c>
      <c r="M619" s="504">
        <v>45869</v>
      </c>
      <c r="N619" s="505" t="s">
        <v>196</v>
      </c>
      <c r="O619" s="506">
        <v>200000000</v>
      </c>
      <c r="P619" s="507" t="s">
        <v>196</v>
      </c>
      <c r="Q619" s="508">
        <v>99990000</v>
      </c>
      <c r="R619" s="508">
        <v>99990000</v>
      </c>
      <c r="S619" s="508">
        <v>0</v>
      </c>
      <c r="T619" s="509">
        <v>99990000</v>
      </c>
      <c r="U619" s="506">
        <v>3628905</v>
      </c>
      <c r="V619" s="510"/>
    </row>
    <row r="620" spans="1:22" s="270" customFormat="1" ht="15" customHeight="1">
      <c r="A620" s="317"/>
      <c r="B620" s="334">
        <f t="shared" si="23"/>
        <v>610</v>
      </c>
      <c r="C620" s="289" t="s">
        <v>416</v>
      </c>
      <c r="D620" s="330" t="s">
        <v>271</v>
      </c>
      <c r="E620" s="289" t="s">
        <v>240</v>
      </c>
      <c r="F620" s="360" t="s">
        <v>779</v>
      </c>
      <c r="G620" s="500">
        <v>6</v>
      </c>
      <c r="H620" s="501" t="s">
        <v>426</v>
      </c>
      <c r="I620" s="502" t="s">
        <v>1363</v>
      </c>
      <c r="J620" s="503">
        <v>0.16269999999999998</v>
      </c>
      <c r="K620" s="504">
        <v>45502</v>
      </c>
      <c r="L620" s="504"/>
      <c r="M620" s="504">
        <v>45869</v>
      </c>
      <c r="N620" s="505" t="s">
        <v>196</v>
      </c>
      <c r="O620" s="506">
        <v>0</v>
      </c>
      <c r="P620" s="507" t="s">
        <v>196</v>
      </c>
      <c r="Q620" s="508">
        <v>12747082</v>
      </c>
      <c r="R620" s="508">
        <v>12747082</v>
      </c>
      <c r="S620" s="508">
        <v>0</v>
      </c>
      <c r="T620" s="509">
        <v>12747082</v>
      </c>
      <c r="U620" s="506">
        <v>2043106</v>
      </c>
      <c r="V620" s="510"/>
    </row>
    <row r="621" spans="1:22" s="270" customFormat="1" ht="15" customHeight="1">
      <c r="A621" s="317"/>
      <c r="B621" s="334">
        <f t="shared" si="23"/>
        <v>611</v>
      </c>
      <c r="C621" s="289" t="s">
        <v>416</v>
      </c>
      <c r="D621" s="330" t="s">
        <v>271</v>
      </c>
      <c r="E621" s="289" t="s">
        <v>240</v>
      </c>
      <c r="F621" s="360" t="s">
        <v>779</v>
      </c>
      <c r="G621" s="500">
        <v>7</v>
      </c>
      <c r="H621" s="501" t="s">
        <v>212</v>
      </c>
      <c r="I621" s="502" t="s">
        <v>1364</v>
      </c>
      <c r="J621" s="503">
        <v>0.11</v>
      </c>
      <c r="K621" s="504">
        <v>44602</v>
      </c>
      <c r="L621" s="504">
        <v>45695</v>
      </c>
      <c r="M621" s="504">
        <v>45869</v>
      </c>
      <c r="N621" s="505" t="s">
        <v>196</v>
      </c>
      <c r="O621" s="506">
        <v>498827527</v>
      </c>
      <c r="P621" s="507" t="s">
        <v>196</v>
      </c>
      <c r="Q621" s="508">
        <v>498827527</v>
      </c>
      <c r="R621" s="508">
        <v>498827527</v>
      </c>
      <c r="S621" s="508">
        <v>0</v>
      </c>
      <c r="T621" s="509">
        <v>498827527</v>
      </c>
      <c r="U621" s="506">
        <v>57980907</v>
      </c>
      <c r="V621" s="510"/>
    </row>
    <row r="622" spans="1:22" s="270" customFormat="1" ht="15" customHeight="1">
      <c r="A622" s="317"/>
      <c r="B622" s="334">
        <f t="shared" si="23"/>
        <v>612</v>
      </c>
      <c r="C622" s="289" t="s">
        <v>416</v>
      </c>
      <c r="D622" s="330" t="s">
        <v>271</v>
      </c>
      <c r="E622" s="289" t="s">
        <v>240</v>
      </c>
      <c r="F622" s="360" t="s">
        <v>779</v>
      </c>
      <c r="G622" s="500">
        <v>8</v>
      </c>
      <c r="H622" s="501" t="s">
        <v>212</v>
      </c>
      <c r="I622" s="502" t="s">
        <v>1365</v>
      </c>
      <c r="J622" s="503">
        <v>9.5500000000000002E-2</v>
      </c>
      <c r="K622" s="504">
        <v>42677</v>
      </c>
      <c r="L622" s="504">
        <v>45590</v>
      </c>
      <c r="M622" s="504">
        <v>45869</v>
      </c>
      <c r="N622" s="505" t="s">
        <v>196</v>
      </c>
      <c r="O622" s="506">
        <v>625000000</v>
      </c>
      <c r="P622" s="507" t="s">
        <v>196</v>
      </c>
      <c r="Q622" s="508">
        <v>101200000</v>
      </c>
      <c r="R622" s="508">
        <v>101200000</v>
      </c>
      <c r="S622" s="508">
        <v>0</v>
      </c>
      <c r="T622" s="509">
        <v>101200000</v>
      </c>
      <c r="U622" s="506">
        <v>8207997</v>
      </c>
      <c r="V622" s="510"/>
    </row>
    <row r="623" spans="1:22" s="270" customFormat="1" ht="15" customHeight="1">
      <c r="A623" s="317"/>
      <c r="B623" s="334">
        <f t="shared" si="23"/>
        <v>613</v>
      </c>
      <c r="C623" s="289" t="s">
        <v>416</v>
      </c>
      <c r="D623" s="330" t="s">
        <v>271</v>
      </c>
      <c r="E623" s="289" t="s">
        <v>240</v>
      </c>
      <c r="F623" s="360" t="s">
        <v>779</v>
      </c>
      <c r="G623" s="500">
        <v>9</v>
      </c>
      <c r="H623" s="501" t="s">
        <v>212</v>
      </c>
      <c r="I623" s="502" t="s">
        <v>1365</v>
      </c>
      <c r="J623" s="503">
        <v>9.5500000000000002E-2</v>
      </c>
      <c r="K623" s="504">
        <v>42677</v>
      </c>
      <c r="L623" s="504">
        <v>45590</v>
      </c>
      <c r="M623" s="504">
        <v>45468</v>
      </c>
      <c r="N623" s="505" t="s">
        <v>196</v>
      </c>
      <c r="O623" s="506">
        <v>625000000</v>
      </c>
      <c r="P623" s="507" t="s">
        <v>196</v>
      </c>
      <c r="Q623" s="508">
        <v>0</v>
      </c>
      <c r="R623" s="508">
        <v>0</v>
      </c>
      <c r="S623" s="508">
        <v>0</v>
      </c>
      <c r="T623" s="509">
        <v>0</v>
      </c>
      <c r="U623" s="506">
        <v>3661688</v>
      </c>
      <c r="V623" s="510"/>
    </row>
    <row r="624" spans="1:22" s="270" customFormat="1" ht="15" customHeight="1">
      <c r="A624" s="317"/>
      <c r="B624" s="334">
        <f t="shared" si="23"/>
        <v>614</v>
      </c>
      <c r="C624" s="289" t="s">
        <v>416</v>
      </c>
      <c r="D624" s="330" t="s">
        <v>271</v>
      </c>
      <c r="E624" s="289" t="s">
        <v>240</v>
      </c>
      <c r="F624" s="360" t="s">
        <v>779</v>
      </c>
      <c r="G624" s="500">
        <v>10</v>
      </c>
      <c r="H624" s="501" t="s">
        <v>212</v>
      </c>
      <c r="I624" s="502" t="s">
        <v>1366</v>
      </c>
      <c r="J624" s="503">
        <v>8.77E-2</v>
      </c>
      <c r="K624" s="504">
        <v>43005</v>
      </c>
      <c r="L624" s="504">
        <v>45550</v>
      </c>
      <c r="M624" s="504">
        <v>45487</v>
      </c>
      <c r="N624" s="505" t="s">
        <v>196</v>
      </c>
      <c r="O624" s="506">
        <v>400000000</v>
      </c>
      <c r="P624" s="507" t="s">
        <v>196</v>
      </c>
      <c r="Q624" s="508">
        <v>97226722</v>
      </c>
      <c r="R624" s="508">
        <v>97226722</v>
      </c>
      <c r="S624" s="508">
        <v>0</v>
      </c>
      <c r="T624" s="509">
        <v>97226722</v>
      </c>
      <c r="U624" s="506">
        <v>9028048</v>
      </c>
      <c r="V624" s="510"/>
    </row>
    <row r="625" spans="1:22" s="270" customFormat="1" ht="15" customHeight="1">
      <c r="A625" s="317"/>
      <c r="B625" s="334">
        <f t="shared" si="23"/>
        <v>615</v>
      </c>
      <c r="C625" s="289" t="s">
        <v>416</v>
      </c>
      <c r="D625" s="330" t="s">
        <v>271</v>
      </c>
      <c r="E625" s="289" t="s">
        <v>240</v>
      </c>
      <c r="F625" s="360" t="s">
        <v>779</v>
      </c>
      <c r="G625" s="500">
        <v>11</v>
      </c>
      <c r="H625" s="501" t="s">
        <v>212</v>
      </c>
      <c r="I625" s="502" t="s">
        <v>1367</v>
      </c>
      <c r="J625" s="503">
        <v>9.5100000000000004E-2</v>
      </c>
      <c r="K625" s="504">
        <v>43091</v>
      </c>
      <c r="L625" s="504">
        <v>45639</v>
      </c>
      <c r="M625" s="504">
        <v>45869</v>
      </c>
      <c r="N625" s="505" t="s">
        <v>196</v>
      </c>
      <c r="O625" s="506">
        <v>256000000</v>
      </c>
      <c r="P625" s="507" t="s">
        <v>196</v>
      </c>
      <c r="Q625" s="508">
        <v>38400000</v>
      </c>
      <c r="R625" s="508">
        <v>38400000</v>
      </c>
      <c r="S625" s="508">
        <v>0</v>
      </c>
      <c r="T625" s="509">
        <v>38400000</v>
      </c>
      <c r="U625" s="506">
        <v>3099181</v>
      </c>
      <c r="V625" s="510"/>
    </row>
    <row r="626" spans="1:22" s="270" customFormat="1" ht="15" customHeight="1">
      <c r="A626" s="317"/>
      <c r="B626" s="334">
        <f t="shared" si="23"/>
        <v>616</v>
      </c>
      <c r="C626" s="289" t="s">
        <v>416</v>
      </c>
      <c r="D626" s="330" t="s">
        <v>271</v>
      </c>
      <c r="E626" s="289" t="s">
        <v>240</v>
      </c>
      <c r="F626" s="360" t="s">
        <v>779</v>
      </c>
      <c r="G626" s="500">
        <v>12</v>
      </c>
      <c r="H626" s="501" t="s">
        <v>212</v>
      </c>
      <c r="I626" s="502" t="s">
        <v>1367</v>
      </c>
      <c r="J626" s="503">
        <v>9.5100000000000004E-2</v>
      </c>
      <c r="K626" s="504">
        <v>43091</v>
      </c>
      <c r="L626" s="504">
        <v>45639</v>
      </c>
      <c r="M626" s="504">
        <v>45487</v>
      </c>
      <c r="N626" s="505" t="s">
        <v>196</v>
      </c>
      <c r="O626" s="506">
        <v>256000000</v>
      </c>
      <c r="P626" s="507" t="s">
        <v>196</v>
      </c>
      <c r="Q626" s="508">
        <v>0</v>
      </c>
      <c r="R626" s="508">
        <v>0</v>
      </c>
      <c r="S626" s="508">
        <v>0</v>
      </c>
      <c r="T626" s="509">
        <v>0</v>
      </c>
      <c r="U626" s="506">
        <v>1052022</v>
      </c>
      <c r="V626" s="510"/>
    </row>
    <row r="627" spans="1:22" s="270" customFormat="1" ht="15" customHeight="1">
      <c r="A627" s="317"/>
      <c r="B627" s="334">
        <f t="shared" si="23"/>
        <v>617</v>
      </c>
      <c r="C627" s="289" t="s">
        <v>416</v>
      </c>
      <c r="D627" s="330" t="s">
        <v>271</v>
      </c>
      <c r="E627" s="289" t="s">
        <v>240</v>
      </c>
      <c r="F627" s="360" t="s">
        <v>779</v>
      </c>
      <c r="G627" s="500">
        <v>13</v>
      </c>
      <c r="H627" s="501" t="s">
        <v>422</v>
      </c>
      <c r="I627" s="502" t="s">
        <v>1368</v>
      </c>
      <c r="J627" s="503">
        <v>8.5000000000000006E-2</v>
      </c>
      <c r="K627" s="504">
        <v>44285</v>
      </c>
      <c r="L627" s="504">
        <v>45741</v>
      </c>
      <c r="M627" s="504">
        <v>45467</v>
      </c>
      <c r="N627" s="505" t="s">
        <v>196</v>
      </c>
      <c r="O627" s="506">
        <v>2700000000</v>
      </c>
      <c r="P627" s="507" t="s">
        <v>196</v>
      </c>
      <c r="Q627" s="508">
        <v>2700000000</v>
      </c>
      <c r="R627" s="508">
        <v>2700000000</v>
      </c>
      <c r="S627" s="508">
        <v>0</v>
      </c>
      <c r="T627" s="509">
        <v>2700000000</v>
      </c>
      <c r="U627" s="506">
        <v>242126856</v>
      </c>
      <c r="V627" s="510"/>
    </row>
    <row r="628" spans="1:22" s="270" customFormat="1" ht="15" customHeight="1">
      <c r="A628" s="317"/>
      <c r="B628" s="334">
        <f t="shared" si="23"/>
        <v>618</v>
      </c>
      <c r="C628" s="289" t="s">
        <v>416</v>
      </c>
      <c r="D628" s="330" t="s">
        <v>271</v>
      </c>
      <c r="E628" s="289" t="s">
        <v>241</v>
      </c>
      <c r="F628" s="360" t="s">
        <v>781</v>
      </c>
      <c r="G628" s="500">
        <v>1</v>
      </c>
      <c r="H628" s="501" t="s">
        <v>212</v>
      </c>
      <c r="I628" s="502" t="s">
        <v>1369</v>
      </c>
      <c r="J628" s="503">
        <v>0.11</v>
      </c>
      <c r="K628" s="504">
        <v>43706</v>
      </c>
      <c r="L628" s="504">
        <v>46081</v>
      </c>
      <c r="M628" s="504">
        <v>45869</v>
      </c>
      <c r="N628" s="505" t="s">
        <v>196</v>
      </c>
      <c r="O628" s="506">
        <v>300000000</v>
      </c>
      <c r="P628" s="507" t="s">
        <v>196</v>
      </c>
      <c r="Q628" s="508">
        <v>147680151</v>
      </c>
      <c r="R628" s="508">
        <v>147680151</v>
      </c>
      <c r="S628" s="508">
        <v>0</v>
      </c>
      <c r="T628" s="509">
        <v>147680151</v>
      </c>
      <c r="U628" s="506">
        <v>1513215</v>
      </c>
      <c r="V628" s="510"/>
    </row>
    <row r="629" spans="1:22" s="270" customFormat="1" ht="15" customHeight="1">
      <c r="A629" s="317"/>
      <c r="B629" s="334">
        <f t="shared" si="23"/>
        <v>619</v>
      </c>
      <c r="C629" s="289" t="s">
        <v>416</v>
      </c>
      <c r="D629" s="330" t="s">
        <v>271</v>
      </c>
      <c r="E629" s="289" t="s">
        <v>241</v>
      </c>
      <c r="F629" s="360" t="s">
        <v>781</v>
      </c>
      <c r="G629" s="500">
        <v>2</v>
      </c>
      <c r="H629" s="501" t="s">
        <v>212</v>
      </c>
      <c r="I629" s="502" t="s">
        <v>1369</v>
      </c>
      <c r="J629" s="503">
        <v>0.11</v>
      </c>
      <c r="K629" s="504">
        <v>43706</v>
      </c>
      <c r="L629" s="504">
        <v>46081</v>
      </c>
      <c r="M629" s="504">
        <v>45743</v>
      </c>
      <c r="N629" s="505" t="s">
        <v>196</v>
      </c>
      <c r="O629" s="506">
        <v>300000000</v>
      </c>
      <c r="P629" s="507" t="s">
        <v>196</v>
      </c>
      <c r="Q629" s="508">
        <v>152319849</v>
      </c>
      <c r="R629" s="508">
        <v>152319849</v>
      </c>
      <c r="S629" s="508">
        <v>0</v>
      </c>
      <c r="T629" s="509">
        <v>152319849</v>
      </c>
      <c r="U629" s="506">
        <v>8650092</v>
      </c>
      <c r="V629" s="510"/>
    </row>
    <row r="630" spans="1:22" s="270" customFormat="1" ht="15" customHeight="1">
      <c r="A630" s="317"/>
      <c r="B630" s="334">
        <f t="shared" si="23"/>
        <v>620</v>
      </c>
      <c r="C630" s="289" t="s">
        <v>416</v>
      </c>
      <c r="D630" s="330" t="s">
        <v>271</v>
      </c>
      <c r="E630" s="289" t="s">
        <v>241</v>
      </c>
      <c r="F630" s="360" t="s">
        <v>781</v>
      </c>
      <c r="G630" s="500">
        <v>3</v>
      </c>
      <c r="H630" s="501" t="s">
        <v>212</v>
      </c>
      <c r="I630" s="502" t="s">
        <v>1370</v>
      </c>
      <c r="J630" s="503">
        <v>0.11</v>
      </c>
      <c r="K630" s="504">
        <v>43910</v>
      </c>
      <c r="L630" s="504">
        <v>46101</v>
      </c>
      <c r="M630" s="504">
        <v>45869</v>
      </c>
      <c r="N630" s="505" t="s">
        <v>196</v>
      </c>
      <c r="O630" s="506">
        <v>200000000</v>
      </c>
      <c r="P630" s="507" t="s">
        <v>196</v>
      </c>
      <c r="Q630" s="508">
        <v>200000000</v>
      </c>
      <c r="R630" s="508">
        <v>200000000</v>
      </c>
      <c r="S630" s="508">
        <v>0</v>
      </c>
      <c r="T630" s="509">
        <v>200000000</v>
      </c>
      <c r="U630" s="506">
        <v>7050167</v>
      </c>
      <c r="V630" s="510"/>
    </row>
    <row r="631" spans="1:22" s="270" customFormat="1" ht="15" customHeight="1">
      <c r="A631" s="317"/>
      <c r="B631" s="334">
        <f t="shared" si="23"/>
        <v>621</v>
      </c>
      <c r="C631" s="289" t="s">
        <v>416</v>
      </c>
      <c r="D631" s="330" t="s">
        <v>271</v>
      </c>
      <c r="E631" s="289" t="s">
        <v>241</v>
      </c>
      <c r="F631" s="360" t="s">
        <v>781</v>
      </c>
      <c r="G631" s="500">
        <v>4</v>
      </c>
      <c r="H631" s="501" t="s">
        <v>212</v>
      </c>
      <c r="I631" s="502" t="s">
        <v>1371</v>
      </c>
      <c r="J631" s="503">
        <v>8.199999999999999E-2</v>
      </c>
      <c r="K631" s="504">
        <v>43986</v>
      </c>
      <c r="L631" s="504">
        <v>46022</v>
      </c>
      <c r="M631" s="504">
        <v>45869</v>
      </c>
      <c r="N631" s="505" t="s">
        <v>196</v>
      </c>
      <c r="O631" s="506">
        <v>300000000</v>
      </c>
      <c r="P631" s="507" t="s">
        <v>196</v>
      </c>
      <c r="Q631" s="508">
        <v>15000000</v>
      </c>
      <c r="R631" s="508">
        <v>15000000</v>
      </c>
      <c r="S631" s="508">
        <v>0</v>
      </c>
      <c r="T631" s="509">
        <v>15000000</v>
      </c>
      <c r="U631" s="506">
        <v>114645</v>
      </c>
      <c r="V631" s="510"/>
    </row>
    <row r="632" spans="1:22" s="270" customFormat="1" ht="15" customHeight="1">
      <c r="A632" s="317"/>
      <c r="B632" s="334">
        <f t="shared" si="23"/>
        <v>622</v>
      </c>
      <c r="C632" s="289" t="s">
        <v>416</v>
      </c>
      <c r="D632" s="330" t="s">
        <v>271</v>
      </c>
      <c r="E632" s="289" t="s">
        <v>241</v>
      </c>
      <c r="F632" s="360" t="s">
        <v>781</v>
      </c>
      <c r="G632" s="500">
        <v>5</v>
      </c>
      <c r="H632" s="501" t="s">
        <v>212</v>
      </c>
      <c r="I632" s="502" t="s">
        <v>1371</v>
      </c>
      <c r="J632" s="503">
        <v>8.199999999999999E-2</v>
      </c>
      <c r="K632" s="504">
        <v>43986</v>
      </c>
      <c r="L632" s="504">
        <v>46022</v>
      </c>
      <c r="M632" s="504">
        <v>45746</v>
      </c>
      <c r="N632" s="505" t="s">
        <v>196</v>
      </c>
      <c r="O632" s="506">
        <v>300000000</v>
      </c>
      <c r="P632" s="507" t="s">
        <v>196</v>
      </c>
      <c r="Q632" s="508">
        <v>0</v>
      </c>
      <c r="R632" s="508">
        <v>0</v>
      </c>
      <c r="S632" s="508">
        <v>0</v>
      </c>
      <c r="T632" s="509">
        <v>0</v>
      </c>
      <c r="U632" s="506">
        <v>1914479</v>
      </c>
      <c r="V632" s="510"/>
    </row>
    <row r="633" spans="1:22" s="270" customFormat="1" ht="15" customHeight="1">
      <c r="A633" s="317"/>
      <c r="B633" s="334">
        <f t="shared" si="23"/>
        <v>623</v>
      </c>
      <c r="C633" s="289" t="s">
        <v>416</v>
      </c>
      <c r="D633" s="330" t="s">
        <v>271</v>
      </c>
      <c r="E633" s="289" t="s">
        <v>241</v>
      </c>
      <c r="F633" s="360" t="s">
        <v>781</v>
      </c>
      <c r="G633" s="500">
        <v>6</v>
      </c>
      <c r="H633" s="501" t="s">
        <v>212</v>
      </c>
      <c r="I633" s="502" t="s">
        <v>1372</v>
      </c>
      <c r="J633" s="503">
        <v>0.11</v>
      </c>
      <c r="K633" s="504">
        <v>44110</v>
      </c>
      <c r="L633" s="504">
        <v>45937</v>
      </c>
      <c r="M633" s="504">
        <v>45869</v>
      </c>
      <c r="N633" s="505" t="s">
        <v>196</v>
      </c>
      <c r="O633" s="506">
        <v>300000000</v>
      </c>
      <c r="P633" s="507" t="s">
        <v>196</v>
      </c>
      <c r="Q633" s="508">
        <v>300000000</v>
      </c>
      <c r="R633" s="508">
        <v>300000000</v>
      </c>
      <c r="S633" s="508">
        <v>0</v>
      </c>
      <c r="T633" s="509">
        <v>300000000</v>
      </c>
      <c r="U633" s="506">
        <v>9532805</v>
      </c>
      <c r="V633" s="510"/>
    </row>
    <row r="634" spans="1:22" s="270" customFormat="1" ht="15" customHeight="1">
      <c r="A634" s="317"/>
      <c r="B634" s="334">
        <f t="shared" si="23"/>
        <v>624</v>
      </c>
      <c r="C634" s="289" t="s">
        <v>416</v>
      </c>
      <c r="D634" s="330" t="s">
        <v>271</v>
      </c>
      <c r="E634" s="289" t="s">
        <v>241</v>
      </c>
      <c r="F634" s="360" t="s">
        <v>781</v>
      </c>
      <c r="G634" s="500">
        <v>7</v>
      </c>
      <c r="H634" s="501" t="s">
        <v>212</v>
      </c>
      <c r="I634" s="502" t="s">
        <v>1373</v>
      </c>
      <c r="J634" s="503">
        <v>0.11</v>
      </c>
      <c r="K634" s="504">
        <v>44214</v>
      </c>
      <c r="L634" s="504">
        <v>45920</v>
      </c>
      <c r="M634" s="504">
        <v>45869</v>
      </c>
      <c r="N634" s="505" t="s">
        <v>196</v>
      </c>
      <c r="O634" s="506">
        <v>700000000</v>
      </c>
      <c r="P634" s="507" t="s">
        <v>196</v>
      </c>
      <c r="Q634" s="508">
        <v>540000000</v>
      </c>
      <c r="R634" s="508">
        <v>540000000</v>
      </c>
      <c r="S634" s="508">
        <v>0</v>
      </c>
      <c r="T634" s="509">
        <v>540000000</v>
      </c>
      <c r="U634" s="506">
        <v>18897825</v>
      </c>
      <c r="V634" s="510"/>
    </row>
    <row r="635" spans="1:22" s="270" customFormat="1" ht="15" customHeight="1">
      <c r="A635" s="317"/>
      <c r="B635" s="334">
        <f t="shared" si="23"/>
        <v>625</v>
      </c>
      <c r="C635" s="289" t="s">
        <v>416</v>
      </c>
      <c r="D635" s="330" t="s">
        <v>271</v>
      </c>
      <c r="E635" s="289" t="s">
        <v>241</v>
      </c>
      <c r="F635" s="360" t="s">
        <v>781</v>
      </c>
      <c r="G635" s="500">
        <v>8</v>
      </c>
      <c r="H635" s="501" t="s">
        <v>212</v>
      </c>
      <c r="I635" s="502" t="s">
        <v>1374</v>
      </c>
      <c r="J635" s="503">
        <v>0.11</v>
      </c>
      <c r="K635" s="504">
        <v>44396</v>
      </c>
      <c r="L635" s="504">
        <v>46041</v>
      </c>
      <c r="M635" s="504">
        <v>45735</v>
      </c>
      <c r="N635" s="505" t="s">
        <v>196</v>
      </c>
      <c r="O635" s="506">
        <v>150000000</v>
      </c>
      <c r="P635" s="507" t="s">
        <v>196</v>
      </c>
      <c r="Q635" s="508">
        <v>150000000</v>
      </c>
      <c r="R635" s="508">
        <v>150000000</v>
      </c>
      <c r="S635" s="508">
        <v>0</v>
      </c>
      <c r="T635" s="509">
        <v>150000000</v>
      </c>
      <c r="U635" s="506">
        <v>5138459</v>
      </c>
      <c r="V635" s="510"/>
    </row>
    <row r="636" spans="1:22" s="270" customFormat="1" ht="15" customHeight="1">
      <c r="A636" s="317"/>
      <c r="B636" s="334">
        <f t="shared" si="23"/>
        <v>626</v>
      </c>
      <c r="C636" s="289" t="s">
        <v>416</v>
      </c>
      <c r="D636" s="330" t="s">
        <v>271</v>
      </c>
      <c r="E636" s="289" t="s">
        <v>241</v>
      </c>
      <c r="F636" s="360" t="s">
        <v>781</v>
      </c>
      <c r="G636" s="500">
        <v>9</v>
      </c>
      <c r="H636" s="501" t="s">
        <v>212</v>
      </c>
      <c r="I636" s="502" t="s">
        <v>1375</v>
      </c>
      <c r="J636" s="503">
        <v>7.9399999999999998E-2</v>
      </c>
      <c r="K636" s="504">
        <v>44727</v>
      </c>
      <c r="L636" s="504">
        <v>45825</v>
      </c>
      <c r="M636" s="504">
        <v>45732</v>
      </c>
      <c r="N636" s="505" t="s">
        <v>196</v>
      </c>
      <c r="O636" s="506">
        <v>1770000000</v>
      </c>
      <c r="P636" s="507" t="s">
        <v>196</v>
      </c>
      <c r="Q636" s="508">
        <v>1770000000</v>
      </c>
      <c r="R636" s="508">
        <v>1770000000</v>
      </c>
      <c r="S636" s="508">
        <v>0</v>
      </c>
      <c r="T636" s="509">
        <v>1770000000</v>
      </c>
      <c r="U636" s="506">
        <v>45571348</v>
      </c>
      <c r="V636" s="510"/>
    </row>
    <row r="637" spans="1:22" s="270" customFormat="1" ht="15" customHeight="1">
      <c r="A637" s="317"/>
      <c r="B637" s="334">
        <f t="shared" si="23"/>
        <v>627</v>
      </c>
      <c r="C637" s="289" t="s">
        <v>416</v>
      </c>
      <c r="D637" s="330" t="s">
        <v>271</v>
      </c>
      <c r="E637" s="289" t="s">
        <v>241</v>
      </c>
      <c r="F637" s="360" t="s">
        <v>781</v>
      </c>
      <c r="G637" s="500">
        <v>10</v>
      </c>
      <c r="H637" s="501" t="s">
        <v>212</v>
      </c>
      <c r="I637" s="502" t="s">
        <v>1376</v>
      </c>
      <c r="J637" s="503">
        <v>8.8000000000000009E-2</v>
      </c>
      <c r="K637" s="504">
        <v>45307</v>
      </c>
      <c r="L637" s="504">
        <v>46403</v>
      </c>
      <c r="M637" s="504">
        <v>45731</v>
      </c>
      <c r="N637" s="505" t="s">
        <v>196</v>
      </c>
      <c r="O637" s="506">
        <v>250000000</v>
      </c>
      <c r="P637" s="507" t="s">
        <v>196</v>
      </c>
      <c r="Q637" s="508">
        <v>200000000</v>
      </c>
      <c r="R637" s="508">
        <v>200000000</v>
      </c>
      <c r="S637" s="508">
        <v>0</v>
      </c>
      <c r="T637" s="509">
        <v>200000000</v>
      </c>
      <c r="U637" s="506">
        <v>5744971</v>
      </c>
      <c r="V637" s="510"/>
    </row>
    <row r="638" spans="1:22" s="270" customFormat="1" ht="15" customHeight="1">
      <c r="A638" s="317"/>
      <c r="B638" s="334">
        <f t="shared" si="23"/>
        <v>628</v>
      </c>
      <c r="C638" s="289" t="s">
        <v>416</v>
      </c>
      <c r="D638" s="330" t="s">
        <v>271</v>
      </c>
      <c r="E638" s="289" t="s">
        <v>241</v>
      </c>
      <c r="F638" s="360" t="s">
        <v>781</v>
      </c>
      <c r="G638" s="500">
        <v>11</v>
      </c>
      <c r="H638" s="501" t="s">
        <v>212</v>
      </c>
      <c r="I638" s="502" t="s">
        <v>1377</v>
      </c>
      <c r="J638" s="503">
        <v>8.7100000000000011E-2</v>
      </c>
      <c r="K638" s="504">
        <v>45320</v>
      </c>
      <c r="L638" s="504">
        <v>46049</v>
      </c>
      <c r="M638" s="504">
        <v>45869</v>
      </c>
      <c r="N638" s="505" t="s">
        <v>196</v>
      </c>
      <c r="O638" s="506">
        <v>150000000</v>
      </c>
      <c r="P638" s="507" t="s">
        <v>196</v>
      </c>
      <c r="Q638" s="508">
        <v>15000000</v>
      </c>
      <c r="R638" s="508">
        <v>15000000</v>
      </c>
      <c r="S638" s="508">
        <v>0</v>
      </c>
      <c r="T638" s="509">
        <v>15000000</v>
      </c>
      <c r="U638" s="506">
        <v>121743</v>
      </c>
      <c r="V638" s="510"/>
    </row>
    <row r="639" spans="1:22" s="270" customFormat="1" ht="15" customHeight="1">
      <c r="A639" s="317"/>
      <c r="B639" s="334">
        <f t="shared" si="23"/>
        <v>629</v>
      </c>
      <c r="C639" s="289" t="s">
        <v>416</v>
      </c>
      <c r="D639" s="330" t="s">
        <v>271</v>
      </c>
      <c r="E639" s="289" t="s">
        <v>241</v>
      </c>
      <c r="F639" s="360" t="s">
        <v>781</v>
      </c>
      <c r="G639" s="500">
        <v>12</v>
      </c>
      <c r="H639" s="501" t="s">
        <v>212</v>
      </c>
      <c r="I639" s="502" t="s">
        <v>1377</v>
      </c>
      <c r="J639" s="503">
        <v>8.7100000000000011E-2</v>
      </c>
      <c r="K639" s="504">
        <v>45320</v>
      </c>
      <c r="L639" s="504">
        <v>46049</v>
      </c>
      <c r="M639" s="504">
        <v>45746</v>
      </c>
      <c r="N639" s="505" t="s">
        <v>196</v>
      </c>
      <c r="O639" s="506">
        <v>150000000</v>
      </c>
      <c r="P639" s="507" t="s">
        <v>196</v>
      </c>
      <c r="Q639" s="508">
        <v>0</v>
      </c>
      <c r="R639" s="508">
        <v>0</v>
      </c>
      <c r="S639" s="508">
        <v>0</v>
      </c>
      <c r="T639" s="509">
        <v>0</v>
      </c>
      <c r="U639" s="506">
        <v>1106443</v>
      </c>
      <c r="V639" s="510"/>
    </row>
    <row r="640" spans="1:22" s="270" customFormat="1" ht="15" customHeight="1">
      <c r="A640" s="317"/>
      <c r="B640" s="334">
        <f t="shared" si="23"/>
        <v>630</v>
      </c>
      <c r="C640" s="289" t="s">
        <v>416</v>
      </c>
      <c r="D640" s="330" t="s">
        <v>271</v>
      </c>
      <c r="E640" s="289" t="s">
        <v>241</v>
      </c>
      <c r="F640" s="360" t="s">
        <v>781</v>
      </c>
      <c r="G640" s="500">
        <v>13</v>
      </c>
      <c r="H640" s="501" t="s">
        <v>212</v>
      </c>
      <c r="I640" s="502" t="s">
        <v>1378</v>
      </c>
      <c r="J640" s="503">
        <v>8.0700000000000008E-2</v>
      </c>
      <c r="K640" s="504">
        <v>45390</v>
      </c>
      <c r="L640" s="504">
        <v>46120</v>
      </c>
      <c r="M640" s="504">
        <v>45754</v>
      </c>
      <c r="N640" s="505" t="s">
        <v>196</v>
      </c>
      <c r="O640" s="506">
        <v>50000000</v>
      </c>
      <c r="P640" s="507" t="s">
        <v>196</v>
      </c>
      <c r="Q640" s="508">
        <v>50000000</v>
      </c>
      <c r="R640" s="508">
        <v>50000000</v>
      </c>
      <c r="S640" s="508">
        <v>0</v>
      </c>
      <c r="T640" s="509">
        <v>50000000</v>
      </c>
      <c r="U640" s="506">
        <v>1076430</v>
      </c>
      <c r="V640" s="510"/>
    </row>
    <row r="641" spans="1:22" s="270" customFormat="1" ht="15" customHeight="1">
      <c r="A641" s="317"/>
      <c r="B641" s="334">
        <f t="shared" si="23"/>
        <v>631</v>
      </c>
      <c r="C641" s="289" t="s">
        <v>416</v>
      </c>
      <c r="D641" s="330" t="s">
        <v>271</v>
      </c>
      <c r="E641" s="289" t="s">
        <v>241</v>
      </c>
      <c r="F641" s="360" t="s">
        <v>781</v>
      </c>
      <c r="G641" s="500">
        <v>14</v>
      </c>
      <c r="H641" s="501" t="s">
        <v>431</v>
      </c>
      <c r="I641" s="502" t="s">
        <v>638</v>
      </c>
      <c r="J641" s="503">
        <v>0.09</v>
      </c>
      <c r="K641" s="504">
        <v>45756</v>
      </c>
      <c r="L641" s="504">
        <v>45756</v>
      </c>
      <c r="M641" s="504">
        <v>45869</v>
      </c>
      <c r="N641" s="505" t="s">
        <v>196</v>
      </c>
      <c r="O641" s="506">
        <v>0</v>
      </c>
      <c r="P641" s="507" t="s">
        <v>196</v>
      </c>
      <c r="Q641" s="508">
        <v>14903922</v>
      </c>
      <c r="R641" s="508">
        <v>14903922</v>
      </c>
      <c r="S641" s="508">
        <v>0</v>
      </c>
      <c r="T641" s="509">
        <v>14903922</v>
      </c>
      <c r="U641" s="506">
        <v>470875</v>
      </c>
      <c r="V641" s="510"/>
    </row>
    <row r="642" spans="1:22" s="270" customFormat="1" ht="15" customHeight="1">
      <c r="A642" s="317"/>
      <c r="B642" s="334">
        <f t="shared" si="23"/>
        <v>632</v>
      </c>
      <c r="C642" s="289" t="s">
        <v>416</v>
      </c>
      <c r="D642" s="330" t="s">
        <v>271</v>
      </c>
      <c r="E642" s="289" t="s">
        <v>241</v>
      </c>
      <c r="F642" s="360" t="s">
        <v>781</v>
      </c>
      <c r="G642" s="500">
        <v>15</v>
      </c>
      <c r="H642" s="501" t="s">
        <v>431</v>
      </c>
      <c r="I642" s="502" t="s">
        <v>1379</v>
      </c>
      <c r="J642" s="503">
        <v>0.09</v>
      </c>
      <c r="K642" s="504">
        <v>45769</v>
      </c>
      <c r="L642" s="504">
        <v>45769</v>
      </c>
      <c r="M642" s="504">
        <v>45869</v>
      </c>
      <c r="N642" s="505" t="s">
        <v>196</v>
      </c>
      <c r="O642" s="506">
        <v>0</v>
      </c>
      <c r="P642" s="507" t="s">
        <v>196</v>
      </c>
      <c r="Q642" s="508">
        <v>13756840</v>
      </c>
      <c r="R642" s="508">
        <v>13756840</v>
      </c>
      <c r="S642" s="508">
        <v>0</v>
      </c>
      <c r="T642" s="509">
        <v>13756840</v>
      </c>
      <c r="U642" s="506">
        <v>339209</v>
      </c>
      <c r="V642" s="510"/>
    </row>
    <row r="643" spans="1:22" s="270" customFormat="1" ht="15" customHeight="1">
      <c r="A643" s="317"/>
      <c r="B643" s="334">
        <f t="shared" si="23"/>
        <v>633</v>
      </c>
      <c r="C643" s="289" t="s">
        <v>416</v>
      </c>
      <c r="D643" s="330" t="s">
        <v>271</v>
      </c>
      <c r="E643" s="289" t="s">
        <v>241</v>
      </c>
      <c r="F643" s="360" t="s">
        <v>781</v>
      </c>
      <c r="G643" s="500">
        <v>16</v>
      </c>
      <c r="H643" s="501" t="s">
        <v>431</v>
      </c>
      <c r="I643" s="502" t="s">
        <v>1380</v>
      </c>
      <c r="J643" s="503">
        <v>0.09</v>
      </c>
      <c r="K643" s="504">
        <v>45769</v>
      </c>
      <c r="L643" s="504">
        <v>45769</v>
      </c>
      <c r="M643" s="504">
        <v>45869</v>
      </c>
      <c r="N643" s="505" t="s">
        <v>196</v>
      </c>
      <c r="O643" s="506">
        <v>0</v>
      </c>
      <c r="P643" s="507" t="s">
        <v>196</v>
      </c>
      <c r="Q643" s="508">
        <v>47523300</v>
      </c>
      <c r="R643" s="508">
        <v>47523300</v>
      </c>
      <c r="S643" s="508">
        <v>0</v>
      </c>
      <c r="T643" s="509">
        <v>47523300</v>
      </c>
      <c r="U643" s="506">
        <v>1171806</v>
      </c>
      <c r="V643" s="510"/>
    </row>
    <row r="644" spans="1:22" s="270" customFormat="1" ht="15" customHeight="1">
      <c r="A644" s="317"/>
      <c r="B644" s="334">
        <f t="shared" si="23"/>
        <v>634</v>
      </c>
      <c r="C644" s="289" t="s">
        <v>416</v>
      </c>
      <c r="D644" s="330" t="s">
        <v>271</v>
      </c>
      <c r="E644" s="289" t="s">
        <v>241</v>
      </c>
      <c r="F644" s="360" t="s">
        <v>781</v>
      </c>
      <c r="G644" s="500">
        <v>17</v>
      </c>
      <c r="H644" s="501" t="s">
        <v>431</v>
      </c>
      <c r="I644" s="502" t="s">
        <v>1381</v>
      </c>
      <c r="J644" s="503">
        <v>0.09</v>
      </c>
      <c r="K644" s="504">
        <v>45769</v>
      </c>
      <c r="L644" s="504">
        <v>45769</v>
      </c>
      <c r="M644" s="504">
        <v>45869</v>
      </c>
      <c r="N644" s="505" t="s">
        <v>196</v>
      </c>
      <c r="O644" s="506">
        <v>0</v>
      </c>
      <c r="P644" s="507" t="s">
        <v>196</v>
      </c>
      <c r="Q644" s="508">
        <v>14616849</v>
      </c>
      <c r="R644" s="508">
        <v>14616849</v>
      </c>
      <c r="S644" s="508">
        <v>0</v>
      </c>
      <c r="T644" s="509">
        <v>14616849</v>
      </c>
      <c r="U644" s="506">
        <v>360415</v>
      </c>
      <c r="V644" s="510"/>
    </row>
    <row r="645" spans="1:22" s="270" customFormat="1" ht="15" customHeight="1">
      <c r="A645" s="317"/>
      <c r="B645" s="334">
        <f t="shared" si="23"/>
        <v>635</v>
      </c>
      <c r="C645" s="289" t="s">
        <v>416</v>
      </c>
      <c r="D645" s="330" t="s">
        <v>271</v>
      </c>
      <c r="E645" s="289" t="s">
        <v>241</v>
      </c>
      <c r="F645" s="360" t="s">
        <v>781</v>
      </c>
      <c r="G645" s="500">
        <v>18</v>
      </c>
      <c r="H645" s="501" t="s">
        <v>431</v>
      </c>
      <c r="I645" s="502" t="s">
        <v>1382</v>
      </c>
      <c r="J645" s="503">
        <v>0.09</v>
      </c>
      <c r="K645" s="504">
        <v>45769</v>
      </c>
      <c r="L645" s="504">
        <v>45769</v>
      </c>
      <c r="M645" s="504">
        <v>45869</v>
      </c>
      <c r="N645" s="505" t="s">
        <v>196</v>
      </c>
      <c r="O645" s="506">
        <v>0</v>
      </c>
      <c r="P645" s="507" t="s">
        <v>196</v>
      </c>
      <c r="Q645" s="508">
        <v>16237560</v>
      </c>
      <c r="R645" s="508">
        <v>16237560</v>
      </c>
      <c r="S645" s="508">
        <v>0</v>
      </c>
      <c r="T645" s="509">
        <v>16237560</v>
      </c>
      <c r="U645" s="506">
        <v>400377</v>
      </c>
      <c r="V645" s="510"/>
    </row>
    <row r="646" spans="1:22" s="270" customFormat="1" ht="15" customHeight="1">
      <c r="A646" s="317"/>
      <c r="B646" s="334">
        <f t="shared" si="23"/>
        <v>636</v>
      </c>
      <c r="C646" s="289" t="s">
        <v>416</v>
      </c>
      <c r="D646" s="330" t="s">
        <v>271</v>
      </c>
      <c r="E646" s="289" t="s">
        <v>241</v>
      </c>
      <c r="F646" s="360" t="s">
        <v>781</v>
      </c>
      <c r="G646" s="500">
        <v>19</v>
      </c>
      <c r="H646" s="501" t="s">
        <v>431</v>
      </c>
      <c r="I646" s="502" t="s">
        <v>1382</v>
      </c>
      <c r="J646" s="503">
        <v>0.09</v>
      </c>
      <c r="K646" s="504">
        <v>45769</v>
      </c>
      <c r="L646" s="504">
        <v>45769</v>
      </c>
      <c r="M646" s="504">
        <v>45869</v>
      </c>
      <c r="N646" s="505" t="s">
        <v>196</v>
      </c>
      <c r="O646" s="506">
        <v>0</v>
      </c>
      <c r="P646" s="507" t="s">
        <v>196</v>
      </c>
      <c r="Q646" s="508">
        <v>16247712</v>
      </c>
      <c r="R646" s="508">
        <v>16247712</v>
      </c>
      <c r="S646" s="508">
        <v>0</v>
      </c>
      <c r="T646" s="509">
        <v>16247712</v>
      </c>
      <c r="U646" s="506">
        <v>400627</v>
      </c>
      <c r="V646" s="510"/>
    </row>
    <row r="647" spans="1:22" s="270" customFormat="1" ht="15" customHeight="1">
      <c r="A647" s="317"/>
      <c r="B647" s="334">
        <f t="shared" ref="B647:B658" si="24">ROW()-10</f>
        <v>637</v>
      </c>
      <c r="C647" s="289" t="s">
        <v>416</v>
      </c>
      <c r="D647" s="330" t="s">
        <v>271</v>
      </c>
      <c r="E647" s="289" t="s">
        <v>241</v>
      </c>
      <c r="F647" s="360" t="s">
        <v>781</v>
      </c>
      <c r="G647" s="500">
        <v>20</v>
      </c>
      <c r="H647" s="501" t="s">
        <v>431</v>
      </c>
      <c r="I647" s="502" t="s">
        <v>1383</v>
      </c>
      <c r="J647" s="503">
        <v>0.09</v>
      </c>
      <c r="K647" s="504">
        <v>45769</v>
      </c>
      <c r="L647" s="504">
        <v>45769</v>
      </c>
      <c r="M647" s="504">
        <v>45869</v>
      </c>
      <c r="N647" s="505" t="s">
        <v>196</v>
      </c>
      <c r="O647" s="506">
        <v>0</v>
      </c>
      <c r="P647" s="507" t="s">
        <v>196</v>
      </c>
      <c r="Q647" s="508">
        <v>66842002</v>
      </c>
      <c r="R647" s="508">
        <v>66842002</v>
      </c>
      <c r="S647" s="508">
        <v>0</v>
      </c>
      <c r="T647" s="509">
        <v>66842002</v>
      </c>
      <c r="U647" s="506">
        <v>1648158</v>
      </c>
      <c r="V647" s="510"/>
    </row>
    <row r="648" spans="1:22" s="270" customFormat="1" ht="15" customHeight="1">
      <c r="A648" s="317"/>
      <c r="B648" s="334">
        <f t="shared" si="24"/>
        <v>638</v>
      </c>
      <c r="C648" s="289" t="s">
        <v>416</v>
      </c>
      <c r="D648" s="330" t="s">
        <v>271</v>
      </c>
      <c r="E648" s="289" t="s">
        <v>241</v>
      </c>
      <c r="F648" s="360" t="s">
        <v>781</v>
      </c>
      <c r="G648" s="500">
        <v>21</v>
      </c>
      <c r="H648" s="501" t="s">
        <v>431</v>
      </c>
      <c r="I648" s="502" t="s">
        <v>1384</v>
      </c>
      <c r="J648" s="503">
        <v>0.09</v>
      </c>
      <c r="K648" s="504">
        <v>45769</v>
      </c>
      <c r="L648" s="504">
        <v>45769</v>
      </c>
      <c r="M648" s="504">
        <v>45869</v>
      </c>
      <c r="N648" s="505" t="s">
        <v>196</v>
      </c>
      <c r="O648" s="506">
        <v>0</v>
      </c>
      <c r="P648" s="507" t="s">
        <v>196</v>
      </c>
      <c r="Q648" s="508">
        <v>59849920</v>
      </c>
      <c r="R648" s="508">
        <v>59849920</v>
      </c>
      <c r="S648" s="508">
        <v>0</v>
      </c>
      <c r="T648" s="509">
        <v>59849920</v>
      </c>
      <c r="U648" s="506">
        <v>1475750</v>
      </c>
      <c r="V648" s="510"/>
    </row>
    <row r="649" spans="1:22" s="270" customFormat="1" ht="15" customHeight="1">
      <c r="A649" s="317"/>
      <c r="B649" s="334">
        <f t="shared" si="24"/>
        <v>639</v>
      </c>
      <c r="C649" s="289" t="s">
        <v>416</v>
      </c>
      <c r="D649" s="330" t="s">
        <v>271</v>
      </c>
      <c r="E649" s="289" t="s">
        <v>241</v>
      </c>
      <c r="F649" s="360" t="s">
        <v>781</v>
      </c>
      <c r="G649" s="500">
        <v>22</v>
      </c>
      <c r="H649" s="501" t="s">
        <v>431</v>
      </c>
      <c r="I649" s="502" t="s">
        <v>1385</v>
      </c>
      <c r="J649" s="503">
        <v>0.09</v>
      </c>
      <c r="K649" s="504">
        <v>45769</v>
      </c>
      <c r="L649" s="504">
        <v>45769</v>
      </c>
      <c r="M649" s="504">
        <v>45869</v>
      </c>
      <c r="N649" s="505" t="s">
        <v>196</v>
      </c>
      <c r="O649" s="506">
        <v>0</v>
      </c>
      <c r="P649" s="507" t="s">
        <v>196</v>
      </c>
      <c r="Q649" s="508">
        <v>47493600</v>
      </c>
      <c r="R649" s="508">
        <v>47493600</v>
      </c>
      <c r="S649" s="508">
        <v>0</v>
      </c>
      <c r="T649" s="509">
        <v>47493600</v>
      </c>
      <c r="U649" s="506">
        <v>1171074</v>
      </c>
      <c r="V649" s="510"/>
    </row>
    <row r="650" spans="1:22" s="270" customFormat="1" ht="15" customHeight="1">
      <c r="A650" s="317"/>
      <c r="B650" s="334">
        <f t="shared" si="24"/>
        <v>640</v>
      </c>
      <c r="C650" s="289" t="s">
        <v>416</v>
      </c>
      <c r="D650" s="330" t="s">
        <v>271</v>
      </c>
      <c r="E650" s="289" t="s">
        <v>241</v>
      </c>
      <c r="F650" s="360" t="s">
        <v>781</v>
      </c>
      <c r="G650" s="500">
        <v>23</v>
      </c>
      <c r="H650" s="501" t="s">
        <v>431</v>
      </c>
      <c r="I650" s="502" t="s">
        <v>1386</v>
      </c>
      <c r="J650" s="503">
        <v>0.09</v>
      </c>
      <c r="K650" s="504">
        <v>45769</v>
      </c>
      <c r="L650" s="504">
        <v>45769</v>
      </c>
      <c r="M650" s="504">
        <v>45869</v>
      </c>
      <c r="N650" s="505" t="s">
        <v>196</v>
      </c>
      <c r="O650" s="506">
        <v>0</v>
      </c>
      <c r="P650" s="507" t="s">
        <v>196</v>
      </c>
      <c r="Q650" s="508">
        <v>33513144</v>
      </c>
      <c r="R650" s="508">
        <v>33513144</v>
      </c>
      <c r="S650" s="508">
        <v>0</v>
      </c>
      <c r="T650" s="509">
        <v>33513144</v>
      </c>
      <c r="U650" s="506">
        <v>826350</v>
      </c>
      <c r="V650" s="510"/>
    </row>
    <row r="651" spans="1:22" s="270" customFormat="1" ht="15" customHeight="1">
      <c r="A651" s="317"/>
      <c r="B651" s="334">
        <f t="shared" si="24"/>
        <v>641</v>
      </c>
      <c r="C651" s="289" t="s">
        <v>416</v>
      </c>
      <c r="D651" s="330" t="s">
        <v>271</v>
      </c>
      <c r="E651" s="289" t="s">
        <v>241</v>
      </c>
      <c r="F651" s="360" t="s">
        <v>781</v>
      </c>
      <c r="G651" s="500">
        <v>24</v>
      </c>
      <c r="H651" s="501" t="s">
        <v>431</v>
      </c>
      <c r="I651" s="502" t="s">
        <v>1387</v>
      </c>
      <c r="J651" s="503">
        <v>0.09</v>
      </c>
      <c r="K651" s="504">
        <v>45769</v>
      </c>
      <c r="L651" s="504">
        <v>45769</v>
      </c>
      <c r="M651" s="504">
        <v>45869</v>
      </c>
      <c r="N651" s="505" t="s">
        <v>196</v>
      </c>
      <c r="O651" s="506">
        <v>0</v>
      </c>
      <c r="P651" s="507" t="s">
        <v>196</v>
      </c>
      <c r="Q651" s="508">
        <v>36686850</v>
      </c>
      <c r="R651" s="508">
        <v>36686850</v>
      </c>
      <c r="S651" s="508">
        <v>0</v>
      </c>
      <c r="T651" s="509">
        <v>36686850</v>
      </c>
      <c r="U651" s="506">
        <v>904606</v>
      </c>
      <c r="V651" s="510"/>
    </row>
    <row r="652" spans="1:22" s="270" customFormat="1" ht="15" customHeight="1">
      <c r="A652" s="317"/>
      <c r="B652" s="334">
        <f t="shared" si="24"/>
        <v>642</v>
      </c>
      <c r="C652" s="289" t="s">
        <v>416</v>
      </c>
      <c r="D652" s="330" t="s">
        <v>271</v>
      </c>
      <c r="E652" s="289" t="s">
        <v>241</v>
      </c>
      <c r="F652" s="360" t="s">
        <v>781</v>
      </c>
      <c r="G652" s="500">
        <v>25</v>
      </c>
      <c r="H652" s="501" t="s">
        <v>431</v>
      </c>
      <c r="I652" s="502" t="s">
        <v>1388</v>
      </c>
      <c r="J652" s="503">
        <v>0.09</v>
      </c>
      <c r="K652" s="504">
        <v>45769</v>
      </c>
      <c r="L652" s="504">
        <v>45769</v>
      </c>
      <c r="M652" s="504">
        <v>45869</v>
      </c>
      <c r="N652" s="505" t="s">
        <v>196</v>
      </c>
      <c r="O652" s="506">
        <v>0</v>
      </c>
      <c r="P652" s="507" t="s">
        <v>196</v>
      </c>
      <c r="Q652" s="508">
        <v>14197644</v>
      </c>
      <c r="R652" s="508">
        <v>14197644</v>
      </c>
      <c r="S652" s="508">
        <v>0</v>
      </c>
      <c r="T652" s="509">
        <v>14197644</v>
      </c>
      <c r="U652" s="506">
        <v>350078</v>
      </c>
      <c r="V652" s="510"/>
    </row>
    <row r="653" spans="1:22" s="270" customFormat="1" ht="15" customHeight="1">
      <c r="A653" s="317"/>
      <c r="B653" s="334">
        <f t="shared" si="24"/>
        <v>643</v>
      </c>
      <c r="C653" s="289" t="s">
        <v>416</v>
      </c>
      <c r="D653" s="330" t="s">
        <v>271</v>
      </c>
      <c r="E653" s="289" t="s">
        <v>241</v>
      </c>
      <c r="F653" s="360" t="s">
        <v>781</v>
      </c>
      <c r="G653" s="500">
        <v>26</v>
      </c>
      <c r="H653" s="501" t="s">
        <v>431</v>
      </c>
      <c r="I653" s="502" t="s">
        <v>1389</v>
      </c>
      <c r="J653" s="503">
        <v>0.09</v>
      </c>
      <c r="K653" s="504">
        <v>45769</v>
      </c>
      <c r="L653" s="504">
        <v>45769</v>
      </c>
      <c r="M653" s="504">
        <v>45869</v>
      </c>
      <c r="N653" s="505" t="s">
        <v>196</v>
      </c>
      <c r="O653" s="506">
        <v>0</v>
      </c>
      <c r="P653" s="507" t="s">
        <v>196</v>
      </c>
      <c r="Q653" s="508">
        <v>47470500</v>
      </c>
      <c r="R653" s="508">
        <v>47470500</v>
      </c>
      <c r="S653" s="508">
        <v>0</v>
      </c>
      <c r="T653" s="509">
        <v>47470500</v>
      </c>
      <c r="U653" s="506">
        <v>1170504</v>
      </c>
      <c r="V653" s="510"/>
    </row>
    <row r="654" spans="1:22" s="270" customFormat="1" ht="15" customHeight="1">
      <c r="A654" s="317"/>
      <c r="B654" s="334">
        <f t="shared" si="24"/>
        <v>644</v>
      </c>
      <c r="C654" s="289" t="s">
        <v>416</v>
      </c>
      <c r="D654" s="330" t="s">
        <v>271</v>
      </c>
      <c r="E654" s="289" t="s">
        <v>241</v>
      </c>
      <c r="F654" s="360" t="s">
        <v>781</v>
      </c>
      <c r="G654" s="500">
        <v>27</v>
      </c>
      <c r="H654" s="501" t="s">
        <v>426</v>
      </c>
      <c r="I654" s="502" t="s">
        <v>1390</v>
      </c>
      <c r="J654" s="503">
        <v>0.25</v>
      </c>
      <c r="K654" s="504">
        <v>45770</v>
      </c>
      <c r="L654" s="504">
        <v>46388</v>
      </c>
      <c r="M654" s="504">
        <v>45869</v>
      </c>
      <c r="N654" s="505" t="s">
        <v>196</v>
      </c>
      <c r="O654" s="506">
        <v>19837831</v>
      </c>
      <c r="P654" s="507" t="s">
        <v>196</v>
      </c>
      <c r="Q654" s="508">
        <v>19837831</v>
      </c>
      <c r="R654" s="508">
        <v>19837831</v>
      </c>
      <c r="S654" s="508">
        <v>0</v>
      </c>
      <c r="T654" s="509">
        <v>19837831</v>
      </c>
      <c r="U654" s="506">
        <v>1021205</v>
      </c>
      <c r="V654" s="510"/>
    </row>
    <row r="655" spans="1:22" s="270" customFormat="1" ht="15" customHeight="1">
      <c r="A655" s="317"/>
      <c r="B655" s="334">
        <f t="shared" si="24"/>
        <v>645</v>
      </c>
      <c r="C655" s="289" t="s">
        <v>416</v>
      </c>
      <c r="D655" s="330" t="s">
        <v>271</v>
      </c>
      <c r="E655" s="289" t="s">
        <v>241</v>
      </c>
      <c r="F655" s="360" t="s">
        <v>781</v>
      </c>
      <c r="G655" s="500">
        <v>28</v>
      </c>
      <c r="H655" s="501" t="s">
        <v>441</v>
      </c>
      <c r="I655" s="502" t="s">
        <v>1391</v>
      </c>
      <c r="J655" s="503"/>
      <c r="K655" s="504">
        <v>45825</v>
      </c>
      <c r="L655" s="504"/>
      <c r="M655" s="504"/>
      <c r="N655" s="505" t="s">
        <v>196</v>
      </c>
      <c r="O655" s="506">
        <v>5194080</v>
      </c>
      <c r="P655" s="507" t="s">
        <v>196</v>
      </c>
      <c r="Q655" s="508">
        <v>0</v>
      </c>
      <c r="R655" s="508">
        <v>0</v>
      </c>
      <c r="S655" s="508">
        <v>511711</v>
      </c>
      <c r="T655" s="509">
        <v>511711</v>
      </c>
      <c r="U655" s="506">
        <v>0</v>
      </c>
      <c r="V655" s="510" t="s">
        <v>437</v>
      </c>
    </row>
    <row r="656" spans="1:22" s="270" customFormat="1" ht="15" customHeight="1">
      <c r="A656" s="317"/>
      <c r="B656" s="334">
        <f t="shared" si="24"/>
        <v>646</v>
      </c>
      <c r="C656" s="289" t="s">
        <v>416</v>
      </c>
      <c r="D656" s="330" t="s">
        <v>271</v>
      </c>
      <c r="E656" s="289" t="s">
        <v>241</v>
      </c>
      <c r="F656" s="360" t="s">
        <v>781</v>
      </c>
      <c r="G656" s="500">
        <v>29</v>
      </c>
      <c r="H656" s="501" t="s">
        <v>441</v>
      </c>
      <c r="I656" s="502" t="s">
        <v>1392</v>
      </c>
      <c r="J656" s="503"/>
      <c r="K656" s="504">
        <v>45796</v>
      </c>
      <c r="L656" s="504"/>
      <c r="M656" s="504"/>
      <c r="N656" s="505" t="s">
        <v>196</v>
      </c>
      <c r="O656" s="506">
        <v>227700</v>
      </c>
      <c r="P656" s="507" t="s">
        <v>196</v>
      </c>
      <c r="Q656" s="508">
        <v>0</v>
      </c>
      <c r="R656" s="508">
        <v>0</v>
      </c>
      <c r="S656" s="508">
        <v>227700</v>
      </c>
      <c r="T656" s="509">
        <v>227700</v>
      </c>
      <c r="U656" s="506">
        <v>0</v>
      </c>
      <c r="V656" s="510" t="s">
        <v>440</v>
      </c>
    </row>
    <row r="657" spans="1:22" s="270" customFormat="1" ht="15" customHeight="1">
      <c r="A657" s="317"/>
      <c r="B657" s="334">
        <f t="shared" si="24"/>
        <v>647</v>
      </c>
      <c r="C657" s="289" t="s">
        <v>416</v>
      </c>
      <c r="D657" s="330" t="s">
        <v>271</v>
      </c>
      <c r="E657" s="289" t="s">
        <v>241</v>
      </c>
      <c r="F657" s="360" t="s">
        <v>781</v>
      </c>
      <c r="G657" s="500">
        <v>30</v>
      </c>
      <c r="H657" s="501" t="s">
        <v>441</v>
      </c>
      <c r="I657" s="502" t="s">
        <v>1393</v>
      </c>
      <c r="J657" s="503"/>
      <c r="K657" s="504">
        <v>45827</v>
      </c>
      <c r="L657" s="504"/>
      <c r="M657" s="504"/>
      <c r="N657" s="505" t="s">
        <v>196</v>
      </c>
      <c r="O657" s="506">
        <v>784300</v>
      </c>
      <c r="P657" s="507" t="s">
        <v>196</v>
      </c>
      <c r="Q657" s="508">
        <v>0</v>
      </c>
      <c r="R657" s="508">
        <v>0</v>
      </c>
      <c r="S657" s="508">
        <v>784300</v>
      </c>
      <c r="T657" s="509">
        <v>784300</v>
      </c>
      <c r="U657" s="506">
        <v>0</v>
      </c>
      <c r="V657" s="510" t="s">
        <v>440</v>
      </c>
    </row>
    <row r="658" spans="1:22" s="270" customFormat="1" ht="15" customHeight="1">
      <c r="A658" s="317"/>
      <c r="B658" s="334">
        <f t="shared" si="24"/>
        <v>648</v>
      </c>
      <c r="C658" s="289" t="s">
        <v>416</v>
      </c>
      <c r="D658" s="330" t="s">
        <v>271</v>
      </c>
      <c r="E658" s="289" t="s">
        <v>241</v>
      </c>
      <c r="F658" s="360" t="s">
        <v>781</v>
      </c>
      <c r="G658" s="500">
        <v>31</v>
      </c>
      <c r="H658" s="501" t="s">
        <v>441</v>
      </c>
      <c r="I658" s="502" t="s">
        <v>1394</v>
      </c>
      <c r="J658" s="503"/>
      <c r="K658" s="504">
        <v>45855</v>
      </c>
      <c r="L658" s="504"/>
      <c r="M658" s="504"/>
      <c r="N658" s="505" t="s">
        <v>196</v>
      </c>
      <c r="O658" s="506">
        <v>759000</v>
      </c>
      <c r="P658" s="507" t="s">
        <v>196</v>
      </c>
      <c r="Q658" s="508">
        <v>0</v>
      </c>
      <c r="R658" s="508">
        <v>0</v>
      </c>
      <c r="S658" s="508">
        <v>759000</v>
      </c>
      <c r="T658" s="509">
        <v>759000</v>
      </c>
      <c r="U658" s="506">
        <v>0</v>
      </c>
      <c r="V658" s="510" t="s">
        <v>440</v>
      </c>
    </row>
    <row r="659" spans="1:22" s="270" customFormat="1" ht="15" customHeight="1">
      <c r="A659" s="317"/>
      <c r="B659" s="334">
        <f t="shared" ref="B659:B670" si="25">ROW()-10</f>
        <v>649</v>
      </c>
      <c r="C659" s="289" t="s">
        <v>416</v>
      </c>
      <c r="D659" s="330" t="s">
        <v>271</v>
      </c>
      <c r="E659" s="289" t="s">
        <v>242</v>
      </c>
      <c r="F659" s="360" t="s">
        <v>783</v>
      </c>
      <c r="G659" s="500">
        <v>1</v>
      </c>
      <c r="H659" s="501" t="s">
        <v>212</v>
      </c>
      <c r="I659" s="502" t="s">
        <v>1395</v>
      </c>
      <c r="J659" s="503">
        <v>8.6500000000000007E-2</v>
      </c>
      <c r="K659" s="504">
        <v>45044</v>
      </c>
      <c r="L659" s="504">
        <v>45772</v>
      </c>
      <c r="M659" s="504">
        <v>45869</v>
      </c>
      <c r="N659" s="505" t="s">
        <v>196</v>
      </c>
      <c r="O659" s="506">
        <v>1000000000</v>
      </c>
      <c r="P659" s="507" t="s">
        <v>196</v>
      </c>
      <c r="Q659" s="508">
        <v>597997371</v>
      </c>
      <c r="R659" s="508">
        <v>597997371</v>
      </c>
      <c r="S659" s="508">
        <v>0</v>
      </c>
      <c r="T659" s="509">
        <v>597997371</v>
      </c>
      <c r="U659" s="506">
        <v>4823230</v>
      </c>
      <c r="V659" s="510"/>
    </row>
    <row r="660" spans="1:22" s="270" customFormat="1" ht="15" customHeight="1">
      <c r="A660" s="317"/>
      <c r="B660" s="334">
        <f t="shared" si="25"/>
        <v>650</v>
      </c>
      <c r="C660" s="289" t="s">
        <v>416</v>
      </c>
      <c r="D660" s="330" t="s">
        <v>271</v>
      </c>
      <c r="E660" s="289" t="s">
        <v>242</v>
      </c>
      <c r="F660" s="360" t="s">
        <v>783</v>
      </c>
      <c r="G660" s="500">
        <v>2</v>
      </c>
      <c r="H660" s="501" t="s">
        <v>212</v>
      </c>
      <c r="I660" s="502" t="s">
        <v>1395</v>
      </c>
      <c r="J660" s="503">
        <v>8.6500000000000007E-2</v>
      </c>
      <c r="K660" s="504">
        <v>45044</v>
      </c>
      <c r="L660" s="504">
        <v>45772</v>
      </c>
      <c r="M660" s="504">
        <v>45743</v>
      </c>
      <c r="N660" s="505" t="s">
        <v>196</v>
      </c>
      <c r="O660" s="506">
        <v>1000000000</v>
      </c>
      <c r="P660" s="507" t="s">
        <v>196</v>
      </c>
      <c r="Q660" s="508">
        <v>402000000</v>
      </c>
      <c r="R660" s="508">
        <v>402000000</v>
      </c>
      <c r="S660" s="508">
        <v>0</v>
      </c>
      <c r="T660" s="509">
        <v>402000000</v>
      </c>
      <c r="U660" s="506">
        <v>22445805</v>
      </c>
      <c r="V660" s="510"/>
    </row>
    <row r="661" spans="1:22" s="270" customFormat="1" ht="15" customHeight="1">
      <c r="A661" s="317"/>
      <c r="B661" s="334">
        <f t="shared" si="25"/>
        <v>651</v>
      </c>
      <c r="C661" s="289" t="s">
        <v>416</v>
      </c>
      <c r="D661" s="330" t="s">
        <v>271</v>
      </c>
      <c r="E661" s="289" t="s">
        <v>242</v>
      </c>
      <c r="F661" s="360" t="s">
        <v>783</v>
      </c>
      <c r="G661" s="500">
        <v>3</v>
      </c>
      <c r="H661" s="501" t="s">
        <v>212</v>
      </c>
      <c r="I661" s="502" t="s">
        <v>1396</v>
      </c>
      <c r="J661" s="503">
        <v>8.1500000000000003E-2</v>
      </c>
      <c r="K661" s="504">
        <v>45044</v>
      </c>
      <c r="L661" s="504">
        <v>45772</v>
      </c>
      <c r="M661" s="504">
        <v>45741</v>
      </c>
      <c r="N661" s="505" t="s">
        <v>196</v>
      </c>
      <c r="O661" s="506">
        <v>900000000</v>
      </c>
      <c r="P661" s="507" t="s">
        <v>196</v>
      </c>
      <c r="Q661" s="508">
        <v>900000000</v>
      </c>
      <c r="R661" s="508">
        <v>900000000</v>
      </c>
      <c r="S661" s="508">
        <v>0</v>
      </c>
      <c r="T661" s="509">
        <v>900000000</v>
      </c>
      <c r="U661" s="506">
        <v>23259004</v>
      </c>
      <c r="V661" s="510"/>
    </row>
    <row r="662" spans="1:22" s="270" customFormat="1" ht="15" customHeight="1">
      <c r="A662" s="317"/>
      <c r="B662" s="334">
        <f t="shared" si="25"/>
        <v>652</v>
      </c>
      <c r="C662" s="289" t="s">
        <v>416</v>
      </c>
      <c r="D662" s="330" t="s">
        <v>271</v>
      </c>
      <c r="E662" s="289" t="s">
        <v>242</v>
      </c>
      <c r="F662" s="360" t="s">
        <v>783</v>
      </c>
      <c r="G662" s="500">
        <v>4</v>
      </c>
      <c r="H662" s="501" t="s">
        <v>212</v>
      </c>
      <c r="I662" s="502" t="s">
        <v>1397</v>
      </c>
      <c r="J662" s="503">
        <v>7.6200000000000004E-2</v>
      </c>
      <c r="K662" s="504">
        <v>45044</v>
      </c>
      <c r="L662" s="504">
        <v>45772</v>
      </c>
      <c r="M662" s="504">
        <v>45869</v>
      </c>
      <c r="N662" s="505" t="s">
        <v>196</v>
      </c>
      <c r="O662" s="506">
        <v>1050000000</v>
      </c>
      <c r="P662" s="507" t="s">
        <v>196</v>
      </c>
      <c r="Q662" s="508">
        <v>157500000</v>
      </c>
      <c r="R662" s="508">
        <v>157500000</v>
      </c>
      <c r="S662" s="508">
        <v>0</v>
      </c>
      <c r="T662" s="509">
        <v>157500000</v>
      </c>
      <c r="U662" s="506">
        <v>6640220</v>
      </c>
      <c r="V662" s="510"/>
    </row>
    <row r="663" spans="1:22" s="270" customFormat="1" ht="15" customHeight="1">
      <c r="A663" s="317"/>
      <c r="B663" s="334">
        <f t="shared" si="25"/>
        <v>653</v>
      </c>
      <c r="C663" s="289" t="s">
        <v>416</v>
      </c>
      <c r="D663" s="330" t="s">
        <v>271</v>
      </c>
      <c r="E663" s="289" t="s">
        <v>242</v>
      </c>
      <c r="F663" s="360" t="s">
        <v>783</v>
      </c>
      <c r="G663" s="500">
        <v>5</v>
      </c>
      <c r="H663" s="501" t="s">
        <v>212</v>
      </c>
      <c r="I663" s="502" t="s">
        <v>1398</v>
      </c>
      <c r="J663" s="503">
        <v>7.9000000000000001E-2</v>
      </c>
      <c r="K663" s="504">
        <v>45044</v>
      </c>
      <c r="L663" s="504">
        <v>45772</v>
      </c>
      <c r="M663" s="504">
        <v>45869</v>
      </c>
      <c r="N663" s="505" t="s">
        <v>196</v>
      </c>
      <c r="O663" s="506">
        <v>50000000</v>
      </c>
      <c r="P663" s="507" t="s">
        <v>196</v>
      </c>
      <c r="Q663" s="508">
        <v>7500000</v>
      </c>
      <c r="R663" s="508">
        <v>7500000</v>
      </c>
      <c r="S663" s="508">
        <v>0</v>
      </c>
      <c r="T663" s="509">
        <v>7500000</v>
      </c>
      <c r="U663" s="506">
        <v>310254</v>
      </c>
      <c r="V663" s="510"/>
    </row>
    <row r="664" spans="1:22" s="270" customFormat="1" ht="15" customHeight="1">
      <c r="A664" s="317"/>
      <c r="B664" s="334">
        <f t="shared" si="25"/>
        <v>654</v>
      </c>
      <c r="C664" s="289" t="s">
        <v>416</v>
      </c>
      <c r="D664" s="330" t="s">
        <v>271</v>
      </c>
      <c r="E664" s="289" t="s">
        <v>242</v>
      </c>
      <c r="F664" s="360" t="s">
        <v>783</v>
      </c>
      <c r="G664" s="500">
        <v>6</v>
      </c>
      <c r="H664" s="501" t="s">
        <v>212</v>
      </c>
      <c r="I664" s="502" t="s">
        <v>1399</v>
      </c>
      <c r="J664" s="503">
        <v>7.690000000000001E-2</v>
      </c>
      <c r="K664" s="504">
        <v>45044</v>
      </c>
      <c r="L664" s="504">
        <v>45772</v>
      </c>
      <c r="M664" s="504">
        <v>45869</v>
      </c>
      <c r="N664" s="505" t="s">
        <v>196</v>
      </c>
      <c r="O664" s="506">
        <v>450000000</v>
      </c>
      <c r="P664" s="507" t="s">
        <v>196</v>
      </c>
      <c r="Q664" s="508">
        <v>67500000</v>
      </c>
      <c r="R664" s="508">
        <v>67500000</v>
      </c>
      <c r="S664" s="508">
        <v>0</v>
      </c>
      <c r="T664" s="509">
        <v>67500000</v>
      </c>
      <c r="U664" s="506">
        <v>2861780</v>
      </c>
      <c r="V664" s="510"/>
    </row>
    <row r="665" spans="1:22" s="270" customFormat="1" ht="15" customHeight="1">
      <c r="A665" s="317"/>
      <c r="B665" s="334">
        <f t="shared" si="25"/>
        <v>655</v>
      </c>
      <c r="C665" s="289" t="s">
        <v>416</v>
      </c>
      <c r="D665" s="330" t="s">
        <v>271</v>
      </c>
      <c r="E665" s="289" t="s">
        <v>243</v>
      </c>
      <c r="F665" s="360" t="s">
        <v>785</v>
      </c>
      <c r="G665" s="500">
        <v>1</v>
      </c>
      <c r="H665" s="501" t="s">
        <v>426</v>
      </c>
      <c r="I665" s="502" t="s">
        <v>1400</v>
      </c>
      <c r="J665" s="503">
        <v>0.25</v>
      </c>
      <c r="K665" s="504">
        <v>45775</v>
      </c>
      <c r="L665" s="504">
        <v>46174</v>
      </c>
      <c r="M665" s="504">
        <v>45869</v>
      </c>
      <c r="N665" s="505" t="s">
        <v>196</v>
      </c>
      <c r="O665" s="506">
        <v>28683154</v>
      </c>
      <c r="P665" s="507" t="s">
        <v>196</v>
      </c>
      <c r="Q665" s="508">
        <v>28683154</v>
      </c>
      <c r="R665" s="508">
        <v>28683154</v>
      </c>
      <c r="S665" s="508">
        <v>0</v>
      </c>
      <c r="T665" s="509">
        <v>28683154</v>
      </c>
      <c r="U665" s="506">
        <v>1122526</v>
      </c>
      <c r="V665" s="510"/>
    </row>
    <row r="666" spans="1:22" s="270" customFormat="1" ht="15" customHeight="1">
      <c r="A666" s="317"/>
      <c r="B666" s="334">
        <f t="shared" si="25"/>
        <v>656</v>
      </c>
      <c r="C666" s="289" t="s">
        <v>416</v>
      </c>
      <c r="D666" s="330" t="s">
        <v>271</v>
      </c>
      <c r="E666" s="289" t="s">
        <v>243</v>
      </c>
      <c r="F666" s="360" t="s">
        <v>785</v>
      </c>
      <c r="G666" s="500">
        <v>2</v>
      </c>
      <c r="H666" s="501" t="s">
        <v>422</v>
      </c>
      <c r="I666" s="502" t="s">
        <v>1401</v>
      </c>
      <c r="J666" s="503">
        <v>7.2800000000000004E-2</v>
      </c>
      <c r="K666" s="504">
        <v>45016</v>
      </c>
      <c r="L666" s="504">
        <v>46112</v>
      </c>
      <c r="M666" s="504">
        <v>45746</v>
      </c>
      <c r="N666" s="505" t="s">
        <v>196</v>
      </c>
      <c r="O666" s="506">
        <v>1340000000</v>
      </c>
      <c r="P666" s="507" t="s">
        <v>196</v>
      </c>
      <c r="Q666" s="508">
        <v>1340000000</v>
      </c>
      <c r="R666" s="508">
        <v>1340000000</v>
      </c>
      <c r="S666" s="508">
        <v>0</v>
      </c>
      <c r="T666" s="509">
        <v>1340000000</v>
      </c>
      <c r="U666" s="506">
        <v>27677766</v>
      </c>
      <c r="V666" s="510"/>
    </row>
    <row r="667" spans="1:22" s="270" customFormat="1" ht="15" customHeight="1">
      <c r="A667" s="317"/>
      <c r="B667" s="334">
        <f t="shared" si="25"/>
        <v>657</v>
      </c>
      <c r="C667" s="289" t="s">
        <v>416</v>
      </c>
      <c r="D667" s="330" t="s">
        <v>271</v>
      </c>
      <c r="E667" s="289" t="s">
        <v>243</v>
      </c>
      <c r="F667" s="360" t="s">
        <v>785</v>
      </c>
      <c r="G667" s="500">
        <v>3</v>
      </c>
      <c r="H667" s="501" t="s">
        <v>212</v>
      </c>
      <c r="I667" s="502" t="s">
        <v>1402</v>
      </c>
      <c r="J667" s="503">
        <v>7.2800000000000004E-2</v>
      </c>
      <c r="K667" s="504">
        <v>45016</v>
      </c>
      <c r="L667" s="504">
        <v>46112</v>
      </c>
      <c r="M667" s="504">
        <v>45746</v>
      </c>
      <c r="N667" s="505" t="s">
        <v>196</v>
      </c>
      <c r="O667" s="506">
        <v>200000000</v>
      </c>
      <c r="P667" s="507" t="s">
        <v>196</v>
      </c>
      <c r="Q667" s="508">
        <v>200000000</v>
      </c>
      <c r="R667" s="508">
        <v>200000000</v>
      </c>
      <c r="S667" s="508">
        <v>0</v>
      </c>
      <c r="T667" s="509">
        <v>200000000</v>
      </c>
      <c r="U667" s="506">
        <v>4803306</v>
      </c>
      <c r="V667" s="510"/>
    </row>
    <row r="668" spans="1:22" s="270" customFormat="1" ht="15" customHeight="1">
      <c r="A668" s="317"/>
      <c r="B668" s="334">
        <f t="shared" si="25"/>
        <v>658</v>
      </c>
      <c r="C668" s="289" t="s">
        <v>416</v>
      </c>
      <c r="D668" s="330" t="s">
        <v>271</v>
      </c>
      <c r="E668" s="289" t="s">
        <v>243</v>
      </c>
      <c r="F668" s="360" t="s">
        <v>785</v>
      </c>
      <c r="G668" s="500">
        <v>4</v>
      </c>
      <c r="H668" s="501" t="s">
        <v>212</v>
      </c>
      <c r="I668" s="502" t="s">
        <v>1403</v>
      </c>
      <c r="J668" s="503">
        <v>8.5000000000000006E-2</v>
      </c>
      <c r="K668" s="504">
        <v>45106</v>
      </c>
      <c r="L668" s="504">
        <v>48759</v>
      </c>
      <c r="M668" s="504">
        <v>45744</v>
      </c>
      <c r="N668" s="505" t="s">
        <v>196</v>
      </c>
      <c r="O668" s="506">
        <v>200000000</v>
      </c>
      <c r="P668" s="507" t="s">
        <v>196</v>
      </c>
      <c r="Q668" s="508">
        <v>200000000</v>
      </c>
      <c r="R668" s="508">
        <v>200000000</v>
      </c>
      <c r="S668" s="508">
        <v>0</v>
      </c>
      <c r="T668" s="509">
        <v>200000000</v>
      </c>
      <c r="U668" s="506">
        <v>5022221</v>
      </c>
      <c r="V668" s="510"/>
    </row>
    <row r="669" spans="1:22" s="270" customFormat="1" ht="15" customHeight="1">
      <c r="A669" s="317"/>
      <c r="B669" s="334">
        <f t="shared" si="25"/>
        <v>659</v>
      </c>
      <c r="C669" s="289" t="s">
        <v>416</v>
      </c>
      <c r="D669" s="330" t="s">
        <v>271</v>
      </c>
      <c r="E669" s="289" t="s">
        <v>243</v>
      </c>
      <c r="F669" s="360" t="s">
        <v>785</v>
      </c>
      <c r="G669" s="500">
        <v>5</v>
      </c>
      <c r="H669" s="501" t="s">
        <v>212</v>
      </c>
      <c r="I669" s="502" t="s">
        <v>1404</v>
      </c>
      <c r="J669" s="503">
        <v>7.6399999999999996E-2</v>
      </c>
      <c r="K669" s="504">
        <v>45191</v>
      </c>
      <c r="L669" s="504">
        <v>45912</v>
      </c>
      <c r="M669" s="504">
        <v>45759</v>
      </c>
      <c r="N669" s="505" t="s">
        <v>196</v>
      </c>
      <c r="O669" s="506">
        <v>300000000</v>
      </c>
      <c r="P669" s="507" t="s">
        <v>196</v>
      </c>
      <c r="Q669" s="508">
        <v>300000000</v>
      </c>
      <c r="R669" s="508">
        <v>300000000</v>
      </c>
      <c r="S669" s="508">
        <v>0</v>
      </c>
      <c r="T669" s="509">
        <v>300000000</v>
      </c>
      <c r="U669" s="506">
        <v>5738993</v>
      </c>
      <c r="V669" s="510"/>
    </row>
    <row r="670" spans="1:22" s="270" customFormat="1" ht="15" customHeight="1">
      <c r="A670" s="317"/>
      <c r="B670" s="334">
        <f t="shared" si="25"/>
        <v>660</v>
      </c>
      <c r="C670" s="289" t="s">
        <v>416</v>
      </c>
      <c r="D670" s="330" t="s">
        <v>271</v>
      </c>
      <c r="E670" s="289" t="s">
        <v>243</v>
      </c>
      <c r="F670" s="360" t="s">
        <v>785</v>
      </c>
      <c r="G670" s="500">
        <v>6</v>
      </c>
      <c r="H670" s="501" t="s">
        <v>441</v>
      </c>
      <c r="I670" s="502" t="s">
        <v>1405</v>
      </c>
      <c r="J670" s="503"/>
      <c r="K670" s="504">
        <v>45849</v>
      </c>
      <c r="L670" s="504"/>
      <c r="M670" s="504"/>
      <c r="N670" s="505" t="s">
        <v>196</v>
      </c>
      <c r="O670" s="506">
        <v>1569259</v>
      </c>
      <c r="P670" s="507" t="s">
        <v>196</v>
      </c>
      <c r="Q670" s="508">
        <v>0</v>
      </c>
      <c r="R670" s="508">
        <v>0</v>
      </c>
      <c r="S670" s="508">
        <v>1569259</v>
      </c>
      <c r="T670" s="509">
        <v>1569259</v>
      </c>
      <c r="U670" s="506">
        <v>0</v>
      </c>
      <c r="V670" s="510" t="s">
        <v>438</v>
      </c>
    </row>
    <row r="671" spans="1:22" s="270" customFormat="1" ht="15" customHeight="1">
      <c r="A671" s="317"/>
      <c r="B671" s="334">
        <f t="shared" ref="B671:B692" si="26">ROW()-10</f>
        <v>661</v>
      </c>
      <c r="C671" s="289" t="s">
        <v>416</v>
      </c>
      <c r="D671" s="330" t="s">
        <v>271</v>
      </c>
      <c r="E671" s="289" t="s">
        <v>787</v>
      </c>
      <c r="F671" s="360" t="s">
        <v>788</v>
      </c>
      <c r="G671" s="500">
        <v>1</v>
      </c>
      <c r="H671" s="501" t="s">
        <v>422</v>
      </c>
      <c r="I671" s="502" t="s">
        <v>1406</v>
      </c>
      <c r="J671" s="503">
        <v>8.8100000000000012E-2</v>
      </c>
      <c r="K671" s="504">
        <v>43677</v>
      </c>
      <c r="L671" s="504">
        <v>45536</v>
      </c>
      <c r="M671" s="504">
        <v>45869</v>
      </c>
      <c r="N671" s="505" t="s">
        <v>196</v>
      </c>
      <c r="O671" s="506">
        <v>580000000</v>
      </c>
      <c r="P671" s="507" t="s">
        <v>196</v>
      </c>
      <c r="Q671" s="508">
        <v>11009252</v>
      </c>
      <c r="R671" s="508">
        <v>11009252</v>
      </c>
      <c r="S671" s="508">
        <v>0</v>
      </c>
      <c r="T671" s="509">
        <v>11009252</v>
      </c>
      <c r="U671" s="506">
        <v>1064584</v>
      </c>
      <c r="V671" s="510"/>
    </row>
    <row r="672" spans="1:22" s="270" customFormat="1" ht="15" customHeight="1">
      <c r="A672" s="317"/>
      <c r="B672" s="334">
        <f t="shared" si="26"/>
        <v>662</v>
      </c>
      <c r="C672" s="289" t="s">
        <v>416</v>
      </c>
      <c r="D672" s="330" t="s">
        <v>271</v>
      </c>
      <c r="E672" s="289" t="s">
        <v>787</v>
      </c>
      <c r="F672" s="360" t="s">
        <v>788</v>
      </c>
      <c r="G672" s="500">
        <v>2</v>
      </c>
      <c r="H672" s="501" t="s">
        <v>422</v>
      </c>
      <c r="I672" s="502" t="s">
        <v>1406</v>
      </c>
      <c r="J672" s="503">
        <v>8.8100000000000012E-2</v>
      </c>
      <c r="K672" s="504">
        <v>43677</v>
      </c>
      <c r="L672" s="504">
        <v>45536</v>
      </c>
      <c r="M672" s="504">
        <v>45269</v>
      </c>
      <c r="N672" s="505" t="s">
        <v>196</v>
      </c>
      <c r="O672" s="506">
        <v>580000000</v>
      </c>
      <c r="P672" s="507" t="s">
        <v>196</v>
      </c>
      <c r="Q672" s="508">
        <v>568940910</v>
      </c>
      <c r="R672" s="508">
        <v>568940910</v>
      </c>
      <c r="S672" s="508">
        <v>0</v>
      </c>
      <c r="T672" s="509">
        <v>568940910</v>
      </c>
      <c r="U672" s="506">
        <v>80875139</v>
      </c>
      <c r="V672" s="510"/>
    </row>
    <row r="673" spans="1:22" s="270" customFormat="1" ht="15" customHeight="1">
      <c r="A673" s="317"/>
      <c r="B673" s="334">
        <f t="shared" si="26"/>
        <v>663</v>
      </c>
      <c r="C673" s="289" t="s">
        <v>416</v>
      </c>
      <c r="D673" s="330" t="s">
        <v>271</v>
      </c>
      <c r="E673" s="289" t="s">
        <v>787</v>
      </c>
      <c r="F673" s="360" t="s">
        <v>788</v>
      </c>
      <c r="G673" s="500">
        <v>3</v>
      </c>
      <c r="H673" s="501" t="s">
        <v>422</v>
      </c>
      <c r="I673" s="502" t="s">
        <v>1407</v>
      </c>
      <c r="J673" s="503">
        <v>0.10369999999999999</v>
      </c>
      <c r="K673" s="504">
        <v>43706</v>
      </c>
      <c r="L673" s="504">
        <v>46619</v>
      </c>
      <c r="M673" s="504">
        <v>45869</v>
      </c>
      <c r="N673" s="505" t="s">
        <v>196</v>
      </c>
      <c r="O673" s="506">
        <v>300000000</v>
      </c>
      <c r="P673" s="507" t="s">
        <v>196</v>
      </c>
      <c r="Q673" s="508">
        <v>19356000</v>
      </c>
      <c r="R673" s="508">
        <v>19356000</v>
      </c>
      <c r="S673" s="508">
        <v>0</v>
      </c>
      <c r="T673" s="509">
        <v>19356000</v>
      </c>
      <c r="U673" s="506">
        <v>2204032</v>
      </c>
      <c r="V673" s="510"/>
    </row>
    <row r="674" spans="1:22" s="270" customFormat="1" ht="15" customHeight="1">
      <c r="A674" s="317"/>
      <c r="B674" s="334">
        <f t="shared" si="26"/>
        <v>664</v>
      </c>
      <c r="C674" s="289" t="s">
        <v>416</v>
      </c>
      <c r="D674" s="330" t="s">
        <v>271</v>
      </c>
      <c r="E674" s="289" t="s">
        <v>787</v>
      </c>
      <c r="F674" s="360" t="s">
        <v>788</v>
      </c>
      <c r="G674" s="500">
        <v>4</v>
      </c>
      <c r="H674" s="501" t="s">
        <v>422</v>
      </c>
      <c r="I674" s="502" t="s">
        <v>1407</v>
      </c>
      <c r="J674" s="503">
        <v>0.10369999999999999</v>
      </c>
      <c r="K674" s="504">
        <v>43706</v>
      </c>
      <c r="L674" s="504">
        <v>46619</v>
      </c>
      <c r="M674" s="504">
        <v>45279</v>
      </c>
      <c r="N674" s="505" t="s">
        <v>196</v>
      </c>
      <c r="O674" s="506">
        <v>300000000</v>
      </c>
      <c r="P674" s="507" t="s">
        <v>196</v>
      </c>
      <c r="Q674" s="508">
        <v>90436743</v>
      </c>
      <c r="R674" s="508">
        <v>90436743</v>
      </c>
      <c r="S674" s="508">
        <v>0</v>
      </c>
      <c r="T674" s="509">
        <v>90436743</v>
      </c>
      <c r="U674" s="506">
        <v>18871815</v>
      </c>
      <c r="V674" s="510"/>
    </row>
    <row r="675" spans="1:22" s="270" customFormat="1" ht="15" customHeight="1">
      <c r="A675" s="317"/>
      <c r="B675" s="334">
        <f t="shared" si="26"/>
        <v>665</v>
      </c>
      <c r="C675" s="289" t="s">
        <v>416</v>
      </c>
      <c r="D675" s="330" t="s">
        <v>271</v>
      </c>
      <c r="E675" s="289" t="s">
        <v>787</v>
      </c>
      <c r="F675" s="360" t="s">
        <v>788</v>
      </c>
      <c r="G675" s="500">
        <v>5</v>
      </c>
      <c r="H675" s="501" t="s">
        <v>212</v>
      </c>
      <c r="I675" s="502" t="s">
        <v>1408</v>
      </c>
      <c r="J675" s="503">
        <v>0.11</v>
      </c>
      <c r="K675" s="504">
        <v>43826</v>
      </c>
      <c r="L675" s="504">
        <v>45639</v>
      </c>
      <c r="M675" s="504">
        <v>45869</v>
      </c>
      <c r="N675" s="505" t="s">
        <v>196</v>
      </c>
      <c r="O675" s="506">
        <v>50000000</v>
      </c>
      <c r="P675" s="507" t="s">
        <v>196</v>
      </c>
      <c r="Q675" s="508">
        <v>7484271</v>
      </c>
      <c r="R675" s="508">
        <v>7484271</v>
      </c>
      <c r="S675" s="508">
        <v>0</v>
      </c>
      <c r="T675" s="509">
        <v>7484271</v>
      </c>
      <c r="U675" s="506">
        <v>1698945</v>
      </c>
      <c r="V675" s="510"/>
    </row>
    <row r="676" spans="1:22" s="270" customFormat="1" ht="15" customHeight="1">
      <c r="A676" s="317"/>
      <c r="B676" s="334">
        <f t="shared" si="26"/>
        <v>666</v>
      </c>
      <c r="C676" s="289" t="s">
        <v>416</v>
      </c>
      <c r="D676" s="330" t="s">
        <v>271</v>
      </c>
      <c r="E676" s="289" t="s">
        <v>787</v>
      </c>
      <c r="F676" s="360" t="s">
        <v>788</v>
      </c>
      <c r="G676" s="500">
        <v>6</v>
      </c>
      <c r="H676" s="501" t="s">
        <v>212</v>
      </c>
      <c r="I676" s="502" t="s">
        <v>1409</v>
      </c>
      <c r="J676" s="503"/>
      <c r="K676" s="504">
        <v>43994</v>
      </c>
      <c r="L676" s="504">
        <v>45450</v>
      </c>
      <c r="M676" s="504">
        <v>45869</v>
      </c>
      <c r="N676" s="505" t="s">
        <v>196</v>
      </c>
      <c r="O676" s="506">
        <v>20000000</v>
      </c>
      <c r="P676" s="507" t="s">
        <v>196</v>
      </c>
      <c r="Q676" s="508">
        <v>0</v>
      </c>
      <c r="R676" s="508">
        <v>0</v>
      </c>
      <c r="S676" s="508">
        <v>0</v>
      </c>
      <c r="T676" s="509">
        <v>0</v>
      </c>
      <c r="U676" s="506">
        <v>215123</v>
      </c>
      <c r="V676" s="510"/>
    </row>
    <row r="677" spans="1:22" s="270" customFormat="1" ht="15" customHeight="1">
      <c r="A677" s="317"/>
      <c r="B677" s="334">
        <f t="shared" si="26"/>
        <v>667</v>
      </c>
      <c r="C677" s="289" t="s">
        <v>416</v>
      </c>
      <c r="D677" s="330" t="s">
        <v>271</v>
      </c>
      <c r="E677" s="289" t="s">
        <v>787</v>
      </c>
      <c r="F677" s="360" t="s">
        <v>788</v>
      </c>
      <c r="G677" s="500">
        <v>7</v>
      </c>
      <c r="H677" s="501" t="s">
        <v>441</v>
      </c>
      <c r="I677" s="502" t="s">
        <v>1410</v>
      </c>
      <c r="J677" s="503"/>
      <c r="K677" s="504">
        <v>45414</v>
      </c>
      <c r="L677" s="504"/>
      <c r="M677" s="504"/>
      <c r="N677" s="505" t="s">
        <v>196</v>
      </c>
      <c r="O677" s="506">
        <v>7197060</v>
      </c>
      <c r="P677" s="507" t="s">
        <v>196</v>
      </c>
      <c r="Q677" s="508">
        <v>0</v>
      </c>
      <c r="R677" s="508">
        <v>0</v>
      </c>
      <c r="S677" s="508">
        <v>7197060</v>
      </c>
      <c r="T677" s="509">
        <v>7197060</v>
      </c>
      <c r="U677" s="506">
        <v>0</v>
      </c>
      <c r="V677" s="510" t="s">
        <v>439</v>
      </c>
    </row>
    <row r="678" spans="1:22" s="270" customFormat="1" ht="15" customHeight="1">
      <c r="A678" s="317"/>
      <c r="B678" s="334">
        <f t="shared" si="26"/>
        <v>668</v>
      </c>
      <c r="C678" s="289" t="s">
        <v>416</v>
      </c>
      <c r="D678" s="330" t="s">
        <v>271</v>
      </c>
      <c r="E678" s="289" t="s">
        <v>787</v>
      </c>
      <c r="F678" s="360" t="s">
        <v>788</v>
      </c>
      <c r="G678" s="500">
        <v>8</v>
      </c>
      <c r="H678" s="501" t="s">
        <v>441</v>
      </c>
      <c r="I678" s="502" t="s">
        <v>1411</v>
      </c>
      <c r="J678" s="503"/>
      <c r="K678" s="504">
        <v>45425</v>
      </c>
      <c r="L678" s="504"/>
      <c r="M678" s="504"/>
      <c r="N678" s="505" t="s">
        <v>196</v>
      </c>
      <c r="O678" s="506">
        <v>581900</v>
      </c>
      <c r="P678" s="507" t="s">
        <v>196</v>
      </c>
      <c r="Q678" s="508">
        <v>0</v>
      </c>
      <c r="R678" s="508">
        <v>0</v>
      </c>
      <c r="S678" s="508">
        <v>581900</v>
      </c>
      <c r="T678" s="509">
        <v>581900</v>
      </c>
      <c r="U678" s="506">
        <v>0</v>
      </c>
      <c r="V678" s="510" t="s">
        <v>440</v>
      </c>
    </row>
    <row r="679" spans="1:22" s="270" customFormat="1" ht="15" customHeight="1">
      <c r="A679" s="317"/>
      <c r="B679" s="334">
        <f t="shared" si="26"/>
        <v>669</v>
      </c>
      <c r="C679" s="289" t="s">
        <v>416</v>
      </c>
      <c r="D679" s="330" t="s">
        <v>271</v>
      </c>
      <c r="E679" s="289" t="s">
        <v>787</v>
      </c>
      <c r="F679" s="360" t="s">
        <v>788</v>
      </c>
      <c r="G679" s="500">
        <v>9</v>
      </c>
      <c r="H679" s="501" t="s">
        <v>441</v>
      </c>
      <c r="I679" s="502" t="s">
        <v>1412</v>
      </c>
      <c r="J679" s="503"/>
      <c r="K679" s="504">
        <v>45453</v>
      </c>
      <c r="L679" s="504"/>
      <c r="M679" s="504"/>
      <c r="N679" s="505" t="s">
        <v>196</v>
      </c>
      <c r="O679" s="506">
        <v>784300</v>
      </c>
      <c r="P679" s="507" t="s">
        <v>196</v>
      </c>
      <c r="Q679" s="508">
        <v>0</v>
      </c>
      <c r="R679" s="508">
        <v>0</v>
      </c>
      <c r="S679" s="508">
        <v>784300</v>
      </c>
      <c r="T679" s="509">
        <v>784300</v>
      </c>
      <c r="U679" s="506">
        <v>0</v>
      </c>
      <c r="V679" s="510" t="s">
        <v>440</v>
      </c>
    </row>
    <row r="680" spans="1:22" s="270" customFormat="1" ht="15" customHeight="1">
      <c r="A680" s="317"/>
      <c r="B680" s="334">
        <f t="shared" si="26"/>
        <v>670</v>
      </c>
      <c r="C680" s="289" t="s">
        <v>416</v>
      </c>
      <c r="D680" s="330" t="s">
        <v>271</v>
      </c>
      <c r="E680" s="289" t="s">
        <v>787</v>
      </c>
      <c r="F680" s="360" t="s">
        <v>788</v>
      </c>
      <c r="G680" s="500">
        <v>10</v>
      </c>
      <c r="H680" s="501" t="s">
        <v>441</v>
      </c>
      <c r="I680" s="502" t="s">
        <v>1413</v>
      </c>
      <c r="J680" s="503"/>
      <c r="K680" s="504">
        <v>45474</v>
      </c>
      <c r="L680" s="504"/>
      <c r="M680" s="504"/>
      <c r="N680" s="505" t="s">
        <v>196</v>
      </c>
      <c r="O680" s="506">
        <v>759000</v>
      </c>
      <c r="P680" s="507" t="s">
        <v>196</v>
      </c>
      <c r="Q680" s="508">
        <v>0</v>
      </c>
      <c r="R680" s="508">
        <v>0</v>
      </c>
      <c r="S680" s="508">
        <v>759000</v>
      </c>
      <c r="T680" s="509">
        <v>759000</v>
      </c>
      <c r="U680" s="506">
        <v>0</v>
      </c>
      <c r="V680" s="510" t="s">
        <v>440</v>
      </c>
    </row>
    <row r="681" spans="1:22" s="270" customFormat="1" ht="15" customHeight="1">
      <c r="A681" s="317"/>
      <c r="B681" s="334">
        <f t="shared" si="26"/>
        <v>671</v>
      </c>
      <c r="C681" s="289" t="s">
        <v>416</v>
      </c>
      <c r="D681" s="330" t="s">
        <v>271</v>
      </c>
      <c r="E681" s="289" t="s">
        <v>787</v>
      </c>
      <c r="F681" s="360" t="s">
        <v>788</v>
      </c>
      <c r="G681" s="500">
        <v>11</v>
      </c>
      <c r="H681" s="501" t="s">
        <v>441</v>
      </c>
      <c r="I681" s="502" t="s">
        <v>1414</v>
      </c>
      <c r="J681" s="503"/>
      <c r="K681" s="504">
        <v>45512</v>
      </c>
      <c r="L681" s="504"/>
      <c r="M681" s="504"/>
      <c r="N681" s="505" t="s">
        <v>196</v>
      </c>
      <c r="O681" s="506">
        <v>784300</v>
      </c>
      <c r="P681" s="507" t="s">
        <v>196</v>
      </c>
      <c r="Q681" s="508">
        <v>0</v>
      </c>
      <c r="R681" s="508">
        <v>0</v>
      </c>
      <c r="S681" s="508">
        <v>784300</v>
      </c>
      <c r="T681" s="509">
        <v>784300</v>
      </c>
      <c r="U681" s="506">
        <v>0</v>
      </c>
      <c r="V681" s="510" t="s">
        <v>440</v>
      </c>
    </row>
    <row r="682" spans="1:22" s="270" customFormat="1" ht="15" customHeight="1">
      <c r="A682" s="317"/>
      <c r="B682" s="334">
        <f t="shared" si="26"/>
        <v>672</v>
      </c>
      <c r="C682" s="289" t="s">
        <v>416</v>
      </c>
      <c r="D682" s="330" t="s">
        <v>271</v>
      </c>
      <c r="E682" s="289" t="s">
        <v>787</v>
      </c>
      <c r="F682" s="360" t="s">
        <v>788</v>
      </c>
      <c r="G682" s="500">
        <v>12</v>
      </c>
      <c r="H682" s="501" t="s">
        <v>441</v>
      </c>
      <c r="I682" s="502" t="s">
        <v>1415</v>
      </c>
      <c r="J682" s="503"/>
      <c r="K682" s="504">
        <v>45540</v>
      </c>
      <c r="L682" s="504"/>
      <c r="M682" s="504"/>
      <c r="N682" s="505" t="s">
        <v>196</v>
      </c>
      <c r="O682" s="506">
        <v>784300</v>
      </c>
      <c r="P682" s="507" t="s">
        <v>196</v>
      </c>
      <c r="Q682" s="508">
        <v>0</v>
      </c>
      <c r="R682" s="508">
        <v>0</v>
      </c>
      <c r="S682" s="508">
        <v>784300</v>
      </c>
      <c r="T682" s="509">
        <v>784300</v>
      </c>
      <c r="U682" s="506">
        <v>0</v>
      </c>
      <c r="V682" s="510" t="s">
        <v>440</v>
      </c>
    </row>
    <row r="683" spans="1:22" s="270" customFormat="1" ht="15" customHeight="1">
      <c r="A683" s="317"/>
      <c r="B683" s="334">
        <f t="shared" si="26"/>
        <v>673</v>
      </c>
      <c r="C683" s="289" t="s">
        <v>416</v>
      </c>
      <c r="D683" s="330" t="s">
        <v>271</v>
      </c>
      <c r="E683" s="289" t="s">
        <v>787</v>
      </c>
      <c r="F683" s="360" t="s">
        <v>788</v>
      </c>
      <c r="G683" s="500">
        <v>13</v>
      </c>
      <c r="H683" s="501" t="s">
        <v>441</v>
      </c>
      <c r="I683" s="502" t="s">
        <v>1416</v>
      </c>
      <c r="J683" s="503"/>
      <c r="K683" s="504">
        <v>45567</v>
      </c>
      <c r="L683" s="504"/>
      <c r="M683" s="504"/>
      <c r="N683" s="505" t="s">
        <v>196</v>
      </c>
      <c r="O683" s="506">
        <v>759000</v>
      </c>
      <c r="P683" s="507" t="s">
        <v>196</v>
      </c>
      <c r="Q683" s="508">
        <v>0</v>
      </c>
      <c r="R683" s="508">
        <v>0</v>
      </c>
      <c r="S683" s="508">
        <v>759000</v>
      </c>
      <c r="T683" s="509">
        <v>759000</v>
      </c>
      <c r="U683" s="506">
        <v>0</v>
      </c>
      <c r="V683" s="510" t="s">
        <v>440</v>
      </c>
    </row>
    <row r="684" spans="1:22" s="270" customFormat="1" ht="15" customHeight="1">
      <c r="A684" s="317"/>
      <c r="B684" s="334">
        <f t="shared" si="26"/>
        <v>674</v>
      </c>
      <c r="C684" s="289" t="s">
        <v>416</v>
      </c>
      <c r="D684" s="330" t="s">
        <v>271</v>
      </c>
      <c r="E684" s="289" t="s">
        <v>787</v>
      </c>
      <c r="F684" s="360" t="s">
        <v>788</v>
      </c>
      <c r="G684" s="500">
        <v>14</v>
      </c>
      <c r="H684" s="501" t="s">
        <v>441</v>
      </c>
      <c r="I684" s="502" t="s">
        <v>1417</v>
      </c>
      <c r="J684" s="503"/>
      <c r="K684" s="504">
        <v>45597</v>
      </c>
      <c r="L684" s="504"/>
      <c r="M684" s="504"/>
      <c r="N684" s="505" t="s">
        <v>196</v>
      </c>
      <c r="O684" s="506">
        <v>784300</v>
      </c>
      <c r="P684" s="507" t="s">
        <v>196</v>
      </c>
      <c r="Q684" s="508">
        <v>0</v>
      </c>
      <c r="R684" s="508">
        <v>0</v>
      </c>
      <c r="S684" s="508">
        <v>784300</v>
      </c>
      <c r="T684" s="509">
        <v>784300</v>
      </c>
      <c r="U684" s="506">
        <v>0</v>
      </c>
      <c r="V684" s="510" t="s">
        <v>440</v>
      </c>
    </row>
    <row r="685" spans="1:22" s="270" customFormat="1" ht="15" customHeight="1">
      <c r="A685" s="317"/>
      <c r="B685" s="334">
        <f t="shared" si="26"/>
        <v>675</v>
      </c>
      <c r="C685" s="289" t="s">
        <v>416</v>
      </c>
      <c r="D685" s="330" t="s">
        <v>271</v>
      </c>
      <c r="E685" s="289" t="s">
        <v>787</v>
      </c>
      <c r="F685" s="360" t="s">
        <v>788</v>
      </c>
      <c r="G685" s="500">
        <v>15</v>
      </c>
      <c r="H685" s="501" t="s">
        <v>441</v>
      </c>
      <c r="I685" s="502" t="s">
        <v>1418</v>
      </c>
      <c r="J685" s="503"/>
      <c r="K685" s="504">
        <v>45631</v>
      </c>
      <c r="L685" s="504"/>
      <c r="M685" s="504"/>
      <c r="N685" s="505" t="s">
        <v>196</v>
      </c>
      <c r="O685" s="506">
        <v>759000</v>
      </c>
      <c r="P685" s="507" t="s">
        <v>196</v>
      </c>
      <c r="Q685" s="508">
        <v>0</v>
      </c>
      <c r="R685" s="508">
        <v>0</v>
      </c>
      <c r="S685" s="508">
        <v>759000</v>
      </c>
      <c r="T685" s="509">
        <v>759000</v>
      </c>
      <c r="U685" s="506">
        <v>0</v>
      </c>
      <c r="V685" s="510" t="s">
        <v>440</v>
      </c>
    </row>
    <row r="686" spans="1:22" s="270" customFormat="1" ht="15" customHeight="1">
      <c r="A686" s="317"/>
      <c r="B686" s="334">
        <f t="shared" si="26"/>
        <v>676</v>
      </c>
      <c r="C686" s="289" t="s">
        <v>416</v>
      </c>
      <c r="D686" s="330" t="s">
        <v>271</v>
      </c>
      <c r="E686" s="289" t="s">
        <v>787</v>
      </c>
      <c r="F686" s="360" t="s">
        <v>788</v>
      </c>
      <c r="G686" s="500">
        <v>16</v>
      </c>
      <c r="H686" s="501" t="s">
        <v>441</v>
      </c>
      <c r="I686" s="502" t="s">
        <v>1419</v>
      </c>
      <c r="J686" s="503"/>
      <c r="K686" s="504">
        <v>45659</v>
      </c>
      <c r="L686" s="504"/>
      <c r="M686" s="504"/>
      <c r="N686" s="505" t="s">
        <v>196</v>
      </c>
      <c r="O686" s="506">
        <v>784300</v>
      </c>
      <c r="P686" s="507" t="s">
        <v>196</v>
      </c>
      <c r="Q686" s="508">
        <v>0</v>
      </c>
      <c r="R686" s="508">
        <v>0</v>
      </c>
      <c r="S686" s="508">
        <v>784300</v>
      </c>
      <c r="T686" s="509">
        <v>784300</v>
      </c>
      <c r="U686" s="506">
        <v>0</v>
      </c>
      <c r="V686" s="510" t="s">
        <v>440</v>
      </c>
    </row>
    <row r="687" spans="1:22" s="270" customFormat="1" ht="15" customHeight="1">
      <c r="A687" s="317"/>
      <c r="B687" s="334">
        <f t="shared" si="26"/>
        <v>677</v>
      </c>
      <c r="C687" s="289" t="s">
        <v>416</v>
      </c>
      <c r="D687" s="330" t="s">
        <v>271</v>
      </c>
      <c r="E687" s="289" t="s">
        <v>787</v>
      </c>
      <c r="F687" s="360" t="s">
        <v>788</v>
      </c>
      <c r="G687" s="500">
        <v>17</v>
      </c>
      <c r="H687" s="501" t="s">
        <v>441</v>
      </c>
      <c r="I687" s="502" t="s">
        <v>1420</v>
      </c>
      <c r="J687" s="503"/>
      <c r="K687" s="504">
        <v>45694</v>
      </c>
      <c r="L687" s="504"/>
      <c r="M687" s="504"/>
      <c r="N687" s="505" t="s">
        <v>196</v>
      </c>
      <c r="O687" s="506">
        <v>784300</v>
      </c>
      <c r="P687" s="507" t="s">
        <v>196</v>
      </c>
      <c r="Q687" s="508">
        <v>0</v>
      </c>
      <c r="R687" s="508">
        <v>0</v>
      </c>
      <c r="S687" s="508">
        <v>784300</v>
      </c>
      <c r="T687" s="509">
        <v>784300</v>
      </c>
      <c r="U687" s="506">
        <v>0</v>
      </c>
      <c r="V687" s="510" t="s">
        <v>440</v>
      </c>
    </row>
    <row r="688" spans="1:22" s="270" customFormat="1" ht="15" customHeight="1">
      <c r="A688" s="317"/>
      <c r="B688" s="334">
        <f t="shared" si="26"/>
        <v>678</v>
      </c>
      <c r="C688" s="289" t="s">
        <v>416</v>
      </c>
      <c r="D688" s="330" t="s">
        <v>271</v>
      </c>
      <c r="E688" s="289" t="s">
        <v>787</v>
      </c>
      <c r="F688" s="360" t="s">
        <v>788</v>
      </c>
      <c r="G688" s="500">
        <v>18</v>
      </c>
      <c r="H688" s="501" t="s">
        <v>441</v>
      </c>
      <c r="I688" s="502" t="s">
        <v>1421</v>
      </c>
      <c r="J688" s="503"/>
      <c r="K688" s="504">
        <v>45727</v>
      </c>
      <c r="L688" s="504"/>
      <c r="M688" s="504"/>
      <c r="N688" s="505" t="s">
        <v>196</v>
      </c>
      <c r="O688" s="506">
        <v>708400</v>
      </c>
      <c r="P688" s="507" t="s">
        <v>196</v>
      </c>
      <c r="Q688" s="508">
        <v>0</v>
      </c>
      <c r="R688" s="508">
        <v>0</v>
      </c>
      <c r="S688" s="508">
        <v>708400</v>
      </c>
      <c r="T688" s="509">
        <v>708400</v>
      </c>
      <c r="U688" s="506">
        <v>0</v>
      </c>
      <c r="V688" s="510" t="s">
        <v>440</v>
      </c>
    </row>
    <row r="689" spans="1:22" s="270" customFormat="1" ht="15" customHeight="1">
      <c r="A689" s="317"/>
      <c r="B689" s="334">
        <f t="shared" si="26"/>
        <v>679</v>
      </c>
      <c r="C689" s="289" t="s">
        <v>416</v>
      </c>
      <c r="D689" s="330" t="s">
        <v>271</v>
      </c>
      <c r="E689" s="289" t="s">
        <v>787</v>
      </c>
      <c r="F689" s="360" t="s">
        <v>788</v>
      </c>
      <c r="G689" s="500">
        <v>19</v>
      </c>
      <c r="H689" s="501" t="s">
        <v>441</v>
      </c>
      <c r="I689" s="502" t="s">
        <v>1422</v>
      </c>
      <c r="J689" s="503"/>
      <c r="K689" s="504">
        <v>45749</v>
      </c>
      <c r="L689" s="504"/>
      <c r="M689" s="504"/>
      <c r="N689" s="505" t="s">
        <v>196</v>
      </c>
      <c r="O689" s="506">
        <v>784300</v>
      </c>
      <c r="P689" s="507" t="s">
        <v>196</v>
      </c>
      <c r="Q689" s="508">
        <v>0</v>
      </c>
      <c r="R689" s="508">
        <v>0</v>
      </c>
      <c r="S689" s="508">
        <v>784300</v>
      </c>
      <c r="T689" s="509">
        <v>784300</v>
      </c>
      <c r="U689" s="506">
        <v>0</v>
      </c>
      <c r="V689" s="510" t="s">
        <v>440</v>
      </c>
    </row>
    <row r="690" spans="1:22" s="270" customFormat="1" ht="15" customHeight="1">
      <c r="A690" s="317"/>
      <c r="B690" s="334">
        <f t="shared" si="26"/>
        <v>680</v>
      </c>
      <c r="C690" s="289" t="s">
        <v>416</v>
      </c>
      <c r="D690" s="330" t="s">
        <v>271</v>
      </c>
      <c r="E690" s="289" t="s">
        <v>787</v>
      </c>
      <c r="F690" s="360" t="s">
        <v>788</v>
      </c>
      <c r="G690" s="500">
        <v>20</v>
      </c>
      <c r="H690" s="501" t="s">
        <v>441</v>
      </c>
      <c r="I690" s="502" t="s">
        <v>1423</v>
      </c>
      <c r="J690" s="503"/>
      <c r="K690" s="504">
        <v>45789</v>
      </c>
      <c r="L690" s="504"/>
      <c r="M690" s="504"/>
      <c r="N690" s="505" t="s">
        <v>196</v>
      </c>
      <c r="O690" s="506">
        <v>759000</v>
      </c>
      <c r="P690" s="507" t="s">
        <v>196</v>
      </c>
      <c r="Q690" s="508">
        <v>0</v>
      </c>
      <c r="R690" s="508">
        <v>0</v>
      </c>
      <c r="S690" s="508">
        <v>759000</v>
      </c>
      <c r="T690" s="509">
        <v>759000</v>
      </c>
      <c r="U690" s="506">
        <v>0</v>
      </c>
      <c r="V690" s="510" t="s">
        <v>440</v>
      </c>
    </row>
    <row r="691" spans="1:22" s="270" customFormat="1" ht="15" customHeight="1">
      <c r="A691" s="317"/>
      <c r="B691" s="334">
        <f t="shared" si="26"/>
        <v>681</v>
      </c>
      <c r="C691" s="289" t="s">
        <v>416</v>
      </c>
      <c r="D691" s="330" t="s">
        <v>271</v>
      </c>
      <c r="E691" s="289" t="s">
        <v>787</v>
      </c>
      <c r="F691" s="360" t="s">
        <v>788</v>
      </c>
      <c r="G691" s="500">
        <v>21</v>
      </c>
      <c r="H691" s="501" t="s">
        <v>441</v>
      </c>
      <c r="I691" s="502" t="s">
        <v>1424</v>
      </c>
      <c r="J691" s="503"/>
      <c r="K691" s="504">
        <v>45827</v>
      </c>
      <c r="L691" s="504"/>
      <c r="M691" s="504"/>
      <c r="N691" s="505" t="s">
        <v>196</v>
      </c>
      <c r="O691" s="506">
        <v>784300</v>
      </c>
      <c r="P691" s="507" t="s">
        <v>196</v>
      </c>
      <c r="Q691" s="508">
        <v>0</v>
      </c>
      <c r="R691" s="508">
        <v>0</v>
      </c>
      <c r="S691" s="508">
        <v>784300</v>
      </c>
      <c r="T691" s="509">
        <v>784300</v>
      </c>
      <c r="U691" s="506">
        <v>0</v>
      </c>
      <c r="V691" s="510" t="s">
        <v>440</v>
      </c>
    </row>
    <row r="692" spans="1:22" s="270" customFormat="1" ht="15" customHeight="1">
      <c r="A692" s="317"/>
      <c r="B692" s="334">
        <f t="shared" si="26"/>
        <v>682</v>
      </c>
      <c r="C692" s="289" t="s">
        <v>416</v>
      </c>
      <c r="D692" s="330" t="s">
        <v>271</v>
      </c>
      <c r="E692" s="289" t="s">
        <v>787</v>
      </c>
      <c r="F692" s="360" t="s">
        <v>788</v>
      </c>
      <c r="G692" s="500">
        <v>22</v>
      </c>
      <c r="H692" s="501" t="s">
        <v>441</v>
      </c>
      <c r="I692" s="502" t="s">
        <v>1425</v>
      </c>
      <c r="J692" s="503"/>
      <c r="K692" s="504">
        <v>45855</v>
      </c>
      <c r="L692" s="504"/>
      <c r="M692" s="504"/>
      <c r="N692" s="505" t="s">
        <v>196</v>
      </c>
      <c r="O692" s="506">
        <v>759000</v>
      </c>
      <c r="P692" s="507" t="s">
        <v>196</v>
      </c>
      <c r="Q692" s="508">
        <v>0</v>
      </c>
      <c r="R692" s="508">
        <v>0</v>
      </c>
      <c r="S692" s="508">
        <v>759000</v>
      </c>
      <c r="T692" s="509">
        <v>759000</v>
      </c>
      <c r="U692" s="506">
        <v>0</v>
      </c>
      <c r="V692" s="510" t="s">
        <v>440</v>
      </c>
    </row>
    <row r="693" spans="1:22" ht="12" customHeight="1" thickBot="1">
      <c r="B693" s="335"/>
      <c r="C693" s="323"/>
      <c r="D693" s="323"/>
      <c r="E693" s="323"/>
      <c r="F693" s="323"/>
      <c r="G693" s="336"/>
      <c r="H693" s="337"/>
      <c r="I693" s="338"/>
      <c r="J693" s="339"/>
      <c r="K693" s="340"/>
      <c r="L693" s="340"/>
      <c r="M693" s="340"/>
      <c r="N693" s="341"/>
      <c r="O693" s="342"/>
      <c r="P693" s="343"/>
      <c r="Q693" s="278"/>
      <c r="R693" s="278"/>
      <c r="S693" s="278"/>
      <c r="T693" s="344"/>
      <c r="U693" s="342"/>
      <c r="V693" s="358"/>
    </row>
  </sheetData>
  <phoneticPr fontId="3" type="noConversion"/>
  <pageMargins left="0.7" right="0.7" top="0.75" bottom="0.75" header="0.3" footer="0.3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 fitToPage="1"/>
  </sheetPr>
  <dimension ref="A1:CB124"/>
  <sheetViews>
    <sheetView showGridLines="0" zoomScale="85" zoomScaleNormal="85" workbookViewId="0"/>
  </sheetViews>
  <sheetFormatPr defaultColWidth="9" defaultRowHeight="12" customHeight="1"/>
  <cols>
    <col min="1" max="1" width="1.58203125" style="143" customWidth="1"/>
    <col min="2" max="5" width="10.58203125" style="142" customWidth="1"/>
    <col min="6" max="6" width="17.58203125" style="142" customWidth="1"/>
    <col min="7" max="8" width="10.58203125" style="142" customWidth="1"/>
    <col min="9" max="11" width="17.58203125" style="143" customWidth="1"/>
    <col min="12" max="12" width="45.58203125" style="144" customWidth="1"/>
    <col min="13" max="13" width="13.25" style="143" customWidth="1"/>
    <col min="14" max="15" width="10.58203125" style="142" customWidth="1"/>
    <col min="16" max="17" width="13.58203125" style="145" customWidth="1"/>
    <col min="18" max="19" width="10.58203125" style="146" customWidth="1"/>
    <col min="20" max="20" width="10.58203125" style="142" customWidth="1"/>
    <col min="21" max="22" width="15.58203125" style="143" customWidth="1"/>
    <col min="23" max="23" width="10.58203125" style="142" customWidth="1" collapsed="1"/>
    <col min="24" max="24" width="13.58203125" style="142" customWidth="1"/>
    <col min="25" max="25" width="15.58203125" style="142" customWidth="1"/>
    <col min="26" max="26" width="13.58203125" style="147" customWidth="1"/>
    <col min="27" max="27" width="10.58203125" style="142" customWidth="1"/>
    <col min="28" max="28" width="15.58203125" style="143" customWidth="1"/>
    <col min="29" max="29" width="16.58203125" style="143" customWidth="1"/>
    <col min="30" max="31" width="13.58203125" style="142" customWidth="1"/>
    <col min="32" max="32" width="15.58203125" style="143" customWidth="1"/>
    <col min="33" max="33" width="10.58203125" style="143" customWidth="1"/>
    <col min="34" max="35" width="15.58203125" style="143" customWidth="1"/>
    <col min="36" max="36" width="13.58203125" style="143" customWidth="1"/>
    <col min="37" max="58" width="15.58203125" style="143" customWidth="1"/>
    <col min="59" max="59" width="15.58203125" style="142" customWidth="1"/>
    <col min="60" max="60" width="15.58203125" style="149" customWidth="1"/>
    <col min="61" max="61" width="15.58203125" style="142" customWidth="1"/>
    <col min="62" max="62" width="15.58203125" style="148" customWidth="1"/>
    <col min="63" max="63" width="15.58203125" style="142" customWidth="1"/>
    <col min="64" max="64" width="15.58203125" style="148" customWidth="1"/>
    <col min="65" max="65" width="15.58203125" style="143" customWidth="1"/>
    <col min="66" max="66" width="15.58203125" style="142" customWidth="1"/>
    <col min="67" max="67" width="15.58203125" style="148" customWidth="1"/>
    <col min="68" max="68" width="15.58203125" style="142" customWidth="1"/>
    <col min="69" max="69" width="15.58203125" style="148" customWidth="1"/>
    <col min="70" max="70" width="15.58203125" style="316" customWidth="1"/>
    <col min="71" max="71" width="15.58203125" style="143" customWidth="1"/>
    <col min="72" max="72" width="15.58203125" style="148" customWidth="1"/>
    <col min="73" max="74" width="15.58203125" style="142" customWidth="1"/>
    <col min="75" max="75" width="15.58203125" style="148" customWidth="1" collapsed="1"/>
    <col min="76" max="76" width="15.58203125" style="148" customWidth="1"/>
    <col min="77" max="79" width="15.58203125" style="143" customWidth="1"/>
    <col min="80" max="80" width="50.58203125" style="143" customWidth="1"/>
    <col min="81" max="16384" width="9" style="143"/>
  </cols>
  <sheetData>
    <row r="1" spans="1:80" s="75" customFormat="1" ht="15" customHeight="1">
      <c r="A1" s="2"/>
      <c r="B1" s="76"/>
      <c r="C1" s="76"/>
      <c r="D1" s="76"/>
      <c r="E1" s="76"/>
      <c r="F1" s="76"/>
      <c r="G1" s="76"/>
      <c r="H1" s="76"/>
      <c r="L1" s="238"/>
      <c r="BR1" s="235"/>
      <c r="BT1" s="298"/>
    </row>
    <row r="2" spans="1:80" s="88" customFormat="1" ht="26.25" customHeight="1" thickBot="1">
      <c r="A2" s="2" t="s">
        <v>790</v>
      </c>
      <c r="B2" s="77"/>
      <c r="C2" s="77"/>
      <c r="D2" s="77"/>
      <c r="E2" s="78"/>
      <c r="F2" s="232"/>
      <c r="G2" s="77"/>
      <c r="H2" s="77"/>
      <c r="I2" s="77"/>
      <c r="J2" s="5"/>
      <c r="K2" s="5"/>
      <c r="L2" s="80"/>
      <c r="M2" s="81"/>
      <c r="R2" s="77"/>
      <c r="S2" s="77"/>
      <c r="T2" s="83"/>
      <c r="U2" s="83"/>
      <c r="V2" s="77"/>
      <c r="W2" s="84"/>
      <c r="X2" s="84"/>
      <c r="Y2" s="84"/>
      <c r="Z2" s="85"/>
      <c r="AA2" s="86"/>
      <c r="AB2" s="87"/>
      <c r="AD2" s="89"/>
      <c r="AE2" s="89"/>
      <c r="AF2" s="90"/>
      <c r="AG2" s="90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T2" s="89"/>
      <c r="BA2" s="237"/>
      <c r="BR2" s="310"/>
      <c r="BT2" s="299"/>
    </row>
    <row r="3" spans="1:80" s="98" customFormat="1" ht="20.25" customHeight="1">
      <c r="A3" s="6" t="s">
        <v>2482</v>
      </c>
      <c r="B3" s="7"/>
      <c r="C3" s="7"/>
      <c r="D3" s="7"/>
      <c r="E3" s="99"/>
      <c r="F3" s="92"/>
      <c r="G3" s="92"/>
      <c r="H3" s="92"/>
      <c r="I3" s="92"/>
      <c r="J3" s="439" t="s">
        <v>0</v>
      </c>
      <c r="K3" s="440">
        <v>45869</v>
      </c>
      <c r="L3" s="284"/>
      <c r="M3" s="93"/>
      <c r="R3" s="92"/>
      <c r="S3" s="92"/>
      <c r="T3" s="95"/>
      <c r="U3" s="83"/>
      <c r="V3" s="92"/>
      <c r="W3" s="96"/>
      <c r="X3" s="96"/>
      <c r="Y3" s="96"/>
      <c r="Z3" s="97"/>
      <c r="AA3" s="87"/>
      <c r="AB3" s="87"/>
      <c r="AC3" s="90"/>
      <c r="AD3" s="90"/>
      <c r="AE3" s="90"/>
      <c r="AF3" s="87"/>
      <c r="AG3" s="87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T3" s="90"/>
      <c r="BR3" s="311"/>
      <c r="BT3" s="300"/>
    </row>
    <row r="4" spans="1:80" s="100" customFormat="1" ht="20.25" customHeight="1">
      <c r="A4" s="9" t="s">
        <v>51</v>
      </c>
      <c r="B4" s="10"/>
      <c r="C4" s="10"/>
      <c r="D4" s="10"/>
      <c r="E4" s="99"/>
      <c r="F4" s="92"/>
      <c r="J4" s="441" t="s">
        <v>361</v>
      </c>
      <c r="K4" s="553">
        <v>1396</v>
      </c>
      <c r="L4" s="284"/>
      <c r="M4" s="102"/>
      <c r="R4" s="103"/>
      <c r="S4" s="103"/>
      <c r="T4" s="104"/>
      <c r="U4" s="83"/>
      <c r="V4" s="103"/>
      <c r="W4" s="96"/>
      <c r="X4" s="96"/>
      <c r="Y4" s="96"/>
      <c r="Z4" s="97"/>
      <c r="AA4" s="87"/>
      <c r="AB4" s="87"/>
      <c r="AC4" s="90"/>
      <c r="AD4" s="105"/>
      <c r="AE4" s="105"/>
      <c r="AF4" s="106"/>
      <c r="AG4" s="106"/>
      <c r="AH4" s="90"/>
      <c r="AI4" s="90"/>
      <c r="AJ4" s="90"/>
      <c r="AK4" s="90"/>
      <c r="AL4" s="105"/>
      <c r="AM4" s="105"/>
      <c r="AN4" s="105"/>
      <c r="AO4" s="105"/>
      <c r="AP4" s="105"/>
      <c r="AQ4" s="105"/>
      <c r="AR4" s="105"/>
      <c r="AT4" s="105"/>
      <c r="AX4" s="98"/>
      <c r="AZ4" s="164"/>
      <c r="BA4" s="237"/>
      <c r="BB4" s="98"/>
      <c r="BC4" s="98"/>
      <c r="BD4" s="98"/>
      <c r="BE4" s="98"/>
      <c r="BF4" s="98"/>
      <c r="BG4" s="219"/>
      <c r="BL4" s="98"/>
      <c r="BR4" s="312"/>
      <c r="BT4" s="301"/>
      <c r="CA4" s="219"/>
      <c r="CB4" s="225"/>
    </row>
    <row r="5" spans="1:80" s="106" customFormat="1" ht="20.25" customHeight="1" thickBot="1">
      <c r="A5" s="9" t="s">
        <v>52</v>
      </c>
      <c r="B5" s="59"/>
      <c r="C5" s="59"/>
      <c r="D5" s="59"/>
      <c r="E5" s="99"/>
      <c r="F5" s="381"/>
      <c r="G5" s="105"/>
      <c r="H5" s="105"/>
      <c r="J5" s="443" t="s">
        <v>374</v>
      </c>
      <c r="K5" s="554">
        <v>9.3489000000000004</v>
      </c>
      <c r="L5" s="284"/>
      <c r="R5" s="108"/>
      <c r="S5" s="108"/>
      <c r="T5" s="109"/>
      <c r="U5" s="83"/>
      <c r="V5" s="110"/>
      <c r="W5" s="109"/>
      <c r="X5" s="105"/>
      <c r="Y5" s="105"/>
      <c r="Z5" s="107"/>
      <c r="AA5" s="105"/>
      <c r="AD5" s="105"/>
      <c r="AE5" s="105"/>
      <c r="AW5" s="100"/>
      <c r="AX5" s="98"/>
      <c r="AY5" s="100"/>
      <c r="AZ5" s="100"/>
      <c r="BA5" s="98"/>
      <c r="BB5" s="98"/>
      <c r="BC5" s="98"/>
      <c r="BD5" s="98"/>
      <c r="BE5" s="98"/>
      <c r="BF5" s="100" t="s">
        <v>339</v>
      </c>
      <c r="BG5" s="220"/>
      <c r="BL5" s="107"/>
      <c r="BM5" s="112"/>
      <c r="BN5" s="107"/>
      <c r="BO5" s="107"/>
      <c r="BP5" s="107"/>
      <c r="BQ5" s="107"/>
      <c r="BR5" s="313"/>
      <c r="BT5" s="302"/>
      <c r="BU5" s="105"/>
      <c r="BV5" s="105"/>
      <c r="BW5" s="114"/>
      <c r="BX5" s="111"/>
      <c r="BZ5" s="100"/>
      <c r="CB5" s="217"/>
    </row>
    <row r="6" spans="1:80" s="106" customFormat="1" ht="20.25" customHeight="1">
      <c r="A6" s="9"/>
      <c r="B6" s="59"/>
      <c r="C6" s="59"/>
      <c r="D6" s="59"/>
      <c r="E6" s="99"/>
      <c r="F6" s="381"/>
      <c r="G6" s="105"/>
      <c r="H6" s="105"/>
      <c r="J6" s="105"/>
      <c r="K6" s="105"/>
      <c r="L6" s="284"/>
      <c r="R6" s="108"/>
      <c r="S6" s="108"/>
      <c r="T6" s="109"/>
      <c r="U6" s="83"/>
      <c r="V6" s="110"/>
      <c r="W6" s="109"/>
      <c r="X6" s="105"/>
      <c r="Y6" s="105"/>
      <c r="Z6" s="107"/>
      <c r="AA6" s="105"/>
      <c r="AD6" s="105"/>
      <c r="AE6" s="105"/>
      <c r="AW6" s="100"/>
      <c r="AX6" s="98"/>
      <c r="AY6" s="100"/>
      <c r="AZ6" s="100"/>
      <c r="BA6" s="98"/>
      <c r="BB6" s="98"/>
      <c r="BC6" s="98"/>
      <c r="BD6" s="98"/>
      <c r="BE6" s="98"/>
      <c r="BF6" s="100" t="s">
        <v>339</v>
      </c>
      <c r="BG6" s="220"/>
      <c r="BL6" s="107"/>
      <c r="BM6" s="112"/>
      <c r="BN6" s="107"/>
      <c r="BO6" s="107"/>
      <c r="BP6" s="107"/>
      <c r="BQ6" s="107"/>
      <c r="BR6" s="313"/>
      <c r="BT6" s="302"/>
      <c r="BU6" s="105"/>
      <c r="BV6" s="105"/>
      <c r="BW6" s="114"/>
      <c r="BX6" s="111"/>
      <c r="BZ6" s="100"/>
      <c r="CB6" s="217"/>
    </row>
    <row r="7" spans="1:80" s="113" customFormat="1" ht="12" customHeight="1" thickBot="1">
      <c r="B7" s="382"/>
      <c r="C7" s="382"/>
      <c r="D7" s="382"/>
      <c r="E7" s="382"/>
      <c r="F7" s="356"/>
      <c r="G7" s="382"/>
      <c r="H7" s="382"/>
      <c r="L7" s="385"/>
      <c r="N7" s="382"/>
      <c r="O7" s="382"/>
      <c r="P7" s="382"/>
      <c r="Q7" s="386"/>
      <c r="R7" s="383"/>
      <c r="S7" s="383"/>
      <c r="T7" s="382"/>
      <c r="U7" s="384"/>
      <c r="V7" s="384"/>
      <c r="W7" s="382"/>
      <c r="X7" s="382"/>
      <c r="Y7" s="384"/>
      <c r="Z7" s="216"/>
      <c r="AA7" s="105"/>
      <c r="AB7" s="384"/>
      <c r="AC7" s="384"/>
      <c r="AD7" s="382"/>
      <c r="AE7" s="382"/>
      <c r="AF7" s="384"/>
      <c r="AH7" s="384"/>
      <c r="AI7" s="382"/>
      <c r="AJ7" s="382"/>
      <c r="AK7" s="382"/>
      <c r="AL7" s="382"/>
      <c r="AN7" s="382"/>
      <c r="AP7" s="384"/>
      <c r="AQ7" s="384"/>
      <c r="AR7" s="384"/>
      <c r="AS7" s="384"/>
      <c r="AT7" s="384"/>
      <c r="AU7" s="384"/>
      <c r="AV7" s="384"/>
      <c r="AW7" s="384"/>
      <c r="AX7" s="98"/>
      <c r="AY7" s="100"/>
      <c r="BA7" s="382"/>
      <c r="BB7" s="382"/>
      <c r="BC7" s="382"/>
      <c r="BD7" s="382"/>
      <c r="BE7" s="382"/>
      <c r="BF7" s="382"/>
      <c r="BG7" s="382"/>
      <c r="BH7" s="382"/>
      <c r="BI7" s="382"/>
      <c r="BJ7" s="114"/>
      <c r="BK7" s="382"/>
      <c r="BL7" s="114"/>
      <c r="BN7" s="114"/>
      <c r="BO7" s="114"/>
      <c r="BP7" s="114"/>
      <c r="BQ7" s="114"/>
      <c r="BR7" s="384"/>
      <c r="BT7" s="114"/>
      <c r="BU7" s="382"/>
      <c r="BV7" s="382"/>
      <c r="BX7" s="114"/>
      <c r="CB7" s="100"/>
    </row>
    <row r="8" spans="1:80" s="113" customFormat="1" ht="15" customHeight="1">
      <c r="B8" s="115" t="s">
        <v>1</v>
      </c>
      <c r="C8" s="116"/>
      <c r="D8" s="116"/>
      <c r="E8" s="116"/>
      <c r="F8" s="116"/>
      <c r="G8" s="116" t="s">
        <v>53</v>
      </c>
      <c r="H8" s="116"/>
      <c r="I8" s="116"/>
      <c r="J8" s="116"/>
      <c r="K8" s="116"/>
      <c r="L8" s="117"/>
      <c r="M8" s="116"/>
      <c r="N8" s="116"/>
      <c r="O8" s="116"/>
      <c r="P8" s="118"/>
      <c r="Q8" s="118"/>
      <c r="R8" s="119"/>
      <c r="S8" s="119"/>
      <c r="T8" s="116"/>
      <c r="U8" s="116"/>
      <c r="V8" s="116"/>
      <c r="W8" s="116"/>
      <c r="X8" s="116"/>
      <c r="Y8" s="116"/>
      <c r="Z8" s="118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 t="s">
        <v>255</v>
      </c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9" t="s">
        <v>254</v>
      </c>
      <c r="AY8" s="116"/>
      <c r="AZ8" s="116"/>
      <c r="BA8" s="116"/>
      <c r="BB8" s="116"/>
      <c r="BC8" s="116"/>
      <c r="BD8" s="116"/>
      <c r="BE8" s="116"/>
      <c r="BF8" s="116"/>
      <c r="BG8" s="116" t="s">
        <v>54</v>
      </c>
      <c r="BH8" s="116"/>
      <c r="BI8" s="116"/>
      <c r="BJ8" s="119"/>
      <c r="BK8" s="116"/>
      <c r="BL8" s="119"/>
      <c r="BM8" s="116"/>
      <c r="BN8" s="116"/>
      <c r="BO8" s="119"/>
      <c r="BP8" s="116"/>
      <c r="BQ8" s="119"/>
      <c r="BR8" s="314"/>
      <c r="BS8" s="116" t="s">
        <v>55</v>
      </c>
      <c r="BT8" s="119"/>
      <c r="BU8" s="116"/>
      <c r="BV8" s="116"/>
      <c r="BW8" s="119"/>
      <c r="BX8" s="119"/>
      <c r="BY8" s="116"/>
      <c r="BZ8" s="116"/>
      <c r="CA8" s="116"/>
      <c r="CB8" s="120" t="s">
        <v>4</v>
      </c>
    </row>
    <row r="9" spans="1:80" s="113" customFormat="1" ht="15" customHeight="1" thickBot="1">
      <c r="A9" s="123"/>
      <c r="B9" s="121" t="str">
        <f>"Field "&amp;COLUMN()-1</f>
        <v>Field 1</v>
      </c>
      <c r="C9" s="21" t="str">
        <f>"Field "&amp;COLUMN()-1-COUNTBLANK($B$9:B9)</f>
        <v>Field 2</v>
      </c>
      <c r="D9" s="21" t="str">
        <f>"Field "&amp;COLUMN()-1-COUNTBLANK($B$9:C9)</f>
        <v>Field 3</v>
      </c>
      <c r="E9" s="21" t="str">
        <f>"Field "&amp;COLUMN()-1-COUNTBLANK($B$9:D9)</f>
        <v>Field 4</v>
      </c>
      <c r="F9" s="21" t="str">
        <f>"Field "&amp;COLUMN()-1-COUNTBLANK($B$9:E9)</f>
        <v>Field 5</v>
      </c>
      <c r="G9" s="21" t="str">
        <f>"Field "&amp;COLUMN()-1-COUNTBLANK($B$9:F9)</f>
        <v>Field 6</v>
      </c>
      <c r="H9" s="21" t="str">
        <f>"Field "&amp;COLUMN()-1-COUNTBLANK($B$9:G9)</f>
        <v>Field 7</v>
      </c>
      <c r="I9" s="21" t="str">
        <f>"Field "&amp;COLUMN()-1-COUNTBLANK($B$9:H9)</f>
        <v>Field 8</v>
      </c>
      <c r="J9" s="21" t="str">
        <f>"Field "&amp;COLUMN()-1-COUNTBLANK($B$9:I9)</f>
        <v>Field 9</v>
      </c>
      <c r="K9" s="21" t="str">
        <f>"Field "&amp;COLUMN()-1-COUNTBLANK($B$9:J9)</f>
        <v>Field 10</v>
      </c>
      <c r="L9" s="21" t="str">
        <f>"Field "&amp;COLUMN()-1-COUNTBLANK($B$9:K9)</f>
        <v>Field 11</v>
      </c>
      <c r="M9" s="21" t="str">
        <f>"Field "&amp;COLUMN()-1-COUNTBLANK($B$9:L9)</f>
        <v>Field 12</v>
      </c>
      <c r="N9" s="21" t="str">
        <f>"Field "&amp;COLUMN()-1-COUNTBLANK($B$9:M9)</f>
        <v>Field 13</v>
      </c>
      <c r="O9" s="21" t="str">
        <f>"Field "&amp;COLUMN()-1-COUNTBLANK($B$9:N9)</f>
        <v>Field 14</v>
      </c>
      <c r="P9" s="21" t="str">
        <f>"Field "&amp;COLUMN()-1-COUNTBLANK($B$9:O9)</f>
        <v>Field 15</v>
      </c>
      <c r="Q9" s="21" t="str">
        <f>"Field "&amp;COLUMN()-1-COUNTBLANK($B$9:P9)</f>
        <v>Field 16</v>
      </c>
      <c r="R9" s="21" t="str">
        <f>"Field "&amp;COLUMN()-1-COUNTBLANK($B$9:Q9)</f>
        <v>Field 17</v>
      </c>
      <c r="S9" s="21" t="str">
        <f>"Field "&amp;COLUMN()-1-COUNTBLANK($B$9:R9)</f>
        <v>Field 18</v>
      </c>
      <c r="T9" s="21" t="str">
        <f>"Field "&amp;COLUMN()-1-COUNTBLANK($B$9:S9)</f>
        <v>Field 19</v>
      </c>
      <c r="U9" s="21" t="str">
        <f>"Field "&amp;COLUMN()-1-COUNTBLANK($B$9:T9)</f>
        <v>Field 20</v>
      </c>
      <c r="V9" s="21" t="str">
        <f>"Field "&amp;COLUMN()-1-COUNTBLANK($B$9:U9)</f>
        <v>Field 21</v>
      </c>
      <c r="W9" s="21" t="str">
        <f>"Field "&amp;COLUMN()-1-COUNTBLANK($B$9:V9)</f>
        <v>Field 22</v>
      </c>
      <c r="X9" s="21" t="str">
        <f>"Field "&amp;COLUMN()-1-COUNTBLANK($B$9:W9)</f>
        <v>Field 23</v>
      </c>
      <c r="Y9" s="21" t="str">
        <f>"Field "&amp;COLUMN()-1-COUNTBLANK($B$9:X9)</f>
        <v>Field 24</v>
      </c>
      <c r="Z9" s="21" t="str">
        <f>"Field "&amp;COLUMN()-1-COUNTBLANK($B$9:Y9)</f>
        <v>Field 25</v>
      </c>
      <c r="AA9" s="21" t="str">
        <f>"Field "&amp;COLUMN()-1-COUNTBLANK($B$9:Z9)</f>
        <v>Field 26</v>
      </c>
      <c r="AB9" s="21" t="str">
        <f>"Field "&amp;COLUMN()-1-COUNTBLANK($B$9:AA9)</f>
        <v>Field 27</v>
      </c>
      <c r="AC9" s="21" t="str">
        <f>"Field "&amp;COLUMN()-1-COUNTBLANK($B$9:AB9)</f>
        <v>Field 28</v>
      </c>
      <c r="AD9" s="21" t="str">
        <f>"Field "&amp;COLUMN()-1-COUNTBLANK($B$9:AC9)</f>
        <v>Field 29</v>
      </c>
      <c r="AE9" s="21" t="str">
        <f>"Field "&amp;COLUMN()-1-COUNTBLANK($B$9:AD9)</f>
        <v>Field 30</v>
      </c>
      <c r="AF9" s="21" t="str">
        <f>"Field "&amp;COLUMN()-1-COUNTBLANK($B$9:AE9)</f>
        <v>Field 31</v>
      </c>
      <c r="AG9" s="21" t="str">
        <f>"Field "&amp;COLUMN()-1-COUNTBLANK($B$9:AF9)</f>
        <v>Field 32</v>
      </c>
      <c r="AH9" s="21" t="str">
        <f>"Field "&amp;COLUMN()-1-COUNTBLANK($B$9:AG9)</f>
        <v>Field 33</v>
      </c>
      <c r="AI9" s="21" t="str">
        <f>"Field "&amp;COLUMN()-1-COUNTBLANK($B$9:AH9)</f>
        <v>Field 34</v>
      </c>
      <c r="AJ9" s="21" t="str">
        <f>"Field "&amp;COLUMN()-1-COUNTBLANK($B$9:AI9)</f>
        <v>Field 35</v>
      </c>
      <c r="AK9" s="21" t="str">
        <f>"Field "&amp;COLUMN()-1-COUNTBLANK($B$9:AJ9)</f>
        <v>Field 36</v>
      </c>
      <c r="AL9" s="21" t="str">
        <f>"Field "&amp;COLUMN()-1-COUNTBLANK($B$9:AK9)</f>
        <v>Field 37</v>
      </c>
      <c r="AM9" s="21" t="str">
        <f>"Field "&amp;COLUMN()-1-COUNTBLANK($B$9:AL9)</f>
        <v>Field 38</v>
      </c>
      <c r="AN9" s="21" t="str">
        <f>"Field "&amp;COLUMN()-1-COUNTBLANK($B$9:AM9)</f>
        <v>Field 39</v>
      </c>
      <c r="AO9" s="21" t="str">
        <f>"Field "&amp;COLUMN()-1-COUNTBLANK($B$9:AN9)</f>
        <v>Field 40</v>
      </c>
      <c r="AP9" s="21" t="str">
        <f>"Field "&amp;COLUMN()-1-COUNTBLANK($B$9:AO9)</f>
        <v>Field 41</v>
      </c>
      <c r="AQ9" s="21" t="str">
        <f>"Field "&amp;COLUMN()-1-COUNTBLANK($B$9:AP9)</f>
        <v>Field 42</v>
      </c>
      <c r="AR9" s="21" t="str">
        <f>"Field "&amp;COLUMN()-1-COUNTBLANK($B$9:AQ9)</f>
        <v>Field 43</v>
      </c>
      <c r="AS9" s="21" t="str">
        <f>"Field "&amp;COLUMN()-1-COUNTBLANK($B$9:AR9)</f>
        <v>Field 44</v>
      </c>
      <c r="AT9" s="21" t="str">
        <f>"Field "&amp;COLUMN()-1-COUNTBLANK($B$9:AS9)</f>
        <v>Field 45</v>
      </c>
      <c r="AU9" s="21" t="str">
        <f>"Field "&amp;COLUMN()-1-COUNTBLANK($B$9:AT9)</f>
        <v>Field 46</v>
      </c>
      <c r="AV9" s="21" t="str">
        <f>"Field "&amp;COLUMN()-1-COUNTBLANK($B$9:AU9)</f>
        <v>Field 47</v>
      </c>
      <c r="AW9" s="21" t="str">
        <f>"Field "&amp;COLUMN()-1-COUNTBLANK($B$9:AV9)</f>
        <v>Field 48</v>
      </c>
      <c r="AX9" s="21" t="str">
        <f>"Field "&amp;COLUMN()-1-COUNTBLANK($B$9:AW9)</f>
        <v>Field 49</v>
      </c>
      <c r="AY9" s="21" t="str">
        <f>"Field "&amp;COLUMN()-1-COUNTBLANK($B$9:AX9)</f>
        <v>Field 50</v>
      </c>
      <c r="AZ9" s="21" t="str">
        <f>"Field "&amp;COLUMN()-1-COUNTBLANK($B$9:AY9)</f>
        <v>Field 51</v>
      </c>
      <c r="BA9" s="21" t="str">
        <f>"Field "&amp;COLUMN()-1-COUNTBLANK($B$9:AZ9)</f>
        <v>Field 52</v>
      </c>
      <c r="BB9" s="21" t="str">
        <f>"Field "&amp;COLUMN()-1-COUNTBLANK($B$9:BA9)</f>
        <v>Field 53</v>
      </c>
      <c r="BC9" s="21" t="str">
        <f>"Field "&amp;COLUMN()-1-COUNTBLANK($B$9:BB9)</f>
        <v>Field 54</v>
      </c>
      <c r="BD9" s="21" t="str">
        <f>"Field "&amp;COLUMN()-1-COUNTBLANK($B$9:BC9)</f>
        <v>Field 55</v>
      </c>
      <c r="BE9" s="21" t="str">
        <f>"Field "&amp;COLUMN()-1-COUNTBLANK($B$9:BD9)</f>
        <v>Field 56</v>
      </c>
      <c r="BF9" s="21" t="str">
        <f>"Field "&amp;COLUMN()-1-COUNTBLANK($B$9:BE9)</f>
        <v>Field 57</v>
      </c>
      <c r="BG9" s="21" t="str">
        <f>"Field "&amp;COLUMN()-1-COUNTBLANK($B$9:BF9)</f>
        <v>Field 58</v>
      </c>
      <c r="BH9" s="21" t="str">
        <f>"Field "&amp;COLUMN()-1-COUNTBLANK($B$9:BG9)</f>
        <v>Field 59</v>
      </c>
      <c r="BI9" s="21" t="str">
        <f>"Field "&amp;COLUMN()-1-COUNTBLANK($B$9:BH9)</f>
        <v>Field 60</v>
      </c>
      <c r="BJ9" s="21" t="str">
        <f>"Field "&amp;COLUMN()-1-COUNTBLANK($B$9:BI9)</f>
        <v>Field 61</v>
      </c>
      <c r="BK9" s="21" t="str">
        <f>"Field "&amp;COLUMN()-1-COUNTBLANK($B$9:BJ9)</f>
        <v>Field 62</v>
      </c>
      <c r="BL9" s="21" t="str">
        <f>"Field "&amp;COLUMN()-1-COUNTBLANK($B$9:BK9)</f>
        <v>Field 63</v>
      </c>
      <c r="BM9" s="21" t="str">
        <f>"Field "&amp;COLUMN()-1-COUNTBLANK($B$9:BL9)</f>
        <v>Field 64</v>
      </c>
      <c r="BN9" s="21" t="str">
        <f>"Field "&amp;COLUMN()-1-COUNTBLANK($B$9:BM9)</f>
        <v>Field 65</v>
      </c>
      <c r="BO9" s="21" t="str">
        <f>"Field "&amp;COLUMN()-1-COUNTBLANK($B$9:BN9)</f>
        <v>Field 66</v>
      </c>
      <c r="BP9" s="21" t="str">
        <f>"Field "&amp;COLUMN()-1-COUNTBLANK($B$9:BO9)</f>
        <v>Field 67</v>
      </c>
      <c r="BQ9" s="21" t="str">
        <f>"Field "&amp;COLUMN()-1-COUNTBLANK($B$9:BP9)</f>
        <v>Field 68</v>
      </c>
      <c r="BR9" s="315" t="str">
        <f>"Field "&amp;COLUMN()-1-COUNTBLANK($B$9:BQ9)</f>
        <v>Field 69</v>
      </c>
      <c r="BS9" s="21" t="str">
        <f>"Field "&amp;COLUMN()-1-COUNTBLANK($B$9:BR9)</f>
        <v>Field 70</v>
      </c>
      <c r="BT9" s="303" t="str">
        <f>"Field "&amp;COLUMN()-1-COUNTBLANK($B$9:BS9)</f>
        <v>Field 71</v>
      </c>
      <c r="BU9" s="21" t="str">
        <f>"Field "&amp;COLUMN()-1-COUNTBLANK($B$9:BT9)</f>
        <v>Field 72</v>
      </c>
      <c r="BV9" s="21" t="str">
        <f>"Field "&amp;COLUMN()-1-COUNTBLANK($B$9:BU9)</f>
        <v>Field 73</v>
      </c>
      <c r="BW9" s="21" t="str">
        <f>"Field "&amp;COLUMN()-1-COUNTBLANK($B$9:BV9)</f>
        <v>Field 74</v>
      </c>
      <c r="BX9" s="21" t="str">
        <f>"Field "&amp;COLUMN()-1-COUNTBLANK($B$9:BW9)</f>
        <v>Field 75</v>
      </c>
      <c r="BY9" s="21" t="str">
        <f>"Field "&amp;COLUMN()-1-COUNTBLANK($B$9:BX9)</f>
        <v>Field 76</v>
      </c>
      <c r="BZ9" s="21" t="str">
        <f>"Field "&amp;COLUMN()-1-COUNTBLANK($B$9:BY9)</f>
        <v>Field 77</v>
      </c>
      <c r="CA9" s="21" t="str">
        <f>"Field "&amp;COLUMN()-1-COUNTBLANK($B$9:BZ9)</f>
        <v>Field 78</v>
      </c>
      <c r="CB9" s="22" t="str">
        <f>"Field "&amp;COLUMN()-1-COUNTBLANK($B$9:CA9)</f>
        <v>Field 79</v>
      </c>
    </row>
    <row r="10" spans="1:80" s="123" customFormat="1" ht="37.5" customHeight="1" thickBot="1">
      <c r="A10" s="135"/>
      <c r="B10" s="124" t="s">
        <v>5</v>
      </c>
      <c r="C10" s="24" t="s">
        <v>6</v>
      </c>
      <c r="D10" s="25" t="s">
        <v>398</v>
      </c>
      <c r="E10" s="25" t="s">
        <v>18</v>
      </c>
      <c r="F10" s="61" t="s">
        <v>56</v>
      </c>
      <c r="G10" s="25" t="s">
        <v>415</v>
      </c>
      <c r="H10" s="126" t="s">
        <v>121</v>
      </c>
      <c r="I10" s="125" t="s">
        <v>58</v>
      </c>
      <c r="J10" s="125" t="s">
        <v>59</v>
      </c>
      <c r="K10" s="127" t="s">
        <v>60</v>
      </c>
      <c r="L10" s="128" t="s">
        <v>61</v>
      </c>
      <c r="M10" s="127" t="s">
        <v>62</v>
      </c>
      <c r="N10" s="129" t="s">
        <v>63</v>
      </c>
      <c r="O10" s="129" t="s">
        <v>64</v>
      </c>
      <c r="P10" s="129" t="s">
        <v>65</v>
      </c>
      <c r="Q10" s="129" t="s">
        <v>66</v>
      </c>
      <c r="R10" s="129" t="s">
        <v>67</v>
      </c>
      <c r="S10" s="129" t="s">
        <v>68</v>
      </c>
      <c r="T10" s="129" t="s">
        <v>69</v>
      </c>
      <c r="U10" s="129" t="s">
        <v>70</v>
      </c>
      <c r="V10" s="129" t="s">
        <v>71</v>
      </c>
      <c r="W10" s="129" t="s">
        <v>72</v>
      </c>
      <c r="X10" s="130" t="s">
        <v>78</v>
      </c>
      <c r="Y10" s="131" t="s">
        <v>73</v>
      </c>
      <c r="Z10" s="132" t="s">
        <v>74</v>
      </c>
      <c r="AA10" s="129" t="s">
        <v>153</v>
      </c>
      <c r="AB10" s="129" t="s">
        <v>75</v>
      </c>
      <c r="AC10" s="129" t="s">
        <v>76</v>
      </c>
      <c r="AD10" s="129" t="s">
        <v>77</v>
      </c>
      <c r="AE10" s="129" t="s">
        <v>78</v>
      </c>
      <c r="AF10" s="129" t="s">
        <v>79</v>
      </c>
      <c r="AG10" s="129" t="s">
        <v>69</v>
      </c>
      <c r="AH10" s="129" t="s">
        <v>80</v>
      </c>
      <c r="AI10" s="129" t="s">
        <v>81</v>
      </c>
      <c r="AJ10" s="129" t="s">
        <v>82</v>
      </c>
      <c r="AK10" s="129" t="s">
        <v>83</v>
      </c>
      <c r="AL10" s="133" t="s">
        <v>84</v>
      </c>
      <c r="AM10" s="133" t="s">
        <v>85</v>
      </c>
      <c r="AN10" s="133" t="s">
        <v>86</v>
      </c>
      <c r="AO10" s="133" t="s">
        <v>87</v>
      </c>
      <c r="AP10" s="129" t="s">
        <v>88</v>
      </c>
      <c r="AQ10" s="129" t="s">
        <v>89</v>
      </c>
      <c r="AR10" s="129" t="s">
        <v>90</v>
      </c>
      <c r="AS10" s="129" t="s">
        <v>91</v>
      </c>
      <c r="AT10" s="129" t="s">
        <v>92</v>
      </c>
      <c r="AU10" s="129" t="s">
        <v>93</v>
      </c>
      <c r="AV10" s="129" t="s">
        <v>94</v>
      </c>
      <c r="AW10" s="130" t="s">
        <v>95</v>
      </c>
      <c r="AX10" s="214" t="s">
        <v>165</v>
      </c>
      <c r="AY10" s="214" t="s">
        <v>96</v>
      </c>
      <c r="AZ10" s="215" t="s">
        <v>97</v>
      </c>
      <c r="BA10" s="215" t="s">
        <v>98</v>
      </c>
      <c r="BB10" s="215" t="s">
        <v>99</v>
      </c>
      <c r="BC10" s="215" t="s">
        <v>100</v>
      </c>
      <c r="BD10" s="215" t="s">
        <v>166</v>
      </c>
      <c r="BE10" s="215" t="s">
        <v>101</v>
      </c>
      <c r="BF10" s="215" t="s">
        <v>673</v>
      </c>
      <c r="BG10" s="133" t="s">
        <v>102</v>
      </c>
      <c r="BH10" s="133" t="s">
        <v>103</v>
      </c>
      <c r="BI10" s="133" t="s">
        <v>393</v>
      </c>
      <c r="BJ10" s="134" t="s">
        <v>394</v>
      </c>
      <c r="BK10" s="133" t="s">
        <v>395</v>
      </c>
      <c r="BL10" s="134" t="s">
        <v>396</v>
      </c>
      <c r="BM10" s="133" t="s">
        <v>397</v>
      </c>
      <c r="BN10" s="133" t="s">
        <v>417</v>
      </c>
      <c r="BO10" s="134" t="s">
        <v>418</v>
      </c>
      <c r="BP10" s="133" t="s">
        <v>420</v>
      </c>
      <c r="BQ10" s="134" t="s">
        <v>419</v>
      </c>
      <c r="BR10" s="190" t="s">
        <v>421</v>
      </c>
      <c r="BS10" s="133" t="s">
        <v>360</v>
      </c>
      <c r="BT10" s="134" t="s">
        <v>104</v>
      </c>
      <c r="BU10" s="133" t="s">
        <v>105</v>
      </c>
      <c r="BV10" s="133" t="s">
        <v>106</v>
      </c>
      <c r="BW10" s="134" t="s">
        <v>107</v>
      </c>
      <c r="BX10" s="129" t="s">
        <v>108</v>
      </c>
      <c r="BY10" s="133" t="s">
        <v>109</v>
      </c>
      <c r="BZ10" s="133" t="s">
        <v>110</v>
      </c>
      <c r="CA10" s="133" t="s">
        <v>111</v>
      </c>
      <c r="CB10" s="227" t="s">
        <v>112</v>
      </c>
    </row>
    <row r="11" spans="1:80" s="135" customFormat="1" ht="15" customHeight="1">
      <c r="B11" s="366">
        <f t="shared" ref="B11:B38" si="0">ROW()-10</f>
        <v>1</v>
      </c>
      <c r="C11" s="289" t="s">
        <v>416</v>
      </c>
      <c r="D11" s="446" t="s">
        <v>270</v>
      </c>
      <c r="E11" s="447" t="s">
        <v>228</v>
      </c>
      <c r="F11" s="520" t="s">
        <v>718</v>
      </c>
      <c r="G11" s="448" t="s">
        <v>452</v>
      </c>
      <c r="H11" s="449">
        <v>1</v>
      </c>
      <c r="I11" s="450" t="s">
        <v>186</v>
      </c>
      <c r="J11" s="450" t="s">
        <v>1427</v>
      </c>
      <c r="K11" s="450" t="s">
        <v>1428</v>
      </c>
      <c r="L11" s="450" t="s">
        <v>1429</v>
      </c>
      <c r="M11" s="451" t="s">
        <v>276</v>
      </c>
      <c r="N11" s="452">
        <v>7934</v>
      </c>
      <c r="O11" s="452">
        <v>4091.0299999999997</v>
      </c>
      <c r="P11" s="453"/>
      <c r="Q11" s="453"/>
      <c r="R11" s="454">
        <v>43585</v>
      </c>
      <c r="S11" s="453" t="s">
        <v>257</v>
      </c>
      <c r="T11" s="453" t="s">
        <v>196</v>
      </c>
      <c r="U11" s="455">
        <v>11300000000</v>
      </c>
      <c r="V11" s="455">
        <v>11300000000</v>
      </c>
      <c r="W11" s="456"/>
      <c r="X11" s="456"/>
      <c r="Y11" s="455"/>
      <c r="Z11" s="457"/>
      <c r="AA11" s="453"/>
      <c r="AB11" s="458"/>
      <c r="AC11" s="458"/>
      <c r="AD11" s="453"/>
      <c r="AE11" s="453"/>
      <c r="AF11" s="459"/>
      <c r="AG11" s="453"/>
      <c r="AH11" s="455"/>
      <c r="AI11" s="460"/>
      <c r="AJ11" s="460" t="s">
        <v>657</v>
      </c>
      <c r="AK11" s="461"/>
      <c r="AL11" s="462" t="s">
        <v>451</v>
      </c>
      <c r="AM11" s="463" t="s">
        <v>451</v>
      </c>
      <c r="AN11" s="464" t="s">
        <v>451</v>
      </c>
      <c r="AO11" s="453" t="s">
        <v>451</v>
      </c>
      <c r="AP11" s="464" t="s">
        <v>451</v>
      </c>
      <c r="AQ11" s="464" t="s">
        <v>451</v>
      </c>
      <c r="AR11" s="464" t="s">
        <v>451</v>
      </c>
      <c r="AS11" s="464" t="s">
        <v>451</v>
      </c>
      <c r="AT11" s="464" t="s">
        <v>451</v>
      </c>
      <c r="AU11" s="464" t="s">
        <v>451</v>
      </c>
      <c r="AV11" s="464" t="s">
        <v>451</v>
      </c>
      <c r="AW11" s="465" t="s">
        <v>451</v>
      </c>
      <c r="AX11" s="466" t="s">
        <v>658</v>
      </c>
      <c r="AY11" s="467">
        <v>44699</v>
      </c>
      <c r="AZ11" s="468" t="s">
        <v>665</v>
      </c>
      <c r="BA11" s="469">
        <v>8125740000</v>
      </c>
      <c r="BB11" s="469">
        <v>5389334680</v>
      </c>
      <c r="BC11" s="469">
        <v>0</v>
      </c>
      <c r="BD11" s="469">
        <v>0</v>
      </c>
      <c r="BE11" s="470">
        <v>13515074680</v>
      </c>
      <c r="BF11" s="471"/>
      <c r="BG11" s="472" t="s">
        <v>1712</v>
      </c>
      <c r="BH11" s="457" t="s">
        <v>200</v>
      </c>
      <c r="BI11" s="480" t="s">
        <v>1713</v>
      </c>
      <c r="BJ11" s="481">
        <v>45805</v>
      </c>
      <c r="BK11" s="480" t="s">
        <v>1714</v>
      </c>
      <c r="BL11" s="481">
        <v>45882</v>
      </c>
      <c r="BM11" s="482">
        <v>11757577677</v>
      </c>
      <c r="BN11" s="474"/>
      <c r="BO11" s="454"/>
      <c r="BP11" s="457"/>
      <c r="BQ11" s="454"/>
      <c r="BR11" s="478"/>
      <c r="BS11" s="476"/>
      <c r="BT11" s="454"/>
      <c r="BU11" s="457"/>
      <c r="BV11" s="457"/>
      <c r="BW11" s="454"/>
      <c r="BX11" s="454"/>
      <c r="BY11" s="477"/>
      <c r="BZ11" s="477"/>
      <c r="CA11" s="478"/>
      <c r="CB11" s="483"/>
    </row>
    <row r="12" spans="1:80" s="135" customFormat="1" ht="15" customHeight="1">
      <c r="B12" s="366">
        <f t="shared" si="0"/>
        <v>2</v>
      </c>
      <c r="C12" s="289" t="s">
        <v>416</v>
      </c>
      <c r="D12" s="446" t="s">
        <v>270</v>
      </c>
      <c r="E12" s="447" t="s">
        <v>228</v>
      </c>
      <c r="F12" s="520" t="s">
        <v>718</v>
      </c>
      <c r="G12" s="448" t="s">
        <v>453</v>
      </c>
      <c r="H12" s="449">
        <v>2</v>
      </c>
      <c r="I12" s="450" t="s">
        <v>186</v>
      </c>
      <c r="J12" s="450" t="s">
        <v>180</v>
      </c>
      <c r="K12" s="450" t="s">
        <v>1430</v>
      </c>
      <c r="L12" s="450" t="s">
        <v>1715</v>
      </c>
      <c r="M12" s="451" t="s">
        <v>227</v>
      </c>
      <c r="N12" s="452">
        <v>705.6</v>
      </c>
      <c r="O12" s="452">
        <v>567.82999999999993</v>
      </c>
      <c r="P12" s="453"/>
      <c r="Q12" s="453"/>
      <c r="R12" s="454">
        <v>44074</v>
      </c>
      <c r="S12" s="453" t="s">
        <v>250</v>
      </c>
      <c r="T12" s="453" t="s">
        <v>196</v>
      </c>
      <c r="U12" s="455">
        <v>1380000000</v>
      </c>
      <c r="V12" s="455">
        <v>1380000000</v>
      </c>
      <c r="W12" s="456"/>
      <c r="X12" s="456"/>
      <c r="Y12" s="455"/>
      <c r="Z12" s="457"/>
      <c r="AA12" s="453"/>
      <c r="AB12" s="458"/>
      <c r="AC12" s="458"/>
      <c r="AD12" s="453"/>
      <c r="AE12" s="453"/>
      <c r="AF12" s="459"/>
      <c r="AG12" s="453"/>
      <c r="AH12" s="455"/>
      <c r="AI12" s="460"/>
      <c r="AJ12" s="460" t="s">
        <v>657</v>
      </c>
      <c r="AK12" s="461"/>
      <c r="AL12" s="462" t="s">
        <v>451</v>
      </c>
      <c r="AM12" s="463" t="s">
        <v>451</v>
      </c>
      <c r="AN12" s="464" t="s">
        <v>451</v>
      </c>
      <c r="AO12" s="453" t="s">
        <v>451</v>
      </c>
      <c r="AP12" s="464" t="s">
        <v>451</v>
      </c>
      <c r="AQ12" s="464" t="s">
        <v>451</v>
      </c>
      <c r="AR12" s="464" t="s">
        <v>451</v>
      </c>
      <c r="AS12" s="464" t="s">
        <v>451</v>
      </c>
      <c r="AT12" s="464" t="s">
        <v>451</v>
      </c>
      <c r="AU12" s="464" t="s">
        <v>451</v>
      </c>
      <c r="AV12" s="464" t="s">
        <v>451</v>
      </c>
      <c r="AW12" s="465" t="s">
        <v>451</v>
      </c>
      <c r="AX12" s="466" t="s">
        <v>658</v>
      </c>
      <c r="AY12" s="467">
        <v>45233</v>
      </c>
      <c r="AZ12" s="468" t="s">
        <v>664</v>
      </c>
      <c r="BA12" s="469">
        <v>1136016000</v>
      </c>
      <c r="BB12" s="469">
        <v>945762200</v>
      </c>
      <c r="BC12" s="469">
        <v>0</v>
      </c>
      <c r="BD12" s="469">
        <v>0</v>
      </c>
      <c r="BE12" s="469">
        <v>2081778200</v>
      </c>
      <c r="BF12" s="471"/>
      <c r="BG12" s="472" t="s">
        <v>1712</v>
      </c>
      <c r="BH12" s="457" t="s">
        <v>200</v>
      </c>
      <c r="BI12" s="480" t="s">
        <v>1713</v>
      </c>
      <c r="BJ12" s="481">
        <v>45806</v>
      </c>
      <c r="BK12" s="480" t="s">
        <v>1716</v>
      </c>
      <c r="BL12" s="481">
        <v>45882</v>
      </c>
      <c r="BM12" s="482">
        <v>1380000000</v>
      </c>
      <c r="BN12" s="474"/>
      <c r="BO12" s="454"/>
      <c r="BP12" s="457"/>
      <c r="BQ12" s="454"/>
      <c r="BR12" s="478"/>
      <c r="BS12" s="476"/>
      <c r="BT12" s="454"/>
      <c r="BU12" s="457"/>
      <c r="BV12" s="457"/>
      <c r="BW12" s="454"/>
      <c r="BX12" s="454"/>
      <c r="BY12" s="477"/>
      <c r="BZ12" s="477"/>
      <c r="CA12" s="478"/>
      <c r="CB12" s="479"/>
    </row>
    <row r="13" spans="1:80" s="135" customFormat="1" ht="15" customHeight="1">
      <c r="B13" s="366">
        <f t="shared" si="0"/>
        <v>3</v>
      </c>
      <c r="C13" s="289" t="s">
        <v>416</v>
      </c>
      <c r="D13" s="446" t="s">
        <v>270</v>
      </c>
      <c r="E13" s="447" t="s">
        <v>228</v>
      </c>
      <c r="F13" s="520" t="s">
        <v>718</v>
      </c>
      <c r="G13" s="448" t="s">
        <v>1666</v>
      </c>
      <c r="H13" s="449">
        <v>3</v>
      </c>
      <c r="I13" s="450" t="s">
        <v>186</v>
      </c>
      <c r="J13" s="450" t="s">
        <v>183</v>
      </c>
      <c r="K13" s="450" t="s">
        <v>314</v>
      </c>
      <c r="L13" s="450" t="s">
        <v>1431</v>
      </c>
      <c r="M13" s="451" t="s">
        <v>227</v>
      </c>
      <c r="N13" s="452">
        <v>541</v>
      </c>
      <c r="O13" s="452">
        <v>185.85</v>
      </c>
      <c r="P13" s="453"/>
      <c r="Q13" s="453"/>
      <c r="R13" s="454">
        <v>43818</v>
      </c>
      <c r="S13" s="453">
        <v>1</v>
      </c>
      <c r="T13" s="453" t="s">
        <v>196</v>
      </c>
      <c r="U13" s="455">
        <v>600000000</v>
      </c>
      <c r="V13" s="455">
        <v>600000000</v>
      </c>
      <c r="W13" s="456"/>
      <c r="X13" s="456"/>
      <c r="Y13" s="455"/>
      <c r="Z13" s="457"/>
      <c r="AA13" s="453"/>
      <c r="AB13" s="458"/>
      <c r="AC13" s="458"/>
      <c r="AD13" s="453"/>
      <c r="AE13" s="453"/>
      <c r="AF13" s="459"/>
      <c r="AG13" s="453"/>
      <c r="AH13" s="455"/>
      <c r="AI13" s="460"/>
      <c r="AJ13" s="460" t="s">
        <v>657</v>
      </c>
      <c r="AK13" s="461"/>
      <c r="AL13" s="462" t="s">
        <v>451</v>
      </c>
      <c r="AM13" s="463" t="s">
        <v>451</v>
      </c>
      <c r="AN13" s="464" t="s">
        <v>451</v>
      </c>
      <c r="AO13" s="453" t="s">
        <v>451</v>
      </c>
      <c r="AP13" s="464" t="s">
        <v>451</v>
      </c>
      <c r="AQ13" s="464" t="s">
        <v>451</v>
      </c>
      <c r="AR13" s="464" t="s">
        <v>451</v>
      </c>
      <c r="AS13" s="464" t="s">
        <v>451</v>
      </c>
      <c r="AT13" s="464" t="s">
        <v>451</v>
      </c>
      <c r="AU13" s="464" t="s">
        <v>451</v>
      </c>
      <c r="AV13" s="464" t="s">
        <v>451</v>
      </c>
      <c r="AW13" s="465" t="s">
        <v>451</v>
      </c>
      <c r="AX13" s="466" t="s">
        <v>658</v>
      </c>
      <c r="AY13" s="467">
        <v>43808</v>
      </c>
      <c r="AZ13" s="468" t="s">
        <v>668</v>
      </c>
      <c r="BA13" s="469">
        <v>417111000</v>
      </c>
      <c r="BB13" s="469">
        <v>250897500</v>
      </c>
      <c r="BC13" s="469">
        <v>0</v>
      </c>
      <c r="BD13" s="469">
        <v>0</v>
      </c>
      <c r="BE13" s="470">
        <v>668008500</v>
      </c>
      <c r="BF13" s="471"/>
      <c r="BG13" s="472" t="s">
        <v>1712</v>
      </c>
      <c r="BH13" s="457" t="s">
        <v>208</v>
      </c>
      <c r="BI13" s="480" t="s">
        <v>1713</v>
      </c>
      <c r="BJ13" s="481">
        <v>45797</v>
      </c>
      <c r="BK13" s="480" t="s">
        <v>1717</v>
      </c>
      <c r="BL13" s="481">
        <v>45880</v>
      </c>
      <c r="BM13" s="482">
        <v>600000000</v>
      </c>
      <c r="BN13" s="474"/>
      <c r="BO13" s="454"/>
      <c r="BP13" s="457"/>
      <c r="BQ13" s="454"/>
      <c r="BR13" s="475"/>
      <c r="BS13" s="476"/>
      <c r="BT13" s="454"/>
      <c r="BU13" s="457"/>
      <c r="BV13" s="457"/>
      <c r="BW13" s="454"/>
      <c r="BX13" s="454"/>
      <c r="BY13" s="477"/>
      <c r="BZ13" s="477"/>
      <c r="CA13" s="478"/>
      <c r="CB13" s="479"/>
    </row>
    <row r="14" spans="1:80" s="135" customFormat="1" ht="15" customHeight="1">
      <c r="B14" s="366">
        <f t="shared" si="0"/>
        <v>4</v>
      </c>
      <c r="C14" s="289" t="s">
        <v>416</v>
      </c>
      <c r="D14" s="446" t="s">
        <v>270</v>
      </c>
      <c r="E14" s="447" t="s">
        <v>228</v>
      </c>
      <c r="F14" s="520" t="s">
        <v>718</v>
      </c>
      <c r="G14" s="448" t="s">
        <v>1667</v>
      </c>
      <c r="H14" s="449">
        <v>4</v>
      </c>
      <c r="I14" s="450" t="s">
        <v>188</v>
      </c>
      <c r="J14" s="450" t="s">
        <v>185</v>
      </c>
      <c r="K14" s="450" t="s">
        <v>1432</v>
      </c>
      <c r="L14" s="450" t="s">
        <v>1718</v>
      </c>
      <c r="M14" s="451" t="s">
        <v>227</v>
      </c>
      <c r="N14" s="452">
        <v>365.6</v>
      </c>
      <c r="O14" s="452">
        <v>306.98</v>
      </c>
      <c r="P14" s="453"/>
      <c r="Q14" s="453"/>
      <c r="R14" s="454">
        <v>43455</v>
      </c>
      <c r="S14" s="453">
        <v>1</v>
      </c>
      <c r="T14" s="453" t="s">
        <v>196</v>
      </c>
      <c r="U14" s="455">
        <v>480000000</v>
      </c>
      <c r="V14" s="455">
        <v>480000000</v>
      </c>
      <c r="W14" s="456"/>
      <c r="X14" s="456"/>
      <c r="Y14" s="455"/>
      <c r="Z14" s="457"/>
      <c r="AA14" s="453"/>
      <c r="AB14" s="458"/>
      <c r="AC14" s="458"/>
      <c r="AD14" s="453"/>
      <c r="AE14" s="453"/>
      <c r="AF14" s="459"/>
      <c r="AG14" s="453"/>
      <c r="AH14" s="455"/>
      <c r="AI14" s="460"/>
      <c r="AJ14" s="460" t="s">
        <v>657</v>
      </c>
      <c r="AK14" s="461"/>
      <c r="AL14" s="462" t="s">
        <v>451</v>
      </c>
      <c r="AM14" s="463" t="s">
        <v>451</v>
      </c>
      <c r="AN14" s="464" t="s">
        <v>451</v>
      </c>
      <c r="AO14" s="453" t="s">
        <v>451</v>
      </c>
      <c r="AP14" s="464" t="s">
        <v>451</v>
      </c>
      <c r="AQ14" s="464" t="s">
        <v>451</v>
      </c>
      <c r="AR14" s="464" t="s">
        <v>451</v>
      </c>
      <c r="AS14" s="464" t="s">
        <v>451</v>
      </c>
      <c r="AT14" s="464" t="s">
        <v>451</v>
      </c>
      <c r="AU14" s="464" t="s">
        <v>451</v>
      </c>
      <c r="AV14" s="464" t="s">
        <v>451</v>
      </c>
      <c r="AW14" s="465" t="s">
        <v>451</v>
      </c>
      <c r="AX14" s="466" t="s">
        <v>658</v>
      </c>
      <c r="AY14" s="467">
        <v>45233</v>
      </c>
      <c r="AZ14" s="468" t="s">
        <v>664</v>
      </c>
      <c r="BA14" s="469">
        <v>1392936000</v>
      </c>
      <c r="BB14" s="469">
        <v>479044000</v>
      </c>
      <c r="BC14" s="469">
        <v>0</v>
      </c>
      <c r="BD14" s="469">
        <v>0</v>
      </c>
      <c r="BE14" s="470">
        <v>1871980000</v>
      </c>
      <c r="BF14" s="471"/>
      <c r="BG14" s="472" t="s">
        <v>1712</v>
      </c>
      <c r="BH14" s="457" t="s">
        <v>198</v>
      </c>
      <c r="BI14" s="480" t="s">
        <v>1713</v>
      </c>
      <c r="BJ14" s="481">
        <v>45812</v>
      </c>
      <c r="BK14" s="480" t="s">
        <v>1719</v>
      </c>
      <c r="BL14" s="481">
        <v>45903</v>
      </c>
      <c r="BM14" s="482">
        <v>480000000</v>
      </c>
      <c r="BN14" s="474"/>
      <c r="BO14" s="454"/>
      <c r="BP14" s="457"/>
      <c r="BQ14" s="454"/>
      <c r="BR14" s="475"/>
      <c r="BS14" s="476"/>
      <c r="BT14" s="454"/>
      <c r="BU14" s="457"/>
      <c r="BV14" s="457"/>
      <c r="BW14" s="454"/>
      <c r="BX14" s="454"/>
      <c r="BY14" s="477"/>
      <c r="BZ14" s="477"/>
      <c r="CA14" s="478"/>
      <c r="CB14" s="483"/>
    </row>
    <row r="15" spans="1:80" s="135" customFormat="1" ht="15" customHeight="1">
      <c r="B15" s="366">
        <f t="shared" si="0"/>
        <v>5</v>
      </c>
      <c r="C15" s="289" t="s">
        <v>416</v>
      </c>
      <c r="D15" s="446" t="s">
        <v>270</v>
      </c>
      <c r="E15" s="447" t="s">
        <v>228</v>
      </c>
      <c r="F15" s="520" t="s">
        <v>718</v>
      </c>
      <c r="G15" s="448" t="s">
        <v>1668</v>
      </c>
      <c r="H15" s="449">
        <v>5</v>
      </c>
      <c r="I15" s="450" t="s">
        <v>188</v>
      </c>
      <c r="J15" s="450" t="s">
        <v>185</v>
      </c>
      <c r="K15" s="450" t="s">
        <v>1432</v>
      </c>
      <c r="L15" s="450" t="s">
        <v>1433</v>
      </c>
      <c r="M15" s="451" t="s">
        <v>335</v>
      </c>
      <c r="N15" s="452">
        <v>48.25</v>
      </c>
      <c r="O15" s="452">
        <v>112.36</v>
      </c>
      <c r="P15" s="453"/>
      <c r="Q15" s="453"/>
      <c r="R15" s="454">
        <v>43378</v>
      </c>
      <c r="S15" s="453">
        <v>1</v>
      </c>
      <c r="T15" s="453" t="s">
        <v>196</v>
      </c>
      <c r="U15" s="455">
        <v>321600000</v>
      </c>
      <c r="V15" s="455">
        <v>321600000</v>
      </c>
      <c r="W15" s="456"/>
      <c r="X15" s="456"/>
      <c r="Y15" s="455"/>
      <c r="Z15" s="457"/>
      <c r="AA15" s="453"/>
      <c r="AB15" s="458"/>
      <c r="AC15" s="458"/>
      <c r="AD15" s="453"/>
      <c r="AE15" s="453"/>
      <c r="AF15" s="459"/>
      <c r="AG15" s="453"/>
      <c r="AH15" s="455"/>
      <c r="AI15" s="460"/>
      <c r="AJ15" s="460" t="s">
        <v>657</v>
      </c>
      <c r="AK15" s="461"/>
      <c r="AL15" s="462" t="s">
        <v>451</v>
      </c>
      <c r="AM15" s="463" t="s">
        <v>451</v>
      </c>
      <c r="AN15" s="464" t="s">
        <v>451</v>
      </c>
      <c r="AO15" s="453" t="s">
        <v>451</v>
      </c>
      <c r="AP15" s="464" t="s">
        <v>451</v>
      </c>
      <c r="AQ15" s="464" t="s">
        <v>451</v>
      </c>
      <c r="AR15" s="464" t="s">
        <v>451</v>
      </c>
      <c r="AS15" s="464" t="s">
        <v>451</v>
      </c>
      <c r="AT15" s="464" t="s">
        <v>451</v>
      </c>
      <c r="AU15" s="464" t="s">
        <v>451</v>
      </c>
      <c r="AV15" s="464" t="s">
        <v>451</v>
      </c>
      <c r="AW15" s="465" t="s">
        <v>451</v>
      </c>
      <c r="AX15" s="466" t="s">
        <v>338</v>
      </c>
      <c r="AY15" s="467" t="s">
        <v>338</v>
      </c>
      <c r="AZ15" s="468" t="s">
        <v>338</v>
      </c>
      <c r="BA15" s="469" t="s">
        <v>338</v>
      </c>
      <c r="BB15" s="469" t="s">
        <v>338</v>
      </c>
      <c r="BC15" s="469" t="s">
        <v>338</v>
      </c>
      <c r="BD15" s="469" t="s">
        <v>338</v>
      </c>
      <c r="BE15" s="470" t="s">
        <v>338</v>
      </c>
      <c r="BF15" s="484">
        <v>545000000</v>
      </c>
      <c r="BG15" s="472" t="s">
        <v>1712</v>
      </c>
      <c r="BH15" s="457" t="s">
        <v>198</v>
      </c>
      <c r="BI15" s="480" t="s">
        <v>1713</v>
      </c>
      <c r="BJ15" s="481">
        <v>45810</v>
      </c>
      <c r="BK15" s="480" t="s">
        <v>1720</v>
      </c>
      <c r="BL15" s="481">
        <v>45897</v>
      </c>
      <c r="BM15" s="482">
        <v>321600000</v>
      </c>
      <c r="BN15" s="474"/>
      <c r="BO15" s="454"/>
      <c r="BP15" s="457"/>
      <c r="BQ15" s="454"/>
      <c r="BR15" s="475"/>
      <c r="BS15" s="476"/>
      <c r="BT15" s="454"/>
      <c r="BU15" s="457"/>
      <c r="BV15" s="457"/>
      <c r="BW15" s="454"/>
      <c r="BX15" s="454"/>
      <c r="BY15" s="477"/>
      <c r="BZ15" s="477"/>
      <c r="CA15" s="478"/>
      <c r="CB15" s="483"/>
    </row>
    <row r="16" spans="1:80" s="135" customFormat="1" ht="15" customHeight="1">
      <c r="B16" s="366">
        <f t="shared" si="0"/>
        <v>6</v>
      </c>
      <c r="C16" s="289" t="s">
        <v>416</v>
      </c>
      <c r="D16" s="446" t="s">
        <v>270</v>
      </c>
      <c r="E16" s="447" t="s">
        <v>210</v>
      </c>
      <c r="F16" s="520" t="s">
        <v>719</v>
      </c>
      <c r="G16" s="448" t="s">
        <v>454</v>
      </c>
      <c r="H16" s="449">
        <v>1</v>
      </c>
      <c r="I16" s="450" t="s">
        <v>188</v>
      </c>
      <c r="J16" s="450" t="s">
        <v>642</v>
      </c>
      <c r="K16" s="450" t="s">
        <v>1434</v>
      </c>
      <c r="L16" s="450" t="s">
        <v>1435</v>
      </c>
      <c r="M16" s="451" t="s">
        <v>178</v>
      </c>
      <c r="N16" s="452">
        <v>5254</v>
      </c>
      <c r="O16" s="452">
        <v>3436.68</v>
      </c>
      <c r="P16" s="453"/>
      <c r="Q16" s="453"/>
      <c r="R16" s="454">
        <v>44826</v>
      </c>
      <c r="S16" s="453">
        <v>1</v>
      </c>
      <c r="T16" s="453" t="s">
        <v>196</v>
      </c>
      <c r="U16" s="455">
        <v>11400000000</v>
      </c>
      <c r="V16" s="455">
        <v>11400000000</v>
      </c>
      <c r="W16" s="456"/>
      <c r="X16" s="456"/>
      <c r="Y16" s="455"/>
      <c r="Z16" s="457"/>
      <c r="AA16" s="453"/>
      <c r="AB16" s="458"/>
      <c r="AC16" s="458"/>
      <c r="AD16" s="453"/>
      <c r="AE16" s="453"/>
      <c r="AF16" s="459"/>
      <c r="AG16" s="453"/>
      <c r="AH16" s="455"/>
      <c r="AI16" s="460"/>
      <c r="AJ16" s="460" t="s">
        <v>657</v>
      </c>
      <c r="AK16" s="461"/>
      <c r="AL16" s="462" t="s">
        <v>451</v>
      </c>
      <c r="AM16" s="463" t="s">
        <v>451</v>
      </c>
      <c r="AN16" s="464" t="s">
        <v>451</v>
      </c>
      <c r="AO16" s="453" t="s">
        <v>451</v>
      </c>
      <c r="AP16" s="464" t="s">
        <v>451</v>
      </c>
      <c r="AQ16" s="464" t="s">
        <v>451</v>
      </c>
      <c r="AR16" s="464" t="s">
        <v>451</v>
      </c>
      <c r="AS16" s="464" t="s">
        <v>451</v>
      </c>
      <c r="AT16" s="464" t="s">
        <v>451</v>
      </c>
      <c r="AU16" s="464" t="s">
        <v>451</v>
      </c>
      <c r="AV16" s="464" t="s">
        <v>451</v>
      </c>
      <c r="AW16" s="465" t="s">
        <v>451</v>
      </c>
      <c r="AX16" s="466" t="s">
        <v>658</v>
      </c>
      <c r="AY16" s="467">
        <v>45391</v>
      </c>
      <c r="AZ16" s="468" t="s">
        <v>1436</v>
      </c>
      <c r="BA16" s="469">
        <v>8072220000</v>
      </c>
      <c r="BB16" s="469">
        <v>4233020400</v>
      </c>
      <c r="BC16" s="469">
        <v>0</v>
      </c>
      <c r="BD16" s="469">
        <v>0</v>
      </c>
      <c r="BE16" s="470">
        <v>12305240400</v>
      </c>
      <c r="BF16" s="471"/>
      <c r="BG16" s="472" t="s">
        <v>1711</v>
      </c>
      <c r="BH16" s="457" t="s">
        <v>198</v>
      </c>
      <c r="BI16" s="473"/>
      <c r="BJ16" s="473"/>
      <c r="BK16" s="473"/>
      <c r="BL16" s="473"/>
      <c r="BM16" s="473"/>
      <c r="BN16" s="474"/>
      <c r="BO16" s="454"/>
      <c r="BP16" s="457"/>
      <c r="BQ16" s="454"/>
      <c r="BR16" s="478"/>
      <c r="BS16" s="476"/>
      <c r="BT16" s="454"/>
      <c r="BU16" s="457"/>
      <c r="BV16" s="457"/>
      <c r="BW16" s="454"/>
      <c r="BX16" s="454"/>
      <c r="BY16" s="477"/>
      <c r="BZ16" s="477"/>
      <c r="CA16" s="478"/>
      <c r="CB16" s="483"/>
    </row>
    <row r="17" spans="2:80" s="135" customFormat="1" ht="15" customHeight="1">
      <c r="B17" s="366">
        <f t="shared" si="0"/>
        <v>7</v>
      </c>
      <c r="C17" s="289" t="s">
        <v>416</v>
      </c>
      <c r="D17" s="446" t="s">
        <v>270</v>
      </c>
      <c r="E17" s="447" t="s">
        <v>229</v>
      </c>
      <c r="F17" s="520" t="s">
        <v>720</v>
      </c>
      <c r="G17" s="448" t="s">
        <v>455</v>
      </c>
      <c r="H17" s="449">
        <v>1</v>
      </c>
      <c r="I17" s="450" t="s">
        <v>192</v>
      </c>
      <c r="J17" s="450" t="s">
        <v>1437</v>
      </c>
      <c r="K17" s="450" t="s">
        <v>1438</v>
      </c>
      <c r="L17" s="450" t="s">
        <v>1439</v>
      </c>
      <c r="M17" s="451" t="s">
        <v>176</v>
      </c>
      <c r="N17" s="452">
        <v>4297.5</v>
      </c>
      <c r="O17" s="452"/>
      <c r="P17" s="453">
        <v>25</v>
      </c>
      <c r="Q17" s="453" t="s">
        <v>220</v>
      </c>
      <c r="R17" s="454">
        <v>45128</v>
      </c>
      <c r="S17" s="453" t="s">
        <v>1440</v>
      </c>
      <c r="T17" s="453" t="s">
        <v>196</v>
      </c>
      <c r="U17" s="455">
        <v>9843600000</v>
      </c>
      <c r="V17" s="455">
        <v>9843600000</v>
      </c>
      <c r="W17" s="456" t="s">
        <v>249</v>
      </c>
      <c r="X17" s="456" t="s">
        <v>1441</v>
      </c>
      <c r="Y17" s="455">
        <v>8775600000</v>
      </c>
      <c r="Z17" s="457"/>
      <c r="AA17" s="453"/>
      <c r="AB17" s="458"/>
      <c r="AC17" s="458"/>
      <c r="AD17" s="453"/>
      <c r="AE17" s="453"/>
      <c r="AF17" s="459"/>
      <c r="AG17" s="453"/>
      <c r="AH17" s="455"/>
      <c r="AI17" s="460"/>
      <c r="AJ17" s="460" t="s">
        <v>657</v>
      </c>
      <c r="AK17" s="461"/>
      <c r="AL17" s="462" t="s">
        <v>451</v>
      </c>
      <c r="AM17" s="463" t="s">
        <v>451</v>
      </c>
      <c r="AN17" s="464" t="s">
        <v>451</v>
      </c>
      <c r="AO17" s="453" t="s">
        <v>451</v>
      </c>
      <c r="AP17" s="464" t="s">
        <v>451</v>
      </c>
      <c r="AQ17" s="464" t="s">
        <v>451</v>
      </c>
      <c r="AR17" s="464" t="s">
        <v>451</v>
      </c>
      <c r="AS17" s="464" t="s">
        <v>451</v>
      </c>
      <c r="AT17" s="464" t="s">
        <v>451</v>
      </c>
      <c r="AU17" s="464" t="s">
        <v>451</v>
      </c>
      <c r="AV17" s="464" t="s">
        <v>451</v>
      </c>
      <c r="AW17" s="465" t="s">
        <v>451</v>
      </c>
      <c r="AX17" s="466" t="s">
        <v>658</v>
      </c>
      <c r="AY17" s="467">
        <v>45734</v>
      </c>
      <c r="AZ17" s="468" t="s">
        <v>671</v>
      </c>
      <c r="BA17" s="469">
        <v>1370902500</v>
      </c>
      <c r="BB17" s="469">
        <v>0</v>
      </c>
      <c r="BC17" s="469">
        <v>0</v>
      </c>
      <c r="BD17" s="469">
        <v>0</v>
      </c>
      <c r="BE17" s="470">
        <v>1370902500</v>
      </c>
      <c r="BF17" s="471"/>
      <c r="BG17" s="472" t="s">
        <v>1712</v>
      </c>
      <c r="BH17" s="457" t="s">
        <v>329</v>
      </c>
      <c r="BI17" s="480" t="s">
        <v>1713</v>
      </c>
      <c r="BJ17" s="481">
        <v>45800</v>
      </c>
      <c r="BK17" s="480" t="s">
        <v>1721</v>
      </c>
      <c r="BL17" s="481">
        <v>45894</v>
      </c>
      <c r="BM17" s="473">
        <v>7561631124</v>
      </c>
      <c r="BN17" s="474" t="s">
        <v>1722</v>
      </c>
      <c r="BO17" s="481">
        <v>45786</v>
      </c>
      <c r="BP17" s="480" t="s">
        <v>1723</v>
      </c>
      <c r="BQ17" s="481">
        <v>45880</v>
      </c>
      <c r="BR17" s="485">
        <v>25653136</v>
      </c>
      <c r="BS17" s="476"/>
      <c r="BT17" s="454"/>
      <c r="BU17" s="457"/>
      <c r="BV17" s="457"/>
      <c r="BW17" s="454"/>
      <c r="BX17" s="454"/>
      <c r="BY17" s="477"/>
      <c r="BZ17" s="477"/>
      <c r="CA17" s="478"/>
      <c r="CB17" s="483"/>
    </row>
    <row r="18" spans="2:80" s="135" customFormat="1" ht="15" customHeight="1">
      <c r="B18" s="366">
        <f t="shared" si="0"/>
        <v>8</v>
      </c>
      <c r="C18" s="289" t="s">
        <v>416</v>
      </c>
      <c r="D18" s="446" t="s">
        <v>270</v>
      </c>
      <c r="E18" s="447" t="s">
        <v>229</v>
      </c>
      <c r="F18" s="520" t="s">
        <v>720</v>
      </c>
      <c r="G18" s="448" t="s">
        <v>1669</v>
      </c>
      <c r="H18" s="449">
        <v>2</v>
      </c>
      <c r="I18" s="450" t="s">
        <v>192</v>
      </c>
      <c r="J18" s="450" t="s">
        <v>1437</v>
      </c>
      <c r="K18" s="450" t="s">
        <v>1438</v>
      </c>
      <c r="L18" s="450" t="s">
        <v>1442</v>
      </c>
      <c r="M18" s="451" t="s">
        <v>174</v>
      </c>
      <c r="N18" s="452"/>
      <c r="O18" s="452">
        <v>2778.55</v>
      </c>
      <c r="P18" s="453" t="s">
        <v>717</v>
      </c>
      <c r="Q18" s="453" t="s">
        <v>220</v>
      </c>
      <c r="R18" s="454">
        <v>45128</v>
      </c>
      <c r="S18" s="453" t="s">
        <v>258</v>
      </c>
      <c r="T18" s="453" t="s">
        <v>196</v>
      </c>
      <c r="U18" s="455">
        <v>8775600000</v>
      </c>
      <c r="V18" s="455">
        <v>8775600000</v>
      </c>
      <c r="W18" s="456" t="s">
        <v>345</v>
      </c>
      <c r="X18" s="456" t="s">
        <v>258</v>
      </c>
      <c r="Y18" s="455">
        <v>8775600000</v>
      </c>
      <c r="Z18" s="457"/>
      <c r="AA18" s="453"/>
      <c r="AB18" s="458"/>
      <c r="AC18" s="458"/>
      <c r="AD18" s="453"/>
      <c r="AE18" s="453"/>
      <c r="AF18" s="459"/>
      <c r="AG18" s="453"/>
      <c r="AH18" s="455"/>
      <c r="AI18" s="460"/>
      <c r="AJ18" s="460" t="s">
        <v>657</v>
      </c>
      <c r="AK18" s="461"/>
      <c r="AL18" s="462" t="s">
        <v>451</v>
      </c>
      <c r="AM18" s="463" t="s">
        <v>451</v>
      </c>
      <c r="AN18" s="464" t="s">
        <v>451</v>
      </c>
      <c r="AO18" s="453" t="s">
        <v>451</v>
      </c>
      <c r="AP18" s="464" t="s">
        <v>451</v>
      </c>
      <c r="AQ18" s="464" t="s">
        <v>451</v>
      </c>
      <c r="AR18" s="464" t="s">
        <v>451</v>
      </c>
      <c r="AS18" s="464" t="s">
        <v>451</v>
      </c>
      <c r="AT18" s="464" t="s">
        <v>451</v>
      </c>
      <c r="AU18" s="464" t="s">
        <v>451</v>
      </c>
      <c r="AV18" s="464" t="s">
        <v>451</v>
      </c>
      <c r="AW18" s="465" t="s">
        <v>451</v>
      </c>
      <c r="AX18" s="466" t="s">
        <v>658</v>
      </c>
      <c r="AY18" s="467">
        <v>45734</v>
      </c>
      <c r="AZ18" s="468" t="s">
        <v>671</v>
      </c>
      <c r="BA18" s="469">
        <v>0</v>
      </c>
      <c r="BB18" s="469">
        <v>3254168250</v>
      </c>
      <c r="BC18" s="469">
        <v>0</v>
      </c>
      <c r="BD18" s="469">
        <v>0</v>
      </c>
      <c r="BE18" s="470">
        <v>3254168250</v>
      </c>
      <c r="BF18" s="471"/>
      <c r="BG18" s="472" t="s">
        <v>1712</v>
      </c>
      <c r="BH18" s="457" t="s">
        <v>329</v>
      </c>
      <c r="BI18" s="480" t="s">
        <v>1713</v>
      </c>
      <c r="BJ18" s="481">
        <v>45800</v>
      </c>
      <c r="BK18" s="480" t="s">
        <v>1721</v>
      </c>
      <c r="BL18" s="481">
        <v>45894</v>
      </c>
      <c r="BM18" s="473" t="s">
        <v>675</v>
      </c>
      <c r="BN18" s="474" t="s">
        <v>1722</v>
      </c>
      <c r="BO18" s="481">
        <v>45786</v>
      </c>
      <c r="BP18" s="480" t="s">
        <v>1723</v>
      </c>
      <c r="BQ18" s="481">
        <v>45880</v>
      </c>
      <c r="BR18" s="486" t="s">
        <v>1724</v>
      </c>
      <c r="BS18" s="476"/>
      <c r="BT18" s="454"/>
      <c r="BU18" s="457"/>
      <c r="BV18" s="457"/>
      <c r="BW18" s="454"/>
      <c r="BX18" s="454"/>
      <c r="BY18" s="477"/>
      <c r="BZ18" s="477"/>
      <c r="CA18" s="478"/>
      <c r="CB18" s="483"/>
    </row>
    <row r="19" spans="2:80" s="135" customFormat="1" ht="15" customHeight="1">
      <c r="B19" s="366">
        <f t="shared" si="0"/>
        <v>9</v>
      </c>
      <c r="C19" s="289" t="s">
        <v>416</v>
      </c>
      <c r="D19" s="446" t="s">
        <v>270</v>
      </c>
      <c r="E19" s="447" t="s">
        <v>229</v>
      </c>
      <c r="F19" s="520" t="s">
        <v>720</v>
      </c>
      <c r="G19" s="448" t="s">
        <v>1670</v>
      </c>
      <c r="H19" s="449">
        <v>3</v>
      </c>
      <c r="I19" s="450" t="s">
        <v>192</v>
      </c>
      <c r="J19" s="450" t="s">
        <v>1437</v>
      </c>
      <c r="K19" s="450" t="s">
        <v>1438</v>
      </c>
      <c r="L19" s="450" t="s">
        <v>1725</v>
      </c>
      <c r="M19" s="451" t="s">
        <v>174</v>
      </c>
      <c r="N19" s="452"/>
      <c r="O19" s="452">
        <v>2922.37</v>
      </c>
      <c r="P19" s="453" t="s">
        <v>717</v>
      </c>
      <c r="Q19" s="453" t="s">
        <v>220</v>
      </c>
      <c r="R19" s="454">
        <v>45665</v>
      </c>
      <c r="S19" s="453" t="s">
        <v>257</v>
      </c>
      <c r="T19" s="453" t="s">
        <v>196</v>
      </c>
      <c r="U19" s="455">
        <v>6108000000</v>
      </c>
      <c r="V19" s="455">
        <v>6108000000</v>
      </c>
      <c r="W19" s="456" t="s">
        <v>250</v>
      </c>
      <c r="X19" s="456" t="s">
        <v>257</v>
      </c>
      <c r="Y19" s="455">
        <v>6108000000</v>
      </c>
      <c r="Z19" s="457"/>
      <c r="AA19" s="453"/>
      <c r="AB19" s="458"/>
      <c r="AC19" s="458"/>
      <c r="AD19" s="453"/>
      <c r="AE19" s="453"/>
      <c r="AF19" s="459"/>
      <c r="AG19" s="453"/>
      <c r="AH19" s="455"/>
      <c r="AI19" s="460"/>
      <c r="AJ19" s="460" t="s">
        <v>657</v>
      </c>
      <c r="AK19" s="461"/>
      <c r="AL19" s="462" t="s">
        <v>451</v>
      </c>
      <c r="AM19" s="463" t="s">
        <v>451</v>
      </c>
      <c r="AN19" s="464" t="s">
        <v>451</v>
      </c>
      <c r="AO19" s="453" t="s">
        <v>451</v>
      </c>
      <c r="AP19" s="464" t="s">
        <v>451</v>
      </c>
      <c r="AQ19" s="464" t="s">
        <v>451</v>
      </c>
      <c r="AR19" s="464" t="s">
        <v>451</v>
      </c>
      <c r="AS19" s="464" t="s">
        <v>451</v>
      </c>
      <c r="AT19" s="464" t="s">
        <v>451</v>
      </c>
      <c r="AU19" s="464" t="s">
        <v>451</v>
      </c>
      <c r="AV19" s="464" t="s">
        <v>451</v>
      </c>
      <c r="AW19" s="465" t="s">
        <v>451</v>
      </c>
      <c r="AX19" s="466" t="s">
        <v>658</v>
      </c>
      <c r="AY19" s="467">
        <v>45659</v>
      </c>
      <c r="AZ19" s="468" t="s">
        <v>671</v>
      </c>
      <c r="BA19" s="469">
        <v>0</v>
      </c>
      <c r="BB19" s="469">
        <v>4307587000</v>
      </c>
      <c r="BC19" s="469">
        <v>330000000</v>
      </c>
      <c r="BD19" s="469">
        <v>0</v>
      </c>
      <c r="BE19" s="470">
        <v>4637587000</v>
      </c>
      <c r="BF19" s="471"/>
      <c r="BG19" s="472" t="s">
        <v>1712</v>
      </c>
      <c r="BH19" s="457" t="s">
        <v>329</v>
      </c>
      <c r="BI19" s="480" t="s">
        <v>1713</v>
      </c>
      <c r="BJ19" s="481">
        <v>45800</v>
      </c>
      <c r="BK19" s="480" t="s">
        <v>1721</v>
      </c>
      <c r="BL19" s="481">
        <v>45894</v>
      </c>
      <c r="BM19" s="473" t="s">
        <v>675</v>
      </c>
      <c r="BN19" s="474" t="s">
        <v>1722</v>
      </c>
      <c r="BO19" s="481">
        <v>45786</v>
      </c>
      <c r="BP19" s="480" t="s">
        <v>1723</v>
      </c>
      <c r="BQ19" s="481">
        <v>45880</v>
      </c>
      <c r="BR19" s="486" t="s">
        <v>1724</v>
      </c>
      <c r="BS19" s="487"/>
      <c r="BT19" s="454"/>
      <c r="BU19" s="457"/>
      <c r="BV19" s="457"/>
      <c r="BW19" s="454"/>
      <c r="BX19" s="454"/>
      <c r="BY19" s="477"/>
      <c r="BZ19" s="477"/>
      <c r="CA19" s="478"/>
      <c r="CB19" s="479"/>
    </row>
    <row r="20" spans="2:80" s="135" customFormat="1" ht="15" customHeight="1">
      <c r="B20" s="366">
        <f t="shared" si="0"/>
        <v>10</v>
      </c>
      <c r="C20" s="289" t="s">
        <v>416</v>
      </c>
      <c r="D20" s="446" t="s">
        <v>270</v>
      </c>
      <c r="E20" s="447" t="s">
        <v>230</v>
      </c>
      <c r="F20" s="520" t="s">
        <v>721</v>
      </c>
      <c r="G20" s="448" t="s">
        <v>456</v>
      </c>
      <c r="H20" s="449">
        <v>1</v>
      </c>
      <c r="I20" s="450" t="s">
        <v>186</v>
      </c>
      <c r="J20" s="450" t="s">
        <v>343</v>
      </c>
      <c r="K20" s="450" t="s">
        <v>1443</v>
      </c>
      <c r="L20" s="450" t="s">
        <v>1444</v>
      </c>
      <c r="M20" s="451" t="s">
        <v>178</v>
      </c>
      <c r="N20" s="452">
        <v>668.6</v>
      </c>
      <c r="O20" s="452">
        <v>143.08000000000001</v>
      </c>
      <c r="P20" s="453"/>
      <c r="Q20" s="453"/>
      <c r="R20" s="454">
        <v>44531</v>
      </c>
      <c r="S20" s="453">
        <v>1</v>
      </c>
      <c r="T20" s="453" t="s">
        <v>196</v>
      </c>
      <c r="U20" s="455">
        <v>3840000000</v>
      </c>
      <c r="V20" s="455">
        <v>3840000000</v>
      </c>
      <c r="W20" s="456"/>
      <c r="X20" s="456"/>
      <c r="Y20" s="455"/>
      <c r="Z20" s="457"/>
      <c r="AA20" s="453"/>
      <c r="AB20" s="458"/>
      <c r="AC20" s="458"/>
      <c r="AD20" s="453"/>
      <c r="AE20" s="453"/>
      <c r="AF20" s="459"/>
      <c r="AG20" s="453"/>
      <c r="AH20" s="455"/>
      <c r="AI20" s="460"/>
      <c r="AJ20" s="460" t="s">
        <v>657</v>
      </c>
      <c r="AK20" s="461"/>
      <c r="AL20" s="462" t="s">
        <v>451</v>
      </c>
      <c r="AM20" s="463" t="s">
        <v>451</v>
      </c>
      <c r="AN20" s="464" t="s">
        <v>451</v>
      </c>
      <c r="AO20" s="453" t="s">
        <v>451</v>
      </c>
      <c r="AP20" s="464" t="s">
        <v>451</v>
      </c>
      <c r="AQ20" s="464" t="s">
        <v>451</v>
      </c>
      <c r="AR20" s="464" t="s">
        <v>451</v>
      </c>
      <c r="AS20" s="464" t="s">
        <v>451</v>
      </c>
      <c r="AT20" s="464" t="s">
        <v>451</v>
      </c>
      <c r="AU20" s="464" t="s">
        <v>451</v>
      </c>
      <c r="AV20" s="464" t="s">
        <v>451</v>
      </c>
      <c r="AW20" s="465" t="s">
        <v>451</v>
      </c>
      <c r="AX20" s="466" t="s">
        <v>658</v>
      </c>
      <c r="AY20" s="467">
        <v>44995</v>
      </c>
      <c r="AZ20" s="468" t="s">
        <v>671</v>
      </c>
      <c r="BA20" s="469">
        <v>3737474000</v>
      </c>
      <c r="BB20" s="469">
        <v>85848000</v>
      </c>
      <c r="BC20" s="469">
        <v>0</v>
      </c>
      <c r="BD20" s="469">
        <v>0</v>
      </c>
      <c r="BE20" s="470">
        <v>3823322000</v>
      </c>
      <c r="BF20" s="471"/>
      <c r="BG20" s="472" t="s">
        <v>1712</v>
      </c>
      <c r="BH20" s="457" t="s">
        <v>264</v>
      </c>
      <c r="BI20" s="480" t="s">
        <v>1713</v>
      </c>
      <c r="BJ20" s="481">
        <v>45812</v>
      </c>
      <c r="BK20" s="480" t="s">
        <v>1726</v>
      </c>
      <c r="BL20" s="481">
        <v>45894</v>
      </c>
      <c r="BM20" s="482">
        <v>3840000000</v>
      </c>
      <c r="BN20" s="474"/>
      <c r="BO20" s="454"/>
      <c r="BP20" s="457"/>
      <c r="BQ20" s="454"/>
      <c r="BR20" s="478"/>
      <c r="BS20" s="487"/>
      <c r="BT20" s="454"/>
      <c r="BU20" s="457"/>
      <c r="BV20" s="457"/>
      <c r="BW20" s="454"/>
      <c r="BX20" s="454"/>
      <c r="BY20" s="477"/>
      <c r="BZ20" s="477"/>
      <c r="CA20" s="478"/>
      <c r="CB20" s="479"/>
    </row>
    <row r="21" spans="2:80" s="135" customFormat="1" ht="15" customHeight="1">
      <c r="B21" s="366">
        <f t="shared" si="0"/>
        <v>11</v>
      </c>
      <c r="C21" s="289" t="s">
        <v>416</v>
      </c>
      <c r="D21" s="446" t="s">
        <v>270</v>
      </c>
      <c r="E21" s="447" t="s">
        <v>230</v>
      </c>
      <c r="F21" s="520" t="s">
        <v>721</v>
      </c>
      <c r="G21" s="448" t="s">
        <v>457</v>
      </c>
      <c r="H21" s="449">
        <v>2</v>
      </c>
      <c r="I21" s="450" t="s">
        <v>186</v>
      </c>
      <c r="J21" s="450" t="s">
        <v>343</v>
      </c>
      <c r="K21" s="450" t="s">
        <v>1445</v>
      </c>
      <c r="L21" s="450" t="s">
        <v>1446</v>
      </c>
      <c r="M21" s="451" t="s">
        <v>639</v>
      </c>
      <c r="N21" s="452">
        <v>1669</v>
      </c>
      <c r="O21" s="452">
        <v>1270.1500000000001</v>
      </c>
      <c r="P21" s="453"/>
      <c r="Q21" s="453"/>
      <c r="R21" s="454">
        <v>43584</v>
      </c>
      <c r="S21" s="453" t="s">
        <v>250</v>
      </c>
      <c r="T21" s="453" t="s">
        <v>196</v>
      </c>
      <c r="U21" s="455">
        <v>2660400000</v>
      </c>
      <c r="V21" s="455">
        <v>2660400000</v>
      </c>
      <c r="W21" s="456"/>
      <c r="X21" s="456"/>
      <c r="Y21" s="455"/>
      <c r="Z21" s="457"/>
      <c r="AA21" s="453"/>
      <c r="AB21" s="458"/>
      <c r="AC21" s="458"/>
      <c r="AD21" s="453"/>
      <c r="AE21" s="453"/>
      <c r="AF21" s="459"/>
      <c r="AG21" s="453"/>
      <c r="AH21" s="455"/>
      <c r="AI21" s="460"/>
      <c r="AJ21" s="460" t="s">
        <v>657</v>
      </c>
      <c r="AK21" s="461"/>
      <c r="AL21" s="462" t="s">
        <v>451</v>
      </c>
      <c r="AM21" s="463" t="s">
        <v>451</v>
      </c>
      <c r="AN21" s="464" t="s">
        <v>451</v>
      </c>
      <c r="AO21" s="453" t="s">
        <v>451</v>
      </c>
      <c r="AP21" s="464" t="s">
        <v>451</v>
      </c>
      <c r="AQ21" s="464" t="s">
        <v>451</v>
      </c>
      <c r="AR21" s="464" t="s">
        <v>451</v>
      </c>
      <c r="AS21" s="464" t="s">
        <v>451</v>
      </c>
      <c r="AT21" s="464" t="s">
        <v>451</v>
      </c>
      <c r="AU21" s="464" t="s">
        <v>451</v>
      </c>
      <c r="AV21" s="464" t="s">
        <v>451</v>
      </c>
      <c r="AW21" s="465" t="s">
        <v>451</v>
      </c>
      <c r="AX21" s="466" t="s">
        <v>658</v>
      </c>
      <c r="AY21" s="467">
        <v>45173</v>
      </c>
      <c r="AZ21" s="468" t="s">
        <v>336</v>
      </c>
      <c r="BA21" s="469">
        <v>2455520000</v>
      </c>
      <c r="BB21" s="469">
        <v>741686400</v>
      </c>
      <c r="BC21" s="469">
        <v>0</v>
      </c>
      <c r="BD21" s="469">
        <v>0</v>
      </c>
      <c r="BE21" s="470">
        <v>3197206400</v>
      </c>
      <c r="BF21" s="471"/>
      <c r="BG21" s="472" t="s">
        <v>1712</v>
      </c>
      <c r="BH21" s="457" t="s">
        <v>264</v>
      </c>
      <c r="BI21" s="480" t="s">
        <v>1713</v>
      </c>
      <c r="BJ21" s="481">
        <v>45810</v>
      </c>
      <c r="BK21" s="480" t="s">
        <v>1727</v>
      </c>
      <c r="BL21" s="481">
        <v>45894</v>
      </c>
      <c r="BM21" s="482">
        <v>2660400000</v>
      </c>
      <c r="BN21" s="474"/>
      <c r="BO21" s="454"/>
      <c r="BP21" s="457"/>
      <c r="BQ21" s="454"/>
      <c r="BR21" s="478"/>
      <c r="BS21" s="487"/>
      <c r="BT21" s="454"/>
      <c r="BU21" s="457"/>
      <c r="BV21" s="457"/>
      <c r="BW21" s="454"/>
      <c r="BX21" s="454"/>
      <c r="BY21" s="477"/>
      <c r="BZ21" s="477"/>
      <c r="CA21" s="478"/>
      <c r="CB21" s="479"/>
    </row>
    <row r="22" spans="2:80" s="135" customFormat="1" ht="15" customHeight="1">
      <c r="B22" s="366">
        <f t="shared" si="0"/>
        <v>12</v>
      </c>
      <c r="C22" s="289" t="s">
        <v>416</v>
      </c>
      <c r="D22" s="446" t="s">
        <v>270</v>
      </c>
      <c r="E22" s="447" t="s">
        <v>230</v>
      </c>
      <c r="F22" s="520" t="s">
        <v>721</v>
      </c>
      <c r="G22" s="448" t="s">
        <v>1671</v>
      </c>
      <c r="H22" s="449">
        <v>3</v>
      </c>
      <c r="I22" s="450" t="s">
        <v>186</v>
      </c>
      <c r="J22" s="450" t="s">
        <v>343</v>
      </c>
      <c r="K22" s="450" t="s">
        <v>1445</v>
      </c>
      <c r="L22" s="450" t="s">
        <v>1728</v>
      </c>
      <c r="M22" s="451" t="s">
        <v>178</v>
      </c>
      <c r="N22" s="452">
        <v>1735.31548007838</v>
      </c>
      <c r="O22" s="452">
        <v>1219.22</v>
      </c>
      <c r="P22" s="453"/>
      <c r="Q22" s="453"/>
      <c r="R22" s="454">
        <v>44131</v>
      </c>
      <c r="S22" s="453" t="s">
        <v>258</v>
      </c>
      <c r="T22" s="453" t="s">
        <v>196</v>
      </c>
      <c r="U22" s="455">
        <v>2640000000</v>
      </c>
      <c r="V22" s="455">
        <v>2640000000</v>
      </c>
      <c r="W22" s="456"/>
      <c r="X22" s="456"/>
      <c r="Y22" s="455"/>
      <c r="Z22" s="457"/>
      <c r="AA22" s="453"/>
      <c r="AB22" s="458"/>
      <c r="AC22" s="458"/>
      <c r="AD22" s="453"/>
      <c r="AE22" s="453"/>
      <c r="AF22" s="459"/>
      <c r="AG22" s="453"/>
      <c r="AH22" s="455"/>
      <c r="AI22" s="460"/>
      <c r="AJ22" s="460" t="s">
        <v>657</v>
      </c>
      <c r="AK22" s="461"/>
      <c r="AL22" s="462" t="s">
        <v>451</v>
      </c>
      <c r="AM22" s="463" t="s">
        <v>451</v>
      </c>
      <c r="AN22" s="464" t="s">
        <v>451</v>
      </c>
      <c r="AO22" s="453" t="s">
        <v>451</v>
      </c>
      <c r="AP22" s="464" t="s">
        <v>451</v>
      </c>
      <c r="AQ22" s="464" t="s">
        <v>451</v>
      </c>
      <c r="AR22" s="464" t="s">
        <v>451</v>
      </c>
      <c r="AS22" s="464" t="s">
        <v>451</v>
      </c>
      <c r="AT22" s="464" t="s">
        <v>451</v>
      </c>
      <c r="AU22" s="464" t="s">
        <v>451</v>
      </c>
      <c r="AV22" s="464" t="s">
        <v>451</v>
      </c>
      <c r="AW22" s="465" t="s">
        <v>451</v>
      </c>
      <c r="AX22" s="466" t="s">
        <v>658</v>
      </c>
      <c r="AY22" s="467">
        <v>45173</v>
      </c>
      <c r="AZ22" s="468" t="s">
        <v>336</v>
      </c>
      <c r="BA22" s="469">
        <v>1846800000</v>
      </c>
      <c r="BB22" s="469">
        <v>960729600</v>
      </c>
      <c r="BC22" s="469">
        <v>0</v>
      </c>
      <c r="BD22" s="469">
        <v>0</v>
      </c>
      <c r="BE22" s="470">
        <v>2807529600</v>
      </c>
      <c r="BF22" s="471"/>
      <c r="BG22" s="472" t="s">
        <v>1712</v>
      </c>
      <c r="BH22" s="457" t="s">
        <v>264</v>
      </c>
      <c r="BI22" s="480" t="s">
        <v>1713</v>
      </c>
      <c r="BJ22" s="481">
        <v>45812</v>
      </c>
      <c r="BK22" s="480" t="s">
        <v>1729</v>
      </c>
      <c r="BL22" s="481">
        <v>45894</v>
      </c>
      <c r="BM22" s="482">
        <v>2640000000</v>
      </c>
      <c r="BN22" s="474"/>
      <c r="BO22" s="454"/>
      <c r="BP22" s="457"/>
      <c r="BQ22" s="454"/>
      <c r="BR22" s="478"/>
      <c r="BS22" s="487"/>
      <c r="BT22" s="454"/>
      <c r="BU22" s="457"/>
      <c r="BV22" s="457"/>
      <c r="BW22" s="454"/>
      <c r="BX22" s="454"/>
      <c r="BY22" s="477"/>
      <c r="BZ22" s="477"/>
      <c r="CA22" s="478"/>
      <c r="CB22" s="479"/>
    </row>
    <row r="23" spans="2:80" s="135" customFormat="1" ht="15" customHeight="1">
      <c r="B23" s="366">
        <f t="shared" si="0"/>
        <v>13</v>
      </c>
      <c r="C23" s="289" t="s">
        <v>416</v>
      </c>
      <c r="D23" s="446" t="s">
        <v>270</v>
      </c>
      <c r="E23" s="447" t="s">
        <v>230</v>
      </c>
      <c r="F23" s="520" t="s">
        <v>721</v>
      </c>
      <c r="G23" s="448" t="s">
        <v>1672</v>
      </c>
      <c r="H23" s="449">
        <v>4</v>
      </c>
      <c r="I23" s="450" t="s">
        <v>186</v>
      </c>
      <c r="J23" s="450" t="s">
        <v>343</v>
      </c>
      <c r="K23" s="450" t="s">
        <v>1447</v>
      </c>
      <c r="L23" s="450" t="s">
        <v>1448</v>
      </c>
      <c r="M23" s="451" t="s">
        <v>175</v>
      </c>
      <c r="N23" s="452">
        <v>97.64</v>
      </c>
      <c r="O23" s="452">
        <v>171.63</v>
      </c>
      <c r="P23" s="453"/>
      <c r="Q23" s="453"/>
      <c r="R23" s="488">
        <v>44386</v>
      </c>
      <c r="S23" s="453" t="s">
        <v>250</v>
      </c>
      <c r="T23" s="453" t="s">
        <v>196</v>
      </c>
      <c r="U23" s="455">
        <v>840000000</v>
      </c>
      <c r="V23" s="455">
        <v>840000000</v>
      </c>
      <c r="W23" s="456"/>
      <c r="X23" s="456"/>
      <c r="Y23" s="455"/>
      <c r="Z23" s="457"/>
      <c r="AA23" s="453"/>
      <c r="AB23" s="458"/>
      <c r="AC23" s="458"/>
      <c r="AD23" s="453"/>
      <c r="AE23" s="453"/>
      <c r="AF23" s="459"/>
      <c r="AG23" s="453"/>
      <c r="AH23" s="455"/>
      <c r="AI23" s="460"/>
      <c r="AJ23" s="460" t="s">
        <v>657</v>
      </c>
      <c r="AK23" s="461"/>
      <c r="AL23" s="462" t="s">
        <v>451</v>
      </c>
      <c r="AM23" s="463" t="s">
        <v>451</v>
      </c>
      <c r="AN23" s="464" t="s">
        <v>451</v>
      </c>
      <c r="AO23" s="453" t="s">
        <v>451</v>
      </c>
      <c r="AP23" s="464" t="s">
        <v>451</v>
      </c>
      <c r="AQ23" s="464" t="s">
        <v>451</v>
      </c>
      <c r="AR23" s="464" t="s">
        <v>451</v>
      </c>
      <c r="AS23" s="464" t="s">
        <v>451</v>
      </c>
      <c r="AT23" s="464" t="s">
        <v>451</v>
      </c>
      <c r="AU23" s="464" t="s">
        <v>451</v>
      </c>
      <c r="AV23" s="464" t="s">
        <v>451</v>
      </c>
      <c r="AW23" s="465" t="s">
        <v>451</v>
      </c>
      <c r="AX23" s="466" t="s">
        <v>338</v>
      </c>
      <c r="AY23" s="467" t="s">
        <v>338</v>
      </c>
      <c r="AZ23" s="468" t="s">
        <v>338</v>
      </c>
      <c r="BA23" s="469" t="s">
        <v>338</v>
      </c>
      <c r="BB23" s="469" t="s">
        <v>338</v>
      </c>
      <c r="BC23" s="469" t="s">
        <v>338</v>
      </c>
      <c r="BD23" s="469" t="s">
        <v>338</v>
      </c>
      <c r="BE23" s="470" t="s">
        <v>338</v>
      </c>
      <c r="BF23" s="484">
        <v>1075000000</v>
      </c>
      <c r="BG23" s="472" t="s">
        <v>1712</v>
      </c>
      <c r="BH23" s="457" t="s">
        <v>264</v>
      </c>
      <c r="BI23" s="480" t="s">
        <v>1713</v>
      </c>
      <c r="BJ23" s="481">
        <v>45812</v>
      </c>
      <c r="BK23" s="480" t="s">
        <v>1730</v>
      </c>
      <c r="BL23" s="481">
        <v>45894</v>
      </c>
      <c r="BM23" s="482">
        <v>840000000</v>
      </c>
      <c r="BN23" s="474"/>
      <c r="BO23" s="454"/>
      <c r="BP23" s="457"/>
      <c r="BQ23" s="454"/>
      <c r="BR23" s="475"/>
      <c r="BS23" s="487"/>
      <c r="BT23" s="454"/>
      <c r="BU23" s="457"/>
      <c r="BV23" s="457"/>
      <c r="BW23" s="454"/>
      <c r="BX23" s="454"/>
      <c r="BY23" s="477"/>
      <c r="BZ23" s="477"/>
      <c r="CA23" s="478"/>
      <c r="CB23" s="479"/>
    </row>
    <row r="24" spans="2:80" s="135" customFormat="1" ht="15" customHeight="1">
      <c r="B24" s="366">
        <f t="shared" si="0"/>
        <v>14</v>
      </c>
      <c r="C24" s="289" t="s">
        <v>416</v>
      </c>
      <c r="D24" s="446" t="s">
        <v>270</v>
      </c>
      <c r="E24" s="447" t="s">
        <v>231</v>
      </c>
      <c r="F24" s="520" t="s">
        <v>722</v>
      </c>
      <c r="G24" s="448" t="s">
        <v>458</v>
      </c>
      <c r="H24" s="449">
        <v>1</v>
      </c>
      <c r="I24" s="450" t="s">
        <v>186</v>
      </c>
      <c r="J24" s="450" t="s">
        <v>263</v>
      </c>
      <c r="K24" s="450" t="s">
        <v>1449</v>
      </c>
      <c r="L24" s="450" t="s">
        <v>1450</v>
      </c>
      <c r="M24" s="451" t="s">
        <v>174</v>
      </c>
      <c r="N24" s="452">
        <v>2977.0293243104688</v>
      </c>
      <c r="O24" s="452">
        <v>1155.01</v>
      </c>
      <c r="P24" s="453"/>
      <c r="Q24" s="453"/>
      <c r="R24" s="454">
        <v>45250</v>
      </c>
      <c r="S24" s="453">
        <v>1</v>
      </c>
      <c r="T24" s="453" t="s">
        <v>196</v>
      </c>
      <c r="U24" s="455">
        <v>4401600000</v>
      </c>
      <c r="V24" s="455">
        <v>4401600000</v>
      </c>
      <c r="W24" s="456" t="s">
        <v>249</v>
      </c>
      <c r="X24" s="456" t="s">
        <v>253</v>
      </c>
      <c r="Y24" s="455">
        <v>4401600000</v>
      </c>
      <c r="Z24" s="457"/>
      <c r="AA24" s="453"/>
      <c r="AB24" s="458"/>
      <c r="AC24" s="458"/>
      <c r="AD24" s="453"/>
      <c r="AE24" s="453"/>
      <c r="AF24" s="459"/>
      <c r="AG24" s="453"/>
      <c r="AH24" s="455"/>
      <c r="AI24" s="460"/>
      <c r="AJ24" s="460" t="s">
        <v>657</v>
      </c>
      <c r="AK24" s="461"/>
      <c r="AL24" s="462" t="s">
        <v>451</v>
      </c>
      <c r="AM24" s="463" t="s">
        <v>451</v>
      </c>
      <c r="AN24" s="464" t="s">
        <v>451</v>
      </c>
      <c r="AO24" s="453" t="s">
        <v>451</v>
      </c>
      <c r="AP24" s="464" t="s">
        <v>451</v>
      </c>
      <c r="AQ24" s="464" t="s">
        <v>451</v>
      </c>
      <c r="AR24" s="464" t="s">
        <v>451</v>
      </c>
      <c r="AS24" s="464" t="s">
        <v>451</v>
      </c>
      <c r="AT24" s="464" t="s">
        <v>451</v>
      </c>
      <c r="AU24" s="464" t="s">
        <v>451</v>
      </c>
      <c r="AV24" s="464" t="s">
        <v>451</v>
      </c>
      <c r="AW24" s="465" t="s">
        <v>451</v>
      </c>
      <c r="AX24" s="466" t="s">
        <v>658</v>
      </c>
      <c r="AY24" s="467">
        <v>45239</v>
      </c>
      <c r="AZ24" s="468" t="s">
        <v>671</v>
      </c>
      <c r="BA24" s="469">
        <v>4427080000</v>
      </c>
      <c r="BB24" s="469">
        <v>363185750</v>
      </c>
      <c r="BC24" s="469">
        <v>0</v>
      </c>
      <c r="BD24" s="469">
        <v>0</v>
      </c>
      <c r="BE24" s="470">
        <v>4790265750</v>
      </c>
      <c r="BF24" s="471"/>
      <c r="BG24" s="472" t="s">
        <v>1711</v>
      </c>
      <c r="BH24" s="457" t="s">
        <v>197</v>
      </c>
      <c r="BI24" s="473"/>
      <c r="BJ24" s="473"/>
      <c r="BK24" s="473"/>
      <c r="BL24" s="473"/>
      <c r="BM24" s="473"/>
      <c r="BN24" s="474"/>
      <c r="BO24" s="454"/>
      <c r="BP24" s="457"/>
      <c r="BQ24" s="454"/>
      <c r="BR24" s="478"/>
      <c r="BS24" s="487"/>
      <c r="BT24" s="454"/>
      <c r="BU24" s="457"/>
      <c r="BV24" s="457"/>
      <c r="BW24" s="454"/>
      <c r="BX24" s="454"/>
      <c r="BY24" s="477"/>
      <c r="BZ24" s="477"/>
      <c r="CA24" s="478"/>
      <c r="CB24" s="483"/>
    </row>
    <row r="25" spans="2:80" s="135" customFormat="1" ht="15" customHeight="1">
      <c r="B25" s="366">
        <f t="shared" si="0"/>
        <v>15</v>
      </c>
      <c r="C25" s="289" t="s">
        <v>416</v>
      </c>
      <c r="D25" s="446" t="s">
        <v>270</v>
      </c>
      <c r="E25" s="447" t="s">
        <v>231</v>
      </c>
      <c r="F25" s="520" t="s">
        <v>722</v>
      </c>
      <c r="G25" s="448" t="s">
        <v>1673</v>
      </c>
      <c r="H25" s="449">
        <v>2</v>
      </c>
      <c r="I25" s="450" t="s">
        <v>186</v>
      </c>
      <c r="J25" s="450" t="s">
        <v>263</v>
      </c>
      <c r="K25" s="450" t="s">
        <v>1451</v>
      </c>
      <c r="L25" s="450" t="s">
        <v>1452</v>
      </c>
      <c r="M25" s="451" t="s">
        <v>178</v>
      </c>
      <c r="N25" s="452">
        <v>30.7</v>
      </c>
      <c r="O25" s="452">
        <v>164.27</v>
      </c>
      <c r="P25" s="453"/>
      <c r="Q25" s="453"/>
      <c r="R25" s="454">
        <v>45250</v>
      </c>
      <c r="S25" s="453">
        <v>1</v>
      </c>
      <c r="T25" s="453" t="s">
        <v>196</v>
      </c>
      <c r="U25" s="455">
        <v>4401600000</v>
      </c>
      <c r="V25" s="455">
        <v>4401600000</v>
      </c>
      <c r="W25" s="456" t="s">
        <v>345</v>
      </c>
      <c r="X25" s="456" t="s">
        <v>253</v>
      </c>
      <c r="Y25" s="455">
        <v>4401600000</v>
      </c>
      <c r="Z25" s="457"/>
      <c r="AA25" s="453"/>
      <c r="AB25" s="458"/>
      <c r="AC25" s="458"/>
      <c r="AD25" s="453"/>
      <c r="AE25" s="453"/>
      <c r="AF25" s="459"/>
      <c r="AG25" s="453"/>
      <c r="AH25" s="455"/>
      <c r="AI25" s="460"/>
      <c r="AJ25" s="460" t="s">
        <v>657</v>
      </c>
      <c r="AK25" s="461"/>
      <c r="AL25" s="462" t="s">
        <v>451</v>
      </c>
      <c r="AM25" s="463" t="s">
        <v>451</v>
      </c>
      <c r="AN25" s="464" t="s">
        <v>451</v>
      </c>
      <c r="AO25" s="453" t="s">
        <v>451</v>
      </c>
      <c r="AP25" s="464" t="s">
        <v>451</v>
      </c>
      <c r="AQ25" s="464" t="s">
        <v>451</v>
      </c>
      <c r="AR25" s="464" t="s">
        <v>451</v>
      </c>
      <c r="AS25" s="464" t="s">
        <v>451</v>
      </c>
      <c r="AT25" s="464" t="s">
        <v>451</v>
      </c>
      <c r="AU25" s="464" t="s">
        <v>451</v>
      </c>
      <c r="AV25" s="464" t="s">
        <v>451</v>
      </c>
      <c r="AW25" s="465" t="s">
        <v>451</v>
      </c>
      <c r="AX25" s="466" t="s">
        <v>658</v>
      </c>
      <c r="AY25" s="467">
        <v>45239</v>
      </c>
      <c r="AZ25" s="468" t="s">
        <v>671</v>
      </c>
      <c r="BA25" s="469">
        <v>0</v>
      </c>
      <c r="BB25" s="469">
        <v>737000000</v>
      </c>
      <c r="BC25" s="469">
        <v>0</v>
      </c>
      <c r="BD25" s="469">
        <v>0</v>
      </c>
      <c r="BE25" s="470">
        <v>737000000</v>
      </c>
      <c r="BF25" s="471"/>
      <c r="BG25" s="472" t="s">
        <v>1711</v>
      </c>
      <c r="BH25" s="457" t="s">
        <v>197</v>
      </c>
      <c r="BI25" s="473"/>
      <c r="BJ25" s="473"/>
      <c r="BK25" s="473"/>
      <c r="BL25" s="473"/>
      <c r="BM25" s="473"/>
      <c r="BN25" s="474"/>
      <c r="BO25" s="454"/>
      <c r="BP25" s="457"/>
      <c r="BQ25" s="454"/>
      <c r="BR25" s="478"/>
      <c r="BS25" s="487"/>
      <c r="BT25" s="454"/>
      <c r="BU25" s="457"/>
      <c r="BV25" s="457"/>
      <c r="BW25" s="454"/>
      <c r="BX25" s="454"/>
      <c r="BY25" s="477"/>
      <c r="BZ25" s="477"/>
      <c r="CA25" s="478"/>
      <c r="CB25" s="479"/>
    </row>
    <row r="26" spans="2:80" s="135" customFormat="1" ht="15" customHeight="1">
      <c r="B26" s="366">
        <f t="shared" si="0"/>
        <v>16</v>
      </c>
      <c r="C26" s="289" t="s">
        <v>416</v>
      </c>
      <c r="D26" s="446" t="s">
        <v>270</v>
      </c>
      <c r="E26" s="447" t="s">
        <v>231</v>
      </c>
      <c r="F26" s="520" t="s">
        <v>722</v>
      </c>
      <c r="G26" s="448" t="s">
        <v>1674</v>
      </c>
      <c r="H26" s="449">
        <v>3</v>
      </c>
      <c r="I26" s="450" t="s">
        <v>186</v>
      </c>
      <c r="J26" s="450" t="s">
        <v>341</v>
      </c>
      <c r="K26" s="450" t="s">
        <v>1453</v>
      </c>
      <c r="L26" s="450" t="s">
        <v>1454</v>
      </c>
      <c r="M26" s="451" t="s">
        <v>178</v>
      </c>
      <c r="N26" s="452">
        <v>46.7</v>
      </c>
      <c r="O26" s="452">
        <v>95.26</v>
      </c>
      <c r="P26" s="453"/>
      <c r="Q26" s="453"/>
      <c r="R26" s="454">
        <v>45250</v>
      </c>
      <c r="S26" s="453">
        <v>1</v>
      </c>
      <c r="T26" s="453" t="s">
        <v>196</v>
      </c>
      <c r="U26" s="455">
        <v>4401600000</v>
      </c>
      <c r="V26" s="455">
        <v>4401600000</v>
      </c>
      <c r="W26" s="456" t="s">
        <v>250</v>
      </c>
      <c r="X26" s="456" t="s">
        <v>253</v>
      </c>
      <c r="Y26" s="455">
        <v>4401600000</v>
      </c>
      <c r="Z26" s="457"/>
      <c r="AA26" s="453"/>
      <c r="AB26" s="458"/>
      <c r="AC26" s="458"/>
      <c r="AD26" s="453"/>
      <c r="AE26" s="453"/>
      <c r="AF26" s="459"/>
      <c r="AG26" s="453"/>
      <c r="AH26" s="455"/>
      <c r="AI26" s="460"/>
      <c r="AJ26" s="460" t="s">
        <v>657</v>
      </c>
      <c r="AK26" s="461"/>
      <c r="AL26" s="462" t="s">
        <v>451</v>
      </c>
      <c r="AM26" s="463" t="s">
        <v>451</v>
      </c>
      <c r="AN26" s="464" t="s">
        <v>451</v>
      </c>
      <c r="AO26" s="453" t="s">
        <v>451</v>
      </c>
      <c r="AP26" s="464" t="s">
        <v>451</v>
      </c>
      <c r="AQ26" s="464" t="s">
        <v>451</v>
      </c>
      <c r="AR26" s="464" t="s">
        <v>451</v>
      </c>
      <c r="AS26" s="464" t="s">
        <v>451</v>
      </c>
      <c r="AT26" s="464" t="s">
        <v>451</v>
      </c>
      <c r="AU26" s="464" t="s">
        <v>451</v>
      </c>
      <c r="AV26" s="464" t="s">
        <v>451</v>
      </c>
      <c r="AW26" s="465" t="s">
        <v>451</v>
      </c>
      <c r="AX26" s="466" t="s">
        <v>658</v>
      </c>
      <c r="AY26" s="467">
        <v>45239</v>
      </c>
      <c r="AZ26" s="468" t="s">
        <v>671</v>
      </c>
      <c r="BA26" s="469">
        <v>0</v>
      </c>
      <c r="BB26" s="469">
        <v>550000000</v>
      </c>
      <c r="BC26" s="469">
        <v>0</v>
      </c>
      <c r="BD26" s="469">
        <v>0</v>
      </c>
      <c r="BE26" s="470">
        <v>550000000</v>
      </c>
      <c r="BF26" s="471"/>
      <c r="BG26" s="472" t="s">
        <v>1711</v>
      </c>
      <c r="BH26" s="457" t="s">
        <v>197</v>
      </c>
      <c r="BI26" s="473"/>
      <c r="BJ26" s="473"/>
      <c r="BK26" s="473"/>
      <c r="BL26" s="473"/>
      <c r="BM26" s="473"/>
      <c r="BN26" s="474"/>
      <c r="BO26" s="454"/>
      <c r="BP26" s="457"/>
      <c r="BQ26" s="454"/>
      <c r="BR26" s="475"/>
      <c r="BS26" s="487"/>
      <c r="BT26" s="454"/>
      <c r="BU26" s="457"/>
      <c r="BV26" s="457"/>
      <c r="BW26" s="454"/>
      <c r="BX26" s="454"/>
      <c r="BY26" s="477"/>
      <c r="BZ26" s="477"/>
      <c r="CA26" s="478"/>
      <c r="CB26" s="479"/>
    </row>
    <row r="27" spans="2:80" s="135" customFormat="1" ht="15" customHeight="1">
      <c r="B27" s="366">
        <f t="shared" si="0"/>
        <v>17</v>
      </c>
      <c r="C27" s="289" t="s">
        <v>416</v>
      </c>
      <c r="D27" s="446" t="s">
        <v>270</v>
      </c>
      <c r="E27" s="447" t="s">
        <v>232</v>
      </c>
      <c r="F27" s="520" t="s">
        <v>723</v>
      </c>
      <c r="G27" s="448" t="s">
        <v>459</v>
      </c>
      <c r="H27" s="449">
        <v>1</v>
      </c>
      <c r="I27" s="450" t="s">
        <v>191</v>
      </c>
      <c r="J27" s="450" t="s">
        <v>319</v>
      </c>
      <c r="K27" s="450" t="s">
        <v>1455</v>
      </c>
      <c r="L27" s="450" t="s">
        <v>1456</v>
      </c>
      <c r="M27" s="451" t="s">
        <v>174</v>
      </c>
      <c r="N27" s="452">
        <v>7156</v>
      </c>
      <c r="O27" s="452"/>
      <c r="P27" s="453">
        <v>2</v>
      </c>
      <c r="Q27" s="453" t="s">
        <v>220</v>
      </c>
      <c r="R27" s="454">
        <v>44378</v>
      </c>
      <c r="S27" s="453" t="s">
        <v>250</v>
      </c>
      <c r="T27" s="453" t="s">
        <v>196</v>
      </c>
      <c r="U27" s="455">
        <v>4380000000</v>
      </c>
      <c r="V27" s="455">
        <v>4380000000</v>
      </c>
      <c r="W27" s="456" t="s">
        <v>251</v>
      </c>
      <c r="X27" s="456" t="s">
        <v>251</v>
      </c>
      <c r="Y27" s="455">
        <v>2700000000</v>
      </c>
      <c r="Z27" s="457"/>
      <c r="AA27" s="453"/>
      <c r="AB27" s="458"/>
      <c r="AC27" s="458"/>
      <c r="AD27" s="453"/>
      <c r="AE27" s="453"/>
      <c r="AF27" s="459"/>
      <c r="AG27" s="453"/>
      <c r="AH27" s="455"/>
      <c r="AI27" s="460"/>
      <c r="AJ27" s="460" t="s">
        <v>657</v>
      </c>
      <c r="AK27" s="461"/>
      <c r="AL27" s="462" t="s">
        <v>451</v>
      </c>
      <c r="AM27" s="463" t="s">
        <v>451</v>
      </c>
      <c r="AN27" s="464" t="s">
        <v>451</v>
      </c>
      <c r="AO27" s="453" t="s">
        <v>451</v>
      </c>
      <c r="AP27" s="464" t="s">
        <v>451</v>
      </c>
      <c r="AQ27" s="464" t="s">
        <v>451</v>
      </c>
      <c r="AR27" s="464" t="s">
        <v>451</v>
      </c>
      <c r="AS27" s="464" t="s">
        <v>451</v>
      </c>
      <c r="AT27" s="464" t="s">
        <v>451</v>
      </c>
      <c r="AU27" s="464" t="s">
        <v>451</v>
      </c>
      <c r="AV27" s="464" t="s">
        <v>451</v>
      </c>
      <c r="AW27" s="465" t="s">
        <v>451</v>
      </c>
      <c r="AX27" s="466" t="s">
        <v>658</v>
      </c>
      <c r="AY27" s="467">
        <v>44739</v>
      </c>
      <c r="AZ27" s="468" t="s">
        <v>671</v>
      </c>
      <c r="BA27" s="469">
        <v>1984800000</v>
      </c>
      <c r="BB27" s="469">
        <v>0</v>
      </c>
      <c r="BC27" s="469">
        <v>80000000</v>
      </c>
      <c r="BD27" s="469">
        <v>0</v>
      </c>
      <c r="BE27" s="470">
        <v>2064800000</v>
      </c>
      <c r="BF27" s="471"/>
      <c r="BG27" s="472" t="s">
        <v>1712</v>
      </c>
      <c r="BH27" s="457" t="s">
        <v>206</v>
      </c>
      <c r="BI27" s="473"/>
      <c r="BJ27" s="473"/>
      <c r="BK27" s="473"/>
      <c r="BL27" s="473"/>
      <c r="BM27" s="473"/>
      <c r="BN27" s="474" t="s">
        <v>1457</v>
      </c>
      <c r="BO27" s="481">
        <v>45680</v>
      </c>
      <c r="BP27" s="480" t="s">
        <v>1731</v>
      </c>
      <c r="BQ27" s="481">
        <v>45784</v>
      </c>
      <c r="BR27" s="485">
        <v>40470109</v>
      </c>
      <c r="BS27" s="487"/>
      <c r="BT27" s="454"/>
      <c r="BU27" s="457"/>
      <c r="BV27" s="457"/>
      <c r="BW27" s="454"/>
      <c r="BX27" s="454"/>
      <c r="BY27" s="477"/>
      <c r="BZ27" s="477"/>
      <c r="CA27" s="478"/>
      <c r="CB27" s="479" t="s">
        <v>1458</v>
      </c>
    </row>
    <row r="28" spans="2:80" s="135" customFormat="1" ht="15" customHeight="1">
      <c r="B28" s="366">
        <f t="shared" si="0"/>
        <v>18</v>
      </c>
      <c r="C28" s="289" t="s">
        <v>416</v>
      </c>
      <c r="D28" s="446" t="s">
        <v>270</v>
      </c>
      <c r="E28" s="447" t="s">
        <v>232</v>
      </c>
      <c r="F28" s="520" t="s">
        <v>723</v>
      </c>
      <c r="G28" s="448" t="s">
        <v>1675</v>
      </c>
      <c r="H28" s="449">
        <v>2</v>
      </c>
      <c r="I28" s="450" t="s">
        <v>191</v>
      </c>
      <c r="J28" s="450" t="s">
        <v>319</v>
      </c>
      <c r="K28" s="450" t="s">
        <v>1455</v>
      </c>
      <c r="L28" s="450" t="s">
        <v>1459</v>
      </c>
      <c r="M28" s="451" t="s">
        <v>174</v>
      </c>
      <c r="N28" s="452"/>
      <c r="O28" s="452">
        <v>2353.5700000000002</v>
      </c>
      <c r="P28" s="453" t="s">
        <v>256</v>
      </c>
      <c r="Q28" s="453" t="s">
        <v>220</v>
      </c>
      <c r="R28" s="454">
        <v>44804</v>
      </c>
      <c r="S28" s="453">
        <v>1</v>
      </c>
      <c r="T28" s="453" t="s">
        <v>196</v>
      </c>
      <c r="U28" s="455">
        <v>2700000000</v>
      </c>
      <c r="V28" s="455">
        <v>2700000000</v>
      </c>
      <c r="W28" s="456" t="s">
        <v>253</v>
      </c>
      <c r="X28" s="456" t="s">
        <v>253</v>
      </c>
      <c r="Y28" s="455">
        <v>2700000000</v>
      </c>
      <c r="Z28" s="457"/>
      <c r="AA28" s="453"/>
      <c r="AB28" s="458"/>
      <c r="AC28" s="458"/>
      <c r="AD28" s="453"/>
      <c r="AE28" s="453"/>
      <c r="AF28" s="459"/>
      <c r="AG28" s="453"/>
      <c r="AH28" s="455"/>
      <c r="AI28" s="460"/>
      <c r="AJ28" s="460" t="s">
        <v>657</v>
      </c>
      <c r="AK28" s="461"/>
      <c r="AL28" s="462" t="s">
        <v>451</v>
      </c>
      <c r="AM28" s="463" t="s">
        <v>451</v>
      </c>
      <c r="AN28" s="464" t="s">
        <v>451</v>
      </c>
      <c r="AO28" s="453" t="s">
        <v>451</v>
      </c>
      <c r="AP28" s="464" t="s">
        <v>451</v>
      </c>
      <c r="AQ28" s="464" t="s">
        <v>451</v>
      </c>
      <c r="AR28" s="464" t="s">
        <v>451</v>
      </c>
      <c r="AS28" s="464" t="s">
        <v>451</v>
      </c>
      <c r="AT28" s="464" t="s">
        <v>451</v>
      </c>
      <c r="AU28" s="464" t="s">
        <v>451</v>
      </c>
      <c r="AV28" s="464" t="s">
        <v>451</v>
      </c>
      <c r="AW28" s="465" t="s">
        <v>451</v>
      </c>
      <c r="AX28" s="466" t="s">
        <v>658</v>
      </c>
      <c r="AY28" s="467">
        <v>44739</v>
      </c>
      <c r="AZ28" s="468" t="s">
        <v>671</v>
      </c>
      <c r="BA28" s="469">
        <v>0</v>
      </c>
      <c r="BB28" s="469">
        <v>2250785300</v>
      </c>
      <c r="BC28" s="469">
        <v>0</v>
      </c>
      <c r="BD28" s="469">
        <v>0</v>
      </c>
      <c r="BE28" s="470">
        <v>2250785300</v>
      </c>
      <c r="BF28" s="471"/>
      <c r="BG28" s="472" t="s">
        <v>1712</v>
      </c>
      <c r="BH28" s="457" t="s">
        <v>206</v>
      </c>
      <c r="BI28" s="473"/>
      <c r="BJ28" s="473"/>
      <c r="BK28" s="473"/>
      <c r="BL28" s="473"/>
      <c r="BM28" s="473"/>
      <c r="BN28" s="474" t="s">
        <v>1457</v>
      </c>
      <c r="BO28" s="481">
        <v>45680</v>
      </c>
      <c r="BP28" s="480" t="s">
        <v>1731</v>
      </c>
      <c r="BQ28" s="481">
        <v>45784</v>
      </c>
      <c r="BR28" s="486" t="s">
        <v>1724</v>
      </c>
      <c r="BS28" s="487"/>
      <c r="BT28" s="454"/>
      <c r="BU28" s="457"/>
      <c r="BV28" s="457"/>
      <c r="BW28" s="454"/>
      <c r="BX28" s="454"/>
      <c r="BY28" s="477"/>
      <c r="BZ28" s="477"/>
      <c r="CA28" s="478"/>
      <c r="CB28" s="479"/>
    </row>
    <row r="29" spans="2:80" s="135" customFormat="1" ht="15" customHeight="1">
      <c r="B29" s="366">
        <f t="shared" si="0"/>
        <v>19</v>
      </c>
      <c r="C29" s="289" t="s">
        <v>416</v>
      </c>
      <c r="D29" s="446" t="s">
        <v>270</v>
      </c>
      <c r="E29" s="447" t="s">
        <v>233</v>
      </c>
      <c r="F29" s="520" t="s">
        <v>724</v>
      </c>
      <c r="G29" s="448" t="s">
        <v>460</v>
      </c>
      <c r="H29" s="449">
        <v>1</v>
      </c>
      <c r="I29" s="450" t="s">
        <v>187</v>
      </c>
      <c r="J29" s="450" t="s">
        <v>316</v>
      </c>
      <c r="K29" s="450" t="s">
        <v>1461</v>
      </c>
      <c r="L29" s="450" t="s">
        <v>1462</v>
      </c>
      <c r="M29" s="451" t="s">
        <v>174</v>
      </c>
      <c r="N29" s="452">
        <v>9905.2999999999993</v>
      </c>
      <c r="O29" s="452">
        <v>4778.2849999999999</v>
      </c>
      <c r="P29" s="453">
        <v>3</v>
      </c>
      <c r="Q29" s="453" t="s">
        <v>220</v>
      </c>
      <c r="R29" s="454">
        <v>44979</v>
      </c>
      <c r="S29" s="453">
        <v>1</v>
      </c>
      <c r="T29" s="453" t="s">
        <v>196</v>
      </c>
      <c r="U29" s="455">
        <v>6000000000</v>
      </c>
      <c r="V29" s="455">
        <v>6000000000</v>
      </c>
      <c r="W29" s="456"/>
      <c r="X29" s="456"/>
      <c r="Y29" s="455"/>
      <c r="Z29" s="457"/>
      <c r="AA29" s="453"/>
      <c r="AB29" s="458"/>
      <c r="AC29" s="458"/>
      <c r="AD29" s="453"/>
      <c r="AE29" s="453"/>
      <c r="AF29" s="459"/>
      <c r="AG29" s="453"/>
      <c r="AH29" s="455"/>
      <c r="AI29" s="460"/>
      <c r="AJ29" s="460" t="s">
        <v>657</v>
      </c>
      <c r="AK29" s="461"/>
      <c r="AL29" s="462" t="s">
        <v>451</v>
      </c>
      <c r="AM29" s="463" t="s">
        <v>451</v>
      </c>
      <c r="AN29" s="464" t="s">
        <v>451</v>
      </c>
      <c r="AO29" s="453" t="s">
        <v>451</v>
      </c>
      <c r="AP29" s="464" t="s">
        <v>451</v>
      </c>
      <c r="AQ29" s="464" t="s">
        <v>451</v>
      </c>
      <c r="AR29" s="464" t="s">
        <v>451</v>
      </c>
      <c r="AS29" s="464" t="s">
        <v>451</v>
      </c>
      <c r="AT29" s="464" t="s">
        <v>451</v>
      </c>
      <c r="AU29" s="464" t="s">
        <v>451</v>
      </c>
      <c r="AV29" s="464" t="s">
        <v>451</v>
      </c>
      <c r="AW29" s="465" t="s">
        <v>451</v>
      </c>
      <c r="AX29" s="466" t="s">
        <v>658</v>
      </c>
      <c r="AY29" s="467">
        <v>44324</v>
      </c>
      <c r="AZ29" s="468" t="s">
        <v>1463</v>
      </c>
      <c r="BA29" s="469">
        <v>3645150400</v>
      </c>
      <c r="BB29" s="469">
        <v>2621943090</v>
      </c>
      <c r="BC29" s="469">
        <v>64800000</v>
      </c>
      <c r="BD29" s="469">
        <v>17142000</v>
      </c>
      <c r="BE29" s="470">
        <v>6349035490</v>
      </c>
      <c r="BF29" s="471"/>
      <c r="BG29" s="472" t="s">
        <v>1711</v>
      </c>
      <c r="BH29" s="457" t="s">
        <v>325</v>
      </c>
      <c r="BI29" s="473"/>
      <c r="BJ29" s="473"/>
      <c r="BK29" s="473"/>
      <c r="BL29" s="473"/>
      <c r="BM29" s="473"/>
      <c r="BN29" s="474"/>
      <c r="BO29" s="454"/>
      <c r="BP29" s="457"/>
      <c r="BQ29" s="454"/>
      <c r="BR29" s="478"/>
      <c r="BS29" s="487"/>
      <c r="BT29" s="454"/>
      <c r="BU29" s="457"/>
      <c r="BV29" s="457"/>
      <c r="BW29" s="454"/>
      <c r="BX29" s="454"/>
      <c r="BY29" s="477"/>
      <c r="BZ29" s="477"/>
      <c r="CA29" s="478"/>
      <c r="CB29" s="479"/>
    </row>
    <row r="30" spans="2:80" s="135" customFormat="1" ht="15" customHeight="1">
      <c r="B30" s="366">
        <f t="shared" si="0"/>
        <v>20</v>
      </c>
      <c r="C30" s="289" t="s">
        <v>416</v>
      </c>
      <c r="D30" s="446" t="s">
        <v>270</v>
      </c>
      <c r="E30" s="447" t="s">
        <v>234</v>
      </c>
      <c r="F30" s="520" t="s">
        <v>725</v>
      </c>
      <c r="G30" s="448" t="s">
        <v>461</v>
      </c>
      <c r="H30" s="449">
        <v>1</v>
      </c>
      <c r="I30" s="450" t="s">
        <v>192</v>
      </c>
      <c r="J30" s="450" t="s">
        <v>1465</v>
      </c>
      <c r="K30" s="450" t="s">
        <v>1466</v>
      </c>
      <c r="L30" s="450" t="s">
        <v>1467</v>
      </c>
      <c r="M30" s="451" t="s">
        <v>639</v>
      </c>
      <c r="N30" s="452">
        <v>11323</v>
      </c>
      <c r="O30" s="452">
        <v>5226.0375000000004</v>
      </c>
      <c r="P30" s="453">
        <v>5</v>
      </c>
      <c r="Q30" s="453" t="s">
        <v>220</v>
      </c>
      <c r="R30" s="454">
        <v>44791</v>
      </c>
      <c r="S30" s="453">
        <v>1</v>
      </c>
      <c r="T30" s="453" t="s">
        <v>196</v>
      </c>
      <c r="U30" s="455">
        <v>4382000000</v>
      </c>
      <c r="V30" s="455">
        <v>4382000000</v>
      </c>
      <c r="W30" s="456"/>
      <c r="X30" s="456"/>
      <c r="Y30" s="455"/>
      <c r="Z30" s="457"/>
      <c r="AA30" s="453"/>
      <c r="AB30" s="458"/>
      <c r="AC30" s="458"/>
      <c r="AD30" s="453"/>
      <c r="AE30" s="453"/>
      <c r="AF30" s="459"/>
      <c r="AG30" s="453"/>
      <c r="AH30" s="455"/>
      <c r="AI30" s="460"/>
      <c r="AJ30" s="460" t="s">
        <v>657</v>
      </c>
      <c r="AK30" s="461"/>
      <c r="AL30" s="462" t="s">
        <v>451</v>
      </c>
      <c r="AM30" s="463" t="s">
        <v>451</v>
      </c>
      <c r="AN30" s="464" t="s">
        <v>451</v>
      </c>
      <c r="AO30" s="453" t="s">
        <v>451</v>
      </c>
      <c r="AP30" s="464" t="s">
        <v>451</v>
      </c>
      <c r="AQ30" s="464" t="s">
        <v>451</v>
      </c>
      <c r="AR30" s="464" t="s">
        <v>451</v>
      </c>
      <c r="AS30" s="464" t="s">
        <v>451</v>
      </c>
      <c r="AT30" s="464" t="s">
        <v>451</v>
      </c>
      <c r="AU30" s="464" t="s">
        <v>451</v>
      </c>
      <c r="AV30" s="464" t="s">
        <v>451</v>
      </c>
      <c r="AW30" s="465" t="s">
        <v>451</v>
      </c>
      <c r="AX30" s="466" t="s">
        <v>658</v>
      </c>
      <c r="AY30" s="467">
        <v>45751</v>
      </c>
      <c r="AZ30" s="468" t="s">
        <v>667</v>
      </c>
      <c r="BA30" s="469">
        <v>1050795000</v>
      </c>
      <c r="BB30" s="469">
        <v>4004713598</v>
      </c>
      <c r="BC30" s="469">
        <v>0</v>
      </c>
      <c r="BD30" s="469">
        <v>0</v>
      </c>
      <c r="BE30" s="470">
        <v>5055508598</v>
      </c>
      <c r="BF30" s="471"/>
      <c r="BG30" s="472" t="s">
        <v>1712</v>
      </c>
      <c r="BH30" s="457" t="s">
        <v>329</v>
      </c>
      <c r="BI30" s="480" t="s">
        <v>1713</v>
      </c>
      <c r="BJ30" s="481">
        <v>45799</v>
      </c>
      <c r="BK30" s="480" t="s">
        <v>1732</v>
      </c>
      <c r="BL30" s="481">
        <v>45894</v>
      </c>
      <c r="BM30" s="482">
        <v>4382000000</v>
      </c>
      <c r="BN30" s="474"/>
      <c r="BO30" s="477"/>
      <c r="BP30" s="477"/>
      <c r="BQ30" s="477"/>
      <c r="BR30" s="485"/>
      <c r="BS30" s="487"/>
      <c r="BT30" s="454"/>
      <c r="BU30" s="457"/>
      <c r="BV30" s="457"/>
      <c r="BW30" s="454"/>
      <c r="BX30" s="454"/>
      <c r="BY30" s="477"/>
      <c r="BZ30" s="477"/>
      <c r="CA30" s="478"/>
      <c r="CB30" s="483"/>
    </row>
    <row r="31" spans="2:80" s="135" customFormat="1" ht="15" customHeight="1">
      <c r="B31" s="366">
        <f t="shared" si="0"/>
        <v>21</v>
      </c>
      <c r="C31" s="289" t="s">
        <v>416</v>
      </c>
      <c r="D31" s="446" t="s">
        <v>270</v>
      </c>
      <c r="E31" s="447" t="s">
        <v>235</v>
      </c>
      <c r="F31" s="520" t="s">
        <v>726</v>
      </c>
      <c r="G31" s="448" t="s">
        <v>462</v>
      </c>
      <c r="H31" s="449">
        <v>1</v>
      </c>
      <c r="I31" s="450" t="s">
        <v>186</v>
      </c>
      <c r="J31" s="450" t="s">
        <v>183</v>
      </c>
      <c r="K31" s="450" t="s">
        <v>1468</v>
      </c>
      <c r="L31" s="450" t="s">
        <v>1469</v>
      </c>
      <c r="M31" s="451" t="s">
        <v>174</v>
      </c>
      <c r="N31" s="452">
        <v>2993</v>
      </c>
      <c r="O31" s="452">
        <v>1459.7</v>
      </c>
      <c r="P31" s="453"/>
      <c r="Q31" s="453"/>
      <c r="R31" s="454">
        <v>44666</v>
      </c>
      <c r="S31" s="453">
        <v>1</v>
      </c>
      <c r="T31" s="453" t="s">
        <v>196</v>
      </c>
      <c r="U31" s="455">
        <v>4920000000</v>
      </c>
      <c r="V31" s="455">
        <v>4920000000</v>
      </c>
      <c r="W31" s="456"/>
      <c r="X31" s="456"/>
      <c r="Y31" s="455"/>
      <c r="Z31" s="457"/>
      <c r="AA31" s="453"/>
      <c r="AB31" s="458"/>
      <c r="AC31" s="458"/>
      <c r="AD31" s="453"/>
      <c r="AE31" s="453"/>
      <c r="AF31" s="459"/>
      <c r="AG31" s="453"/>
      <c r="AH31" s="455"/>
      <c r="AI31" s="460"/>
      <c r="AJ31" s="460" t="s">
        <v>657</v>
      </c>
      <c r="AK31" s="461"/>
      <c r="AL31" s="462" t="s">
        <v>451</v>
      </c>
      <c r="AM31" s="463" t="s">
        <v>451</v>
      </c>
      <c r="AN31" s="464" t="s">
        <v>451</v>
      </c>
      <c r="AO31" s="453" t="s">
        <v>451</v>
      </c>
      <c r="AP31" s="464" t="s">
        <v>451</v>
      </c>
      <c r="AQ31" s="464" t="s">
        <v>451</v>
      </c>
      <c r="AR31" s="464" t="s">
        <v>451</v>
      </c>
      <c r="AS31" s="464" t="s">
        <v>451</v>
      </c>
      <c r="AT31" s="464" t="s">
        <v>451</v>
      </c>
      <c r="AU31" s="464" t="s">
        <v>451</v>
      </c>
      <c r="AV31" s="464" t="s">
        <v>451</v>
      </c>
      <c r="AW31" s="465" t="s">
        <v>451</v>
      </c>
      <c r="AX31" s="466" t="s">
        <v>658</v>
      </c>
      <c r="AY31" s="489">
        <v>45671</v>
      </c>
      <c r="AZ31" s="468" t="s">
        <v>336</v>
      </c>
      <c r="BA31" s="469">
        <v>3950760000</v>
      </c>
      <c r="BB31" s="469">
        <v>1770842000</v>
      </c>
      <c r="BC31" s="469">
        <v>0</v>
      </c>
      <c r="BD31" s="469">
        <v>0</v>
      </c>
      <c r="BE31" s="470">
        <v>5721602000</v>
      </c>
      <c r="BF31" s="471"/>
      <c r="BG31" s="472" t="s">
        <v>1712</v>
      </c>
      <c r="BH31" s="457" t="s">
        <v>208</v>
      </c>
      <c r="BI31" s="480" t="s">
        <v>1713</v>
      </c>
      <c r="BJ31" s="481">
        <v>45820</v>
      </c>
      <c r="BK31" s="480" t="s">
        <v>1733</v>
      </c>
      <c r="BL31" s="481">
        <v>45902</v>
      </c>
      <c r="BM31" s="473" t="s">
        <v>1470</v>
      </c>
      <c r="BN31" s="474" t="s">
        <v>1734</v>
      </c>
      <c r="BO31" s="481">
        <v>45799</v>
      </c>
      <c r="BP31" s="480" t="s">
        <v>1735</v>
      </c>
      <c r="BQ31" s="481">
        <v>45887</v>
      </c>
      <c r="BR31" s="478">
        <v>11067612</v>
      </c>
      <c r="BS31" s="487"/>
      <c r="BT31" s="454"/>
      <c r="BU31" s="457"/>
      <c r="BV31" s="457"/>
      <c r="BW31" s="454"/>
      <c r="BX31" s="454"/>
      <c r="BY31" s="477"/>
      <c r="BZ31" s="477"/>
      <c r="CA31" s="478"/>
      <c r="CB31" s="479" t="s">
        <v>1736</v>
      </c>
    </row>
    <row r="32" spans="2:80" s="135" customFormat="1" ht="15" customHeight="1">
      <c r="B32" s="366">
        <f t="shared" si="0"/>
        <v>22</v>
      </c>
      <c r="C32" s="289" t="s">
        <v>416</v>
      </c>
      <c r="D32" s="446" t="s">
        <v>270</v>
      </c>
      <c r="E32" s="447" t="s">
        <v>235</v>
      </c>
      <c r="F32" s="520" t="s">
        <v>726</v>
      </c>
      <c r="G32" s="448" t="s">
        <v>1676</v>
      </c>
      <c r="H32" s="449">
        <v>2</v>
      </c>
      <c r="I32" s="450" t="s">
        <v>186</v>
      </c>
      <c r="J32" s="450" t="s">
        <v>183</v>
      </c>
      <c r="K32" s="450" t="s">
        <v>1468</v>
      </c>
      <c r="L32" s="450" t="s">
        <v>1471</v>
      </c>
      <c r="M32" s="451" t="s">
        <v>178</v>
      </c>
      <c r="N32" s="452">
        <v>965</v>
      </c>
      <c r="O32" s="452">
        <v>192.08</v>
      </c>
      <c r="P32" s="453"/>
      <c r="Q32" s="453"/>
      <c r="R32" s="454">
        <v>44712</v>
      </c>
      <c r="S32" s="453" t="s">
        <v>257</v>
      </c>
      <c r="T32" s="453" t="s">
        <v>196</v>
      </c>
      <c r="U32" s="455">
        <v>1380000000</v>
      </c>
      <c r="V32" s="455">
        <v>1380000000</v>
      </c>
      <c r="W32" s="456"/>
      <c r="X32" s="456"/>
      <c r="Y32" s="455"/>
      <c r="Z32" s="457"/>
      <c r="AA32" s="453"/>
      <c r="AB32" s="458"/>
      <c r="AC32" s="458"/>
      <c r="AD32" s="453"/>
      <c r="AE32" s="453"/>
      <c r="AF32" s="459"/>
      <c r="AG32" s="453"/>
      <c r="AH32" s="455"/>
      <c r="AI32" s="460"/>
      <c r="AJ32" s="460" t="s">
        <v>657</v>
      </c>
      <c r="AK32" s="461"/>
      <c r="AL32" s="462" t="s">
        <v>451</v>
      </c>
      <c r="AM32" s="463" t="s">
        <v>451</v>
      </c>
      <c r="AN32" s="464" t="s">
        <v>451</v>
      </c>
      <c r="AO32" s="453" t="s">
        <v>451</v>
      </c>
      <c r="AP32" s="464" t="s">
        <v>451</v>
      </c>
      <c r="AQ32" s="464" t="s">
        <v>451</v>
      </c>
      <c r="AR32" s="464" t="s">
        <v>451</v>
      </c>
      <c r="AS32" s="464" t="s">
        <v>451</v>
      </c>
      <c r="AT32" s="464" t="s">
        <v>451</v>
      </c>
      <c r="AU32" s="464" t="s">
        <v>451</v>
      </c>
      <c r="AV32" s="464" t="s">
        <v>451</v>
      </c>
      <c r="AW32" s="465" t="s">
        <v>451</v>
      </c>
      <c r="AX32" s="466" t="s">
        <v>658</v>
      </c>
      <c r="AY32" s="467">
        <v>45671</v>
      </c>
      <c r="AZ32" s="468" t="s">
        <v>336</v>
      </c>
      <c r="BA32" s="469">
        <v>1389600000</v>
      </c>
      <c r="BB32" s="469">
        <v>136704000</v>
      </c>
      <c r="BC32" s="469">
        <v>0</v>
      </c>
      <c r="BD32" s="469">
        <v>0</v>
      </c>
      <c r="BE32" s="470">
        <v>1526304000</v>
      </c>
      <c r="BF32" s="471"/>
      <c r="BG32" s="472" t="s">
        <v>1712</v>
      </c>
      <c r="BH32" s="457" t="s">
        <v>208</v>
      </c>
      <c r="BI32" s="480" t="s">
        <v>1713</v>
      </c>
      <c r="BJ32" s="481">
        <v>45820</v>
      </c>
      <c r="BK32" s="480" t="s">
        <v>1733</v>
      </c>
      <c r="BL32" s="481">
        <v>45902</v>
      </c>
      <c r="BM32" s="482">
        <v>6194527047</v>
      </c>
      <c r="BN32" s="474"/>
      <c r="BO32" s="454"/>
      <c r="BP32" s="457"/>
      <c r="BQ32" s="454"/>
      <c r="BR32" s="490"/>
      <c r="BS32" s="487"/>
      <c r="BT32" s="454"/>
      <c r="BU32" s="457"/>
      <c r="BV32" s="457"/>
      <c r="BW32" s="454"/>
      <c r="BX32" s="454"/>
      <c r="BY32" s="477"/>
      <c r="BZ32" s="477"/>
      <c r="CA32" s="478"/>
      <c r="CB32" s="483"/>
    </row>
    <row r="33" spans="2:80" s="135" customFormat="1" ht="15" customHeight="1">
      <c r="B33" s="366">
        <f t="shared" si="0"/>
        <v>23</v>
      </c>
      <c r="C33" s="289" t="s">
        <v>416</v>
      </c>
      <c r="D33" s="446" t="s">
        <v>270</v>
      </c>
      <c r="E33" s="447" t="s">
        <v>211</v>
      </c>
      <c r="F33" s="520" t="s">
        <v>728</v>
      </c>
      <c r="G33" s="448" t="s">
        <v>463</v>
      </c>
      <c r="H33" s="449">
        <v>1</v>
      </c>
      <c r="I33" s="450" t="s">
        <v>272</v>
      </c>
      <c r="J33" s="450" t="s">
        <v>387</v>
      </c>
      <c r="K33" s="450" t="s">
        <v>1472</v>
      </c>
      <c r="L33" s="450" t="s">
        <v>1473</v>
      </c>
      <c r="M33" s="451" t="s">
        <v>174</v>
      </c>
      <c r="N33" s="452">
        <v>9667</v>
      </c>
      <c r="O33" s="452">
        <v>5175.1549999999997</v>
      </c>
      <c r="P33" s="453">
        <v>10</v>
      </c>
      <c r="Q33" s="453" t="s">
        <v>220</v>
      </c>
      <c r="R33" s="454">
        <v>44313</v>
      </c>
      <c r="S33" s="453" t="s">
        <v>250</v>
      </c>
      <c r="T33" s="453" t="s">
        <v>196</v>
      </c>
      <c r="U33" s="455">
        <v>4464000000</v>
      </c>
      <c r="V33" s="455">
        <v>4464000000</v>
      </c>
      <c r="W33" s="456"/>
      <c r="X33" s="456"/>
      <c r="Y33" s="455"/>
      <c r="Z33" s="457"/>
      <c r="AA33" s="453"/>
      <c r="AB33" s="458"/>
      <c r="AC33" s="458"/>
      <c r="AD33" s="453"/>
      <c r="AE33" s="453"/>
      <c r="AF33" s="459"/>
      <c r="AG33" s="453"/>
      <c r="AH33" s="455"/>
      <c r="AI33" s="460"/>
      <c r="AJ33" s="460" t="s">
        <v>657</v>
      </c>
      <c r="AK33" s="461"/>
      <c r="AL33" s="462" t="s">
        <v>451</v>
      </c>
      <c r="AM33" s="463" t="s">
        <v>451</v>
      </c>
      <c r="AN33" s="464" t="s">
        <v>451</v>
      </c>
      <c r="AO33" s="453" t="s">
        <v>451</v>
      </c>
      <c r="AP33" s="464" t="s">
        <v>451</v>
      </c>
      <c r="AQ33" s="464" t="s">
        <v>451</v>
      </c>
      <c r="AR33" s="464" t="s">
        <v>451</v>
      </c>
      <c r="AS33" s="464" t="s">
        <v>451</v>
      </c>
      <c r="AT33" s="464" t="s">
        <v>451</v>
      </c>
      <c r="AU33" s="464" t="s">
        <v>451</v>
      </c>
      <c r="AV33" s="464" t="s">
        <v>451</v>
      </c>
      <c r="AW33" s="465" t="s">
        <v>451</v>
      </c>
      <c r="AX33" s="466" t="s">
        <v>1464</v>
      </c>
      <c r="AY33" s="467">
        <v>45748</v>
      </c>
      <c r="AZ33" s="468" t="s">
        <v>1474</v>
      </c>
      <c r="BA33" s="469">
        <v>4330816000</v>
      </c>
      <c r="BB33" s="469">
        <v>437317840</v>
      </c>
      <c r="BC33" s="469">
        <v>50760000</v>
      </c>
      <c r="BD33" s="469">
        <v>4836000</v>
      </c>
      <c r="BE33" s="470">
        <v>4823729840</v>
      </c>
      <c r="BF33" s="471"/>
      <c r="BG33" s="472" t="s">
        <v>1712</v>
      </c>
      <c r="BH33" s="457" t="s">
        <v>246</v>
      </c>
      <c r="BI33" s="480" t="s">
        <v>1713</v>
      </c>
      <c r="BJ33" s="481">
        <v>45714</v>
      </c>
      <c r="BK33" s="480" t="s">
        <v>1737</v>
      </c>
      <c r="BL33" s="481">
        <v>45810</v>
      </c>
      <c r="BM33" s="482">
        <v>4464000000</v>
      </c>
      <c r="BN33" s="474"/>
      <c r="BO33" s="454"/>
      <c r="BP33" s="457"/>
      <c r="BQ33" s="454"/>
      <c r="BR33" s="478"/>
      <c r="BS33" s="487">
        <v>4823729840</v>
      </c>
      <c r="BT33" s="454">
        <v>45874</v>
      </c>
      <c r="BU33" s="457"/>
      <c r="BV33" s="457"/>
      <c r="BW33" s="454"/>
      <c r="BX33" s="454"/>
      <c r="BY33" s="477"/>
      <c r="BZ33" s="477"/>
      <c r="CA33" s="478"/>
      <c r="CB33" s="479" t="s">
        <v>1738</v>
      </c>
    </row>
    <row r="34" spans="2:80" s="135" customFormat="1" ht="15" customHeight="1">
      <c r="B34" s="366">
        <f t="shared" si="0"/>
        <v>24</v>
      </c>
      <c r="C34" s="289" t="s">
        <v>416</v>
      </c>
      <c r="D34" s="446" t="s">
        <v>270</v>
      </c>
      <c r="E34" s="447" t="s">
        <v>211</v>
      </c>
      <c r="F34" s="520" t="s">
        <v>728</v>
      </c>
      <c r="G34" s="448" t="s">
        <v>464</v>
      </c>
      <c r="H34" s="449">
        <v>2</v>
      </c>
      <c r="I34" s="450" t="s">
        <v>272</v>
      </c>
      <c r="J34" s="450" t="s">
        <v>344</v>
      </c>
      <c r="K34" s="450" t="s">
        <v>391</v>
      </c>
      <c r="L34" s="450" t="s">
        <v>1475</v>
      </c>
      <c r="M34" s="451" t="s">
        <v>1476</v>
      </c>
      <c r="N34" s="452">
        <v>25.081299999999999</v>
      </c>
      <c r="O34" s="452">
        <v>154.7158</v>
      </c>
      <c r="P34" s="453"/>
      <c r="Q34" s="453"/>
      <c r="R34" s="454">
        <v>44313</v>
      </c>
      <c r="S34" s="453" t="s">
        <v>250</v>
      </c>
      <c r="T34" s="453" t="s">
        <v>196</v>
      </c>
      <c r="U34" s="455">
        <v>1472000000</v>
      </c>
      <c r="V34" s="455">
        <v>1472000000</v>
      </c>
      <c r="W34" s="456"/>
      <c r="X34" s="456"/>
      <c r="Y34" s="455"/>
      <c r="Z34" s="457"/>
      <c r="AA34" s="453"/>
      <c r="AB34" s="458"/>
      <c r="AC34" s="458"/>
      <c r="AD34" s="453"/>
      <c r="AE34" s="453"/>
      <c r="AF34" s="459"/>
      <c r="AG34" s="453"/>
      <c r="AH34" s="455"/>
      <c r="AI34" s="460"/>
      <c r="AJ34" s="460" t="s">
        <v>657</v>
      </c>
      <c r="AK34" s="461"/>
      <c r="AL34" s="462" t="s">
        <v>451</v>
      </c>
      <c r="AM34" s="463" t="s">
        <v>451</v>
      </c>
      <c r="AN34" s="464" t="s">
        <v>451</v>
      </c>
      <c r="AO34" s="453" t="s">
        <v>451</v>
      </c>
      <c r="AP34" s="464" t="s">
        <v>451</v>
      </c>
      <c r="AQ34" s="464" t="s">
        <v>451</v>
      </c>
      <c r="AR34" s="464" t="s">
        <v>451</v>
      </c>
      <c r="AS34" s="464" t="s">
        <v>451</v>
      </c>
      <c r="AT34" s="464" t="s">
        <v>451</v>
      </c>
      <c r="AU34" s="464" t="s">
        <v>451</v>
      </c>
      <c r="AV34" s="464" t="s">
        <v>451</v>
      </c>
      <c r="AW34" s="465" t="s">
        <v>451</v>
      </c>
      <c r="AX34" s="466" t="s">
        <v>338</v>
      </c>
      <c r="AY34" s="467" t="s">
        <v>338</v>
      </c>
      <c r="AZ34" s="468" t="s">
        <v>338</v>
      </c>
      <c r="BA34" s="469" t="s">
        <v>338</v>
      </c>
      <c r="BB34" s="469" t="s">
        <v>338</v>
      </c>
      <c r="BC34" s="469" t="s">
        <v>338</v>
      </c>
      <c r="BD34" s="469" t="s">
        <v>338</v>
      </c>
      <c r="BE34" s="470" t="s">
        <v>338</v>
      </c>
      <c r="BF34" s="484">
        <v>1475000000</v>
      </c>
      <c r="BG34" s="472" t="s">
        <v>1712</v>
      </c>
      <c r="BH34" s="457" t="s">
        <v>324</v>
      </c>
      <c r="BI34" s="480" t="s">
        <v>1713</v>
      </c>
      <c r="BJ34" s="481">
        <v>45714</v>
      </c>
      <c r="BK34" s="480" t="s">
        <v>1739</v>
      </c>
      <c r="BL34" s="481">
        <v>45786</v>
      </c>
      <c r="BM34" s="482">
        <v>1472000000</v>
      </c>
      <c r="BN34" s="474"/>
      <c r="BO34" s="454"/>
      <c r="BP34" s="457"/>
      <c r="BQ34" s="454"/>
      <c r="BR34" s="478"/>
      <c r="BS34" s="487"/>
      <c r="BT34" s="454"/>
      <c r="BU34" s="457"/>
      <c r="BV34" s="457"/>
      <c r="BW34" s="454"/>
      <c r="BX34" s="454"/>
      <c r="BY34" s="477"/>
      <c r="BZ34" s="477"/>
      <c r="CA34" s="478"/>
      <c r="CB34" s="479"/>
    </row>
    <row r="35" spans="2:80" s="135" customFormat="1" ht="15" customHeight="1">
      <c r="B35" s="366">
        <f t="shared" si="0"/>
        <v>25</v>
      </c>
      <c r="C35" s="289" t="s">
        <v>416</v>
      </c>
      <c r="D35" s="446" t="s">
        <v>270</v>
      </c>
      <c r="E35" s="447" t="s">
        <v>236</v>
      </c>
      <c r="F35" s="520" t="s">
        <v>729</v>
      </c>
      <c r="G35" s="448" t="s">
        <v>465</v>
      </c>
      <c r="H35" s="449">
        <v>1</v>
      </c>
      <c r="I35" s="450" t="s">
        <v>187</v>
      </c>
      <c r="J35" s="450" t="s">
        <v>182</v>
      </c>
      <c r="K35" s="450" t="s">
        <v>1477</v>
      </c>
      <c r="L35" s="450" t="s">
        <v>1478</v>
      </c>
      <c r="M35" s="451" t="s">
        <v>174</v>
      </c>
      <c r="N35" s="452">
        <v>10345</v>
      </c>
      <c r="O35" s="452">
        <v>4112.5</v>
      </c>
      <c r="P35" s="453">
        <v>19</v>
      </c>
      <c r="Q35" s="453" t="s">
        <v>220</v>
      </c>
      <c r="R35" s="454">
        <v>43524</v>
      </c>
      <c r="S35" s="453">
        <v>3</v>
      </c>
      <c r="T35" s="453" t="s">
        <v>196</v>
      </c>
      <c r="U35" s="455">
        <v>5500000000</v>
      </c>
      <c r="V35" s="455">
        <v>5500000000</v>
      </c>
      <c r="W35" s="456"/>
      <c r="X35" s="456"/>
      <c r="Y35" s="455"/>
      <c r="Z35" s="457" t="s">
        <v>250</v>
      </c>
      <c r="AA35" s="453" t="s">
        <v>196</v>
      </c>
      <c r="AB35" s="458">
        <v>960000000</v>
      </c>
      <c r="AC35" s="458">
        <v>960000000</v>
      </c>
      <c r="AD35" s="453"/>
      <c r="AE35" s="453"/>
      <c r="AF35" s="459"/>
      <c r="AG35" s="453" t="s">
        <v>196</v>
      </c>
      <c r="AH35" s="455">
        <v>611770213</v>
      </c>
      <c r="AI35" s="460" t="s">
        <v>1740</v>
      </c>
      <c r="AJ35" s="460" t="s">
        <v>657</v>
      </c>
      <c r="AK35" s="461"/>
      <c r="AL35" s="462" t="s">
        <v>451</v>
      </c>
      <c r="AM35" s="463" t="s">
        <v>451</v>
      </c>
      <c r="AN35" s="464" t="s">
        <v>451</v>
      </c>
      <c r="AO35" s="453" t="s">
        <v>451</v>
      </c>
      <c r="AP35" s="464" t="s">
        <v>451</v>
      </c>
      <c r="AQ35" s="464" t="s">
        <v>451</v>
      </c>
      <c r="AR35" s="464" t="s">
        <v>451</v>
      </c>
      <c r="AS35" s="464" t="s">
        <v>451</v>
      </c>
      <c r="AT35" s="464" t="s">
        <v>451</v>
      </c>
      <c r="AU35" s="464" t="s">
        <v>451</v>
      </c>
      <c r="AV35" s="464" t="s">
        <v>451</v>
      </c>
      <c r="AW35" s="465" t="s">
        <v>451</v>
      </c>
      <c r="AX35" s="466" t="s">
        <v>1464</v>
      </c>
      <c r="AY35" s="467">
        <v>45849</v>
      </c>
      <c r="AZ35" s="468" t="s">
        <v>1479</v>
      </c>
      <c r="BA35" s="469">
        <v>5648721000</v>
      </c>
      <c r="BB35" s="469">
        <v>1452231500</v>
      </c>
      <c r="BC35" s="469">
        <v>234310000</v>
      </c>
      <c r="BD35" s="469">
        <v>1193787600</v>
      </c>
      <c r="BE35" s="470">
        <v>8529050100</v>
      </c>
      <c r="BF35" s="471"/>
      <c r="BG35" s="472" t="s">
        <v>1712</v>
      </c>
      <c r="BH35" s="457" t="s">
        <v>205</v>
      </c>
      <c r="BI35" s="480" t="s">
        <v>1713</v>
      </c>
      <c r="BJ35" s="481">
        <v>45835</v>
      </c>
      <c r="BK35" s="480" t="s">
        <v>1741</v>
      </c>
      <c r="BL35" s="481"/>
      <c r="BM35" s="482">
        <v>4483843946</v>
      </c>
      <c r="BN35" s="463" t="s">
        <v>1742</v>
      </c>
      <c r="BO35" s="481">
        <v>45820</v>
      </c>
      <c r="BP35" s="480" t="s">
        <v>1743</v>
      </c>
      <c r="BQ35" s="481">
        <v>45915</v>
      </c>
      <c r="BR35" s="485">
        <v>1003958026</v>
      </c>
      <c r="BS35" s="487"/>
      <c r="BT35" s="454"/>
      <c r="BU35" s="457"/>
      <c r="BV35" s="457" t="s">
        <v>1744</v>
      </c>
      <c r="BW35" s="454"/>
      <c r="BX35" s="454"/>
      <c r="BY35" s="477"/>
      <c r="BZ35" s="477"/>
      <c r="CA35" s="478"/>
      <c r="CB35" s="479" t="s">
        <v>1745</v>
      </c>
    </row>
    <row r="36" spans="2:80" s="135" customFormat="1" ht="15" customHeight="1">
      <c r="B36" s="366">
        <f t="shared" si="0"/>
        <v>26</v>
      </c>
      <c r="C36" s="289" t="s">
        <v>416</v>
      </c>
      <c r="D36" s="446" t="s">
        <v>270</v>
      </c>
      <c r="E36" s="447" t="s">
        <v>236</v>
      </c>
      <c r="F36" s="520" t="s">
        <v>729</v>
      </c>
      <c r="G36" s="448" t="s">
        <v>1677</v>
      </c>
      <c r="H36" s="449">
        <v>2</v>
      </c>
      <c r="I36" s="450" t="s">
        <v>190</v>
      </c>
      <c r="J36" s="450" t="s">
        <v>185</v>
      </c>
      <c r="K36" s="450" t="s">
        <v>1480</v>
      </c>
      <c r="L36" s="450" t="s">
        <v>1481</v>
      </c>
      <c r="M36" s="451" t="s">
        <v>335</v>
      </c>
      <c r="N36" s="452">
        <v>7.38</v>
      </c>
      <c r="O36" s="452">
        <v>34.630000000000003</v>
      </c>
      <c r="P36" s="453"/>
      <c r="Q36" s="453"/>
      <c r="R36" s="454">
        <v>43524</v>
      </c>
      <c r="S36" s="453" t="s">
        <v>250</v>
      </c>
      <c r="T36" s="453" t="s">
        <v>196</v>
      </c>
      <c r="U36" s="455">
        <v>3100000000</v>
      </c>
      <c r="V36" s="455">
        <v>3100000000</v>
      </c>
      <c r="W36" s="456" t="s">
        <v>1482</v>
      </c>
      <c r="X36" s="456" t="s">
        <v>250</v>
      </c>
      <c r="Y36" s="455">
        <v>3100000000</v>
      </c>
      <c r="Z36" s="457"/>
      <c r="AA36" s="453"/>
      <c r="AB36" s="458"/>
      <c r="AC36" s="458"/>
      <c r="AD36" s="453"/>
      <c r="AE36" s="453"/>
      <c r="AF36" s="459"/>
      <c r="AG36" s="453"/>
      <c r="AH36" s="455"/>
      <c r="AI36" s="460"/>
      <c r="AJ36" s="460" t="s">
        <v>657</v>
      </c>
      <c r="AK36" s="461"/>
      <c r="AL36" s="462" t="s">
        <v>451</v>
      </c>
      <c r="AM36" s="463" t="s">
        <v>451</v>
      </c>
      <c r="AN36" s="464" t="s">
        <v>451</v>
      </c>
      <c r="AO36" s="453" t="s">
        <v>451</v>
      </c>
      <c r="AP36" s="464" t="s">
        <v>451</v>
      </c>
      <c r="AQ36" s="464" t="s">
        <v>451</v>
      </c>
      <c r="AR36" s="464" t="s">
        <v>451</v>
      </c>
      <c r="AS36" s="464" t="s">
        <v>451</v>
      </c>
      <c r="AT36" s="464" t="s">
        <v>451</v>
      </c>
      <c r="AU36" s="464" t="s">
        <v>451</v>
      </c>
      <c r="AV36" s="464" t="s">
        <v>451</v>
      </c>
      <c r="AW36" s="465" t="s">
        <v>451</v>
      </c>
      <c r="AX36" s="466" t="s">
        <v>338</v>
      </c>
      <c r="AY36" s="467" t="s">
        <v>338</v>
      </c>
      <c r="AZ36" s="468" t="s">
        <v>338</v>
      </c>
      <c r="BA36" s="469" t="s">
        <v>338</v>
      </c>
      <c r="BB36" s="469" t="s">
        <v>338</v>
      </c>
      <c r="BC36" s="469" t="s">
        <v>338</v>
      </c>
      <c r="BD36" s="469" t="s">
        <v>338</v>
      </c>
      <c r="BE36" s="470" t="s">
        <v>338</v>
      </c>
      <c r="BF36" s="491"/>
      <c r="BG36" s="472" t="s">
        <v>1712</v>
      </c>
      <c r="BH36" s="457" t="s">
        <v>199</v>
      </c>
      <c r="BI36" s="480" t="s">
        <v>1713</v>
      </c>
      <c r="BJ36" s="481">
        <v>45831</v>
      </c>
      <c r="BK36" s="480" t="s">
        <v>1746</v>
      </c>
      <c r="BL36" s="481">
        <v>45915</v>
      </c>
      <c r="BM36" s="482">
        <v>3100000000</v>
      </c>
      <c r="BN36" s="474"/>
      <c r="BO36" s="454"/>
      <c r="BP36" s="457"/>
      <c r="BQ36" s="454"/>
      <c r="BR36" s="492"/>
      <c r="BS36" s="487"/>
      <c r="BT36" s="454"/>
      <c r="BU36" s="457"/>
      <c r="BV36" s="457"/>
      <c r="BW36" s="454"/>
      <c r="BX36" s="454"/>
      <c r="BY36" s="477"/>
      <c r="BZ36" s="477"/>
      <c r="CA36" s="478"/>
      <c r="CB36" s="479"/>
    </row>
    <row r="37" spans="2:80" s="135" customFormat="1" ht="15" customHeight="1">
      <c r="B37" s="366">
        <f t="shared" si="0"/>
        <v>27</v>
      </c>
      <c r="C37" s="289" t="s">
        <v>416</v>
      </c>
      <c r="D37" s="446" t="s">
        <v>270</v>
      </c>
      <c r="E37" s="447" t="s">
        <v>236</v>
      </c>
      <c r="F37" s="520" t="s">
        <v>729</v>
      </c>
      <c r="G37" s="448" t="s">
        <v>1678</v>
      </c>
      <c r="H37" s="449">
        <v>3</v>
      </c>
      <c r="I37" s="450" t="s">
        <v>190</v>
      </c>
      <c r="J37" s="450" t="s">
        <v>1483</v>
      </c>
      <c r="K37" s="450" t="s">
        <v>1484</v>
      </c>
      <c r="L37" s="450" t="s">
        <v>1485</v>
      </c>
      <c r="M37" s="451" t="s">
        <v>175</v>
      </c>
      <c r="N37" s="452">
        <v>47.89</v>
      </c>
      <c r="O37" s="452">
        <v>84.66</v>
      </c>
      <c r="P37" s="453"/>
      <c r="Q37" s="453"/>
      <c r="R37" s="454">
        <v>43524</v>
      </c>
      <c r="S37" s="453" t="s">
        <v>250</v>
      </c>
      <c r="T37" s="453" t="s">
        <v>196</v>
      </c>
      <c r="U37" s="455">
        <v>3100000000</v>
      </c>
      <c r="V37" s="455">
        <v>3100000000</v>
      </c>
      <c r="W37" s="456" t="s">
        <v>370</v>
      </c>
      <c r="X37" s="456" t="s">
        <v>250</v>
      </c>
      <c r="Y37" s="455">
        <v>3100000000</v>
      </c>
      <c r="Z37" s="457"/>
      <c r="AA37" s="453"/>
      <c r="AB37" s="458"/>
      <c r="AC37" s="458"/>
      <c r="AD37" s="453"/>
      <c r="AE37" s="453"/>
      <c r="AF37" s="459"/>
      <c r="AG37" s="453"/>
      <c r="AH37" s="455"/>
      <c r="AI37" s="460"/>
      <c r="AJ37" s="460" t="s">
        <v>657</v>
      </c>
      <c r="AK37" s="461"/>
      <c r="AL37" s="462" t="s">
        <v>451</v>
      </c>
      <c r="AM37" s="463" t="s">
        <v>451</v>
      </c>
      <c r="AN37" s="464" t="s">
        <v>451</v>
      </c>
      <c r="AO37" s="453" t="s">
        <v>451</v>
      </c>
      <c r="AP37" s="464" t="s">
        <v>451</v>
      </c>
      <c r="AQ37" s="464" t="s">
        <v>451</v>
      </c>
      <c r="AR37" s="464" t="s">
        <v>451</v>
      </c>
      <c r="AS37" s="464" t="s">
        <v>451</v>
      </c>
      <c r="AT37" s="464" t="s">
        <v>451</v>
      </c>
      <c r="AU37" s="464" t="s">
        <v>451</v>
      </c>
      <c r="AV37" s="464" t="s">
        <v>451</v>
      </c>
      <c r="AW37" s="465" t="s">
        <v>451</v>
      </c>
      <c r="AX37" s="466" t="s">
        <v>338</v>
      </c>
      <c r="AY37" s="467" t="s">
        <v>338</v>
      </c>
      <c r="AZ37" s="468" t="s">
        <v>338</v>
      </c>
      <c r="BA37" s="469" t="s">
        <v>338</v>
      </c>
      <c r="BB37" s="469" t="s">
        <v>338</v>
      </c>
      <c r="BC37" s="469" t="s">
        <v>338</v>
      </c>
      <c r="BD37" s="469" t="s">
        <v>338</v>
      </c>
      <c r="BE37" s="470" t="s">
        <v>338</v>
      </c>
      <c r="BF37" s="484">
        <v>150000000</v>
      </c>
      <c r="BG37" s="472" t="s">
        <v>1712</v>
      </c>
      <c r="BH37" s="457" t="s">
        <v>199</v>
      </c>
      <c r="BI37" s="480" t="s">
        <v>1713</v>
      </c>
      <c r="BJ37" s="481">
        <v>45831</v>
      </c>
      <c r="BK37" s="480" t="s">
        <v>1746</v>
      </c>
      <c r="BL37" s="481">
        <v>45915</v>
      </c>
      <c r="BM37" s="473" t="s">
        <v>675</v>
      </c>
      <c r="BN37" s="474"/>
      <c r="BO37" s="454"/>
      <c r="BP37" s="457"/>
      <c r="BQ37" s="454"/>
      <c r="BR37" s="478"/>
      <c r="BS37" s="487"/>
      <c r="BT37" s="454"/>
      <c r="BU37" s="457"/>
      <c r="BV37" s="457"/>
      <c r="BW37" s="454"/>
      <c r="BX37" s="454"/>
      <c r="BY37" s="477"/>
      <c r="BZ37" s="477"/>
      <c r="CA37" s="478"/>
      <c r="CB37" s="483"/>
    </row>
    <row r="38" spans="2:80" s="135" customFormat="1" ht="15" customHeight="1">
      <c r="B38" s="366">
        <f t="shared" si="0"/>
        <v>28</v>
      </c>
      <c r="C38" s="289" t="s">
        <v>416</v>
      </c>
      <c r="D38" s="446" t="s">
        <v>270</v>
      </c>
      <c r="E38" s="447" t="s">
        <v>236</v>
      </c>
      <c r="F38" s="520" t="s">
        <v>729</v>
      </c>
      <c r="G38" s="448" t="s">
        <v>1679</v>
      </c>
      <c r="H38" s="449">
        <v>4</v>
      </c>
      <c r="I38" s="450" t="s">
        <v>190</v>
      </c>
      <c r="J38" s="450" t="s">
        <v>1483</v>
      </c>
      <c r="K38" s="450" t="s">
        <v>1484</v>
      </c>
      <c r="L38" s="450" t="s">
        <v>1486</v>
      </c>
      <c r="M38" s="451" t="s">
        <v>175</v>
      </c>
      <c r="N38" s="452">
        <v>47.89</v>
      </c>
      <c r="O38" s="452">
        <v>84.66</v>
      </c>
      <c r="P38" s="453"/>
      <c r="Q38" s="453"/>
      <c r="R38" s="454">
        <v>43524</v>
      </c>
      <c r="S38" s="453" t="s">
        <v>249</v>
      </c>
      <c r="T38" s="453" t="s">
        <v>196</v>
      </c>
      <c r="U38" s="455">
        <v>3100000000</v>
      </c>
      <c r="V38" s="455">
        <v>3100000000</v>
      </c>
      <c r="W38" s="456" t="s">
        <v>249</v>
      </c>
      <c r="X38" s="456" t="s">
        <v>249</v>
      </c>
      <c r="Y38" s="455">
        <v>3100000000</v>
      </c>
      <c r="Z38" s="457">
        <v>1</v>
      </c>
      <c r="AA38" s="453" t="s">
        <v>196</v>
      </c>
      <c r="AB38" s="458">
        <v>66000000</v>
      </c>
      <c r="AC38" s="458">
        <v>66000000</v>
      </c>
      <c r="AD38" s="453"/>
      <c r="AE38" s="453"/>
      <c r="AF38" s="459"/>
      <c r="AG38" s="453"/>
      <c r="AH38" s="455"/>
      <c r="AI38" s="460"/>
      <c r="AJ38" s="460" t="s">
        <v>657</v>
      </c>
      <c r="AK38" s="461"/>
      <c r="AL38" s="462" t="s">
        <v>451</v>
      </c>
      <c r="AM38" s="463" t="s">
        <v>451</v>
      </c>
      <c r="AN38" s="464" t="s">
        <v>451</v>
      </c>
      <c r="AO38" s="453" t="s">
        <v>451</v>
      </c>
      <c r="AP38" s="464" t="s">
        <v>451</v>
      </c>
      <c r="AQ38" s="464" t="s">
        <v>451</v>
      </c>
      <c r="AR38" s="464" t="s">
        <v>451</v>
      </c>
      <c r="AS38" s="464" t="s">
        <v>451</v>
      </c>
      <c r="AT38" s="464" t="s">
        <v>451</v>
      </c>
      <c r="AU38" s="464" t="s">
        <v>451</v>
      </c>
      <c r="AV38" s="464" t="s">
        <v>451</v>
      </c>
      <c r="AW38" s="465" t="s">
        <v>451</v>
      </c>
      <c r="AX38" s="466" t="s">
        <v>338</v>
      </c>
      <c r="AY38" s="467" t="s">
        <v>338</v>
      </c>
      <c r="AZ38" s="468" t="s">
        <v>338</v>
      </c>
      <c r="BA38" s="469" t="s">
        <v>338</v>
      </c>
      <c r="BB38" s="469" t="s">
        <v>338</v>
      </c>
      <c r="BC38" s="469" t="s">
        <v>338</v>
      </c>
      <c r="BD38" s="469" t="s">
        <v>338</v>
      </c>
      <c r="BE38" s="470" t="s">
        <v>338</v>
      </c>
      <c r="BF38" s="484">
        <v>150000000</v>
      </c>
      <c r="BG38" s="472" t="s">
        <v>1712</v>
      </c>
      <c r="BH38" s="457" t="s">
        <v>199</v>
      </c>
      <c r="BI38" s="480" t="s">
        <v>1713</v>
      </c>
      <c r="BJ38" s="481">
        <v>45831</v>
      </c>
      <c r="BK38" s="480" t="s">
        <v>1746</v>
      </c>
      <c r="BL38" s="481">
        <v>45915</v>
      </c>
      <c r="BM38" s="473" t="s">
        <v>675</v>
      </c>
      <c r="BN38" s="474"/>
      <c r="BO38" s="454"/>
      <c r="BP38" s="457"/>
      <c r="BQ38" s="454"/>
      <c r="BR38" s="478"/>
      <c r="BS38" s="487"/>
      <c r="BT38" s="454"/>
      <c r="BU38" s="457"/>
      <c r="BV38" s="457"/>
      <c r="BW38" s="454"/>
      <c r="BX38" s="454"/>
      <c r="BY38" s="477"/>
      <c r="BZ38" s="477"/>
      <c r="CA38" s="478"/>
      <c r="CB38" s="479"/>
    </row>
    <row r="39" spans="2:80" s="135" customFormat="1" ht="15" customHeight="1">
      <c r="B39" s="366">
        <f t="shared" ref="B39:B52" si="1">ROW()-10</f>
        <v>29</v>
      </c>
      <c r="C39" s="289" t="s">
        <v>416</v>
      </c>
      <c r="D39" s="446" t="s">
        <v>270</v>
      </c>
      <c r="E39" s="447" t="s">
        <v>237</v>
      </c>
      <c r="F39" s="520" t="s">
        <v>730</v>
      </c>
      <c r="G39" s="448" t="s">
        <v>466</v>
      </c>
      <c r="H39" s="449">
        <v>1</v>
      </c>
      <c r="I39" s="450" t="s">
        <v>187</v>
      </c>
      <c r="J39" s="450" t="s">
        <v>182</v>
      </c>
      <c r="K39" s="450" t="s">
        <v>1487</v>
      </c>
      <c r="L39" s="450" t="s">
        <v>1488</v>
      </c>
      <c r="M39" s="451" t="s">
        <v>174</v>
      </c>
      <c r="N39" s="452">
        <v>5056</v>
      </c>
      <c r="O39" s="452">
        <v>2318.38</v>
      </c>
      <c r="P39" s="453">
        <v>26</v>
      </c>
      <c r="Q39" s="453" t="s">
        <v>220</v>
      </c>
      <c r="R39" s="454">
        <v>42261</v>
      </c>
      <c r="S39" s="453" t="s">
        <v>257</v>
      </c>
      <c r="T39" s="453" t="s">
        <v>196</v>
      </c>
      <c r="U39" s="455">
        <v>4368000000</v>
      </c>
      <c r="V39" s="455">
        <v>4368000000</v>
      </c>
      <c r="W39" s="456"/>
      <c r="X39" s="456"/>
      <c r="Y39" s="455"/>
      <c r="Z39" s="457"/>
      <c r="AA39" s="453"/>
      <c r="AB39" s="458"/>
      <c r="AC39" s="458"/>
      <c r="AD39" s="453"/>
      <c r="AE39" s="453"/>
      <c r="AF39" s="459"/>
      <c r="AG39" s="453"/>
      <c r="AH39" s="455"/>
      <c r="AI39" s="460"/>
      <c r="AJ39" s="460" t="s">
        <v>657</v>
      </c>
      <c r="AK39" s="461"/>
      <c r="AL39" s="462" t="s">
        <v>451</v>
      </c>
      <c r="AM39" s="463" t="s">
        <v>451</v>
      </c>
      <c r="AN39" s="464" t="s">
        <v>451</v>
      </c>
      <c r="AO39" s="453" t="s">
        <v>451</v>
      </c>
      <c r="AP39" s="464" t="s">
        <v>451</v>
      </c>
      <c r="AQ39" s="464" t="s">
        <v>451</v>
      </c>
      <c r="AR39" s="464" t="s">
        <v>451</v>
      </c>
      <c r="AS39" s="464" t="s">
        <v>451</v>
      </c>
      <c r="AT39" s="464" t="s">
        <v>451</v>
      </c>
      <c r="AU39" s="464" t="s">
        <v>451</v>
      </c>
      <c r="AV39" s="464" t="s">
        <v>451</v>
      </c>
      <c r="AW39" s="465" t="s">
        <v>451</v>
      </c>
      <c r="AX39" s="466" t="s">
        <v>658</v>
      </c>
      <c r="AY39" s="467">
        <v>44355</v>
      </c>
      <c r="AZ39" s="468" t="s">
        <v>672</v>
      </c>
      <c r="BA39" s="469">
        <v>2482496000</v>
      </c>
      <c r="BB39" s="469">
        <v>870585780</v>
      </c>
      <c r="BC39" s="469">
        <v>205100000</v>
      </c>
      <c r="BD39" s="469">
        <v>0</v>
      </c>
      <c r="BE39" s="470">
        <v>3558181780</v>
      </c>
      <c r="BF39" s="471"/>
      <c r="BG39" s="472" t="s">
        <v>1711</v>
      </c>
      <c r="BH39" s="457" t="s">
        <v>205</v>
      </c>
      <c r="BI39" s="473"/>
      <c r="BJ39" s="473"/>
      <c r="BK39" s="473"/>
      <c r="BL39" s="473"/>
      <c r="BM39" s="473"/>
      <c r="BN39" s="474"/>
      <c r="BO39" s="454"/>
      <c r="BP39" s="457"/>
      <c r="BQ39" s="454"/>
      <c r="BR39" s="478"/>
      <c r="BS39" s="487"/>
      <c r="BT39" s="454"/>
      <c r="BU39" s="457"/>
      <c r="BV39" s="457"/>
      <c r="BW39" s="454"/>
      <c r="BX39" s="454"/>
      <c r="BY39" s="477"/>
      <c r="BZ39" s="477"/>
      <c r="CA39" s="478"/>
      <c r="CB39" s="483"/>
    </row>
    <row r="40" spans="2:80" s="135" customFormat="1" ht="15" customHeight="1">
      <c r="B40" s="366">
        <f t="shared" si="1"/>
        <v>30</v>
      </c>
      <c r="C40" s="289" t="s">
        <v>416</v>
      </c>
      <c r="D40" s="446" t="s">
        <v>270</v>
      </c>
      <c r="E40" s="447" t="s">
        <v>294</v>
      </c>
      <c r="F40" s="520" t="s">
        <v>731</v>
      </c>
      <c r="G40" s="448" t="s">
        <v>467</v>
      </c>
      <c r="H40" s="449">
        <v>1</v>
      </c>
      <c r="I40" s="450" t="s">
        <v>186</v>
      </c>
      <c r="J40" s="450" t="s">
        <v>180</v>
      </c>
      <c r="K40" s="450" t="s">
        <v>1489</v>
      </c>
      <c r="L40" s="450" t="s">
        <v>1490</v>
      </c>
      <c r="M40" s="451" t="s">
        <v>174</v>
      </c>
      <c r="N40" s="452">
        <v>3900</v>
      </c>
      <c r="O40" s="452">
        <v>2780.65</v>
      </c>
      <c r="P40" s="453">
        <v>9</v>
      </c>
      <c r="Q40" s="453" t="s">
        <v>220</v>
      </c>
      <c r="R40" s="454">
        <v>42548</v>
      </c>
      <c r="S40" s="453" t="s">
        <v>1460</v>
      </c>
      <c r="T40" s="453" t="s">
        <v>196</v>
      </c>
      <c r="U40" s="455">
        <v>4953600000</v>
      </c>
      <c r="V40" s="455">
        <v>4953600000</v>
      </c>
      <c r="W40" s="456"/>
      <c r="X40" s="456"/>
      <c r="Y40" s="455"/>
      <c r="Z40" s="457"/>
      <c r="AA40" s="453"/>
      <c r="AB40" s="458"/>
      <c r="AC40" s="458"/>
      <c r="AD40" s="453"/>
      <c r="AE40" s="453"/>
      <c r="AF40" s="459"/>
      <c r="AG40" s="453"/>
      <c r="AH40" s="455"/>
      <c r="AI40" s="460"/>
      <c r="AJ40" s="460" t="s">
        <v>657</v>
      </c>
      <c r="AK40" s="461"/>
      <c r="AL40" s="462" t="s">
        <v>451</v>
      </c>
      <c r="AM40" s="463" t="s">
        <v>451</v>
      </c>
      <c r="AN40" s="464" t="s">
        <v>451</v>
      </c>
      <c r="AO40" s="453" t="s">
        <v>451</v>
      </c>
      <c r="AP40" s="464" t="s">
        <v>451</v>
      </c>
      <c r="AQ40" s="464" t="s">
        <v>451</v>
      </c>
      <c r="AR40" s="464" t="s">
        <v>451</v>
      </c>
      <c r="AS40" s="464" t="s">
        <v>451</v>
      </c>
      <c r="AT40" s="464" t="s">
        <v>451</v>
      </c>
      <c r="AU40" s="464" t="s">
        <v>451</v>
      </c>
      <c r="AV40" s="464" t="s">
        <v>451</v>
      </c>
      <c r="AW40" s="465" t="s">
        <v>451</v>
      </c>
      <c r="AX40" s="466" t="s">
        <v>658</v>
      </c>
      <c r="AY40" s="467" t="s">
        <v>1491</v>
      </c>
      <c r="AZ40" s="468" t="s">
        <v>1492</v>
      </c>
      <c r="BA40" s="469">
        <v>2410200000</v>
      </c>
      <c r="BB40" s="469">
        <v>2092811400</v>
      </c>
      <c r="BC40" s="469">
        <v>185469000</v>
      </c>
      <c r="BD40" s="469">
        <v>0</v>
      </c>
      <c r="BE40" s="470">
        <v>4688480400</v>
      </c>
      <c r="BF40" s="471"/>
      <c r="BG40" s="472" t="s">
        <v>1711</v>
      </c>
      <c r="BH40" s="457" t="s">
        <v>200</v>
      </c>
      <c r="BI40" s="473"/>
      <c r="BJ40" s="473"/>
      <c r="BK40" s="473"/>
      <c r="BL40" s="473"/>
      <c r="BM40" s="473"/>
      <c r="BN40" s="474"/>
      <c r="BO40" s="454"/>
      <c r="BP40" s="457"/>
      <c r="BQ40" s="454"/>
      <c r="BR40" s="478"/>
      <c r="BS40" s="487"/>
      <c r="BT40" s="454"/>
      <c r="BU40" s="457"/>
      <c r="BV40" s="457"/>
      <c r="BW40" s="454"/>
      <c r="BX40" s="454"/>
      <c r="BY40" s="477"/>
      <c r="BZ40" s="477"/>
      <c r="CA40" s="478"/>
      <c r="CB40" s="483"/>
    </row>
    <row r="41" spans="2:80" s="135" customFormat="1" ht="15" customHeight="1">
      <c r="B41" s="366">
        <f t="shared" si="1"/>
        <v>31</v>
      </c>
      <c r="C41" s="289" t="s">
        <v>416</v>
      </c>
      <c r="D41" s="446" t="s">
        <v>270</v>
      </c>
      <c r="E41" s="447" t="s">
        <v>290</v>
      </c>
      <c r="F41" s="520" t="s">
        <v>732</v>
      </c>
      <c r="G41" s="448" t="s">
        <v>468</v>
      </c>
      <c r="H41" s="449">
        <v>1</v>
      </c>
      <c r="I41" s="450" t="s">
        <v>186</v>
      </c>
      <c r="J41" s="450" t="s">
        <v>263</v>
      </c>
      <c r="K41" s="450" t="s">
        <v>1494</v>
      </c>
      <c r="L41" s="450" t="s">
        <v>1495</v>
      </c>
      <c r="M41" s="451" t="s">
        <v>174</v>
      </c>
      <c r="N41" s="452">
        <v>1616.1999999999998</v>
      </c>
      <c r="O41" s="452">
        <v>578.45000000000005</v>
      </c>
      <c r="P41" s="453"/>
      <c r="Q41" s="453"/>
      <c r="R41" s="454">
        <v>45072</v>
      </c>
      <c r="S41" s="453" t="s">
        <v>257</v>
      </c>
      <c r="T41" s="453" t="s">
        <v>196</v>
      </c>
      <c r="U41" s="455">
        <v>2844000000</v>
      </c>
      <c r="V41" s="455">
        <v>2844000000</v>
      </c>
      <c r="W41" s="456"/>
      <c r="X41" s="456"/>
      <c r="Y41" s="455"/>
      <c r="Z41" s="457"/>
      <c r="AA41" s="453"/>
      <c r="AB41" s="458"/>
      <c r="AC41" s="458"/>
      <c r="AD41" s="453"/>
      <c r="AE41" s="453"/>
      <c r="AF41" s="459"/>
      <c r="AG41" s="453"/>
      <c r="AH41" s="455"/>
      <c r="AI41" s="460"/>
      <c r="AJ41" s="460" t="s">
        <v>657</v>
      </c>
      <c r="AK41" s="461"/>
      <c r="AL41" s="462" t="s">
        <v>451</v>
      </c>
      <c r="AM41" s="463" t="s">
        <v>451</v>
      </c>
      <c r="AN41" s="464" t="s">
        <v>451</v>
      </c>
      <c r="AO41" s="453" t="s">
        <v>451</v>
      </c>
      <c r="AP41" s="464" t="s">
        <v>451</v>
      </c>
      <c r="AQ41" s="464" t="s">
        <v>451</v>
      </c>
      <c r="AR41" s="464" t="s">
        <v>451</v>
      </c>
      <c r="AS41" s="464" t="s">
        <v>451</v>
      </c>
      <c r="AT41" s="464" t="s">
        <v>451</v>
      </c>
      <c r="AU41" s="464" t="s">
        <v>451</v>
      </c>
      <c r="AV41" s="464" t="s">
        <v>451</v>
      </c>
      <c r="AW41" s="465" t="s">
        <v>451</v>
      </c>
      <c r="AX41" s="466" t="s">
        <v>658</v>
      </c>
      <c r="AY41" s="467">
        <v>45539</v>
      </c>
      <c r="AZ41" s="468" t="s">
        <v>336</v>
      </c>
      <c r="BA41" s="469">
        <v>3173940000</v>
      </c>
      <c r="BB41" s="469">
        <v>326273500</v>
      </c>
      <c r="BC41" s="469">
        <v>0</v>
      </c>
      <c r="BD41" s="469">
        <v>0</v>
      </c>
      <c r="BE41" s="470">
        <v>3500213500</v>
      </c>
      <c r="BF41" s="471"/>
      <c r="BG41" s="472" t="s">
        <v>1711</v>
      </c>
      <c r="BH41" s="457" t="s">
        <v>197</v>
      </c>
      <c r="BI41" s="473"/>
      <c r="BJ41" s="473"/>
      <c r="BK41" s="473"/>
      <c r="BL41" s="473"/>
      <c r="BM41" s="473"/>
      <c r="BN41" s="474"/>
      <c r="BO41" s="454"/>
      <c r="BP41" s="457"/>
      <c r="BQ41" s="454"/>
      <c r="BR41" s="478"/>
      <c r="BS41" s="487"/>
      <c r="BT41" s="454"/>
      <c r="BU41" s="457"/>
      <c r="BV41" s="457"/>
      <c r="BW41" s="454"/>
      <c r="BX41" s="454"/>
      <c r="BY41" s="477"/>
      <c r="BZ41" s="477"/>
      <c r="CA41" s="478"/>
      <c r="CB41" s="479"/>
    </row>
    <row r="42" spans="2:80" s="135" customFormat="1" ht="15" customHeight="1">
      <c r="B42" s="366">
        <f t="shared" si="1"/>
        <v>32</v>
      </c>
      <c r="C42" s="289" t="s">
        <v>416</v>
      </c>
      <c r="D42" s="446" t="s">
        <v>270</v>
      </c>
      <c r="E42" s="447" t="s">
        <v>290</v>
      </c>
      <c r="F42" s="520" t="s">
        <v>732</v>
      </c>
      <c r="G42" s="448" t="s">
        <v>469</v>
      </c>
      <c r="H42" s="449">
        <v>2</v>
      </c>
      <c r="I42" s="450" t="s">
        <v>186</v>
      </c>
      <c r="J42" s="450" t="s">
        <v>263</v>
      </c>
      <c r="K42" s="450" t="s">
        <v>1496</v>
      </c>
      <c r="L42" s="450" t="s">
        <v>1497</v>
      </c>
      <c r="M42" s="451" t="s">
        <v>280</v>
      </c>
      <c r="N42" s="452">
        <v>2969</v>
      </c>
      <c r="O42" s="452"/>
      <c r="P42" s="453"/>
      <c r="Q42" s="453"/>
      <c r="R42" s="454">
        <v>45215</v>
      </c>
      <c r="S42" s="453">
        <v>1</v>
      </c>
      <c r="T42" s="453" t="s">
        <v>196</v>
      </c>
      <c r="U42" s="455">
        <v>360000000</v>
      </c>
      <c r="V42" s="455">
        <v>360000000</v>
      </c>
      <c r="W42" s="456"/>
      <c r="X42" s="456"/>
      <c r="Y42" s="455"/>
      <c r="Z42" s="457"/>
      <c r="AA42" s="453"/>
      <c r="AB42" s="458"/>
      <c r="AC42" s="458"/>
      <c r="AD42" s="453"/>
      <c r="AE42" s="453"/>
      <c r="AF42" s="459"/>
      <c r="AG42" s="453"/>
      <c r="AH42" s="455"/>
      <c r="AI42" s="460"/>
      <c r="AJ42" s="460" t="s">
        <v>657</v>
      </c>
      <c r="AK42" s="461"/>
      <c r="AL42" s="462" t="s">
        <v>451</v>
      </c>
      <c r="AM42" s="463" t="s">
        <v>451</v>
      </c>
      <c r="AN42" s="464" t="s">
        <v>451</v>
      </c>
      <c r="AO42" s="453" t="s">
        <v>451</v>
      </c>
      <c r="AP42" s="464" t="s">
        <v>451</v>
      </c>
      <c r="AQ42" s="464" t="s">
        <v>451</v>
      </c>
      <c r="AR42" s="464" t="s">
        <v>451</v>
      </c>
      <c r="AS42" s="464" t="s">
        <v>451</v>
      </c>
      <c r="AT42" s="464" t="s">
        <v>451</v>
      </c>
      <c r="AU42" s="464" t="s">
        <v>451</v>
      </c>
      <c r="AV42" s="464" t="s">
        <v>451</v>
      </c>
      <c r="AW42" s="465" t="s">
        <v>451</v>
      </c>
      <c r="AX42" s="466" t="s">
        <v>658</v>
      </c>
      <c r="AY42" s="467">
        <v>45195</v>
      </c>
      <c r="AZ42" s="468" t="s">
        <v>671</v>
      </c>
      <c r="BA42" s="469">
        <v>403784000</v>
      </c>
      <c r="BB42" s="469">
        <v>0</v>
      </c>
      <c r="BC42" s="469">
        <v>0</v>
      </c>
      <c r="BD42" s="469">
        <v>0</v>
      </c>
      <c r="BE42" s="470">
        <v>403784000</v>
      </c>
      <c r="BF42" s="471"/>
      <c r="BG42" s="472" t="s">
        <v>1711</v>
      </c>
      <c r="BH42" s="457" t="s">
        <v>197</v>
      </c>
      <c r="BI42" s="473"/>
      <c r="BJ42" s="473"/>
      <c r="BK42" s="473"/>
      <c r="BL42" s="473"/>
      <c r="BM42" s="473"/>
      <c r="BN42" s="474"/>
      <c r="BO42" s="454"/>
      <c r="BP42" s="457"/>
      <c r="BQ42" s="454"/>
      <c r="BR42" s="478"/>
      <c r="BS42" s="487"/>
      <c r="BT42" s="454"/>
      <c r="BU42" s="457"/>
      <c r="BV42" s="457"/>
      <c r="BW42" s="454"/>
      <c r="BX42" s="454"/>
      <c r="BY42" s="477"/>
      <c r="BZ42" s="477"/>
      <c r="CA42" s="478"/>
      <c r="CB42" s="479"/>
    </row>
    <row r="43" spans="2:80" s="135" customFormat="1" ht="15" customHeight="1">
      <c r="B43" s="366">
        <f t="shared" si="1"/>
        <v>33</v>
      </c>
      <c r="C43" s="289" t="s">
        <v>416</v>
      </c>
      <c r="D43" s="446" t="s">
        <v>270</v>
      </c>
      <c r="E43" s="447" t="s">
        <v>290</v>
      </c>
      <c r="F43" s="520" t="s">
        <v>732</v>
      </c>
      <c r="G43" s="448" t="s">
        <v>1680</v>
      </c>
      <c r="H43" s="449">
        <v>3</v>
      </c>
      <c r="I43" s="450" t="s">
        <v>186</v>
      </c>
      <c r="J43" s="450" t="s">
        <v>655</v>
      </c>
      <c r="K43" s="450" t="s">
        <v>1498</v>
      </c>
      <c r="L43" s="450" t="s">
        <v>1499</v>
      </c>
      <c r="M43" s="451" t="s">
        <v>227</v>
      </c>
      <c r="N43" s="452">
        <v>490</v>
      </c>
      <c r="O43" s="452">
        <v>199.81</v>
      </c>
      <c r="P43" s="453"/>
      <c r="Q43" s="453"/>
      <c r="R43" s="454">
        <v>45314</v>
      </c>
      <c r="S43" s="453">
        <v>3</v>
      </c>
      <c r="T43" s="453" t="s">
        <v>196</v>
      </c>
      <c r="U43" s="455">
        <v>240000000</v>
      </c>
      <c r="V43" s="455">
        <v>240000000</v>
      </c>
      <c r="W43" s="456" t="s">
        <v>323</v>
      </c>
      <c r="X43" s="456" t="s">
        <v>252</v>
      </c>
      <c r="Y43" s="455">
        <v>240000000</v>
      </c>
      <c r="Z43" s="457" t="s">
        <v>250</v>
      </c>
      <c r="AA43" s="453" t="s">
        <v>196</v>
      </c>
      <c r="AB43" s="458">
        <v>220000000</v>
      </c>
      <c r="AC43" s="458">
        <v>220000000</v>
      </c>
      <c r="AD43" s="453"/>
      <c r="AE43" s="453"/>
      <c r="AF43" s="459"/>
      <c r="AG43" s="453"/>
      <c r="AH43" s="455"/>
      <c r="AI43" s="460"/>
      <c r="AJ43" s="460" t="s">
        <v>657</v>
      </c>
      <c r="AK43" s="461"/>
      <c r="AL43" s="462" t="s">
        <v>451</v>
      </c>
      <c r="AM43" s="463" t="s">
        <v>451</v>
      </c>
      <c r="AN43" s="464" t="s">
        <v>451</v>
      </c>
      <c r="AO43" s="453" t="s">
        <v>451</v>
      </c>
      <c r="AP43" s="464" t="s">
        <v>451</v>
      </c>
      <c r="AQ43" s="464" t="s">
        <v>451</v>
      </c>
      <c r="AR43" s="464" t="s">
        <v>451</v>
      </c>
      <c r="AS43" s="464" t="s">
        <v>451</v>
      </c>
      <c r="AT43" s="464" t="s">
        <v>451</v>
      </c>
      <c r="AU43" s="464" t="s">
        <v>451</v>
      </c>
      <c r="AV43" s="464" t="s">
        <v>451</v>
      </c>
      <c r="AW43" s="465" t="s">
        <v>451</v>
      </c>
      <c r="AX43" s="466" t="s">
        <v>658</v>
      </c>
      <c r="AY43" s="467">
        <v>45295</v>
      </c>
      <c r="AZ43" s="468" t="s">
        <v>336</v>
      </c>
      <c r="BA43" s="469">
        <v>166110000</v>
      </c>
      <c r="BB43" s="469">
        <v>287726000</v>
      </c>
      <c r="BC43" s="469">
        <v>0</v>
      </c>
      <c r="BD43" s="469">
        <v>0</v>
      </c>
      <c r="BE43" s="470">
        <v>453836000</v>
      </c>
      <c r="BF43" s="471"/>
      <c r="BG43" s="472" t="s">
        <v>1711</v>
      </c>
      <c r="BH43" s="457" t="s">
        <v>326</v>
      </c>
      <c r="BI43" s="473"/>
      <c r="BJ43" s="473"/>
      <c r="BK43" s="473"/>
      <c r="BL43" s="473"/>
      <c r="BM43" s="473"/>
      <c r="BN43" s="474"/>
      <c r="BO43" s="454"/>
      <c r="BP43" s="457"/>
      <c r="BQ43" s="454"/>
      <c r="BR43" s="478"/>
      <c r="BS43" s="487"/>
      <c r="BT43" s="454"/>
      <c r="BU43" s="457"/>
      <c r="BV43" s="457"/>
      <c r="BW43" s="454"/>
      <c r="BX43" s="454"/>
      <c r="BY43" s="477"/>
      <c r="BZ43" s="477"/>
      <c r="CA43" s="478"/>
      <c r="CB43" s="483"/>
    </row>
    <row r="44" spans="2:80" s="135" customFormat="1" ht="15" customHeight="1">
      <c r="B44" s="366">
        <f t="shared" si="1"/>
        <v>34</v>
      </c>
      <c r="C44" s="289" t="s">
        <v>416</v>
      </c>
      <c r="D44" s="446" t="s">
        <v>270</v>
      </c>
      <c r="E44" s="447" t="s">
        <v>290</v>
      </c>
      <c r="F44" s="520" t="s">
        <v>732</v>
      </c>
      <c r="G44" s="448" t="s">
        <v>1681</v>
      </c>
      <c r="H44" s="449">
        <v>4</v>
      </c>
      <c r="I44" s="450" t="s">
        <v>186</v>
      </c>
      <c r="J44" s="450" t="s">
        <v>655</v>
      </c>
      <c r="K44" s="450" t="s">
        <v>1498</v>
      </c>
      <c r="L44" s="450" t="s">
        <v>1500</v>
      </c>
      <c r="M44" s="451" t="s">
        <v>1748</v>
      </c>
      <c r="N44" s="452">
        <v>1272</v>
      </c>
      <c r="O44" s="452"/>
      <c r="P44" s="453"/>
      <c r="Q44" s="453"/>
      <c r="R44" s="454">
        <v>45314</v>
      </c>
      <c r="S44" s="453">
        <v>1</v>
      </c>
      <c r="T44" s="453" t="s">
        <v>196</v>
      </c>
      <c r="U44" s="455">
        <v>240000000</v>
      </c>
      <c r="V44" s="455">
        <v>240000000</v>
      </c>
      <c r="W44" s="456" t="s">
        <v>252</v>
      </c>
      <c r="X44" s="456" t="s">
        <v>253</v>
      </c>
      <c r="Y44" s="455">
        <v>240000000</v>
      </c>
      <c r="Z44" s="457"/>
      <c r="AA44" s="453"/>
      <c r="AB44" s="458"/>
      <c r="AC44" s="458"/>
      <c r="AD44" s="453"/>
      <c r="AE44" s="453"/>
      <c r="AF44" s="459"/>
      <c r="AG44" s="453"/>
      <c r="AH44" s="455"/>
      <c r="AI44" s="460"/>
      <c r="AJ44" s="460" t="s">
        <v>657</v>
      </c>
      <c r="AK44" s="461"/>
      <c r="AL44" s="462" t="s">
        <v>451</v>
      </c>
      <c r="AM44" s="463" t="s">
        <v>451</v>
      </c>
      <c r="AN44" s="464" t="s">
        <v>451</v>
      </c>
      <c r="AO44" s="453" t="s">
        <v>451</v>
      </c>
      <c r="AP44" s="464" t="s">
        <v>451</v>
      </c>
      <c r="AQ44" s="464" t="s">
        <v>451</v>
      </c>
      <c r="AR44" s="464" t="s">
        <v>451</v>
      </c>
      <c r="AS44" s="464" t="s">
        <v>451</v>
      </c>
      <c r="AT44" s="464" t="s">
        <v>451</v>
      </c>
      <c r="AU44" s="464" t="s">
        <v>451</v>
      </c>
      <c r="AV44" s="464" t="s">
        <v>451</v>
      </c>
      <c r="AW44" s="465" t="s">
        <v>451</v>
      </c>
      <c r="AX44" s="466" t="s">
        <v>658</v>
      </c>
      <c r="AY44" s="467">
        <v>45295</v>
      </c>
      <c r="AZ44" s="468" t="s">
        <v>336</v>
      </c>
      <c r="BA44" s="469">
        <v>247266000</v>
      </c>
      <c r="BB44" s="469">
        <v>0</v>
      </c>
      <c r="BC44" s="469">
        <v>0</v>
      </c>
      <c r="BD44" s="469">
        <v>0</v>
      </c>
      <c r="BE44" s="470">
        <v>247266000</v>
      </c>
      <c r="BF44" s="471"/>
      <c r="BG44" s="472" t="s">
        <v>1711</v>
      </c>
      <c r="BH44" s="457" t="s">
        <v>326</v>
      </c>
      <c r="BI44" s="473"/>
      <c r="BJ44" s="473"/>
      <c r="BK44" s="473"/>
      <c r="BL44" s="473"/>
      <c r="BM44" s="473"/>
      <c r="BN44" s="474"/>
      <c r="BO44" s="454"/>
      <c r="BP44" s="457"/>
      <c r="BQ44" s="454"/>
      <c r="BR44" s="478"/>
      <c r="BS44" s="487"/>
      <c r="BT44" s="454"/>
      <c r="BU44" s="457"/>
      <c r="BV44" s="457"/>
      <c r="BW44" s="454"/>
      <c r="BX44" s="454"/>
      <c r="BY44" s="477"/>
      <c r="BZ44" s="477"/>
      <c r="CA44" s="478"/>
      <c r="CB44" s="479"/>
    </row>
    <row r="45" spans="2:80" s="135" customFormat="1" ht="15" customHeight="1">
      <c r="B45" s="366">
        <f t="shared" si="1"/>
        <v>35</v>
      </c>
      <c r="C45" s="289" t="s">
        <v>416</v>
      </c>
      <c r="D45" s="446" t="s">
        <v>270</v>
      </c>
      <c r="E45" s="447" t="s">
        <v>632</v>
      </c>
      <c r="F45" s="520" t="s">
        <v>733</v>
      </c>
      <c r="G45" s="448" t="s">
        <v>648</v>
      </c>
      <c r="H45" s="449">
        <v>1</v>
      </c>
      <c r="I45" s="450" t="s">
        <v>245</v>
      </c>
      <c r="J45" s="450" t="s">
        <v>641</v>
      </c>
      <c r="K45" s="450" t="s">
        <v>1501</v>
      </c>
      <c r="L45" s="450" t="s">
        <v>1502</v>
      </c>
      <c r="M45" s="451" t="s">
        <v>646</v>
      </c>
      <c r="N45" s="452">
        <v>2302.1999999999998</v>
      </c>
      <c r="O45" s="452"/>
      <c r="P45" s="453"/>
      <c r="Q45" s="453"/>
      <c r="R45" s="454">
        <v>45371</v>
      </c>
      <c r="S45" s="453">
        <v>1</v>
      </c>
      <c r="T45" s="453" t="s">
        <v>196</v>
      </c>
      <c r="U45" s="455">
        <v>4080000000</v>
      </c>
      <c r="V45" s="455">
        <v>4080000000</v>
      </c>
      <c r="W45" s="456"/>
      <c r="X45" s="456"/>
      <c r="Y45" s="455"/>
      <c r="Z45" s="457"/>
      <c r="AA45" s="453"/>
      <c r="AB45" s="458"/>
      <c r="AC45" s="458"/>
      <c r="AD45" s="453"/>
      <c r="AE45" s="453"/>
      <c r="AF45" s="459"/>
      <c r="AG45" s="453"/>
      <c r="AH45" s="455"/>
      <c r="AI45" s="460"/>
      <c r="AJ45" s="460" t="s">
        <v>657</v>
      </c>
      <c r="AK45" s="461"/>
      <c r="AL45" s="462" t="s">
        <v>451</v>
      </c>
      <c r="AM45" s="463" t="s">
        <v>451</v>
      </c>
      <c r="AN45" s="464" t="s">
        <v>451</v>
      </c>
      <c r="AO45" s="453" t="s">
        <v>451</v>
      </c>
      <c r="AP45" s="464" t="s">
        <v>451</v>
      </c>
      <c r="AQ45" s="464" t="s">
        <v>451</v>
      </c>
      <c r="AR45" s="464" t="s">
        <v>451</v>
      </c>
      <c r="AS45" s="464" t="s">
        <v>451</v>
      </c>
      <c r="AT45" s="464" t="s">
        <v>451</v>
      </c>
      <c r="AU45" s="464" t="s">
        <v>451</v>
      </c>
      <c r="AV45" s="464" t="s">
        <v>451</v>
      </c>
      <c r="AW45" s="465" t="s">
        <v>451</v>
      </c>
      <c r="AX45" s="466" t="s">
        <v>1464</v>
      </c>
      <c r="AY45" s="467">
        <v>45853</v>
      </c>
      <c r="AZ45" s="468" t="s">
        <v>667</v>
      </c>
      <c r="BA45" s="469">
        <v>5732478000</v>
      </c>
      <c r="BB45" s="469">
        <v>0</v>
      </c>
      <c r="BC45" s="469">
        <v>0</v>
      </c>
      <c r="BD45" s="469">
        <v>95378438</v>
      </c>
      <c r="BE45" s="470">
        <v>5827856438</v>
      </c>
      <c r="BF45" s="471"/>
      <c r="BG45" s="472" t="s">
        <v>1712</v>
      </c>
      <c r="BH45" s="457" t="s">
        <v>209</v>
      </c>
      <c r="BI45" s="480" t="s">
        <v>221</v>
      </c>
      <c r="BJ45" s="481">
        <v>45845</v>
      </c>
      <c r="BK45" s="480" t="s">
        <v>1750</v>
      </c>
      <c r="BL45" s="481">
        <v>45929</v>
      </c>
      <c r="BM45" s="482">
        <v>3459151943</v>
      </c>
      <c r="BN45" s="474"/>
      <c r="BO45" s="454"/>
      <c r="BP45" s="457"/>
      <c r="BQ45" s="454"/>
      <c r="BR45" s="478"/>
      <c r="BS45" s="487"/>
      <c r="BT45" s="454"/>
      <c r="BU45" s="457"/>
      <c r="BV45" s="457"/>
      <c r="BW45" s="454"/>
      <c r="BX45" s="454"/>
      <c r="BY45" s="477"/>
      <c r="BZ45" s="477"/>
      <c r="CA45" s="478"/>
      <c r="CB45" s="479" t="s">
        <v>1751</v>
      </c>
    </row>
    <row r="46" spans="2:80" s="135" customFormat="1" ht="15" customHeight="1">
      <c r="B46" s="366">
        <f t="shared" si="1"/>
        <v>36</v>
      </c>
      <c r="C46" s="289" t="s">
        <v>416</v>
      </c>
      <c r="D46" s="446" t="s">
        <v>270</v>
      </c>
      <c r="E46" s="447" t="s">
        <v>291</v>
      </c>
      <c r="F46" s="520" t="s">
        <v>734</v>
      </c>
      <c r="G46" s="448" t="s">
        <v>470</v>
      </c>
      <c r="H46" s="449">
        <v>1</v>
      </c>
      <c r="I46" s="450" t="s">
        <v>186</v>
      </c>
      <c r="J46" s="450" t="s">
        <v>1503</v>
      </c>
      <c r="K46" s="450" t="s">
        <v>1504</v>
      </c>
      <c r="L46" s="450" t="s">
        <v>1505</v>
      </c>
      <c r="M46" s="451" t="s">
        <v>195</v>
      </c>
      <c r="N46" s="452">
        <v>93.44</v>
      </c>
      <c r="O46" s="452">
        <v>266.64</v>
      </c>
      <c r="P46" s="453"/>
      <c r="Q46" s="453"/>
      <c r="R46" s="454">
        <v>37881</v>
      </c>
      <c r="S46" s="453">
        <v>1</v>
      </c>
      <c r="T46" s="453" t="s">
        <v>196</v>
      </c>
      <c r="U46" s="455">
        <v>400000000</v>
      </c>
      <c r="V46" s="455">
        <v>400000000</v>
      </c>
      <c r="W46" s="456"/>
      <c r="X46" s="456"/>
      <c r="Y46" s="455"/>
      <c r="Z46" s="457"/>
      <c r="AA46" s="453"/>
      <c r="AB46" s="458"/>
      <c r="AC46" s="458"/>
      <c r="AD46" s="453"/>
      <c r="AE46" s="453"/>
      <c r="AF46" s="459"/>
      <c r="AG46" s="453"/>
      <c r="AH46" s="455"/>
      <c r="AI46" s="460"/>
      <c r="AJ46" s="460" t="s">
        <v>657</v>
      </c>
      <c r="AK46" s="461"/>
      <c r="AL46" s="462" t="s">
        <v>451</v>
      </c>
      <c r="AM46" s="463" t="s">
        <v>451</v>
      </c>
      <c r="AN46" s="464" t="s">
        <v>451</v>
      </c>
      <c r="AO46" s="453" t="s">
        <v>451</v>
      </c>
      <c r="AP46" s="464" t="s">
        <v>451</v>
      </c>
      <c r="AQ46" s="464" t="s">
        <v>451</v>
      </c>
      <c r="AR46" s="464" t="s">
        <v>451</v>
      </c>
      <c r="AS46" s="464" t="s">
        <v>451</v>
      </c>
      <c r="AT46" s="464" t="s">
        <v>451</v>
      </c>
      <c r="AU46" s="464" t="s">
        <v>451</v>
      </c>
      <c r="AV46" s="464" t="s">
        <v>451</v>
      </c>
      <c r="AW46" s="465" t="s">
        <v>451</v>
      </c>
      <c r="AX46" s="466" t="s">
        <v>658</v>
      </c>
      <c r="AY46" s="489">
        <v>37830</v>
      </c>
      <c r="AZ46" s="468" t="s">
        <v>666</v>
      </c>
      <c r="BA46" s="469">
        <v>0</v>
      </c>
      <c r="BB46" s="469">
        <v>330000000</v>
      </c>
      <c r="BC46" s="469">
        <v>0</v>
      </c>
      <c r="BD46" s="469">
        <v>0</v>
      </c>
      <c r="BE46" s="470">
        <v>330000000</v>
      </c>
      <c r="BF46" s="471"/>
      <c r="BG46" s="472" t="s">
        <v>1712</v>
      </c>
      <c r="BH46" s="457" t="s">
        <v>202</v>
      </c>
      <c r="BI46" s="480" t="s">
        <v>1713</v>
      </c>
      <c r="BJ46" s="481">
        <v>45825</v>
      </c>
      <c r="BK46" s="480" t="s">
        <v>1752</v>
      </c>
      <c r="BL46" s="481"/>
      <c r="BM46" s="473">
        <v>3335837054</v>
      </c>
      <c r="BN46" s="457" t="s">
        <v>1753</v>
      </c>
      <c r="BO46" s="481">
        <v>45776</v>
      </c>
      <c r="BP46" s="480" t="s">
        <v>1754</v>
      </c>
      <c r="BQ46" s="481">
        <v>45848</v>
      </c>
      <c r="BR46" s="485">
        <v>714733142</v>
      </c>
      <c r="BS46" s="487"/>
      <c r="BT46" s="454"/>
      <c r="BU46" s="457"/>
      <c r="BV46" s="457"/>
      <c r="BW46" s="454"/>
      <c r="BX46" s="454"/>
      <c r="BY46" s="477"/>
      <c r="BZ46" s="477"/>
      <c r="CA46" s="478"/>
      <c r="CB46" s="479"/>
    </row>
    <row r="47" spans="2:80" s="135" customFormat="1" ht="15" customHeight="1">
      <c r="B47" s="366">
        <f t="shared" si="1"/>
        <v>37</v>
      </c>
      <c r="C47" s="289" t="s">
        <v>416</v>
      </c>
      <c r="D47" s="446" t="s">
        <v>270</v>
      </c>
      <c r="E47" s="447" t="s">
        <v>289</v>
      </c>
      <c r="F47" s="520" t="s">
        <v>735</v>
      </c>
      <c r="G47" s="448" t="s">
        <v>471</v>
      </c>
      <c r="H47" s="449">
        <v>1</v>
      </c>
      <c r="I47" s="450" t="s">
        <v>186</v>
      </c>
      <c r="J47" s="450" t="s">
        <v>263</v>
      </c>
      <c r="K47" s="450" t="s">
        <v>1506</v>
      </c>
      <c r="L47" s="450" t="s">
        <v>1507</v>
      </c>
      <c r="M47" s="451" t="s">
        <v>174</v>
      </c>
      <c r="N47" s="452">
        <v>4894</v>
      </c>
      <c r="O47" s="452">
        <v>2136.36</v>
      </c>
      <c r="P47" s="453"/>
      <c r="Q47" s="453"/>
      <c r="R47" s="454">
        <v>40521</v>
      </c>
      <c r="S47" s="453">
        <v>1</v>
      </c>
      <c r="T47" s="453" t="s">
        <v>196</v>
      </c>
      <c r="U47" s="455">
        <v>3600000000</v>
      </c>
      <c r="V47" s="455">
        <v>3600000000</v>
      </c>
      <c r="W47" s="456"/>
      <c r="X47" s="456"/>
      <c r="Y47" s="455"/>
      <c r="Z47" s="457"/>
      <c r="AA47" s="453"/>
      <c r="AB47" s="458"/>
      <c r="AC47" s="458"/>
      <c r="AD47" s="453"/>
      <c r="AE47" s="453"/>
      <c r="AF47" s="459"/>
      <c r="AG47" s="453" t="s">
        <v>196</v>
      </c>
      <c r="AH47" s="455">
        <v>861132375</v>
      </c>
      <c r="AI47" s="460" t="s">
        <v>1749</v>
      </c>
      <c r="AJ47" s="460" t="s">
        <v>657</v>
      </c>
      <c r="AK47" s="461"/>
      <c r="AL47" s="462" t="s">
        <v>451</v>
      </c>
      <c r="AM47" s="463" t="s">
        <v>451</v>
      </c>
      <c r="AN47" s="464" t="s">
        <v>451</v>
      </c>
      <c r="AO47" s="453" t="s">
        <v>451</v>
      </c>
      <c r="AP47" s="464" t="s">
        <v>451</v>
      </c>
      <c r="AQ47" s="464" t="s">
        <v>451</v>
      </c>
      <c r="AR47" s="464" t="s">
        <v>451</v>
      </c>
      <c r="AS47" s="464" t="s">
        <v>451</v>
      </c>
      <c r="AT47" s="464" t="s">
        <v>451</v>
      </c>
      <c r="AU47" s="464" t="s">
        <v>451</v>
      </c>
      <c r="AV47" s="464" t="s">
        <v>451</v>
      </c>
      <c r="AW47" s="465" t="s">
        <v>451</v>
      </c>
      <c r="AX47" s="466" t="s">
        <v>658</v>
      </c>
      <c r="AY47" s="467">
        <v>44489</v>
      </c>
      <c r="AZ47" s="468" t="s">
        <v>667</v>
      </c>
      <c r="BA47" s="469">
        <v>2652548000</v>
      </c>
      <c r="BB47" s="469">
        <v>748209880</v>
      </c>
      <c r="BC47" s="469">
        <v>0</v>
      </c>
      <c r="BD47" s="469">
        <v>0</v>
      </c>
      <c r="BE47" s="470">
        <v>3400757880</v>
      </c>
      <c r="BF47" s="471"/>
      <c r="BG47" s="472" t="s">
        <v>1711</v>
      </c>
      <c r="BH47" s="457" t="s">
        <v>197</v>
      </c>
      <c r="BI47" s="473"/>
      <c r="BJ47" s="473"/>
      <c r="BK47" s="473"/>
      <c r="BL47" s="473"/>
      <c r="BM47" s="473"/>
      <c r="BN47" s="474"/>
      <c r="BO47" s="454"/>
      <c r="BP47" s="457"/>
      <c r="BQ47" s="454"/>
      <c r="BR47" s="478"/>
      <c r="BS47" s="487"/>
      <c r="BT47" s="454"/>
      <c r="BU47" s="457"/>
      <c r="BV47" s="457"/>
      <c r="BW47" s="454"/>
      <c r="BX47" s="454"/>
      <c r="BY47" s="477"/>
      <c r="BZ47" s="477"/>
      <c r="CA47" s="478"/>
      <c r="CB47" s="479"/>
    </row>
    <row r="48" spans="2:80" s="135" customFormat="1" ht="15" customHeight="1">
      <c r="B48" s="366">
        <f t="shared" si="1"/>
        <v>38</v>
      </c>
      <c r="C48" s="289" t="s">
        <v>416</v>
      </c>
      <c r="D48" s="446" t="s">
        <v>270</v>
      </c>
      <c r="E48" s="447" t="s">
        <v>289</v>
      </c>
      <c r="F48" s="520" t="s">
        <v>735</v>
      </c>
      <c r="G48" s="448" t="s">
        <v>1682</v>
      </c>
      <c r="H48" s="449">
        <v>2</v>
      </c>
      <c r="I48" s="450" t="s">
        <v>193</v>
      </c>
      <c r="J48" s="450" t="s">
        <v>1508</v>
      </c>
      <c r="K48" s="450" t="s">
        <v>1509</v>
      </c>
      <c r="L48" s="450" t="s">
        <v>1510</v>
      </c>
      <c r="M48" s="451" t="s">
        <v>177</v>
      </c>
      <c r="N48" s="452">
        <v>82156</v>
      </c>
      <c r="O48" s="452"/>
      <c r="P48" s="453"/>
      <c r="Q48" s="453"/>
      <c r="R48" s="454">
        <v>40849</v>
      </c>
      <c r="S48" s="453">
        <v>1</v>
      </c>
      <c r="T48" s="453" t="s">
        <v>196</v>
      </c>
      <c r="U48" s="455">
        <v>1560000000</v>
      </c>
      <c r="V48" s="455">
        <v>1560000000</v>
      </c>
      <c r="W48" s="456"/>
      <c r="X48" s="456"/>
      <c r="Y48" s="455"/>
      <c r="Z48" s="457"/>
      <c r="AA48" s="453"/>
      <c r="AB48" s="458"/>
      <c r="AC48" s="458"/>
      <c r="AD48" s="453"/>
      <c r="AE48" s="453"/>
      <c r="AF48" s="459"/>
      <c r="AG48" s="453" t="s">
        <v>196</v>
      </c>
      <c r="AH48" s="455">
        <v>100142875</v>
      </c>
      <c r="AI48" s="460" t="s">
        <v>1749</v>
      </c>
      <c r="AJ48" s="460" t="s">
        <v>657</v>
      </c>
      <c r="AK48" s="461"/>
      <c r="AL48" s="462" t="s">
        <v>451</v>
      </c>
      <c r="AM48" s="463" t="s">
        <v>451</v>
      </c>
      <c r="AN48" s="464" t="s">
        <v>451</v>
      </c>
      <c r="AO48" s="453" t="s">
        <v>451</v>
      </c>
      <c r="AP48" s="464" t="s">
        <v>451</v>
      </c>
      <c r="AQ48" s="464" t="s">
        <v>451</v>
      </c>
      <c r="AR48" s="464" t="s">
        <v>451</v>
      </c>
      <c r="AS48" s="464" t="s">
        <v>451</v>
      </c>
      <c r="AT48" s="464" t="s">
        <v>451</v>
      </c>
      <c r="AU48" s="464" t="s">
        <v>451</v>
      </c>
      <c r="AV48" s="464" t="s">
        <v>451</v>
      </c>
      <c r="AW48" s="465" t="s">
        <v>451</v>
      </c>
      <c r="AX48" s="466" t="s">
        <v>338</v>
      </c>
      <c r="AY48" s="467" t="s">
        <v>338</v>
      </c>
      <c r="AZ48" s="468" t="s">
        <v>338</v>
      </c>
      <c r="BA48" s="469" t="s">
        <v>338</v>
      </c>
      <c r="BB48" s="469" t="s">
        <v>338</v>
      </c>
      <c r="BC48" s="469" t="s">
        <v>338</v>
      </c>
      <c r="BD48" s="469" t="s">
        <v>338</v>
      </c>
      <c r="BE48" s="470" t="s">
        <v>338</v>
      </c>
      <c r="BF48" s="471"/>
      <c r="BG48" s="472" t="s">
        <v>1711</v>
      </c>
      <c r="BH48" s="457" t="s">
        <v>1511</v>
      </c>
      <c r="BI48" s="473"/>
      <c r="BJ48" s="473"/>
      <c r="BK48" s="473"/>
      <c r="BL48" s="473"/>
      <c r="BM48" s="473"/>
      <c r="BN48" s="474"/>
      <c r="BO48" s="454"/>
      <c r="BP48" s="457"/>
      <c r="BQ48" s="454"/>
      <c r="BR48" s="478"/>
      <c r="BS48" s="487"/>
      <c r="BT48" s="454"/>
      <c r="BU48" s="457"/>
      <c r="BV48" s="457"/>
      <c r="BW48" s="454"/>
      <c r="BX48" s="454"/>
      <c r="BY48" s="477"/>
      <c r="BZ48" s="477"/>
      <c r="CA48" s="478"/>
      <c r="CB48" s="479"/>
    </row>
    <row r="49" spans="2:80" s="135" customFormat="1" ht="15" customHeight="1">
      <c r="B49" s="366">
        <f t="shared" si="1"/>
        <v>39</v>
      </c>
      <c r="C49" s="289" t="s">
        <v>416</v>
      </c>
      <c r="D49" s="446" t="s">
        <v>270</v>
      </c>
      <c r="E49" s="447" t="s">
        <v>736</v>
      </c>
      <c r="F49" s="520" t="s">
        <v>737</v>
      </c>
      <c r="G49" s="448" t="s">
        <v>1683</v>
      </c>
      <c r="H49" s="449">
        <v>1</v>
      </c>
      <c r="I49" s="450" t="s">
        <v>244</v>
      </c>
      <c r="J49" s="450" t="s">
        <v>318</v>
      </c>
      <c r="K49" s="450" t="s">
        <v>1512</v>
      </c>
      <c r="L49" s="450" t="s">
        <v>1513</v>
      </c>
      <c r="M49" s="451" t="s">
        <v>174</v>
      </c>
      <c r="N49" s="452">
        <v>3557.5</v>
      </c>
      <c r="O49" s="452">
        <v>1857.48</v>
      </c>
      <c r="P49" s="453">
        <v>2</v>
      </c>
      <c r="Q49" s="453" t="s">
        <v>220</v>
      </c>
      <c r="R49" s="454">
        <v>45044</v>
      </c>
      <c r="S49" s="453">
        <v>1</v>
      </c>
      <c r="T49" s="453" t="s">
        <v>196</v>
      </c>
      <c r="U49" s="455">
        <v>3600000000</v>
      </c>
      <c r="V49" s="455">
        <v>3600000000</v>
      </c>
      <c r="W49" s="456"/>
      <c r="X49" s="456"/>
      <c r="Y49" s="455"/>
      <c r="Z49" s="457"/>
      <c r="AA49" s="453"/>
      <c r="AB49" s="458"/>
      <c r="AC49" s="458"/>
      <c r="AD49" s="453"/>
      <c r="AE49" s="453"/>
      <c r="AF49" s="459"/>
      <c r="AG49" s="453" t="s">
        <v>196</v>
      </c>
      <c r="AH49" s="455">
        <v>231000000</v>
      </c>
      <c r="AI49" s="460" t="s">
        <v>1749</v>
      </c>
      <c r="AJ49" s="460" t="s">
        <v>657</v>
      </c>
      <c r="AK49" s="461"/>
      <c r="AL49" s="462" t="s">
        <v>451</v>
      </c>
      <c r="AM49" s="463" t="s">
        <v>451</v>
      </c>
      <c r="AN49" s="464" t="s">
        <v>451</v>
      </c>
      <c r="AO49" s="453" t="s">
        <v>451</v>
      </c>
      <c r="AP49" s="464" t="s">
        <v>451</v>
      </c>
      <c r="AQ49" s="464" t="s">
        <v>451</v>
      </c>
      <c r="AR49" s="464" t="s">
        <v>451</v>
      </c>
      <c r="AS49" s="464" t="s">
        <v>451</v>
      </c>
      <c r="AT49" s="464" t="s">
        <v>451</v>
      </c>
      <c r="AU49" s="464" t="s">
        <v>451</v>
      </c>
      <c r="AV49" s="464" t="s">
        <v>451</v>
      </c>
      <c r="AW49" s="465" t="s">
        <v>451</v>
      </c>
      <c r="AX49" s="466" t="s">
        <v>658</v>
      </c>
      <c r="AY49" s="467">
        <v>45026</v>
      </c>
      <c r="AZ49" s="468" t="s">
        <v>663</v>
      </c>
      <c r="BA49" s="469">
        <v>1661352500</v>
      </c>
      <c r="BB49" s="469">
        <v>1863726000</v>
      </c>
      <c r="BC49" s="469">
        <v>68607000</v>
      </c>
      <c r="BD49" s="469">
        <v>0</v>
      </c>
      <c r="BE49" s="469">
        <v>3593685500</v>
      </c>
      <c r="BF49" s="471"/>
      <c r="BG49" s="472" t="s">
        <v>1712</v>
      </c>
      <c r="BH49" s="457" t="s">
        <v>328</v>
      </c>
      <c r="BI49" s="480" t="s">
        <v>1713</v>
      </c>
      <c r="BJ49" s="481">
        <v>45761</v>
      </c>
      <c r="BK49" s="480" t="s">
        <v>1755</v>
      </c>
      <c r="BL49" s="481">
        <v>45833</v>
      </c>
      <c r="BM49" s="482">
        <v>3600000000</v>
      </c>
      <c r="BN49" s="474"/>
      <c r="BO49" s="454"/>
      <c r="BP49" s="457"/>
      <c r="BQ49" s="454"/>
      <c r="BR49" s="475"/>
      <c r="BS49" s="487"/>
      <c r="BT49" s="454"/>
      <c r="BU49" s="457"/>
      <c r="BV49" s="457"/>
      <c r="BW49" s="454"/>
      <c r="BX49" s="454"/>
      <c r="BY49" s="477"/>
      <c r="BZ49" s="477"/>
      <c r="CA49" s="478"/>
      <c r="CB49" s="479"/>
    </row>
    <row r="50" spans="2:80" s="135" customFormat="1" ht="15" customHeight="1">
      <c r="B50" s="366">
        <f t="shared" si="1"/>
        <v>40</v>
      </c>
      <c r="C50" s="289" t="s">
        <v>416</v>
      </c>
      <c r="D50" s="446" t="s">
        <v>270</v>
      </c>
      <c r="E50" s="447" t="s">
        <v>293</v>
      </c>
      <c r="F50" s="520" t="s">
        <v>738</v>
      </c>
      <c r="G50" s="448" t="s">
        <v>472</v>
      </c>
      <c r="H50" s="449">
        <v>1</v>
      </c>
      <c r="I50" s="450" t="s">
        <v>186</v>
      </c>
      <c r="J50" s="450" t="s">
        <v>180</v>
      </c>
      <c r="K50" s="450" t="s">
        <v>1514</v>
      </c>
      <c r="L50" s="450" t="s">
        <v>1515</v>
      </c>
      <c r="M50" s="451" t="s">
        <v>178</v>
      </c>
      <c r="N50" s="452">
        <v>6037</v>
      </c>
      <c r="O50" s="452">
        <v>168</v>
      </c>
      <c r="P50" s="453"/>
      <c r="Q50" s="453"/>
      <c r="R50" s="454">
        <v>45385</v>
      </c>
      <c r="S50" s="453">
        <v>1</v>
      </c>
      <c r="T50" s="453" t="s">
        <v>196</v>
      </c>
      <c r="U50" s="455">
        <v>3800000000</v>
      </c>
      <c r="V50" s="455">
        <v>3800000000</v>
      </c>
      <c r="W50" s="456"/>
      <c r="X50" s="456"/>
      <c r="Y50" s="455"/>
      <c r="Z50" s="457"/>
      <c r="AA50" s="453"/>
      <c r="AB50" s="458"/>
      <c r="AC50" s="458"/>
      <c r="AD50" s="453"/>
      <c r="AE50" s="453"/>
      <c r="AF50" s="459"/>
      <c r="AG50" s="453"/>
      <c r="AH50" s="455"/>
      <c r="AI50" s="460"/>
      <c r="AJ50" s="460" t="s">
        <v>657</v>
      </c>
      <c r="AK50" s="461"/>
      <c r="AL50" s="462" t="s">
        <v>451</v>
      </c>
      <c r="AM50" s="463" t="s">
        <v>451</v>
      </c>
      <c r="AN50" s="464" t="s">
        <v>451</v>
      </c>
      <c r="AO50" s="453" t="s">
        <v>451</v>
      </c>
      <c r="AP50" s="464" t="s">
        <v>451</v>
      </c>
      <c r="AQ50" s="464" t="s">
        <v>451</v>
      </c>
      <c r="AR50" s="464" t="s">
        <v>451</v>
      </c>
      <c r="AS50" s="464" t="s">
        <v>451</v>
      </c>
      <c r="AT50" s="464" t="s">
        <v>451</v>
      </c>
      <c r="AU50" s="464" t="s">
        <v>451</v>
      </c>
      <c r="AV50" s="464" t="s">
        <v>451</v>
      </c>
      <c r="AW50" s="465" t="s">
        <v>451</v>
      </c>
      <c r="AX50" s="466" t="s">
        <v>658</v>
      </c>
      <c r="AY50" s="467">
        <v>45359</v>
      </c>
      <c r="AZ50" s="468" t="s">
        <v>665</v>
      </c>
      <c r="BA50" s="469">
        <v>3197373000</v>
      </c>
      <c r="BB50" s="469">
        <v>68796000</v>
      </c>
      <c r="BC50" s="469">
        <v>0</v>
      </c>
      <c r="BD50" s="469">
        <v>0</v>
      </c>
      <c r="BE50" s="470">
        <v>3266169000</v>
      </c>
      <c r="BF50" s="491"/>
      <c r="BG50" s="472" t="s">
        <v>1711</v>
      </c>
      <c r="BH50" s="457" t="s">
        <v>200</v>
      </c>
      <c r="BI50" s="473"/>
      <c r="BJ50" s="473"/>
      <c r="BK50" s="473"/>
      <c r="BL50" s="473"/>
      <c r="BM50" s="473"/>
      <c r="BN50" s="474"/>
      <c r="BO50" s="454"/>
      <c r="BP50" s="457"/>
      <c r="BQ50" s="454"/>
      <c r="BR50" s="475"/>
      <c r="BS50" s="487"/>
      <c r="BT50" s="454"/>
      <c r="BU50" s="457"/>
      <c r="BV50" s="457"/>
      <c r="BW50" s="454"/>
      <c r="BX50" s="454"/>
      <c r="BY50" s="477"/>
      <c r="BZ50" s="477"/>
      <c r="CA50" s="478"/>
      <c r="CB50" s="479"/>
    </row>
    <row r="51" spans="2:80" s="135" customFormat="1" ht="15" customHeight="1">
      <c r="B51" s="366">
        <f t="shared" si="1"/>
        <v>41</v>
      </c>
      <c r="C51" s="289" t="s">
        <v>416</v>
      </c>
      <c r="D51" s="446" t="s">
        <v>270</v>
      </c>
      <c r="E51" s="447" t="s">
        <v>293</v>
      </c>
      <c r="F51" s="520" t="s">
        <v>738</v>
      </c>
      <c r="G51" s="448" t="s">
        <v>1684</v>
      </c>
      <c r="H51" s="449">
        <v>2</v>
      </c>
      <c r="I51" s="450" t="s">
        <v>244</v>
      </c>
      <c r="J51" s="450" t="s">
        <v>315</v>
      </c>
      <c r="K51" s="450" t="s">
        <v>1516</v>
      </c>
      <c r="L51" s="450" t="s">
        <v>1517</v>
      </c>
      <c r="M51" s="451" t="s">
        <v>646</v>
      </c>
      <c r="N51" s="452">
        <v>338</v>
      </c>
      <c r="O51" s="452"/>
      <c r="P51" s="453"/>
      <c r="Q51" s="453"/>
      <c r="R51" s="454">
        <v>45547</v>
      </c>
      <c r="S51" s="453">
        <v>1</v>
      </c>
      <c r="T51" s="453" t="s">
        <v>196</v>
      </c>
      <c r="U51" s="455">
        <v>120000000</v>
      </c>
      <c r="V51" s="455">
        <v>120000000</v>
      </c>
      <c r="W51" s="456"/>
      <c r="X51" s="456"/>
      <c r="Y51" s="455"/>
      <c r="Z51" s="457"/>
      <c r="AA51" s="453"/>
      <c r="AB51" s="458"/>
      <c r="AC51" s="458"/>
      <c r="AD51" s="453"/>
      <c r="AE51" s="453"/>
      <c r="AF51" s="459"/>
      <c r="AG51" s="453"/>
      <c r="AH51" s="455"/>
      <c r="AI51" s="460"/>
      <c r="AJ51" s="460" t="s">
        <v>657</v>
      </c>
      <c r="AK51" s="461"/>
      <c r="AL51" s="462" t="s">
        <v>451</v>
      </c>
      <c r="AM51" s="463" t="s">
        <v>451</v>
      </c>
      <c r="AN51" s="464" t="s">
        <v>451</v>
      </c>
      <c r="AO51" s="453" t="s">
        <v>451</v>
      </c>
      <c r="AP51" s="464" t="s">
        <v>451</v>
      </c>
      <c r="AQ51" s="464" t="s">
        <v>451</v>
      </c>
      <c r="AR51" s="464" t="s">
        <v>451</v>
      </c>
      <c r="AS51" s="464" t="s">
        <v>451</v>
      </c>
      <c r="AT51" s="464" t="s">
        <v>451</v>
      </c>
      <c r="AU51" s="464" t="s">
        <v>451</v>
      </c>
      <c r="AV51" s="464" t="s">
        <v>451</v>
      </c>
      <c r="AW51" s="465" t="s">
        <v>451</v>
      </c>
      <c r="AX51" s="466" t="s">
        <v>658</v>
      </c>
      <c r="AY51" s="467">
        <v>45540</v>
      </c>
      <c r="AZ51" s="468" t="s">
        <v>336</v>
      </c>
      <c r="BA51" s="469">
        <v>135200000</v>
      </c>
      <c r="BB51" s="469">
        <v>0</v>
      </c>
      <c r="BC51" s="469">
        <v>0</v>
      </c>
      <c r="BD51" s="469">
        <v>0</v>
      </c>
      <c r="BE51" s="470">
        <v>135200000</v>
      </c>
      <c r="BF51" s="471"/>
      <c r="BG51" s="472" t="s">
        <v>1711</v>
      </c>
      <c r="BH51" s="457" t="s">
        <v>324</v>
      </c>
      <c r="BI51" s="473"/>
      <c r="BJ51" s="473"/>
      <c r="BK51" s="473"/>
      <c r="BL51" s="473"/>
      <c r="BM51" s="473"/>
      <c r="BN51" s="474"/>
      <c r="BO51" s="454"/>
      <c r="BP51" s="457"/>
      <c r="BQ51" s="454"/>
      <c r="BR51" s="475"/>
      <c r="BS51" s="487"/>
      <c r="BT51" s="454"/>
      <c r="BU51" s="457"/>
      <c r="BV51" s="457"/>
      <c r="BW51" s="454"/>
      <c r="BX51" s="454"/>
      <c r="BY51" s="477"/>
      <c r="BZ51" s="477"/>
      <c r="CA51" s="478"/>
      <c r="CB51" s="479"/>
    </row>
    <row r="52" spans="2:80" s="135" customFormat="1" ht="15" customHeight="1">
      <c r="B52" s="366">
        <f t="shared" si="1"/>
        <v>42</v>
      </c>
      <c r="C52" s="289" t="s">
        <v>416</v>
      </c>
      <c r="D52" s="446" t="s">
        <v>270</v>
      </c>
      <c r="E52" s="447" t="s">
        <v>292</v>
      </c>
      <c r="F52" s="520" t="s">
        <v>739</v>
      </c>
      <c r="G52" s="448" t="s">
        <v>473</v>
      </c>
      <c r="H52" s="449">
        <v>1</v>
      </c>
      <c r="I52" s="450" t="s">
        <v>272</v>
      </c>
      <c r="J52" s="450" t="s">
        <v>273</v>
      </c>
      <c r="K52" s="450" t="s">
        <v>1518</v>
      </c>
      <c r="L52" s="450" t="s">
        <v>1519</v>
      </c>
      <c r="M52" s="451" t="s">
        <v>174</v>
      </c>
      <c r="N52" s="452">
        <v>1660</v>
      </c>
      <c r="O52" s="452">
        <v>1290.26</v>
      </c>
      <c r="P52" s="453">
        <v>4</v>
      </c>
      <c r="Q52" s="453" t="s">
        <v>220</v>
      </c>
      <c r="R52" s="454">
        <v>40403</v>
      </c>
      <c r="S52" s="453" t="s">
        <v>277</v>
      </c>
      <c r="T52" s="453" t="s">
        <v>196</v>
      </c>
      <c r="U52" s="455">
        <v>2620000000</v>
      </c>
      <c r="V52" s="455">
        <v>2620000000</v>
      </c>
      <c r="W52" s="456"/>
      <c r="X52" s="456"/>
      <c r="Y52" s="455"/>
      <c r="Z52" s="457"/>
      <c r="AA52" s="453"/>
      <c r="AB52" s="458"/>
      <c r="AC52" s="458"/>
      <c r="AD52" s="453"/>
      <c r="AE52" s="453"/>
      <c r="AF52" s="459"/>
      <c r="AG52" s="453"/>
      <c r="AH52" s="455"/>
      <c r="AI52" s="460"/>
      <c r="AJ52" s="460" t="s">
        <v>657</v>
      </c>
      <c r="AK52" s="461"/>
      <c r="AL52" s="462" t="s">
        <v>451</v>
      </c>
      <c r="AM52" s="463" t="s">
        <v>451</v>
      </c>
      <c r="AN52" s="464" t="s">
        <v>451</v>
      </c>
      <c r="AO52" s="453" t="s">
        <v>451</v>
      </c>
      <c r="AP52" s="464" t="s">
        <v>451</v>
      </c>
      <c r="AQ52" s="464" t="s">
        <v>451</v>
      </c>
      <c r="AR52" s="464" t="s">
        <v>451</v>
      </c>
      <c r="AS52" s="464" t="s">
        <v>451</v>
      </c>
      <c r="AT52" s="464" t="s">
        <v>451</v>
      </c>
      <c r="AU52" s="464" t="s">
        <v>451</v>
      </c>
      <c r="AV52" s="464" t="s">
        <v>451</v>
      </c>
      <c r="AW52" s="465" t="s">
        <v>451</v>
      </c>
      <c r="AX52" s="466" t="s">
        <v>658</v>
      </c>
      <c r="AY52" s="467">
        <v>45212</v>
      </c>
      <c r="AZ52" s="468" t="s">
        <v>659</v>
      </c>
      <c r="BA52" s="469">
        <v>2573000000</v>
      </c>
      <c r="BB52" s="469">
        <v>292109760</v>
      </c>
      <c r="BC52" s="469">
        <v>3160000</v>
      </c>
      <c r="BD52" s="469">
        <v>0</v>
      </c>
      <c r="BE52" s="470">
        <v>2868269760</v>
      </c>
      <c r="BF52" s="471"/>
      <c r="BG52" s="472" t="s">
        <v>1711</v>
      </c>
      <c r="BH52" s="457" t="s">
        <v>246</v>
      </c>
      <c r="BI52" s="473"/>
      <c r="BJ52" s="473"/>
      <c r="BK52" s="473"/>
      <c r="BL52" s="473"/>
      <c r="BM52" s="473"/>
      <c r="BN52" s="474"/>
      <c r="BO52" s="454"/>
      <c r="BP52" s="457"/>
      <c r="BQ52" s="454"/>
      <c r="BR52" s="478"/>
      <c r="BS52" s="487"/>
      <c r="BT52" s="454"/>
      <c r="BU52" s="457"/>
      <c r="BV52" s="457"/>
      <c r="BW52" s="454"/>
      <c r="BX52" s="454"/>
      <c r="BY52" s="477"/>
      <c r="BZ52" s="477"/>
      <c r="CA52" s="478"/>
      <c r="CB52" s="483"/>
    </row>
    <row r="53" spans="2:80" s="135" customFormat="1" ht="15" customHeight="1">
      <c r="B53" s="366">
        <f t="shared" ref="B53:B82" si="2">ROW()-10</f>
        <v>43</v>
      </c>
      <c r="C53" s="289" t="s">
        <v>416</v>
      </c>
      <c r="D53" s="446" t="s">
        <v>270</v>
      </c>
      <c r="E53" s="447" t="s">
        <v>633</v>
      </c>
      <c r="F53" s="520" t="s">
        <v>740</v>
      </c>
      <c r="G53" s="448" t="s">
        <v>651</v>
      </c>
      <c r="H53" s="449">
        <v>1</v>
      </c>
      <c r="I53" s="450" t="s">
        <v>191</v>
      </c>
      <c r="J53" s="450" t="s">
        <v>1520</v>
      </c>
      <c r="K53" s="450" t="s">
        <v>1521</v>
      </c>
      <c r="L53" s="450" t="s">
        <v>1757</v>
      </c>
      <c r="M53" s="451" t="s">
        <v>174</v>
      </c>
      <c r="N53" s="493">
        <v>2980.6</v>
      </c>
      <c r="O53" s="494">
        <v>1211.32</v>
      </c>
      <c r="P53" s="453">
        <v>14</v>
      </c>
      <c r="Q53" s="453" t="s">
        <v>220</v>
      </c>
      <c r="R53" s="454">
        <v>39591</v>
      </c>
      <c r="S53" s="453" t="s">
        <v>258</v>
      </c>
      <c r="T53" s="453" t="s">
        <v>196</v>
      </c>
      <c r="U53" s="455">
        <v>2604000000</v>
      </c>
      <c r="V53" s="455">
        <v>2604000000</v>
      </c>
      <c r="W53" s="456" t="s">
        <v>251</v>
      </c>
      <c r="X53" s="456" t="s">
        <v>323</v>
      </c>
      <c r="Y53" s="455">
        <v>780000000</v>
      </c>
      <c r="Z53" s="457"/>
      <c r="AA53" s="453"/>
      <c r="AB53" s="458"/>
      <c r="AC53" s="458"/>
      <c r="AD53" s="453"/>
      <c r="AE53" s="453"/>
      <c r="AF53" s="459"/>
      <c r="AG53" s="453"/>
      <c r="AH53" s="455"/>
      <c r="AI53" s="460"/>
      <c r="AJ53" s="460" t="s">
        <v>657</v>
      </c>
      <c r="AK53" s="461"/>
      <c r="AL53" s="462" t="s">
        <v>451</v>
      </c>
      <c r="AM53" s="463" t="s">
        <v>451</v>
      </c>
      <c r="AN53" s="464" t="s">
        <v>451</v>
      </c>
      <c r="AO53" s="453" t="s">
        <v>451</v>
      </c>
      <c r="AP53" s="464" t="s">
        <v>451</v>
      </c>
      <c r="AQ53" s="464" t="s">
        <v>451</v>
      </c>
      <c r="AR53" s="464" t="s">
        <v>451</v>
      </c>
      <c r="AS53" s="464" t="s">
        <v>451</v>
      </c>
      <c r="AT53" s="464" t="s">
        <v>451</v>
      </c>
      <c r="AU53" s="464" t="s">
        <v>451</v>
      </c>
      <c r="AV53" s="464" t="s">
        <v>451</v>
      </c>
      <c r="AW53" s="465" t="s">
        <v>451</v>
      </c>
      <c r="AX53" s="466" t="s">
        <v>658</v>
      </c>
      <c r="AY53" s="467">
        <v>45579</v>
      </c>
      <c r="AZ53" s="468" t="s">
        <v>336</v>
      </c>
      <c r="BA53" s="469">
        <v>894180000</v>
      </c>
      <c r="BB53" s="469">
        <v>646844880</v>
      </c>
      <c r="BC53" s="469">
        <v>0</v>
      </c>
      <c r="BD53" s="469">
        <v>0</v>
      </c>
      <c r="BE53" s="470">
        <v>1541024880</v>
      </c>
      <c r="BF53" s="471"/>
      <c r="BG53" s="472" t="s">
        <v>1712</v>
      </c>
      <c r="BH53" s="457" t="s">
        <v>204</v>
      </c>
      <c r="BI53" s="480" t="s">
        <v>1713</v>
      </c>
      <c r="BJ53" s="481">
        <v>45825</v>
      </c>
      <c r="BK53" s="480" t="s">
        <v>1758</v>
      </c>
      <c r="BL53" s="481">
        <v>45917</v>
      </c>
      <c r="BM53" s="482">
        <v>2390019915</v>
      </c>
      <c r="BN53" s="474"/>
      <c r="BO53" s="454"/>
      <c r="BP53" s="457"/>
      <c r="BQ53" s="454"/>
      <c r="BR53" s="478"/>
      <c r="BS53" s="487"/>
      <c r="BT53" s="454"/>
      <c r="BU53" s="457"/>
      <c r="BV53" s="457"/>
      <c r="BW53" s="454"/>
      <c r="BX53" s="454"/>
      <c r="BY53" s="477"/>
      <c r="BZ53" s="477"/>
      <c r="CA53" s="478"/>
      <c r="CB53" s="479"/>
    </row>
    <row r="54" spans="2:80" s="135" customFormat="1" ht="15" customHeight="1">
      <c r="B54" s="366">
        <f t="shared" si="2"/>
        <v>44</v>
      </c>
      <c r="C54" s="289" t="s">
        <v>416</v>
      </c>
      <c r="D54" s="446" t="s">
        <v>270</v>
      </c>
      <c r="E54" s="447" t="s">
        <v>633</v>
      </c>
      <c r="F54" s="520" t="s">
        <v>740</v>
      </c>
      <c r="G54" s="448" t="s">
        <v>1685</v>
      </c>
      <c r="H54" s="449">
        <v>2</v>
      </c>
      <c r="I54" s="450" t="s">
        <v>191</v>
      </c>
      <c r="J54" s="450" t="s">
        <v>1520</v>
      </c>
      <c r="K54" s="450" t="s">
        <v>1521</v>
      </c>
      <c r="L54" s="450" t="s">
        <v>1522</v>
      </c>
      <c r="M54" s="451" t="s">
        <v>174</v>
      </c>
      <c r="N54" s="452"/>
      <c r="O54" s="494">
        <v>418.13</v>
      </c>
      <c r="P54" s="453" t="s">
        <v>717</v>
      </c>
      <c r="Q54" s="453" t="s">
        <v>220</v>
      </c>
      <c r="R54" s="454">
        <v>41435</v>
      </c>
      <c r="S54" s="453">
        <v>1</v>
      </c>
      <c r="T54" s="453" t="s">
        <v>196</v>
      </c>
      <c r="U54" s="455">
        <v>780000000</v>
      </c>
      <c r="V54" s="455">
        <v>780000000</v>
      </c>
      <c r="W54" s="456" t="s">
        <v>253</v>
      </c>
      <c r="X54" s="456" t="s">
        <v>253</v>
      </c>
      <c r="Y54" s="455">
        <v>780000000</v>
      </c>
      <c r="Z54" s="457"/>
      <c r="AA54" s="453"/>
      <c r="AB54" s="458"/>
      <c r="AC54" s="458"/>
      <c r="AD54" s="453"/>
      <c r="AE54" s="453"/>
      <c r="AF54" s="459"/>
      <c r="AG54" s="453"/>
      <c r="AH54" s="455"/>
      <c r="AI54" s="460"/>
      <c r="AJ54" s="460" t="s">
        <v>657</v>
      </c>
      <c r="AK54" s="461"/>
      <c r="AL54" s="462" t="s">
        <v>451</v>
      </c>
      <c r="AM54" s="463" t="s">
        <v>451</v>
      </c>
      <c r="AN54" s="464" t="s">
        <v>451</v>
      </c>
      <c r="AO54" s="453" t="s">
        <v>451</v>
      </c>
      <c r="AP54" s="464" t="s">
        <v>451</v>
      </c>
      <c r="AQ54" s="464" t="s">
        <v>451</v>
      </c>
      <c r="AR54" s="464" t="s">
        <v>451</v>
      </c>
      <c r="AS54" s="464" t="s">
        <v>451</v>
      </c>
      <c r="AT54" s="464" t="s">
        <v>451</v>
      </c>
      <c r="AU54" s="464" t="s">
        <v>451</v>
      </c>
      <c r="AV54" s="464" t="s">
        <v>451</v>
      </c>
      <c r="AW54" s="465" t="s">
        <v>451</v>
      </c>
      <c r="AX54" s="466" t="s">
        <v>658</v>
      </c>
      <c r="AY54" s="467">
        <v>45579</v>
      </c>
      <c r="AZ54" s="468" t="s">
        <v>336</v>
      </c>
      <c r="BA54" s="469">
        <v>0</v>
      </c>
      <c r="BB54" s="469">
        <v>269693850</v>
      </c>
      <c r="BC54" s="469">
        <v>0</v>
      </c>
      <c r="BD54" s="469">
        <v>0</v>
      </c>
      <c r="BE54" s="470">
        <v>269693850</v>
      </c>
      <c r="BF54" s="471"/>
      <c r="BG54" s="472" t="s">
        <v>1712</v>
      </c>
      <c r="BH54" s="457" t="s">
        <v>204</v>
      </c>
      <c r="BI54" s="480" t="s">
        <v>1713</v>
      </c>
      <c r="BJ54" s="481">
        <v>45825</v>
      </c>
      <c r="BK54" s="480" t="s">
        <v>1758</v>
      </c>
      <c r="BL54" s="481">
        <v>45917</v>
      </c>
      <c r="BM54" s="473" t="s">
        <v>675</v>
      </c>
      <c r="BN54" s="474"/>
      <c r="BO54" s="454"/>
      <c r="BP54" s="457"/>
      <c r="BQ54" s="454"/>
      <c r="BR54" s="475"/>
      <c r="BS54" s="487"/>
      <c r="BT54" s="454"/>
      <c r="BU54" s="457"/>
      <c r="BV54" s="457"/>
      <c r="BW54" s="454"/>
      <c r="BX54" s="454"/>
      <c r="BY54" s="477"/>
      <c r="BZ54" s="477"/>
      <c r="CA54" s="478"/>
      <c r="CB54" s="479"/>
    </row>
    <row r="55" spans="2:80" s="135" customFormat="1" ht="15" customHeight="1">
      <c r="B55" s="366">
        <f t="shared" si="2"/>
        <v>45</v>
      </c>
      <c r="C55" s="289" t="s">
        <v>416</v>
      </c>
      <c r="D55" s="446" t="s">
        <v>270</v>
      </c>
      <c r="E55" s="447" t="s">
        <v>309</v>
      </c>
      <c r="F55" s="520" t="s">
        <v>741</v>
      </c>
      <c r="G55" s="448" t="s">
        <v>474</v>
      </c>
      <c r="H55" s="449">
        <v>1</v>
      </c>
      <c r="I55" s="450" t="s">
        <v>191</v>
      </c>
      <c r="J55" s="450" t="s">
        <v>317</v>
      </c>
      <c r="K55" s="450" t="s">
        <v>1523</v>
      </c>
      <c r="L55" s="450" t="s">
        <v>1524</v>
      </c>
      <c r="M55" s="451" t="s">
        <v>174</v>
      </c>
      <c r="N55" s="452">
        <v>6930</v>
      </c>
      <c r="O55" s="452">
        <v>2472.35</v>
      </c>
      <c r="P55" s="453">
        <v>10</v>
      </c>
      <c r="Q55" s="453" t="s">
        <v>220</v>
      </c>
      <c r="R55" s="454">
        <v>43921</v>
      </c>
      <c r="S55" s="453" t="s">
        <v>250</v>
      </c>
      <c r="T55" s="453" t="s">
        <v>196</v>
      </c>
      <c r="U55" s="455">
        <v>3840000000</v>
      </c>
      <c r="V55" s="455">
        <v>3840000000</v>
      </c>
      <c r="W55" s="456"/>
      <c r="X55" s="456"/>
      <c r="Y55" s="455"/>
      <c r="Z55" s="457"/>
      <c r="AA55" s="453"/>
      <c r="AB55" s="458"/>
      <c r="AC55" s="458"/>
      <c r="AD55" s="453"/>
      <c r="AE55" s="453"/>
      <c r="AF55" s="459"/>
      <c r="AG55" s="453"/>
      <c r="AH55" s="455"/>
      <c r="AI55" s="460"/>
      <c r="AJ55" s="460" t="s">
        <v>657</v>
      </c>
      <c r="AK55" s="461"/>
      <c r="AL55" s="462" t="s">
        <v>451</v>
      </c>
      <c r="AM55" s="463" t="s">
        <v>451</v>
      </c>
      <c r="AN55" s="464" t="s">
        <v>451</v>
      </c>
      <c r="AO55" s="453" t="s">
        <v>451</v>
      </c>
      <c r="AP55" s="464" t="s">
        <v>451</v>
      </c>
      <c r="AQ55" s="464" t="s">
        <v>451</v>
      </c>
      <c r="AR55" s="464" t="s">
        <v>451</v>
      </c>
      <c r="AS55" s="464" t="s">
        <v>451</v>
      </c>
      <c r="AT55" s="464" t="s">
        <v>451</v>
      </c>
      <c r="AU55" s="464" t="s">
        <v>451</v>
      </c>
      <c r="AV55" s="464" t="s">
        <v>451</v>
      </c>
      <c r="AW55" s="465" t="s">
        <v>451</v>
      </c>
      <c r="AX55" s="466" t="s">
        <v>338</v>
      </c>
      <c r="AY55" s="467" t="s">
        <v>338</v>
      </c>
      <c r="AZ55" s="468" t="s">
        <v>338</v>
      </c>
      <c r="BA55" s="469" t="s">
        <v>338</v>
      </c>
      <c r="BB55" s="469" t="s">
        <v>338</v>
      </c>
      <c r="BC55" s="469" t="s">
        <v>338</v>
      </c>
      <c r="BD55" s="469" t="s">
        <v>338</v>
      </c>
      <c r="BE55" s="470" t="s">
        <v>338</v>
      </c>
      <c r="BF55" s="471"/>
      <c r="BG55" s="472" t="s">
        <v>1712</v>
      </c>
      <c r="BH55" s="457" t="s">
        <v>286</v>
      </c>
      <c r="BI55" s="480" t="s">
        <v>1713</v>
      </c>
      <c r="BJ55" s="481">
        <v>45765</v>
      </c>
      <c r="BK55" s="480" t="s">
        <v>1759</v>
      </c>
      <c r="BL55" s="481">
        <v>45845</v>
      </c>
      <c r="BM55" s="482">
        <v>3217904958</v>
      </c>
      <c r="BN55" s="474"/>
      <c r="BO55" s="454"/>
      <c r="BP55" s="457"/>
      <c r="BQ55" s="454"/>
      <c r="BR55" s="478"/>
      <c r="BS55" s="487"/>
      <c r="BT55" s="454"/>
      <c r="BU55" s="457"/>
      <c r="BV55" s="457"/>
      <c r="BW55" s="454"/>
      <c r="BX55" s="454"/>
      <c r="BY55" s="477"/>
      <c r="BZ55" s="477"/>
      <c r="CA55" s="478"/>
      <c r="CB55" s="479"/>
    </row>
    <row r="56" spans="2:80" s="135" customFormat="1" ht="15" customHeight="1">
      <c r="B56" s="366">
        <f t="shared" si="2"/>
        <v>46</v>
      </c>
      <c r="C56" s="289" t="s">
        <v>416</v>
      </c>
      <c r="D56" s="446" t="s">
        <v>270</v>
      </c>
      <c r="E56" s="447" t="s">
        <v>297</v>
      </c>
      <c r="F56" s="520" t="s">
        <v>742</v>
      </c>
      <c r="G56" s="448" t="s">
        <v>475</v>
      </c>
      <c r="H56" s="449">
        <v>1</v>
      </c>
      <c r="I56" s="450" t="s">
        <v>191</v>
      </c>
      <c r="J56" s="450" t="s">
        <v>181</v>
      </c>
      <c r="K56" s="450" t="s">
        <v>1525</v>
      </c>
      <c r="L56" s="450" t="s">
        <v>1526</v>
      </c>
      <c r="M56" s="451" t="s">
        <v>174</v>
      </c>
      <c r="N56" s="452">
        <v>3389</v>
      </c>
      <c r="O56" s="452">
        <v>1354.23</v>
      </c>
      <c r="P56" s="453"/>
      <c r="Q56" s="453"/>
      <c r="R56" s="454">
        <v>43300</v>
      </c>
      <c r="S56" s="453" t="s">
        <v>250</v>
      </c>
      <c r="T56" s="453" t="s">
        <v>196</v>
      </c>
      <c r="U56" s="455">
        <v>1632000000</v>
      </c>
      <c r="V56" s="455">
        <v>1632000000</v>
      </c>
      <c r="W56" s="456"/>
      <c r="X56" s="456"/>
      <c r="Y56" s="455"/>
      <c r="Z56" s="457"/>
      <c r="AA56" s="453"/>
      <c r="AB56" s="458"/>
      <c r="AC56" s="458"/>
      <c r="AD56" s="453"/>
      <c r="AE56" s="453"/>
      <c r="AF56" s="459"/>
      <c r="AG56" s="453"/>
      <c r="AH56" s="455"/>
      <c r="AI56" s="460"/>
      <c r="AJ56" s="460" t="s">
        <v>657</v>
      </c>
      <c r="AK56" s="461"/>
      <c r="AL56" s="462" t="s">
        <v>451</v>
      </c>
      <c r="AM56" s="463" t="s">
        <v>451</v>
      </c>
      <c r="AN56" s="464" t="s">
        <v>451</v>
      </c>
      <c r="AO56" s="453" t="s">
        <v>451</v>
      </c>
      <c r="AP56" s="464" t="s">
        <v>451</v>
      </c>
      <c r="AQ56" s="464" t="s">
        <v>451</v>
      </c>
      <c r="AR56" s="464" t="s">
        <v>451</v>
      </c>
      <c r="AS56" s="464" t="s">
        <v>451</v>
      </c>
      <c r="AT56" s="464" t="s">
        <v>451</v>
      </c>
      <c r="AU56" s="464" t="s">
        <v>451</v>
      </c>
      <c r="AV56" s="464" t="s">
        <v>451</v>
      </c>
      <c r="AW56" s="465" t="s">
        <v>451</v>
      </c>
      <c r="AX56" s="466" t="s">
        <v>658</v>
      </c>
      <c r="AY56" s="467">
        <v>45100</v>
      </c>
      <c r="AZ56" s="468" t="s">
        <v>336</v>
      </c>
      <c r="BA56" s="469">
        <v>1121759000</v>
      </c>
      <c r="BB56" s="469">
        <v>913790750</v>
      </c>
      <c r="BC56" s="469">
        <v>0</v>
      </c>
      <c r="BD56" s="469">
        <v>0</v>
      </c>
      <c r="BE56" s="470">
        <v>2035549750</v>
      </c>
      <c r="BF56" s="471"/>
      <c r="BG56" s="472" t="s">
        <v>1712</v>
      </c>
      <c r="BH56" s="457" t="s">
        <v>206</v>
      </c>
      <c r="BI56" s="480" t="s">
        <v>1713</v>
      </c>
      <c r="BJ56" s="481">
        <v>45706</v>
      </c>
      <c r="BK56" s="480" t="s">
        <v>1760</v>
      </c>
      <c r="BL56" s="481"/>
      <c r="BM56" s="473">
        <v>1632000000</v>
      </c>
      <c r="BN56" s="457" t="s">
        <v>1761</v>
      </c>
      <c r="BO56" s="481">
        <v>45601</v>
      </c>
      <c r="BP56" s="480" t="s">
        <v>1762</v>
      </c>
      <c r="BQ56" s="481">
        <v>45705</v>
      </c>
      <c r="BR56" s="485">
        <v>9347056</v>
      </c>
      <c r="BS56" s="487"/>
      <c r="BT56" s="454"/>
      <c r="BU56" s="457"/>
      <c r="BV56" s="457"/>
      <c r="BW56" s="454"/>
      <c r="BX56" s="454"/>
      <c r="BY56" s="477"/>
      <c r="BZ56" s="477"/>
      <c r="CA56" s="478"/>
      <c r="CB56" s="479"/>
    </row>
    <row r="57" spans="2:80" s="135" customFormat="1" ht="15" customHeight="1">
      <c r="B57" s="366">
        <f t="shared" si="2"/>
        <v>47</v>
      </c>
      <c r="C57" s="289" t="s">
        <v>416</v>
      </c>
      <c r="D57" s="446" t="s">
        <v>270</v>
      </c>
      <c r="E57" s="447" t="s">
        <v>297</v>
      </c>
      <c r="F57" s="520" t="s">
        <v>742</v>
      </c>
      <c r="G57" s="448" t="s">
        <v>1686</v>
      </c>
      <c r="H57" s="449">
        <v>2</v>
      </c>
      <c r="I57" s="450" t="s">
        <v>191</v>
      </c>
      <c r="J57" s="450" t="s">
        <v>181</v>
      </c>
      <c r="K57" s="450" t="s">
        <v>1527</v>
      </c>
      <c r="L57" s="450" t="s">
        <v>1528</v>
      </c>
      <c r="M57" s="451" t="s">
        <v>175</v>
      </c>
      <c r="N57" s="452">
        <v>46.668999999999997</v>
      </c>
      <c r="O57" s="493">
        <v>84.18</v>
      </c>
      <c r="P57" s="453"/>
      <c r="Q57" s="453"/>
      <c r="R57" s="454">
        <v>42842</v>
      </c>
      <c r="S57" s="453">
        <v>1</v>
      </c>
      <c r="T57" s="453" t="s">
        <v>196</v>
      </c>
      <c r="U57" s="455">
        <v>360000000</v>
      </c>
      <c r="V57" s="455">
        <v>360000000</v>
      </c>
      <c r="W57" s="456" t="s">
        <v>252</v>
      </c>
      <c r="X57" s="456" t="s">
        <v>253</v>
      </c>
      <c r="Y57" s="455">
        <v>360000000</v>
      </c>
      <c r="Z57" s="457"/>
      <c r="AA57" s="453"/>
      <c r="AB57" s="458"/>
      <c r="AC57" s="458"/>
      <c r="AD57" s="453"/>
      <c r="AE57" s="453"/>
      <c r="AF57" s="459"/>
      <c r="AG57" s="453"/>
      <c r="AH57" s="455"/>
      <c r="AI57" s="460"/>
      <c r="AJ57" s="460" t="s">
        <v>657</v>
      </c>
      <c r="AK57" s="461"/>
      <c r="AL57" s="462" t="s">
        <v>451</v>
      </c>
      <c r="AM57" s="463" t="s">
        <v>451</v>
      </c>
      <c r="AN57" s="464" t="s">
        <v>451</v>
      </c>
      <c r="AO57" s="453" t="s">
        <v>451</v>
      </c>
      <c r="AP57" s="464" t="s">
        <v>451</v>
      </c>
      <c r="AQ57" s="464" t="s">
        <v>451</v>
      </c>
      <c r="AR57" s="464" t="s">
        <v>451</v>
      </c>
      <c r="AS57" s="464" t="s">
        <v>451</v>
      </c>
      <c r="AT57" s="464" t="s">
        <v>451</v>
      </c>
      <c r="AU57" s="464" t="s">
        <v>451</v>
      </c>
      <c r="AV57" s="464" t="s">
        <v>451</v>
      </c>
      <c r="AW57" s="465" t="s">
        <v>451</v>
      </c>
      <c r="AX57" s="466" t="s">
        <v>338</v>
      </c>
      <c r="AY57" s="467" t="s">
        <v>338</v>
      </c>
      <c r="AZ57" s="468" t="s">
        <v>338</v>
      </c>
      <c r="BA57" s="469" t="s">
        <v>338</v>
      </c>
      <c r="BB57" s="469" t="s">
        <v>338</v>
      </c>
      <c r="BC57" s="469" t="s">
        <v>338</v>
      </c>
      <c r="BD57" s="469" t="s">
        <v>338</v>
      </c>
      <c r="BE57" s="470" t="s">
        <v>338</v>
      </c>
      <c r="BF57" s="484">
        <v>170000000</v>
      </c>
      <c r="BG57" s="472" t="s">
        <v>1712</v>
      </c>
      <c r="BH57" s="457" t="s">
        <v>206</v>
      </c>
      <c r="BI57" s="480" t="s">
        <v>1713</v>
      </c>
      <c r="BJ57" s="481">
        <v>45853</v>
      </c>
      <c r="BK57" s="480" t="s">
        <v>1763</v>
      </c>
      <c r="BL57" s="481">
        <v>45950</v>
      </c>
      <c r="BM57" s="482">
        <v>212104924</v>
      </c>
      <c r="BN57" s="474"/>
      <c r="BO57" s="454"/>
      <c r="BP57" s="457"/>
      <c r="BQ57" s="454"/>
      <c r="BR57" s="478"/>
      <c r="BS57" s="487"/>
      <c r="BT57" s="454"/>
      <c r="BU57" s="457"/>
      <c r="BV57" s="457"/>
      <c r="BW57" s="454"/>
      <c r="BX57" s="454"/>
      <c r="BY57" s="477"/>
      <c r="BZ57" s="477"/>
      <c r="CA57" s="478"/>
      <c r="CB57" s="479"/>
    </row>
    <row r="58" spans="2:80" s="135" customFormat="1" ht="15" customHeight="1">
      <c r="B58" s="366">
        <f t="shared" si="2"/>
        <v>48</v>
      </c>
      <c r="C58" s="289" t="s">
        <v>416</v>
      </c>
      <c r="D58" s="446" t="s">
        <v>270</v>
      </c>
      <c r="E58" s="447" t="s">
        <v>297</v>
      </c>
      <c r="F58" s="520" t="s">
        <v>742</v>
      </c>
      <c r="G58" s="448" t="s">
        <v>1687</v>
      </c>
      <c r="H58" s="449">
        <v>3</v>
      </c>
      <c r="I58" s="450" t="s">
        <v>186</v>
      </c>
      <c r="J58" s="450" t="s">
        <v>1529</v>
      </c>
      <c r="K58" s="450" t="s">
        <v>1530</v>
      </c>
      <c r="L58" s="450" t="s">
        <v>1531</v>
      </c>
      <c r="M58" s="451" t="s">
        <v>1532</v>
      </c>
      <c r="N58" s="495">
        <v>10.91</v>
      </c>
      <c r="O58" s="493">
        <v>43.26</v>
      </c>
      <c r="P58" s="453"/>
      <c r="Q58" s="453"/>
      <c r="R58" s="454">
        <v>42842</v>
      </c>
      <c r="S58" s="453">
        <v>1</v>
      </c>
      <c r="T58" s="453" t="s">
        <v>196</v>
      </c>
      <c r="U58" s="455">
        <v>360000000</v>
      </c>
      <c r="V58" s="455">
        <v>360000000</v>
      </c>
      <c r="W58" s="456" t="s">
        <v>251</v>
      </c>
      <c r="X58" s="456" t="s">
        <v>253</v>
      </c>
      <c r="Y58" s="455">
        <v>360000000</v>
      </c>
      <c r="Z58" s="457"/>
      <c r="AA58" s="453"/>
      <c r="AB58" s="458"/>
      <c r="AC58" s="458"/>
      <c r="AD58" s="453"/>
      <c r="AE58" s="453"/>
      <c r="AF58" s="459"/>
      <c r="AG58" s="453"/>
      <c r="AH58" s="455"/>
      <c r="AI58" s="460"/>
      <c r="AJ58" s="460" t="s">
        <v>657</v>
      </c>
      <c r="AK58" s="461"/>
      <c r="AL58" s="462" t="s">
        <v>451</v>
      </c>
      <c r="AM58" s="463" t="s">
        <v>451</v>
      </c>
      <c r="AN58" s="464" t="s">
        <v>451</v>
      </c>
      <c r="AO58" s="453" t="s">
        <v>451</v>
      </c>
      <c r="AP58" s="464" t="s">
        <v>451</v>
      </c>
      <c r="AQ58" s="464" t="s">
        <v>451</v>
      </c>
      <c r="AR58" s="464" t="s">
        <v>451</v>
      </c>
      <c r="AS58" s="464" t="s">
        <v>451</v>
      </c>
      <c r="AT58" s="464" t="s">
        <v>451</v>
      </c>
      <c r="AU58" s="464" t="s">
        <v>451</v>
      </c>
      <c r="AV58" s="464" t="s">
        <v>451</v>
      </c>
      <c r="AW58" s="465" t="s">
        <v>451</v>
      </c>
      <c r="AX58" s="466" t="s">
        <v>338</v>
      </c>
      <c r="AY58" s="489" t="s">
        <v>338</v>
      </c>
      <c r="AZ58" s="468" t="s">
        <v>338</v>
      </c>
      <c r="BA58" s="469" t="s">
        <v>338</v>
      </c>
      <c r="BB58" s="469" t="s">
        <v>338</v>
      </c>
      <c r="BC58" s="469" t="s">
        <v>338</v>
      </c>
      <c r="BD58" s="469" t="s">
        <v>338</v>
      </c>
      <c r="BE58" s="470" t="s">
        <v>338</v>
      </c>
      <c r="BF58" s="491"/>
      <c r="BG58" s="472" t="s">
        <v>1711</v>
      </c>
      <c r="BH58" s="457" t="s">
        <v>278</v>
      </c>
      <c r="BI58" s="473"/>
      <c r="BJ58" s="473"/>
      <c r="BK58" s="473"/>
      <c r="BL58" s="473"/>
      <c r="BM58" s="473"/>
      <c r="BN58" s="474"/>
      <c r="BO58" s="454"/>
      <c r="BP58" s="457"/>
      <c r="BQ58" s="454"/>
      <c r="BR58" s="478"/>
      <c r="BS58" s="487"/>
      <c r="BT58" s="454"/>
      <c r="BU58" s="457"/>
      <c r="BV58" s="457"/>
      <c r="BW58" s="454"/>
      <c r="BX58" s="454"/>
      <c r="BY58" s="477"/>
      <c r="BZ58" s="477"/>
      <c r="CA58" s="478"/>
      <c r="CB58" s="483"/>
    </row>
    <row r="59" spans="2:80" s="135" customFormat="1" ht="15" customHeight="1">
      <c r="B59" s="366">
        <f t="shared" si="2"/>
        <v>49</v>
      </c>
      <c r="C59" s="289" t="s">
        <v>416</v>
      </c>
      <c r="D59" s="446" t="s">
        <v>270</v>
      </c>
      <c r="E59" s="447" t="s">
        <v>310</v>
      </c>
      <c r="F59" s="520" t="s">
        <v>743</v>
      </c>
      <c r="G59" s="448" t="s">
        <v>476</v>
      </c>
      <c r="H59" s="449">
        <v>1</v>
      </c>
      <c r="I59" s="450" t="s">
        <v>190</v>
      </c>
      <c r="J59" s="450" t="s">
        <v>226</v>
      </c>
      <c r="K59" s="450" t="s">
        <v>649</v>
      </c>
      <c r="L59" s="450" t="s">
        <v>1533</v>
      </c>
      <c r="M59" s="451" t="s">
        <v>178</v>
      </c>
      <c r="N59" s="493">
        <v>548.98586086940304</v>
      </c>
      <c r="O59" s="494">
        <v>272.7</v>
      </c>
      <c r="P59" s="453"/>
      <c r="Q59" s="453"/>
      <c r="R59" s="454">
        <v>45050</v>
      </c>
      <c r="S59" s="453">
        <v>1</v>
      </c>
      <c r="T59" s="453" t="s">
        <v>196</v>
      </c>
      <c r="U59" s="455">
        <v>1416000000</v>
      </c>
      <c r="V59" s="455">
        <v>1416000000</v>
      </c>
      <c r="W59" s="456"/>
      <c r="X59" s="456"/>
      <c r="Y59" s="455"/>
      <c r="Z59" s="457"/>
      <c r="AA59" s="453"/>
      <c r="AB59" s="458"/>
      <c r="AC59" s="458"/>
      <c r="AD59" s="453"/>
      <c r="AE59" s="453"/>
      <c r="AF59" s="459"/>
      <c r="AG59" s="453"/>
      <c r="AH59" s="455"/>
      <c r="AI59" s="460"/>
      <c r="AJ59" s="460" t="s">
        <v>657</v>
      </c>
      <c r="AK59" s="461"/>
      <c r="AL59" s="462" t="s">
        <v>451</v>
      </c>
      <c r="AM59" s="463" t="s">
        <v>451</v>
      </c>
      <c r="AN59" s="464" t="s">
        <v>451</v>
      </c>
      <c r="AO59" s="453" t="s">
        <v>451</v>
      </c>
      <c r="AP59" s="464" t="s">
        <v>451</v>
      </c>
      <c r="AQ59" s="464" t="s">
        <v>451</v>
      </c>
      <c r="AR59" s="464" t="s">
        <v>451</v>
      </c>
      <c r="AS59" s="464" t="s">
        <v>451</v>
      </c>
      <c r="AT59" s="464" t="s">
        <v>451</v>
      </c>
      <c r="AU59" s="464" t="s">
        <v>451</v>
      </c>
      <c r="AV59" s="464" t="s">
        <v>451</v>
      </c>
      <c r="AW59" s="465" t="s">
        <v>451</v>
      </c>
      <c r="AX59" s="466" t="s">
        <v>658</v>
      </c>
      <c r="AY59" s="467">
        <v>45041</v>
      </c>
      <c r="AZ59" s="468" t="s">
        <v>336</v>
      </c>
      <c r="BA59" s="469">
        <v>1055690000</v>
      </c>
      <c r="BB59" s="469">
        <v>213524100</v>
      </c>
      <c r="BC59" s="469">
        <v>0</v>
      </c>
      <c r="BD59" s="469">
        <v>0</v>
      </c>
      <c r="BE59" s="470">
        <v>1269214100</v>
      </c>
      <c r="BF59" s="471"/>
      <c r="BG59" s="472" t="s">
        <v>1712</v>
      </c>
      <c r="BH59" s="457" t="s">
        <v>199</v>
      </c>
      <c r="BI59" s="480" t="s">
        <v>1713</v>
      </c>
      <c r="BJ59" s="481">
        <v>45835</v>
      </c>
      <c r="BK59" s="480" t="s">
        <v>1764</v>
      </c>
      <c r="BL59" s="481">
        <v>45922</v>
      </c>
      <c r="BM59" s="482">
        <v>1416000000</v>
      </c>
      <c r="BN59" s="474"/>
      <c r="BO59" s="454"/>
      <c r="BP59" s="457"/>
      <c r="BQ59" s="454"/>
      <c r="BR59" s="478"/>
      <c r="BS59" s="487"/>
      <c r="BT59" s="454"/>
      <c r="BU59" s="457"/>
      <c r="BV59" s="457"/>
      <c r="BW59" s="454"/>
      <c r="BX59" s="454"/>
      <c r="BY59" s="477"/>
      <c r="BZ59" s="477"/>
      <c r="CA59" s="478"/>
      <c r="CB59" s="483"/>
    </row>
    <row r="60" spans="2:80" s="135" customFormat="1" ht="15" customHeight="1">
      <c r="B60" s="366">
        <f t="shared" si="2"/>
        <v>50</v>
      </c>
      <c r="C60" s="289" t="s">
        <v>416</v>
      </c>
      <c r="D60" s="446" t="s">
        <v>270</v>
      </c>
      <c r="E60" s="447" t="s">
        <v>310</v>
      </c>
      <c r="F60" s="520" t="s">
        <v>743</v>
      </c>
      <c r="G60" s="448" t="s">
        <v>1688</v>
      </c>
      <c r="H60" s="449">
        <v>2</v>
      </c>
      <c r="I60" s="450" t="s">
        <v>190</v>
      </c>
      <c r="J60" s="450" t="s">
        <v>226</v>
      </c>
      <c r="K60" s="450" t="s">
        <v>649</v>
      </c>
      <c r="L60" s="450" t="s">
        <v>1765</v>
      </c>
      <c r="M60" s="451" t="s">
        <v>390</v>
      </c>
      <c r="N60" s="452"/>
      <c r="O60" s="452"/>
      <c r="P60" s="453">
        <v>2</v>
      </c>
      <c r="Q60" s="453"/>
      <c r="R60" s="454">
        <v>45050</v>
      </c>
      <c r="S60" s="453">
        <v>1</v>
      </c>
      <c r="T60" s="453" t="s">
        <v>196</v>
      </c>
      <c r="U60" s="455">
        <v>180000000</v>
      </c>
      <c r="V60" s="455">
        <v>180000000</v>
      </c>
      <c r="W60" s="456"/>
      <c r="X60" s="456"/>
      <c r="Y60" s="455"/>
      <c r="Z60" s="457"/>
      <c r="AA60" s="453"/>
      <c r="AB60" s="458"/>
      <c r="AC60" s="458"/>
      <c r="AD60" s="453"/>
      <c r="AE60" s="453"/>
      <c r="AF60" s="459"/>
      <c r="AG60" s="453"/>
      <c r="AH60" s="455"/>
      <c r="AI60" s="460"/>
      <c r="AJ60" s="460" t="s">
        <v>657</v>
      </c>
      <c r="AK60" s="461"/>
      <c r="AL60" s="462" t="s">
        <v>451</v>
      </c>
      <c r="AM60" s="463" t="s">
        <v>451</v>
      </c>
      <c r="AN60" s="464" t="s">
        <v>451</v>
      </c>
      <c r="AO60" s="453" t="s">
        <v>451</v>
      </c>
      <c r="AP60" s="464" t="s">
        <v>451</v>
      </c>
      <c r="AQ60" s="464" t="s">
        <v>451</v>
      </c>
      <c r="AR60" s="464" t="s">
        <v>451</v>
      </c>
      <c r="AS60" s="464" t="s">
        <v>451</v>
      </c>
      <c r="AT60" s="464" t="s">
        <v>451</v>
      </c>
      <c r="AU60" s="464" t="s">
        <v>451</v>
      </c>
      <c r="AV60" s="464" t="s">
        <v>451</v>
      </c>
      <c r="AW60" s="465" t="s">
        <v>451</v>
      </c>
      <c r="AX60" s="466" t="s">
        <v>658</v>
      </c>
      <c r="AY60" s="467">
        <v>45041</v>
      </c>
      <c r="AZ60" s="468" t="s">
        <v>336</v>
      </c>
      <c r="BA60" s="469">
        <v>0</v>
      </c>
      <c r="BB60" s="469">
        <v>0</v>
      </c>
      <c r="BC60" s="469">
        <v>171600000</v>
      </c>
      <c r="BD60" s="469">
        <v>0</v>
      </c>
      <c r="BE60" s="469">
        <v>171600000</v>
      </c>
      <c r="BF60" s="491"/>
      <c r="BG60" s="472" t="s">
        <v>1711</v>
      </c>
      <c r="BH60" s="457" t="s">
        <v>199</v>
      </c>
      <c r="BI60" s="473" t="s">
        <v>221</v>
      </c>
      <c r="BJ60" s="481">
        <v>45835</v>
      </c>
      <c r="BK60" s="473" t="s">
        <v>1534</v>
      </c>
      <c r="BL60" s="473"/>
      <c r="BM60" s="473">
        <v>69346053</v>
      </c>
      <c r="BN60" s="474"/>
      <c r="BO60" s="454"/>
      <c r="BP60" s="457"/>
      <c r="BQ60" s="454"/>
      <c r="BR60" s="478"/>
      <c r="BS60" s="487"/>
      <c r="BT60" s="454"/>
      <c r="BU60" s="457"/>
      <c r="BV60" s="457"/>
      <c r="BW60" s="454"/>
      <c r="BX60" s="454"/>
      <c r="BY60" s="477"/>
      <c r="BZ60" s="477"/>
      <c r="CA60" s="478"/>
      <c r="CB60" s="479"/>
    </row>
    <row r="61" spans="2:80" s="135" customFormat="1" ht="15" customHeight="1">
      <c r="B61" s="366">
        <f t="shared" si="2"/>
        <v>51</v>
      </c>
      <c r="C61" s="289" t="s">
        <v>416</v>
      </c>
      <c r="D61" s="446" t="s">
        <v>270</v>
      </c>
      <c r="E61" s="447" t="s">
        <v>305</v>
      </c>
      <c r="F61" s="520" t="s">
        <v>744</v>
      </c>
      <c r="G61" s="448" t="s">
        <v>477</v>
      </c>
      <c r="H61" s="449">
        <v>1</v>
      </c>
      <c r="I61" s="450" t="s">
        <v>188</v>
      </c>
      <c r="J61" s="450" t="s">
        <v>274</v>
      </c>
      <c r="K61" s="450" t="s">
        <v>1535</v>
      </c>
      <c r="L61" s="450" t="s">
        <v>1536</v>
      </c>
      <c r="M61" s="451" t="s">
        <v>178</v>
      </c>
      <c r="N61" s="452">
        <v>657.2</v>
      </c>
      <c r="O61" s="494">
        <v>591.48</v>
      </c>
      <c r="P61" s="453"/>
      <c r="Q61" s="453"/>
      <c r="R61" s="454">
        <v>37405</v>
      </c>
      <c r="S61" s="453" t="s">
        <v>277</v>
      </c>
      <c r="T61" s="453" t="s">
        <v>1537</v>
      </c>
      <c r="U61" s="455" t="s">
        <v>1538</v>
      </c>
      <c r="V61" s="455">
        <v>1817600000</v>
      </c>
      <c r="W61" s="456"/>
      <c r="X61" s="456"/>
      <c r="Y61" s="455"/>
      <c r="Z61" s="457"/>
      <c r="AA61" s="453"/>
      <c r="AB61" s="458"/>
      <c r="AC61" s="458"/>
      <c r="AD61" s="453"/>
      <c r="AE61" s="453"/>
      <c r="AF61" s="459"/>
      <c r="AG61" s="453"/>
      <c r="AH61" s="455"/>
      <c r="AI61" s="460"/>
      <c r="AJ61" s="460" t="s">
        <v>657</v>
      </c>
      <c r="AK61" s="461"/>
      <c r="AL61" s="462" t="s">
        <v>451</v>
      </c>
      <c r="AM61" s="463" t="s">
        <v>451</v>
      </c>
      <c r="AN61" s="464" t="s">
        <v>451</v>
      </c>
      <c r="AO61" s="453" t="s">
        <v>451</v>
      </c>
      <c r="AP61" s="464" t="s">
        <v>451</v>
      </c>
      <c r="AQ61" s="464" t="s">
        <v>451</v>
      </c>
      <c r="AR61" s="464" t="s">
        <v>451</v>
      </c>
      <c r="AS61" s="464" t="s">
        <v>451</v>
      </c>
      <c r="AT61" s="464" t="s">
        <v>451</v>
      </c>
      <c r="AU61" s="464" t="s">
        <v>451</v>
      </c>
      <c r="AV61" s="464" t="s">
        <v>451</v>
      </c>
      <c r="AW61" s="465" t="s">
        <v>451</v>
      </c>
      <c r="AX61" s="466" t="s">
        <v>658</v>
      </c>
      <c r="AY61" s="467">
        <v>43185</v>
      </c>
      <c r="AZ61" s="468" t="s">
        <v>663</v>
      </c>
      <c r="BA61" s="469">
        <v>1077808000</v>
      </c>
      <c r="BB61" s="469">
        <v>235077280</v>
      </c>
      <c r="BC61" s="469">
        <v>0</v>
      </c>
      <c r="BD61" s="469">
        <v>0</v>
      </c>
      <c r="BE61" s="470">
        <v>1312885280</v>
      </c>
      <c r="BF61" s="471"/>
      <c r="BG61" s="472" t="s">
        <v>1711</v>
      </c>
      <c r="BH61" s="457" t="s">
        <v>198</v>
      </c>
      <c r="BI61" s="473"/>
      <c r="BJ61" s="473"/>
      <c r="BK61" s="473"/>
      <c r="BL61" s="473"/>
      <c r="BM61" s="473"/>
      <c r="BN61" s="474"/>
      <c r="BO61" s="454"/>
      <c r="BP61" s="457"/>
      <c r="BQ61" s="454"/>
      <c r="BR61" s="478"/>
      <c r="BS61" s="487"/>
      <c r="BT61" s="454"/>
      <c r="BU61" s="457"/>
      <c r="BV61" s="457"/>
      <c r="BW61" s="454"/>
      <c r="BX61" s="454"/>
      <c r="BY61" s="477"/>
      <c r="BZ61" s="477"/>
      <c r="CA61" s="478"/>
      <c r="CB61" s="479"/>
    </row>
    <row r="62" spans="2:80" s="135" customFormat="1" ht="15" customHeight="1">
      <c r="B62" s="366">
        <f t="shared" si="2"/>
        <v>52</v>
      </c>
      <c r="C62" s="289" t="s">
        <v>416</v>
      </c>
      <c r="D62" s="446" t="s">
        <v>270</v>
      </c>
      <c r="E62" s="447" t="s">
        <v>307</v>
      </c>
      <c r="F62" s="520" t="s">
        <v>745</v>
      </c>
      <c r="G62" s="448" t="s">
        <v>478</v>
      </c>
      <c r="H62" s="449">
        <v>1</v>
      </c>
      <c r="I62" s="450" t="s">
        <v>1493</v>
      </c>
      <c r="J62" s="450" t="s">
        <v>1539</v>
      </c>
      <c r="K62" s="450" t="s">
        <v>1540</v>
      </c>
      <c r="L62" s="450" t="s">
        <v>1541</v>
      </c>
      <c r="M62" s="451" t="s">
        <v>178</v>
      </c>
      <c r="N62" s="452">
        <v>2000</v>
      </c>
      <c r="O62" s="452">
        <v>366.46</v>
      </c>
      <c r="P62" s="453"/>
      <c r="Q62" s="453"/>
      <c r="R62" s="454">
        <v>41628</v>
      </c>
      <c r="S62" s="453" t="s">
        <v>1440</v>
      </c>
      <c r="T62" s="453" t="s">
        <v>196</v>
      </c>
      <c r="U62" s="455">
        <v>1636000000</v>
      </c>
      <c r="V62" s="455">
        <v>1636000000</v>
      </c>
      <c r="W62" s="456"/>
      <c r="X62" s="456"/>
      <c r="Y62" s="455"/>
      <c r="Z62" s="457"/>
      <c r="AA62" s="453"/>
      <c r="AB62" s="458"/>
      <c r="AC62" s="458"/>
      <c r="AD62" s="453"/>
      <c r="AE62" s="453"/>
      <c r="AF62" s="459"/>
      <c r="AG62" s="453"/>
      <c r="AH62" s="455"/>
      <c r="AI62" s="460"/>
      <c r="AJ62" s="460" t="s">
        <v>657</v>
      </c>
      <c r="AK62" s="461"/>
      <c r="AL62" s="462" t="s">
        <v>451</v>
      </c>
      <c r="AM62" s="463" t="s">
        <v>451</v>
      </c>
      <c r="AN62" s="464" t="s">
        <v>451</v>
      </c>
      <c r="AO62" s="453" t="s">
        <v>451</v>
      </c>
      <c r="AP62" s="464" t="s">
        <v>451</v>
      </c>
      <c r="AQ62" s="464" t="s">
        <v>451</v>
      </c>
      <c r="AR62" s="464" t="s">
        <v>451</v>
      </c>
      <c r="AS62" s="464" t="s">
        <v>451</v>
      </c>
      <c r="AT62" s="464" t="s">
        <v>451</v>
      </c>
      <c r="AU62" s="464" t="s">
        <v>451</v>
      </c>
      <c r="AV62" s="464" t="s">
        <v>451</v>
      </c>
      <c r="AW62" s="465" t="s">
        <v>451</v>
      </c>
      <c r="AX62" s="466" t="s">
        <v>658</v>
      </c>
      <c r="AY62" s="467">
        <v>44783</v>
      </c>
      <c r="AZ62" s="468" t="s">
        <v>667</v>
      </c>
      <c r="BA62" s="469">
        <v>2360000000</v>
      </c>
      <c r="BB62" s="469">
        <v>125390000</v>
      </c>
      <c r="BC62" s="469">
        <v>0</v>
      </c>
      <c r="BD62" s="469">
        <v>0</v>
      </c>
      <c r="BE62" s="470">
        <v>2485390000</v>
      </c>
      <c r="BF62" s="471"/>
      <c r="BG62" s="472" t="s">
        <v>1712</v>
      </c>
      <c r="BH62" s="457" t="s">
        <v>340</v>
      </c>
      <c r="BI62" s="480" t="s">
        <v>1713</v>
      </c>
      <c r="BJ62" s="481">
        <v>45791</v>
      </c>
      <c r="BK62" s="480" t="s">
        <v>1766</v>
      </c>
      <c r="BL62" s="481">
        <v>45873</v>
      </c>
      <c r="BM62" s="482">
        <v>1636000000</v>
      </c>
      <c r="BN62" s="474"/>
      <c r="BO62" s="454"/>
      <c r="BP62" s="457"/>
      <c r="BQ62" s="454"/>
      <c r="BR62" s="478"/>
      <c r="BS62" s="487"/>
      <c r="BT62" s="454"/>
      <c r="BU62" s="457"/>
      <c r="BV62" s="457"/>
      <c r="BW62" s="454"/>
      <c r="BX62" s="454"/>
      <c r="BY62" s="477"/>
      <c r="BZ62" s="477"/>
      <c r="CA62" s="478"/>
      <c r="CB62" s="483"/>
    </row>
    <row r="63" spans="2:80" s="135" customFormat="1" ht="15" customHeight="1">
      <c r="B63" s="366">
        <f t="shared" si="2"/>
        <v>53</v>
      </c>
      <c r="C63" s="289" t="s">
        <v>416</v>
      </c>
      <c r="D63" s="446" t="s">
        <v>270</v>
      </c>
      <c r="E63" s="447" t="s">
        <v>306</v>
      </c>
      <c r="F63" s="520" t="s">
        <v>746</v>
      </c>
      <c r="G63" s="448" t="s">
        <v>479</v>
      </c>
      <c r="H63" s="449">
        <v>1</v>
      </c>
      <c r="I63" s="450" t="s">
        <v>191</v>
      </c>
      <c r="J63" s="450" t="s">
        <v>319</v>
      </c>
      <c r="K63" s="450" t="s">
        <v>1542</v>
      </c>
      <c r="L63" s="450" t="s">
        <v>1767</v>
      </c>
      <c r="M63" s="451" t="s">
        <v>174</v>
      </c>
      <c r="N63" s="493">
        <v>1983</v>
      </c>
      <c r="O63" s="494">
        <v>1148.3</v>
      </c>
      <c r="P63" s="453"/>
      <c r="Q63" s="453"/>
      <c r="R63" s="454">
        <v>43825</v>
      </c>
      <c r="S63" s="453">
        <v>1</v>
      </c>
      <c r="T63" s="453" t="s">
        <v>196</v>
      </c>
      <c r="U63" s="455">
        <v>1014000000</v>
      </c>
      <c r="V63" s="455">
        <v>1014000000</v>
      </c>
      <c r="W63" s="456"/>
      <c r="X63" s="456"/>
      <c r="Y63" s="455"/>
      <c r="Z63" s="457"/>
      <c r="AA63" s="453"/>
      <c r="AB63" s="458"/>
      <c r="AC63" s="458"/>
      <c r="AD63" s="453"/>
      <c r="AE63" s="453"/>
      <c r="AF63" s="459"/>
      <c r="AG63" s="453"/>
      <c r="AH63" s="455"/>
      <c r="AI63" s="460"/>
      <c r="AJ63" s="460" t="s">
        <v>657</v>
      </c>
      <c r="AK63" s="461"/>
      <c r="AL63" s="462" t="s">
        <v>451</v>
      </c>
      <c r="AM63" s="463" t="s">
        <v>451</v>
      </c>
      <c r="AN63" s="464" t="s">
        <v>451</v>
      </c>
      <c r="AO63" s="453" t="s">
        <v>451</v>
      </c>
      <c r="AP63" s="464" t="s">
        <v>451</v>
      </c>
      <c r="AQ63" s="464" t="s">
        <v>451</v>
      </c>
      <c r="AR63" s="464" t="s">
        <v>451</v>
      </c>
      <c r="AS63" s="464" t="s">
        <v>451</v>
      </c>
      <c r="AT63" s="464" t="s">
        <v>451</v>
      </c>
      <c r="AU63" s="464" t="s">
        <v>451</v>
      </c>
      <c r="AV63" s="464" t="s">
        <v>451</v>
      </c>
      <c r="AW63" s="465" t="s">
        <v>451</v>
      </c>
      <c r="AX63" s="466" t="s">
        <v>658</v>
      </c>
      <c r="AY63" s="489">
        <v>43822</v>
      </c>
      <c r="AZ63" s="468" t="s">
        <v>664</v>
      </c>
      <c r="BA63" s="469">
        <v>997449000</v>
      </c>
      <c r="BB63" s="469">
        <v>122795400</v>
      </c>
      <c r="BC63" s="469">
        <v>0</v>
      </c>
      <c r="BD63" s="469">
        <v>0</v>
      </c>
      <c r="BE63" s="470">
        <v>1120244400</v>
      </c>
      <c r="BF63" s="471"/>
      <c r="BG63" s="472" t="s">
        <v>1711</v>
      </c>
      <c r="BH63" s="457" t="s">
        <v>206</v>
      </c>
      <c r="BI63" s="473"/>
      <c r="BJ63" s="473"/>
      <c r="BK63" s="473"/>
      <c r="BL63" s="473"/>
      <c r="BM63" s="473"/>
      <c r="BN63" s="474"/>
      <c r="BO63" s="454"/>
      <c r="BP63" s="457"/>
      <c r="BQ63" s="454"/>
      <c r="BR63" s="478"/>
      <c r="BS63" s="487"/>
      <c r="BT63" s="454"/>
      <c r="BU63" s="457"/>
      <c r="BV63" s="457"/>
      <c r="BW63" s="454"/>
      <c r="BX63" s="454"/>
      <c r="BY63" s="477"/>
      <c r="BZ63" s="477"/>
      <c r="CA63" s="478"/>
      <c r="CB63" s="479"/>
    </row>
    <row r="64" spans="2:80" s="135" customFormat="1" ht="15" customHeight="1">
      <c r="B64" s="366">
        <f t="shared" si="2"/>
        <v>54</v>
      </c>
      <c r="C64" s="289" t="s">
        <v>416</v>
      </c>
      <c r="D64" s="446" t="s">
        <v>270</v>
      </c>
      <c r="E64" s="447" t="s">
        <v>306</v>
      </c>
      <c r="F64" s="520" t="s">
        <v>746</v>
      </c>
      <c r="G64" s="448" t="s">
        <v>1689</v>
      </c>
      <c r="H64" s="449">
        <v>2</v>
      </c>
      <c r="I64" s="450" t="s">
        <v>186</v>
      </c>
      <c r="J64" s="450" t="s">
        <v>287</v>
      </c>
      <c r="K64" s="450" t="s">
        <v>1543</v>
      </c>
      <c r="L64" s="450" t="s">
        <v>1544</v>
      </c>
      <c r="M64" s="451" t="s">
        <v>195</v>
      </c>
      <c r="N64" s="452">
        <v>69.843800000000002</v>
      </c>
      <c r="O64" s="493">
        <v>222.97749999999999</v>
      </c>
      <c r="P64" s="453"/>
      <c r="Q64" s="453"/>
      <c r="R64" s="454">
        <v>44439</v>
      </c>
      <c r="S64" s="453">
        <v>1</v>
      </c>
      <c r="T64" s="453" t="s">
        <v>196</v>
      </c>
      <c r="U64" s="455">
        <v>804000000</v>
      </c>
      <c r="V64" s="455">
        <v>804000000</v>
      </c>
      <c r="W64" s="456"/>
      <c r="X64" s="456"/>
      <c r="Y64" s="455"/>
      <c r="Z64" s="457"/>
      <c r="AA64" s="453"/>
      <c r="AB64" s="458"/>
      <c r="AC64" s="458"/>
      <c r="AD64" s="453"/>
      <c r="AE64" s="453"/>
      <c r="AF64" s="459"/>
      <c r="AG64" s="453"/>
      <c r="AH64" s="455"/>
      <c r="AI64" s="460"/>
      <c r="AJ64" s="460" t="s">
        <v>657</v>
      </c>
      <c r="AK64" s="461"/>
      <c r="AL64" s="462" t="s">
        <v>451</v>
      </c>
      <c r="AM64" s="463" t="s">
        <v>451</v>
      </c>
      <c r="AN64" s="464" t="s">
        <v>451</v>
      </c>
      <c r="AO64" s="453" t="s">
        <v>451</v>
      </c>
      <c r="AP64" s="464" t="s">
        <v>451</v>
      </c>
      <c r="AQ64" s="464" t="s">
        <v>451</v>
      </c>
      <c r="AR64" s="464" t="s">
        <v>451</v>
      </c>
      <c r="AS64" s="464" t="s">
        <v>451</v>
      </c>
      <c r="AT64" s="464" t="s">
        <v>451</v>
      </c>
      <c r="AU64" s="464" t="s">
        <v>451</v>
      </c>
      <c r="AV64" s="464" t="s">
        <v>451</v>
      </c>
      <c r="AW64" s="465" t="s">
        <v>451</v>
      </c>
      <c r="AX64" s="466" t="s">
        <v>658</v>
      </c>
      <c r="AY64" s="467">
        <v>44425</v>
      </c>
      <c r="AZ64" s="468" t="s">
        <v>663</v>
      </c>
      <c r="BA64" s="469">
        <v>0</v>
      </c>
      <c r="BB64" s="469">
        <v>753000000</v>
      </c>
      <c r="BC64" s="469">
        <v>0</v>
      </c>
      <c r="BD64" s="469">
        <v>0</v>
      </c>
      <c r="BE64" s="470">
        <v>753000000</v>
      </c>
      <c r="BF64" s="471"/>
      <c r="BG64" s="472" t="s">
        <v>1711</v>
      </c>
      <c r="BH64" s="457" t="s">
        <v>203</v>
      </c>
      <c r="BI64" s="473"/>
      <c r="BJ64" s="473"/>
      <c r="BK64" s="473"/>
      <c r="BL64" s="473"/>
      <c r="BM64" s="473"/>
      <c r="BN64" s="474"/>
      <c r="BO64" s="454"/>
      <c r="BP64" s="457"/>
      <c r="BQ64" s="454"/>
      <c r="BR64" s="478"/>
      <c r="BS64" s="487"/>
      <c r="BT64" s="454"/>
      <c r="BU64" s="457"/>
      <c r="BV64" s="457"/>
      <c r="BW64" s="454"/>
      <c r="BX64" s="454"/>
      <c r="BY64" s="477"/>
      <c r="BZ64" s="477"/>
      <c r="CA64" s="478"/>
      <c r="CB64" s="479"/>
    </row>
    <row r="65" spans="2:80" s="135" customFormat="1" ht="15" customHeight="1">
      <c r="B65" s="366">
        <f t="shared" si="2"/>
        <v>55</v>
      </c>
      <c r="C65" s="289" t="s">
        <v>416</v>
      </c>
      <c r="D65" s="446" t="s">
        <v>270</v>
      </c>
      <c r="E65" s="447" t="s">
        <v>301</v>
      </c>
      <c r="F65" s="520" t="s">
        <v>747</v>
      </c>
      <c r="G65" s="448" t="s">
        <v>480</v>
      </c>
      <c r="H65" s="449">
        <v>1</v>
      </c>
      <c r="I65" s="450" t="s">
        <v>189</v>
      </c>
      <c r="J65" s="450" t="s">
        <v>226</v>
      </c>
      <c r="K65" s="450" t="s">
        <v>1545</v>
      </c>
      <c r="L65" s="450" t="s">
        <v>1546</v>
      </c>
      <c r="M65" s="451" t="s">
        <v>175</v>
      </c>
      <c r="N65" s="452">
        <v>80.77</v>
      </c>
      <c r="O65" s="452">
        <v>144.12299999999999</v>
      </c>
      <c r="P65" s="453"/>
      <c r="Q65" s="453"/>
      <c r="R65" s="454">
        <v>40826</v>
      </c>
      <c r="S65" s="453">
        <v>2</v>
      </c>
      <c r="T65" s="453" t="s">
        <v>196</v>
      </c>
      <c r="U65" s="455">
        <v>600000000</v>
      </c>
      <c r="V65" s="455">
        <v>600000000</v>
      </c>
      <c r="W65" s="456"/>
      <c r="X65" s="456"/>
      <c r="Y65" s="455"/>
      <c r="Z65" s="457">
        <v>1</v>
      </c>
      <c r="AA65" s="453" t="s">
        <v>196</v>
      </c>
      <c r="AB65" s="458">
        <v>800000000</v>
      </c>
      <c r="AC65" s="458">
        <v>800000000</v>
      </c>
      <c r="AD65" s="453"/>
      <c r="AE65" s="453"/>
      <c r="AF65" s="459"/>
      <c r="AG65" s="453"/>
      <c r="AH65" s="455"/>
      <c r="AI65" s="460"/>
      <c r="AJ65" s="460" t="s">
        <v>657</v>
      </c>
      <c r="AK65" s="461"/>
      <c r="AL65" s="462" t="s">
        <v>451</v>
      </c>
      <c r="AM65" s="463" t="s">
        <v>451</v>
      </c>
      <c r="AN65" s="464" t="s">
        <v>451</v>
      </c>
      <c r="AO65" s="453" t="s">
        <v>451</v>
      </c>
      <c r="AP65" s="464" t="s">
        <v>451</v>
      </c>
      <c r="AQ65" s="464" t="s">
        <v>451</v>
      </c>
      <c r="AR65" s="464" t="s">
        <v>451</v>
      </c>
      <c r="AS65" s="464" t="s">
        <v>451</v>
      </c>
      <c r="AT65" s="464" t="s">
        <v>451</v>
      </c>
      <c r="AU65" s="464" t="s">
        <v>451</v>
      </c>
      <c r="AV65" s="464" t="s">
        <v>451</v>
      </c>
      <c r="AW65" s="465" t="s">
        <v>451</v>
      </c>
      <c r="AX65" s="466" t="s">
        <v>338</v>
      </c>
      <c r="AY65" s="467" t="s">
        <v>338</v>
      </c>
      <c r="AZ65" s="468" t="s">
        <v>338</v>
      </c>
      <c r="BA65" s="469" t="s">
        <v>338</v>
      </c>
      <c r="BB65" s="469" t="s">
        <v>338</v>
      </c>
      <c r="BC65" s="469" t="s">
        <v>338</v>
      </c>
      <c r="BD65" s="469" t="s">
        <v>338</v>
      </c>
      <c r="BE65" s="470" t="s">
        <v>338</v>
      </c>
      <c r="BF65" s="484">
        <v>1300000000</v>
      </c>
      <c r="BG65" s="472" t="s">
        <v>1711</v>
      </c>
      <c r="BH65" s="457" t="s">
        <v>327</v>
      </c>
      <c r="BI65" s="473"/>
      <c r="BJ65" s="473"/>
      <c r="BK65" s="473"/>
      <c r="BL65" s="473"/>
      <c r="BM65" s="473"/>
      <c r="BN65" s="474"/>
      <c r="BO65" s="454"/>
      <c r="BP65" s="457"/>
      <c r="BQ65" s="454"/>
      <c r="BR65" s="490"/>
      <c r="BS65" s="487"/>
      <c r="BT65" s="454"/>
      <c r="BU65" s="457"/>
      <c r="BV65" s="457"/>
      <c r="BW65" s="454"/>
      <c r="BX65" s="454"/>
      <c r="BY65" s="477"/>
      <c r="BZ65" s="477"/>
      <c r="CA65" s="478"/>
      <c r="CB65" s="479"/>
    </row>
    <row r="66" spans="2:80" s="135" customFormat="1" ht="15" customHeight="1">
      <c r="B66" s="366">
        <f t="shared" si="2"/>
        <v>56</v>
      </c>
      <c r="C66" s="289" t="s">
        <v>416</v>
      </c>
      <c r="D66" s="446" t="s">
        <v>270</v>
      </c>
      <c r="E66" s="447" t="s">
        <v>298</v>
      </c>
      <c r="F66" s="520" t="s">
        <v>748</v>
      </c>
      <c r="G66" s="448" t="s">
        <v>481</v>
      </c>
      <c r="H66" s="449">
        <v>1</v>
      </c>
      <c r="I66" s="450" t="s">
        <v>245</v>
      </c>
      <c r="J66" s="450" t="s">
        <v>653</v>
      </c>
      <c r="K66" s="450" t="s">
        <v>1547</v>
      </c>
      <c r="L66" s="450" t="s">
        <v>1548</v>
      </c>
      <c r="M66" s="451" t="s">
        <v>174</v>
      </c>
      <c r="N66" s="452">
        <v>8513.81</v>
      </c>
      <c r="O66" s="452">
        <v>1692.98</v>
      </c>
      <c r="P66" s="453">
        <v>19</v>
      </c>
      <c r="Q66" s="453" t="s">
        <v>220</v>
      </c>
      <c r="R66" s="454">
        <v>42474</v>
      </c>
      <c r="S66" s="453" t="s">
        <v>257</v>
      </c>
      <c r="T66" s="453" t="s">
        <v>196</v>
      </c>
      <c r="U66" s="455">
        <v>2076000000</v>
      </c>
      <c r="V66" s="455">
        <v>2076000000</v>
      </c>
      <c r="W66" s="456"/>
      <c r="X66" s="456"/>
      <c r="Y66" s="455"/>
      <c r="Z66" s="457"/>
      <c r="AA66" s="453"/>
      <c r="AB66" s="458"/>
      <c r="AC66" s="458"/>
      <c r="AD66" s="453"/>
      <c r="AE66" s="453"/>
      <c r="AF66" s="459"/>
      <c r="AG66" s="453" t="s">
        <v>196</v>
      </c>
      <c r="AH66" s="455">
        <v>55000000</v>
      </c>
      <c r="AI66" s="460" t="s">
        <v>1756</v>
      </c>
      <c r="AJ66" s="460" t="s">
        <v>657</v>
      </c>
      <c r="AK66" s="461"/>
      <c r="AL66" s="462" t="s">
        <v>451</v>
      </c>
      <c r="AM66" s="463" t="s">
        <v>451</v>
      </c>
      <c r="AN66" s="464" t="s">
        <v>451</v>
      </c>
      <c r="AO66" s="453" t="s">
        <v>451</v>
      </c>
      <c r="AP66" s="464" t="s">
        <v>451</v>
      </c>
      <c r="AQ66" s="464" t="s">
        <v>451</v>
      </c>
      <c r="AR66" s="464" t="s">
        <v>451</v>
      </c>
      <c r="AS66" s="464" t="s">
        <v>451</v>
      </c>
      <c r="AT66" s="464" t="s">
        <v>451</v>
      </c>
      <c r="AU66" s="464" t="s">
        <v>451</v>
      </c>
      <c r="AV66" s="464" t="s">
        <v>451</v>
      </c>
      <c r="AW66" s="465" t="s">
        <v>451</v>
      </c>
      <c r="AX66" s="466" t="s">
        <v>658</v>
      </c>
      <c r="AY66" s="467" t="s">
        <v>1549</v>
      </c>
      <c r="AZ66" s="468" t="s">
        <v>1550</v>
      </c>
      <c r="BA66" s="469">
        <v>1836324000</v>
      </c>
      <c r="BB66" s="469">
        <v>566814060</v>
      </c>
      <c r="BC66" s="469">
        <v>122865000</v>
      </c>
      <c r="BD66" s="469">
        <v>0</v>
      </c>
      <c r="BE66" s="470">
        <v>2526003060</v>
      </c>
      <c r="BF66" s="471"/>
      <c r="BG66" s="472" t="s">
        <v>1712</v>
      </c>
      <c r="BH66" s="457" t="s">
        <v>209</v>
      </c>
      <c r="BI66" s="480" t="s">
        <v>1713</v>
      </c>
      <c r="BJ66" s="481">
        <v>45720</v>
      </c>
      <c r="BK66" s="480" t="s">
        <v>1768</v>
      </c>
      <c r="BL66" s="481">
        <v>45813</v>
      </c>
      <c r="BM66" s="482">
        <v>1929876192</v>
      </c>
      <c r="BN66" s="474"/>
      <c r="BO66" s="454"/>
      <c r="BP66" s="457"/>
      <c r="BQ66" s="454"/>
      <c r="BR66" s="478"/>
      <c r="BS66" s="487"/>
      <c r="BT66" s="454"/>
      <c r="BU66" s="457"/>
      <c r="BV66" s="457"/>
      <c r="BW66" s="454"/>
      <c r="BX66" s="454"/>
      <c r="BY66" s="477"/>
      <c r="BZ66" s="477"/>
      <c r="CA66" s="478"/>
      <c r="CB66" s="483"/>
    </row>
    <row r="67" spans="2:80" s="135" customFormat="1" ht="15" customHeight="1">
      <c r="B67" s="366">
        <f t="shared" si="2"/>
        <v>57</v>
      </c>
      <c r="C67" s="289" t="s">
        <v>416</v>
      </c>
      <c r="D67" s="446" t="s">
        <v>270</v>
      </c>
      <c r="E67" s="447" t="s">
        <v>296</v>
      </c>
      <c r="F67" s="520" t="s">
        <v>749</v>
      </c>
      <c r="G67" s="448" t="s">
        <v>482</v>
      </c>
      <c r="H67" s="449">
        <v>1</v>
      </c>
      <c r="I67" s="450" t="s">
        <v>190</v>
      </c>
      <c r="J67" s="450" t="s">
        <v>226</v>
      </c>
      <c r="K67" s="450" t="s">
        <v>1551</v>
      </c>
      <c r="L67" s="450" t="s">
        <v>1552</v>
      </c>
      <c r="M67" s="451" t="s">
        <v>174</v>
      </c>
      <c r="N67" s="495">
        <v>816</v>
      </c>
      <c r="O67" s="494">
        <v>444.65</v>
      </c>
      <c r="P67" s="453">
        <v>2</v>
      </c>
      <c r="Q67" s="453" t="s">
        <v>220</v>
      </c>
      <c r="R67" s="454">
        <v>45443</v>
      </c>
      <c r="S67" s="453">
        <v>1</v>
      </c>
      <c r="T67" s="453" t="s">
        <v>196</v>
      </c>
      <c r="U67" s="455">
        <v>1680000000</v>
      </c>
      <c r="V67" s="455">
        <v>1680000000</v>
      </c>
      <c r="W67" s="456"/>
      <c r="X67" s="456"/>
      <c r="Y67" s="455"/>
      <c r="Z67" s="457"/>
      <c r="AA67" s="453"/>
      <c r="AB67" s="458"/>
      <c r="AC67" s="458"/>
      <c r="AD67" s="453"/>
      <c r="AE67" s="453"/>
      <c r="AF67" s="459"/>
      <c r="AG67" s="453"/>
      <c r="AH67" s="455"/>
      <c r="AI67" s="460"/>
      <c r="AJ67" s="460" t="s">
        <v>657</v>
      </c>
      <c r="AK67" s="461"/>
      <c r="AL67" s="462" t="s">
        <v>451</v>
      </c>
      <c r="AM67" s="463" t="s">
        <v>451</v>
      </c>
      <c r="AN67" s="464" t="s">
        <v>451</v>
      </c>
      <c r="AO67" s="453" t="s">
        <v>451</v>
      </c>
      <c r="AP67" s="464" t="s">
        <v>451</v>
      </c>
      <c r="AQ67" s="464" t="s">
        <v>451</v>
      </c>
      <c r="AR67" s="464" t="s">
        <v>451</v>
      </c>
      <c r="AS67" s="464" t="s">
        <v>451</v>
      </c>
      <c r="AT67" s="464" t="s">
        <v>451</v>
      </c>
      <c r="AU67" s="464" t="s">
        <v>451</v>
      </c>
      <c r="AV67" s="464" t="s">
        <v>451</v>
      </c>
      <c r="AW67" s="465" t="s">
        <v>451</v>
      </c>
      <c r="AX67" s="466" t="s">
        <v>658</v>
      </c>
      <c r="AY67" s="467">
        <v>45419</v>
      </c>
      <c r="AZ67" s="468" t="s">
        <v>672</v>
      </c>
      <c r="BA67" s="469">
        <v>1366263000</v>
      </c>
      <c r="BB67" s="469">
        <v>200092500</v>
      </c>
      <c r="BC67" s="469">
        <v>0</v>
      </c>
      <c r="BD67" s="469">
        <v>0</v>
      </c>
      <c r="BE67" s="470">
        <v>1566355500</v>
      </c>
      <c r="BF67" s="471"/>
      <c r="BG67" s="472" t="s">
        <v>1712</v>
      </c>
      <c r="BH67" s="457" t="s">
        <v>199</v>
      </c>
      <c r="BI67" s="480" t="s">
        <v>1713</v>
      </c>
      <c r="BJ67" s="481">
        <v>45826</v>
      </c>
      <c r="BK67" s="480" t="s">
        <v>1769</v>
      </c>
      <c r="BL67" s="481">
        <v>45911</v>
      </c>
      <c r="BM67" s="482">
        <v>1413878561</v>
      </c>
      <c r="BN67" s="474"/>
      <c r="BO67" s="454"/>
      <c r="BP67" s="457"/>
      <c r="BQ67" s="454"/>
      <c r="BR67" s="478"/>
      <c r="BS67" s="487"/>
      <c r="BT67" s="454"/>
      <c r="BU67" s="457"/>
      <c r="BV67" s="457"/>
      <c r="BW67" s="454"/>
      <c r="BX67" s="454"/>
      <c r="BY67" s="477"/>
      <c r="BZ67" s="477"/>
      <c r="CA67" s="478"/>
      <c r="CB67" s="479"/>
    </row>
    <row r="68" spans="2:80" s="135" customFormat="1" ht="15" customHeight="1">
      <c r="B68" s="366">
        <f t="shared" si="2"/>
        <v>58</v>
      </c>
      <c r="C68" s="289" t="s">
        <v>416</v>
      </c>
      <c r="D68" s="446" t="s">
        <v>270</v>
      </c>
      <c r="E68" s="447" t="s">
        <v>304</v>
      </c>
      <c r="F68" s="520" t="s">
        <v>750</v>
      </c>
      <c r="G68" s="448" t="s">
        <v>483</v>
      </c>
      <c r="H68" s="449">
        <v>1</v>
      </c>
      <c r="I68" s="450" t="s">
        <v>187</v>
      </c>
      <c r="J68" s="450" t="s">
        <v>316</v>
      </c>
      <c r="K68" s="450" t="s">
        <v>1553</v>
      </c>
      <c r="L68" s="450" t="s">
        <v>1554</v>
      </c>
      <c r="M68" s="451" t="s">
        <v>174</v>
      </c>
      <c r="N68" s="493">
        <v>3423</v>
      </c>
      <c r="O68" s="495">
        <v>1260.5999999999999</v>
      </c>
      <c r="P68" s="453">
        <v>13</v>
      </c>
      <c r="Q68" s="453" t="s">
        <v>220</v>
      </c>
      <c r="R68" s="454">
        <v>36966</v>
      </c>
      <c r="S68" s="453" t="s">
        <v>257</v>
      </c>
      <c r="T68" s="453" t="s">
        <v>196</v>
      </c>
      <c r="U68" s="455">
        <v>1000000000</v>
      </c>
      <c r="V68" s="455">
        <v>1000000000</v>
      </c>
      <c r="W68" s="456"/>
      <c r="X68" s="456"/>
      <c r="Y68" s="455"/>
      <c r="Z68" s="457"/>
      <c r="AA68" s="453"/>
      <c r="AB68" s="458"/>
      <c r="AC68" s="458"/>
      <c r="AD68" s="453"/>
      <c r="AE68" s="453"/>
      <c r="AF68" s="459"/>
      <c r="AG68" s="453"/>
      <c r="AH68" s="455"/>
      <c r="AI68" s="460"/>
      <c r="AJ68" s="460" t="s">
        <v>657</v>
      </c>
      <c r="AK68" s="461"/>
      <c r="AL68" s="462" t="s">
        <v>451</v>
      </c>
      <c r="AM68" s="463" t="s">
        <v>451</v>
      </c>
      <c r="AN68" s="464" t="s">
        <v>451</v>
      </c>
      <c r="AO68" s="453" t="s">
        <v>451</v>
      </c>
      <c r="AP68" s="464" t="s">
        <v>451</v>
      </c>
      <c r="AQ68" s="464" t="s">
        <v>451</v>
      </c>
      <c r="AR68" s="464" t="s">
        <v>451</v>
      </c>
      <c r="AS68" s="464" t="s">
        <v>451</v>
      </c>
      <c r="AT68" s="464" t="s">
        <v>451</v>
      </c>
      <c r="AU68" s="464" t="s">
        <v>451</v>
      </c>
      <c r="AV68" s="464" t="s">
        <v>451</v>
      </c>
      <c r="AW68" s="465" t="s">
        <v>451</v>
      </c>
      <c r="AX68" s="466" t="s">
        <v>1464</v>
      </c>
      <c r="AY68" s="467">
        <v>45859</v>
      </c>
      <c r="AZ68" s="468" t="s">
        <v>1463</v>
      </c>
      <c r="BA68" s="469">
        <v>1136436000</v>
      </c>
      <c r="BB68" s="469">
        <v>180714000</v>
      </c>
      <c r="BC68" s="469">
        <v>0</v>
      </c>
      <c r="BD68" s="469">
        <v>49972800</v>
      </c>
      <c r="BE68" s="470">
        <v>1367122800</v>
      </c>
      <c r="BF68" s="471"/>
      <c r="BG68" s="472" t="s">
        <v>1712</v>
      </c>
      <c r="BH68" s="457" t="s">
        <v>325</v>
      </c>
      <c r="BI68" s="480" t="s">
        <v>1713</v>
      </c>
      <c r="BJ68" s="481">
        <v>45848</v>
      </c>
      <c r="BK68" s="480" t="s">
        <v>1770</v>
      </c>
      <c r="BL68" s="481">
        <v>45932</v>
      </c>
      <c r="BM68" s="482">
        <v>1490409387</v>
      </c>
      <c r="BN68" s="474"/>
      <c r="BO68" s="454"/>
      <c r="BP68" s="457"/>
      <c r="BQ68" s="454"/>
      <c r="BR68" s="478"/>
      <c r="BS68" s="487"/>
      <c r="BT68" s="454"/>
      <c r="BU68" s="457"/>
      <c r="BV68" s="457"/>
      <c r="BW68" s="454"/>
      <c r="BX68" s="454"/>
      <c r="BY68" s="477"/>
      <c r="BZ68" s="477"/>
      <c r="CA68" s="478"/>
      <c r="CB68" s="479" t="s">
        <v>1771</v>
      </c>
    </row>
    <row r="69" spans="2:80" s="135" customFormat="1" ht="15" customHeight="1">
      <c r="B69" s="366">
        <f t="shared" si="2"/>
        <v>59</v>
      </c>
      <c r="C69" s="289" t="s">
        <v>416</v>
      </c>
      <c r="D69" s="446" t="s">
        <v>270</v>
      </c>
      <c r="E69" s="447" t="s">
        <v>304</v>
      </c>
      <c r="F69" s="520" t="s">
        <v>750</v>
      </c>
      <c r="G69" s="448" t="s">
        <v>1690</v>
      </c>
      <c r="H69" s="449">
        <v>2</v>
      </c>
      <c r="I69" s="450" t="s">
        <v>187</v>
      </c>
      <c r="J69" s="450" t="s">
        <v>367</v>
      </c>
      <c r="K69" s="450" t="s">
        <v>1555</v>
      </c>
      <c r="L69" s="450" t="s">
        <v>1556</v>
      </c>
      <c r="M69" s="451" t="s">
        <v>335</v>
      </c>
      <c r="N69" s="493">
        <v>21.57</v>
      </c>
      <c r="O69" s="495">
        <v>132.43</v>
      </c>
      <c r="P69" s="453"/>
      <c r="Q69" s="453"/>
      <c r="R69" s="454">
        <v>42425</v>
      </c>
      <c r="S69" s="453">
        <v>2</v>
      </c>
      <c r="T69" s="453" t="s">
        <v>196</v>
      </c>
      <c r="U69" s="455">
        <v>200000000</v>
      </c>
      <c r="V69" s="455">
        <v>200000000</v>
      </c>
      <c r="W69" s="456"/>
      <c r="X69" s="456"/>
      <c r="Y69" s="455"/>
      <c r="Z69" s="457">
        <v>2</v>
      </c>
      <c r="AA69" s="453" t="s">
        <v>196</v>
      </c>
      <c r="AB69" s="458">
        <v>266400000</v>
      </c>
      <c r="AC69" s="458">
        <v>266400000</v>
      </c>
      <c r="AD69" s="453"/>
      <c r="AE69" s="453"/>
      <c r="AF69" s="459"/>
      <c r="AG69" s="453"/>
      <c r="AH69" s="455"/>
      <c r="AI69" s="460"/>
      <c r="AJ69" s="460" t="s">
        <v>657</v>
      </c>
      <c r="AK69" s="461"/>
      <c r="AL69" s="462" t="s">
        <v>451</v>
      </c>
      <c r="AM69" s="463" t="s">
        <v>451</v>
      </c>
      <c r="AN69" s="464" t="s">
        <v>451</v>
      </c>
      <c r="AO69" s="453" t="s">
        <v>451</v>
      </c>
      <c r="AP69" s="464" t="s">
        <v>451</v>
      </c>
      <c r="AQ69" s="464" t="s">
        <v>451</v>
      </c>
      <c r="AR69" s="464" t="s">
        <v>451</v>
      </c>
      <c r="AS69" s="464" t="s">
        <v>451</v>
      </c>
      <c r="AT69" s="464" t="s">
        <v>451</v>
      </c>
      <c r="AU69" s="464" t="s">
        <v>451</v>
      </c>
      <c r="AV69" s="464" t="s">
        <v>451</v>
      </c>
      <c r="AW69" s="465" t="s">
        <v>451</v>
      </c>
      <c r="AX69" s="466" t="s">
        <v>338</v>
      </c>
      <c r="AY69" s="467" t="s">
        <v>338</v>
      </c>
      <c r="AZ69" s="468" t="s">
        <v>338</v>
      </c>
      <c r="BA69" s="469" t="s">
        <v>338</v>
      </c>
      <c r="BB69" s="469" t="s">
        <v>338</v>
      </c>
      <c r="BC69" s="469" t="s">
        <v>338</v>
      </c>
      <c r="BD69" s="469" t="s">
        <v>338</v>
      </c>
      <c r="BE69" s="470" t="s">
        <v>338</v>
      </c>
      <c r="BF69" s="484">
        <v>420000000</v>
      </c>
      <c r="BG69" s="472" t="s">
        <v>1711</v>
      </c>
      <c r="BH69" s="457" t="s">
        <v>205</v>
      </c>
      <c r="BI69" s="473"/>
      <c r="BJ69" s="473"/>
      <c r="BK69" s="473"/>
      <c r="BL69" s="473"/>
      <c r="BM69" s="473"/>
      <c r="BN69" s="474"/>
      <c r="BO69" s="454"/>
      <c r="BP69" s="457"/>
      <c r="BQ69" s="454"/>
      <c r="BR69" s="478"/>
      <c r="BS69" s="487"/>
      <c r="BT69" s="454"/>
      <c r="BU69" s="457"/>
      <c r="BV69" s="457"/>
      <c r="BW69" s="454"/>
      <c r="BX69" s="454"/>
      <c r="BY69" s="477"/>
      <c r="BZ69" s="477"/>
      <c r="CA69" s="478"/>
      <c r="CB69" s="479"/>
    </row>
    <row r="70" spans="2:80" s="135" customFormat="1" ht="15" customHeight="1">
      <c r="B70" s="366">
        <f t="shared" si="2"/>
        <v>60</v>
      </c>
      <c r="C70" s="289" t="s">
        <v>416</v>
      </c>
      <c r="D70" s="446" t="s">
        <v>270</v>
      </c>
      <c r="E70" s="447" t="s">
        <v>311</v>
      </c>
      <c r="F70" s="520" t="s">
        <v>751</v>
      </c>
      <c r="G70" s="448" t="s">
        <v>484</v>
      </c>
      <c r="H70" s="449">
        <v>1</v>
      </c>
      <c r="I70" s="450" t="s">
        <v>191</v>
      </c>
      <c r="J70" s="450" t="s">
        <v>1557</v>
      </c>
      <c r="K70" s="450" t="s">
        <v>1558</v>
      </c>
      <c r="L70" s="450" t="s">
        <v>1559</v>
      </c>
      <c r="M70" s="451" t="s">
        <v>174</v>
      </c>
      <c r="N70" s="452">
        <v>2433</v>
      </c>
      <c r="O70" s="452">
        <v>246.4</v>
      </c>
      <c r="P70" s="453">
        <v>1</v>
      </c>
      <c r="Q70" s="453" t="s">
        <v>220</v>
      </c>
      <c r="R70" s="454">
        <v>44365</v>
      </c>
      <c r="S70" s="453" t="s">
        <v>257</v>
      </c>
      <c r="T70" s="453" t="s">
        <v>196</v>
      </c>
      <c r="U70" s="455">
        <v>1380000000</v>
      </c>
      <c r="V70" s="455">
        <v>1380000000</v>
      </c>
      <c r="W70" s="456" t="s">
        <v>251</v>
      </c>
      <c r="X70" s="456" t="s">
        <v>249</v>
      </c>
      <c r="Y70" s="455">
        <v>1128000000</v>
      </c>
      <c r="Z70" s="457"/>
      <c r="AA70" s="453"/>
      <c r="AB70" s="458"/>
      <c r="AC70" s="458"/>
      <c r="AD70" s="453"/>
      <c r="AE70" s="453"/>
      <c r="AF70" s="459"/>
      <c r="AG70" s="453"/>
      <c r="AH70" s="455"/>
      <c r="AI70" s="460"/>
      <c r="AJ70" s="460" t="s">
        <v>657</v>
      </c>
      <c r="AK70" s="461"/>
      <c r="AL70" s="462" t="s">
        <v>451</v>
      </c>
      <c r="AM70" s="463" t="s">
        <v>451</v>
      </c>
      <c r="AN70" s="464" t="s">
        <v>451</v>
      </c>
      <c r="AO70" s="453" t="s">
        <v>451</v>
      </c>
      <c r="AP70" s="464" t="s">
        <v>451</v>
      </c>
      <c r="AQ70" s="464" t="s">
        <v>451</v>
      </c>
      <c r="AR70" s="464" t="s">
        <v>451</v>
      </c>
      <c r="AS70" s="464" t="s">
        <v>451</v>
      </c>
      <c r="AT70" s="464" t="s">
        <v>451</v>
      </c>
      <c r="AU70" s="464" t="s">
        <v>451</v>
      </c>
      <c r="AV70" s="464" t="s">
        <v>451</v>
      </c>
      <c r="AW70" s="465" t="s">
        <v>451</v>
      </c>
      <c r="AX70" s="466" t="s">
        <v>658</v>
      </c>
      <c r="AY70" s="467" t="s">
        <v>1560</v>
      </c>
      <c r="AZ70" s="468" t="s">
        <v>1561</v>
      </c>
      <c r="BA70" s="469">
        <v>126516000</v>
      </c>
      <c r="BB70" s="469">
        <v>155971200</v>
      </c>
      <c r="BC70" s="469">
        <v>650000000</v>
      </c>
      <c r="BD70" s="469">
        <v>0</v>
      </c>
      <c r="BE70" s="470">
        <v>932487200</v>
      </c>
      <c r="BF70" s="471"/>
      <c r="BG70" s="472" t="s">
        <v>1712</v>
      </c>
      <c r="BH70" s="457" t="s">
        <v>286</v>
      </c>
      <c r="BI70" s="480" t="s">
        <v>1713</v>
      </c>
      <c r="BJ70" s="481">
        <v>45846</v>
      </c>
      <c r="BK70" s="480" t="s">
        <v>1772</v>
      </c>
      <c r="BL70" s="481"/>
      <c r="BM70" s="473">
        <v>1167695925</v>
      </c>
      <c r="BN70" s="457" t="s">
        <v>1773</v>
      </c>
      <c r="BO70" s="481">
        <v>45749</v>
      </c>
      <c r="BP70" s="480" t="s">
        <v>1774</v>
      </c>
      <c r="BQ70" s="481">
        <v>45831</v>
      </c>
      <c r="BR70" s="485">
        <v>148551984</v>
      </c>
      <c r="BS70" s="487"/>
      <c r="BT70" s="454"/>
      <c r="BU70" s="457"/>
      <c r="BV70" s="457"/>
      <c r="BW70" s="454"/>
      <c r="BX70" s="454"/>
      <c r="BY70" s="477"/>
      <c r="BZ70" s="477"/>
      <c r="CA70" s="478"/>
      <c r="CB70" s="479"/>
    </row>
    <row r="71" spans="2:80" s="135" customFormat="1" ht="15" customHeight="1">
      <c r="B71" s="366">
        <f t="shared" si="2"/>
        <v>61</v>
      </c>
      <c r="C71" s="289" t="s">
        <v>416</v>
      </c>
      <c r="D71" s="446" t="s">
        <v>270</v>
      </c>
      <c r="E71" s="447" t="s">
        <v>311</v>
      </c>
      <c r="F71" s="520" t="s">
        <v>751</v>
      </c>
      <c r="G71" s="448" t="s">
        <v>1691</v>
      </c>
      <c r="H71" s="449">
        <v>2</v>
      </c>
      <c r="I71" s="450" t="s">
        <v>191</v>
      </c>
      <c r="J71" s="450" t="s">
        <v>1557</v>
      </c>
      <c r="K71" s="450" t="s">
        <v>1558</v>
      </c>
      <c r="L71" s="450" t="s">
        <v>1562</v>
      </c>
      <c r="M71" s="451" t="s">
        <v>174</v>
      </c>
      <c r="N71" s="452"/>
      <c r="O71" s="452">
        <v>654.71</v>
      </c>
      <c r="P71" s="453" t="s">
        <v>256</v>
      </c>
      <c r="Q71" s="453" t="s">
        <v>220</v>
      </c>
      <c r="R71" s="454">
        <v>44498</v>
      </c>
      <c r="S71" s="453" t="s">
        <v>250</v>
      </c>
      <c r="T71" s="453" t="s">
        <v>196</v>
      </c>
      <c r="U71" s="455">
        <v>1128000000</v>
      </c>
      <c r="V71" s="455">
        <v>1128000000</v>
      </c>
      <c r="W71" s="456" t="s">
        <v>253</v>
      </c>
      <c r="X71" s="456" t="s">
        <v>250</v>
      </c>
      <c r="Y71" s="455">
        <v>1128000000</v>
      </c>
      <c r="Z71" s="457"/>
      <c r="AA71" s="453"/>
      <c r="AB71" s="458"/>
      <c r="AC71" s="458"/>
      <c r="AD71" s="453"/>
      <c r="AE71" s="453"/>
      <c r="AF71" s="459"/>
      <c r="AG71" s="453"/>
      <c r="AH71" s="455"/>
      <c r="AI71" s="460"/>
      <c r="AJ71" s="460" t="s">
        <v>657</v>
      </c>
      <c r="AK71" s="461"/>
      <c r="AL71" s="462" t="s">
        <v>451</v>
      </c>
      <c r="AM71" s="463" t="s">
        <v>451</v>
      </c>
      <c r="AN71" s="464" t="s">
        <v>451</v>
      </c>
      <c r="AO71" s="453" t="s">
        <v>451</v>
      </c>
      <c r="AP71" s="464" t="s">
        <v>451</v>
      </c>
      <c r="AQ71" s="464" t="s">
        <v>451</v>
      </c>
      <c r="AR71" s="464" t="s">
        <v>451</v>
      </c>
      <c r="AS71" s="464" t="s">
        <v>451</v>
      </c>
      <c r="AT71" s="464" t="s">
        <v>451</v>
      </c>
      <c r="AU71" s="464" t="s">
        <v>451</v>
      </c>
      <c r="AV71" s="464" t="s">
        <v>451</v>
      </c>
      <c r="AW71" s="465" t="s">
        <v>451</v>
      </c>
      <c r="AX71" s="466" t="s">
        <v>658</v>
      </c>
      <c r="AY71" s="467">
        <v>44483</v>
      </c>
      <c r="AZ71" s="468" t="s">
        <v>668</v>
      </c>
      <c r="BA71" s="469">
        <v>0</v>
      </c>
      <c r="BB71" s="469">
        <v>556503500</v>
      </c>
      <c r="BC71" s="469">
        <v>0</v>
      </c>
      <c r="BD71" s="469">
        <v>0</v>
      </c>
      <c r="BE71" s="469">
        <v>556503500</v>
      </c>
      <c r="BF71" s="471"/>
      <c r="BG71" s="472" t="s">
        <v>1712</v>
      </c>
      <c r="BH71" s="457" t="s">
        <v>286</v>
      </c>
      <c r="BI71" s="480" t="s">
        <v>1713</v>
      </c>
      <c r="BJ71" s="481">
        <v>45846</v>
      </c>
      <c r="BK71" s="480" t="s">
        <v>1772</v>
      </c>
      <c r="BL71" s="481"/>
      <c r="BM71" s="473" t="s">
        <v>675</v>
      </c>
      <c r="BN71" s="457" t="s">
        <v>1773</v>
      </c>
      <c r="BO71" s="481">
        <v>45749</v>
      </c>
      <c r="BP71" s="480" t="s">
        <v>1774</v>
      </c>
      <c r="BQ71" s="481">
        <v>45831</v>
      </c>
      <c r="BR71" s="486" t="s">
        <v>1724</v>
      </c>
      <c r="BS71" s="487"/>
      <c r="BT71" s="454"/>
      <c r="BU71" s="457"/>
      <c r="BV71" s="457"/>
      <c r="BW71" s="454"/>
      <c r="BX71" s="454"/>
      <c r="BY71" s="477"/>
      <c r="BZ71" s="477"/>
      <c r="CA71" s="478"/>
      <c r="CB71" s="479"/>
    </row>
    <row r="72" spans="2:80" s="135" customFormat="1" ht="15" customHeight="1">
      <c r="B72" s="366">
        <f t="shared" si="2"/>
        <v>62</v>
      </c>
      <c r="C72" s="289" t="s">
        <v>416</v>
      </c>
      <c r="D72" s="446" t="s">
        <v>270</v>
      </c>
      <c r="E72" s="447" t="s">
        <v>312</v>
      </c>
      <c r="F72" s="520" t="s">
        <v>752</v>
      </c>
      <c r="G72" s="448" t="s">
        <v>485</v>
      </c>
      <c r="H72" s="449">
        <v>1</v>
      </c>
      <c r="I72" s="450" t="s">
        <v>186</v>
      </c>
      <c r="J72" s="450" t="s">
        <v>655</v>
      </c>
      <c r="K72" s="450" t="s">
        <v>1563</v>
      </c>
      <c r="L72" s="450" t="s">
        <v>1564</v>
      </c>
      <c r="M72" s="451" t="s">
        <v>174</v>
      </c>
      <c r="N72" s="452">
        <v>2705</v>
      </c>
      <c r="O72" s="452">
        <v>878.71</v>
      </c>
      <c r="P72" s="453"/>
      <c r="Q72" s="453"/>
      <c r="R72" s="454">
        <v>45260</v>
      </c>
      <c r="S72" s="453">
        <v>1</v>
      </c>
      <c r="T72" s="453" t="s">
        <v>196</v>
      </c>
      <c r="U72" s="455">
        <v>660000000</v>
      </c>
      <c r="V72" s="455">
        <v>660000000</v>
      </c>
      <c r="W72" s="456"/>
      <c r="X72" s="456"/>
      <c r="Y72" s="455"/>
      <c r="Z72" s="457"/>
      <c r="AA72" s="453"/>
      <c r="AB72" s="458"/>
      <c r="AC72" s="458"/>
      <c r="AD72" s="453"/>
      <c r="AE72" s="453"/>
      <c r="AF72" s="459"/>
      <c r="AG72" s="453"/>
      <c r="AH72" s="455"/>
      <c r="AI72" s="460"/>
      <c r="AJ72" s="460" t="s">
        <v>657</v>
      </c>
      <c r="AK72" s="461"/>
      <c r="AL72" s="462" t="s">
        <v>451</v>
      </c>
      <c r="AM72" s="463" t="s">
        <v>451</v>
      </c>
      <c r="AN72" s="464" t="s">
        <v>451</v>
      </c>
      <c r="AO72" s="453" t="s">
        <v>451</v>
      </c>
      <c r="AP72" s="464" t="s">
        <v>451</v>
      </c>
      <c r="AQ72" s="464" t="s">
        <v>451</v>
      </c>
      <c r="AR72" s="464" t="s">
        <v>451</v>
      </c>
      <c r="AS72" s="464" t="s">
        <v>451</v>
      </c>
      <c r="AT72" s="464" t="s">
        <v>451</v>
      </c>
      <c r="AU72" s="464" t="s">
        <v>451</v>
      </c>
      <c r="AV72" s="464" t="s">
        <v>451</v>
      </c>
      <c r="AW72" s="465" t="s">
        <v>451</v>
      </c>
      <c r="AX72" s="466" t="s">
        <v>658</v>
      </c>
      <c r="AY72" s="467">
        <v>44895</v>
      </c>
      <c r="AZ72" s="468" t="s">
        <v>661</v>
      </c>
      <c r="BA72" s="469">
        <v>1017767000</v>
      </c>
      <c r="BB72" s="469">
        <v>215984700</v>
      </c>
      <c r="BC72" s="469">
        <v>0</v>
      </c>
      <c r="BD72" s="469">
        <v>0</v>
      </c>
      <c r="BE72" s="469">
        <v>1233751700</v>
      </c>
      <c r="BF72" s="471"/>
      <c r="BG72" s="472" t="s">
        <v>1712</v>
      </c>
      <c r="BH72" s="457" t="s">
        <v>326</v>
      </c>
      <c r="BI72" s="480" t="s">
        <v>1713</v>
      </c>
      <c r="BJ72" s="481">
        <v>45826</v>
      </c>
      <c r="BK72" s="480" t="s">
        <v>1775</v>
      </c>
      <c r="BL72" s="481"/>
      <c r="BM72" s="473">
        <v>660000000</v>
      </c>
      <c r="BN72" s="463" t="s">
        <v>1742</v>
      </c>
      <c r="BO72" s="481">
        <v>45804</v>
      </c>
      <c r="BP72" s="480" t="s">
        <v>1776</v>
      </c>
      <c r="BQ72" s="481">
        <v>45916</v>
      </c>
      <c r="BR72" s="485">
        <v>150283031</v>
      </c>
      <c r="BS72" s="487"/>
      <c r="BT72" s="454"/>
      <c r="BU72" s="457"/>
      <c r="BV72" s="457"/>
      <c r="BW72" s="454"/>
      <c r="BX72" s="454"/>
      <c r="BY72" s="477"/>
      <c r="BZ72" s="477"/>
      <c r="CA72" s="478"/>
      <c r="CB72" s="479" t="s">
        <v>1777</v>
      </c>
    </row>
    <row r="73" spans="2:80" s="135" customFormat="1" ht="15" customHeight="1">
      <c r="B73" s="366">
        <f t="shared" si="2"/>
        <v>63</v>
      </c>
      <c r="C73" s="289" t="s">
        <v>416</v>
      </c>
      <c r="D73" s="446" t="s">
        <v>270</v>
      </c>
      <c r="E73" s="447" t="s">
        <v>312</v>
      </c>
      <c r="F73" s="520" t="s">
        <v>752</v>
      </c>
      <c r="G73" s="448" t="s">
        <v>1692</v>
      </c>
      <c r="H73" s="449">
        <v>2</v>
      </c>
      <c r="I73" s="450" t="s">
        <v>186</v>
      </c>
      <c r="J73" s="450" t="s">
        <v>1427</v>
      </c>
      <c r="K73" s="450" t="s">
        <v>1565</v>
      </c>
      <c r="L73" s="450" t="s">
        <v>1566</v>
      </c>
      <c r="M73" s="451" t="s">
        <v>174</v>
      </c>
      <c r="N73" s="452">
        <v>11047</v>
      </c>
      <c r="O73" s="452">
        <v>3039.1</v>
      </c>
      <c r="P73" s="453"/>
      <c r="Q73" s="453"/>
      <c r="R73" s="454">
        <v>44546</v>
      </c>
      <c r="S73" s="453">
        <v>1</v>
      </c>
      <c r="T73" s="453" t="s">
        <v>196</v>
      </c>
      <c r="U73" s="455">
        <v>516000000</v>
      </c>
      <c r="V73" s="455">
        <v>516000000</v>
      </c>
      <c r="W73" s="456"/>
      <c r="X73" s="456"/>
      <c r="Y73" s="455"/>
      <c r="Z73" s="457"/>
      <c r="AA73" s="453"/>
      <c r="AB73" s="458"/>
      <c r="AC73" s="458"/>
      <c r="AD73" s="453"/>
      <c r="AE73" s="453"/>
      <c r="AF73" s="459"/>
      <c r="AG73" s="453"/>
      <c r="AH73" s="455"/>
      <c r="AI73" s="460"/>
      <c r="AJ73" s="460" t="s">
        <v>657</v>
      </c>
      <c r="AK73" s="461"/>
      <c r="AL73" s="462" t="s">
        <v>451</v>
      </c>
      <c r="AM73" s="463" t="s">
        <v>451</v>
      </c>
      <c r="AN73" s="464" t="s">
        <v>451</v>
      </c>
      <c r="AO73" s="453" t="s">
        <v>451</v>
      </c>
      <c r="AP73" s="464" t="s">
        <v>451</v>
      </c>
      <c r="AQ73" s="464" t="s">
        <v>451</v>
      </c>
      <c r="AR73" s="464" t="s">
        <v>451</v>
      </c>
      <c r="AS73" s="464" t="s">
        <v>451</v>
      </c>
      <c r="AT73" s="464" t="s">
        <v>451</v>
      </c>
      <c r="AU73" s="464" t="s">
        <v>451</v>
      </c>
      <c r="AV73" s="464" t="s">
        <v>451</v>
      </c>
      <c r="AW73" s="465" t="s">
        <v>451</v>
      </c>
      <c r="AX73" s="466" t="s">
        <v>658</v>
      </c>
      <c r="AY73" s="467">
        <v>44537</v>
      </c>
      <c r="AZ73" s="468" t="s">
        <v>336</v>
      </c>
      <c r="BA73" s="469">
        <v>3809571000</v>
      </c>
      <c r="BB73" s="469">
        <v>1109918400</v>
      </c>
      <c r="BC73" s="469">
        <v>0</v>
      </c>
      <c r="BD73" s="469">
        <v>0</v>
      </c>
      <c r="BE73" s="469">
        <v>4919489400</v>
      </c>
      <c r="BF73" s="471"/>
      <c r="BG73" s="472" t="s">
        <v>1712</v>
      </c>
      <c r="BH73" s="457" t="s">
        <v>200</v>
      </c>
      <c r="BI73" s="480" t="s">
        <v>1713</v>
      </c>
      <c r="BJ73" s="481">
        <v>45819</v>
      </c>
      <c r="BK73" s="480" t="s">
        <v>1778</v>
      </c>
      <c r="BL73" s="481"/>
      <c r="BM73" s="473">
        <v>516000000</v>
      </c>
      <c r="BN73" s="457" t="s">
        <v>1779</v>
      </c>
      <c r="BO73" s="481">
        <v>45495</v>
      </c>
      <c r="BP73" s="480" t="s">
        <v>1780</v>
      </c>
      <c r="BQ73" s="481">
        <v>45567</v>
      </c>
      <c r="BR73" s="485">
        <v>73524247</v>
      </c>
      <c r="BS73" s="487"/>
      <c r="BT73" s="454"/>
      <c r="BU73" s="457"/>
      <c r="BV73" s="457"/>
      <c r="BW73" s="454"/>
      <c r="BX73" s="454"/>
      <c r="BY73" s="477"/>
      <c r="BZ73" s="477"/>
      <c r="CA73" s="478"/>
      <c r="CB73" s="479" t="s">
        <v>1781</v>
      </c>
    </row>
    <row r="74" spans="2:80" s="135" customFormat="1" ht="15" customHeight="1">
      <c r="B74" s="366">
        <f t="shared" si="2"/>
        <v>64</v>
      </c>
      <c r="C74" s="289" t="s">
        <v>416</v>
      </c>
      <c r="D74" s="446" t="s">
        <v>270</v>
      </c>
      <c r="E74" s="447" t="s">
        <v>312</v>
      </c>
      <c r="F74" s="520" t="s">
        <v>752</v>
      </c>
      <c r="G74" s="448" t="s">
        <v>1693</v>
      </c>
      <c r="H74" s="449">
        <v>3</v>
      </c>
      <c r="I74" s="450" t="s">
        <v>186</v>
      </c>
      <c r="J74" s="450" t="s">
        <v>1427</v>
      </c>
      <c r="K74" s="450" t="s">
        <v>1565</v>
      </c>
      <c r="L74" s="450" t="s">
        <v>1567</v>
      </c>
      <c r="M74" s="451" t="s">
        <v>640</v>
      </c>
      <c r="N74" s="452"/>
      <c r="O74" s="452"/>
      <c r="P74" s="453">
        <v>1</v>
      </c>
      <c r="Q74" s="453"/>
      <c r="R74" s="454">
        <v>44795</v>
      </c>
      <c r="S74" s="453">
        <v>1</v>
      </c>
      <c r="T74" s="453" t="s">
        <v>196</v>
      </c>
      <c r="U74" s="455">
        <v>26400000</v>
      </c>
      <c r="V74" s="455">
        <v>26400000</v>
      </c>
      <c r="W74" s="456"/>
      <c r="X74" s="456"/>
      <c r="Y74" s="455"/>
      <c r="Z74" s="457"/>
      <c r="AA74" s="453"/>
      <c r="AB74" s="458"/>
      <c r="AC74" s="458"/>
      <c r="AD74" s="453"/>
      <c r="AE74" s="453"/>
      <c r="AF74" s="459"/>
      <c r="AG74" s="453"/>
      <c r="AH74" s="455"/>
      <c r="AI74" s="460"/>
      <c r="AJ74" s="460" t="s">
        <v>657</v>
      </c>
      <c r="AK74" s="461"/>
      <c r="AL74" s="462" t="s">
        <v>451</v>
      </c>
      <c r="AM74" s="463" t="s">
        <v>451</v>
      </c>
      <c r="AN74" s="464" t="s">
        <v>451</v>
      </c>
      <c r="AO74" s="453" t="s">
        <v>451</v>
      </c>
      <c r="AP74" s="464" t="s">
        <v>451</v>
      </c>
      <c r="AQ74" s="464" t="s">
        <v>451</v>
      </c>
      <c r="AR74" s="464" t="s">
        <v>451</v>
      </c>
      <c r="AS74" s="464" t="s">
        <v>451</v>
      </c>
      <c r="AT74" s="464" t="s">
        <v>451</v>
      </c>
      <c r="AU74" s="464" t="s">
        <v>451</v>
      </c>
      <c r="AV74" s="464" t="s">
        <v>451</v>
      </c>
      <c r="AW74" s="465" t="s">
        <v>451</v>
      </c>
      <c r="AX74" s="466" t="s">
        <v>338</v>
      </c>
      <c r="AY74" s="467" t="s">
        <v>338</v>
      </c>
      <c r="AZ74" s="468" t="s">
        <v>338</v>
      </c>
      <c r="BA74" s="469" t="s">
        <v>338</v>
      </c>
      <c r="BB74" s="469" t="s">
        <v>338</v>
      </c>
      <c r="BC74" s="469" t="s">
        <v>338</v>
      </c>
      <c r="BD74" s="469" t="s">
        <v>338</v>
      </c>
      <c r="BE74" s="470" t="s">
        <v>338</v>
      </c>
      <c r="BF74" s="471"/>
      <c r="BG74" s="472" t="s">
        <v>1711</v>
      </c>
      <c r="BH74" s="457" t="s">
        <v>200</v>
      </c>
      <c r="BI74" s="480"/>
      <c r="BJ74" s="481"/>
      <c r="BK74" s="480"/>
      <c r="BL74" s="481"/>
      <c r="BM74" s="481"/>
      <c r="BN74" s="474"/>
      <c r="BO74" s="454"/>
      <c r="BP74" s="457"/>
      <c r="BQ74" s="454"/>
      <c r="BR74" s="478"/>
      <c r="BS74" s="487"/>
      <c r="BT74" s="454"/>
      <c r="BU74" s="457"/>
      <c r="BV74" s="457"/>
      <c r="BW74" s="454"/>
      <c r="BX74" s="454"/>
      <c r="BY74" s="477"/>
      <c r="BZ74" s="477"/>
      <c r="CA74" s="478"/>
      <c r="CB74" s="479"/>
    </row>
    <row r="75" spans="2:80" s="135" customFormat="1" ht="15" customHeight="1">
      <c r="B75" s="366">
        <f t="shared" si="2"/>
        <v>65</v>
      </c>
      <c r="C75" s="289" t="s">
        <v>416</v>
      </c>
      <c r="D75" s="446" t="s">
        <v>270</v>
      </c>
      <c r="E75" s="447" t="s">
        <v>299</v>
      </c>
      <c r="F75" s="520" t="s">
        <v>753</v>
      </c>
      <c r="G75" s="448" t="s">
        <v>486</v>
      </c>
      <c r="H75" s="449">
        <v>1</v>
      </c>
      <c r="I75" s="450" t="s">
        <v>244</v>
      </c>
      <c r="J75" s="450" t="s">
        <v>275</v>
      </c>
      <c r="K75" s="450" t="s">
        <v>1568</v>
      </c>
      <c r="L75" s="450" t="s">
        <v>1569</v>
      </c>
      <c r="M75" s="451" t="s">
        <v>644</v>
      </c>
      <c r="N75" s="452">
        <v>1157</v>
      </c>
      <c r="O75" s="452">
        <v>212.91</v>
      </c>
      <c r="P75" s="453">
        <v>5</v>
      </c>
      <c r="Q75" s="453" t="s">
        <v>220</v>
      </c>
      <c r="R75" s="454">
        <v>44586</v>
      </c>
      <c r="S75" s="453">
        <v>1</v>
      </c>
      <c r="T75" s="453" t="s">
        <v>196</v>
      </c>
      <c r="U75" s="455">
        <v>1080000000</v>
      </c>
      <c r="V75" s="455">
        <v>1080000000</v>
      </c>
      <c r="W75" s="456"/>
      <c r="X75" s="456"/>
      <c r="Y75" s="455"/>
      <c r="Z75" s="457"/>
      <c r="AA75" s="453"/>
      <c r="AB75" s="458"/>
      <c r="AC75" s="458"/>
      <c r="AD75" s="453"/>
      <c r="AE75" s="453"/>
      <c r="AF75" s="459"/>
      <c r="AG75" s="453"/>
      <c r="AH75" s="455"/>
      <c r="AI75" s="460"/>
      <c r="AJ75" s="460" t="s">
        <v>657</v>
      </c>
      <c r="AK75" s="461"/>
      <c r="AL75" s="462" t="s">
        <v>451</v>
      </c>
      <c r="AM75" s="463" t="s">
        <v>451</v>
      </c>
      <c r="AN75" s="464" t="s">
        <v>451</v>
      </c>
      <c r="AO75" s="453" t="s">
        <v>451</v>
      </c>
      <c r="AP75" s="464" t="s">
        <v>451</v>
      </c>
      <c r="AQ75" s="464" t="s">
        <v>451</v>
      </c>
      <c r="AR75" s="464" t="s">
        <v>451</v>
      </c>
      <c r="AS75" s="464" t="s">
        <v>451</v>
      </c>
      <c r="AT75" s="464" t="s">
        <v>451</v>
      </c>
      <c r="AU75" s="464" t="s">
        <v>451</v>
      </c>
      <c r="AV75" s="464" t="s">
        <v>451</v>
      </c>
      <c r="AW75" s="465" t="s">
        <v>451</v>
      </c>
      <c r="AX75" s="466" t="s">
        <v>658</v>
      </c>
      <c r="AY75" s="467">
        <v>43997</v>
      </c>
      <c r="AZ75" s="468" t="s">
        <v>1570</v>
      </c>
      <c r="BA75" s="469">
        <v>926757000</v>
      </c>
      <c r="BB75" s="469">
        <v>81469200</v>
      </c>
      <c r="BC75" s="469">
        <v>105470000</v>
      </c>
      <c r="BD75" s="469">
        <v>1298000</v>
      </c>
      <c r="BE75" s="469">
        <v>1114994200</v>
      </c>
      <c r="BF75" s="471"/>
      <c r="BG75" s="472" t="s">
        <v>1712</v>
      </c>
      <c r="BH75" s="457" t="s">
        <v>279</v>
      </c>
      <c r="BI75" s="480" t="s">
        <v>1713</v>
      </c>
      <c r="BJ75" s="481">
        <v>45847</v>
      </c>
      <c r="BK75" s="480" t="s">
        <v>1782</v>
      </c>
      <c r="BL75" s="481">
        <v>45946</v>
      </c>
      <c r="BM75" s="482">
        <v>1080000000</v>
      </c>
      <c r="BN75" s="474"/>
      <c r="BO75" s="454"/>
      <c r="BP75" s="457"/>
      <c r="BQ75" s="454"/>
      <c r="BR75" s="478"/>
      <c r="BS75" s="487"/>
      <c r="BT75" s="454"/>
      <c r="BU75" s="457"/>
      <c r="BV75" s="457"/>
      <c r="BW75" s="454"/>
      <c r="BX75" s="454"/>
      <c r="BY75" s="477"/>
      <c r="BZ75" s="477"/>
      <c r="CA75" s="478"/>
      <c r="CB75" s="479"/>
    </row>
    <row r="76" spans="2:80" s="135" customFormat="1" ht="15" customHeight="1">
      <c r="B76" s="366">
        <f t="shared" si="2"/>
        <v>66</v>
      </c>
      <c r="C76" s="289" t="s">
        <v>416</v>
      </c>
      <c r="D76" s="446" t="s">
        <v>270</v>
      </c>
      <c r="E76" s="447" t="s">
        <v>299</v>
      </c>
      <c r="F76" s="520" t="s">
        <v>753</v>
      </c>
      <c r="G76" s="448" t="s">
        <v>1694</v>
      </c>
      <c r="H76" s="449">
        <v>2</v>
      </c>
      <c r="I76" s="450" t="s">
        <v>244</v>
      </c>
      <c r="J76" s="450" t="s">
        <v>275</v>
      </c>
      <c r="K76" s="450" t="s">
        <v>1571</v>
      </c>
      <c r="L76" s="450" t="s">
        <v>1572</v>
      </c>
      <c r="M76" s="451" t="s">
        <v>175</v>
      </c>
      <c r="N76" s="452">
        <v>54.292999999999999</v>
      </c>
      <c r="O76" s="452">
        <v>134.96799999999999</v>
      </c>
      <c r="P76" s="453"/>
      <c r="Q76" s="453"/>
      <c r="R76" s="454">
        <v>45320</v>
      </c>
      <c r="S76" s="453">
        <v>2</v>
      </c>
      <c r="T76" s="453" t="s">
        <v>196</v>
      </c>
      <c r="U76" s="455">
        <v>37200000</v>
      </c>
      <c r="V76" s="455">
        <v>37200000</v>
      </c>
      <c r="W76" s="456"/>
      <c r="X76" s="456"/>
      <c r="Y76" s="455"/>
      <c r="Z76" s="457">
        <v>1</v>
      </c>
      <c r="AA76" s="453" t="s">
        <v>196</v>
      </c>
      <c r="AB76" s="458">
        <v>138700000</v>
      </c>
      <c r="AC76" s="458">
        <v>138700000</v>
      </c>
      <c r="AD76" s="453"/>
      <c r="AE76" s="453"/>
      <c r="AF76" s="459"/>
      <c r="AG76" s="453"/>
      <c r="AH76" s="455"/>
      <c r="AI76" s="460"/>
      <c r="AJ76" s="460" t="s">
        <v>657</v>
      </c>
      <c r="AK76" s="461"/>
      <c r="AL76" s="462" t="s">
        <v>451</v>
      </c>
      <c r="AM76" s="463" t="s">
        <v>451</v>
      </c>
      <c r="AN76" s="464" t="s">
        <v>451</v>
      </c>
      <c r="AO76" s="453" t="s">
        <v>451</v>
      </c>
      <c r="AP76" s="464" t="s">
        <v>451</v>
      </c>
      <c r="AQ76" s="464" t="s">
        <v>451</v>
      </c>
      <c r="AR76" s="464" t="s">
        <v>451</v>
      </c>
      <c r="AS76" s="464" t="s">
        <v>451</v>
      </c>
      <c r="AT76" s="464" t="s">
        <v>451</v>
      </c>
      <c r="AU76" s="464" t="s">
        <v>451</v>
      </c>
      <c r="AV76" s="464" t="s">
        <v>451</v>
      </c>
      <c r="AW76" s="465" t="s">
        <v>451</v>
      </c>
      <c r="AX76" s="466" t="s">
        <v>338</v>
      </c>
      <c r="AY76" s="467" t="s">
        <v>338</v>
      </c>
      <c r="AZ76" s="468" t="s">
        <v>338</v>
      </c>
      <c r="BA76" s="469" t="s">
        <v>338</v>
      </c>
      <c r="BB76" s="469" t="s">
        <v>338</v>
      </c>
      <c r="BC76" s="469" t="s">
        <v>338</v>
      </c>
      <c r="BD76" s="469" t="s">
        <v>338</v>
      </c>
      <c r="BE76" s="470" t="s">
        <v>338</v>
      </c>
      <c r="BF76" s="484">
        <v>265000000</v>
      </c>
      <c r="BG76" s="472" t="s">
        <v>1711</v>
      </c>
      <c r="BH76" s="457" t="s">
        <v>279</v>
      </c>
      <c r="BI76" s="496"/>
      <c r="BJ76" s="496"/>
      <c r="BK76" s="496"/>
      <c r="BL76" s="496"/>
      <c r="BM76" s="496"/>
      <c r="BN76" s="474"/>
      <c r="BO76" s="454"/>
      <c r="BP76" s="457"/>
      <c r="BQ76" s="454"/>
      <c r="BR76" s="478"/>
      <c r="BS76" s="487"/>
      <c r="BT76" s="454"/>
      <c r="BU76" s="457"/>
      <c r="BV76" s="457"/>
      <c r="BW76" s="454"/>
      <c r="BX76" s="454"/>
      <c r="BY76" s="477"/>
      <c r="BZ76" s="477"/>
      <c r="CA76" s="478"/>
      <c r="CB76" s="479"/>
    </row>
    <row r="77" spans="2:80" s="135" customFormat="1" ht="15" customHeight="1">
      <c r="B77" s="366">
        <f t="shared" si="2"/>
        <v>67</v>
      </c>
      <c r="C77" s="289" t="s">
        <v>416</v>
      </c>
      <c r="D77" s="446" t="s">
        <v>270</v>
      </c>
      <c r="E77" s="447" t="s">
        <v>303</v>
      </c>
      <c r="F77" s="520" t="s">
        <v>754</v>
      </c>
      <c r="G77" s="448" t="s">
        <v>487</v>
      </c>
      <c r="H77" s="449">
        <v>1</v>
      </c>
      <c r="I77" s="450" t="s">
        <v>189</v>
      </c>
      <c r="J77" s="450" t="s">
        <v>1573</v>
      </c>
      <c r="K77" s="450" t="s">
        <v>1574</v>
      </c>
      <c r="L77" s="450" t="s">
        <v>1575</v>
      </c>
      <c r="M77" s="451" t="s">
        <v>178</v>
      </c>
      <c r="N77" s="452">
        <v>10.72</v>
      </c>
      <c r="O77" s="452">
        <v>89.61</v>
      </c>
      <c r="P77" s="453"/>
      <c r="Q77" s="453"/>
      <c r="R77" s="454">
        <v>44448</v>
      </c>
      <c r="S77" s="453">
        <v>2</v>
      </c>
      <c r="T77" s="453" t="s">
        <v>196</v>
      </c>
      <c r="U77" s="455">
        <v>573600000</v>
      </c>
      <c r="V77" s="455">
        <v>573600000</v>
      </c>
      <c r="W77" s="456"/>
      <c r="X77" s="456"/>
      <c r="Y77" s="455"/>
      <c r="Z77" s="457">
        <v>1</v>
      </c>
      <c r="AA77" s="453" t="s">
        <v>196</v>
      </c>
      <c r="AB77" s="458">
        <v>480000000</v>
      </c>
      <c r="AC77" s="458">
        <v>480000000</v>
      </c>
      <c r="AD77" s="453"/>
      <c r="AE77" s="453"/>
      <c r="AF77" s="459"/>
      <c r="AG77" s="453"/>
      <c r="AH77" s="455"/>
      <c r="AI77" s="460"/>
      <c r="AJ77" s="460" t="s">
        <v>657</v>
      </c>
      <c r="AK77" s="461"/>
      <c r="AL77" s="462" t="s">
        <v>451</v>
      </c>
      <c r="AM77" s="463" t="s">
        <v>451</v>
      </c>
      <c r="AN77" s="464" t="s">
        <v>451</v>
      </c>
      <c r="AO77" s="453" t="s">
        <v>451</v>
      </c>
      <c r="AP77" s="464" t="s">
        <v>451</v>
      </c>
      <c r="AQ77" s="464" t="s">
        <v>451</v>
      </c>
      <c r="AR77" s="464" t="s">
        <v>451</v>
      </c>
      <c r="AS77" s="464" t="s">
        <v>451</v>
      </c>
      <c r="AT77" s="464" t="s">
        <v>451</v>
      </c>
      <c r="AU77" s="464" t="s">
        <v>451</v>
      </c>
      <c r="AV77" s="464" t="s">
        <v>451</v>
      </c>
      <c r="AW77" s="465" t="s">
        <v>451</v>
      </c>
      <c r="AX77" s="466" t="s">
        <v>338</v>
      </c>
      <c r="AY77" s="467" t="s">
        <v>338</v>
      </c>
      <c r="AZ77" s="468" t="s">
        <v>338</v>
      </c>
      <c r="BA77" s="469" t="s">
        <v>338</v>
      </c>
      <c r="BB77" s="469" t="s">
        <v>338</v>
      </c>
      <c r="BC77" s="469" t="s">
        <v>338</v>
      </c>
      <c r="BD77" s="469" t="s">
        <v>338</v>
      </c>
      <c r="BE77" s="469" t="s">
        <v>338</v>
      </c>
      <c r="BF77" s="471"/>
      <c r="BG77" s="472" t="s">
        <v>1712</v>
      </c>
      <c r="BH77" s="457" t="s">
        <v>327</v>
      </c>
      <c r="BI77" s="480" t="s">
        <v>1713</v>
      </c>
      <c r="BJ77" s="481">
        <v>45827</v>
      </c>
      <c r="BK77" s="480" t="s">
        <v>1783</v>
      </c>
      <c r="BL77" s="481"/>
      <c r="BM77" s="473">
        <v>496784848</v>
      </c>
      <c r="BN77" s="463" t="s">
        <v>1784</v>
      </c>
      <c r="BO77" s="481">
        <v>45827</v>
      </c>
      <c r="BP77" s="480" t="s">
        <v>1785</v>
      </c>
      <c r="BQ77" s="481">
        <v>45922</v>
      </c>
      <c r="BR77" s="485">
        <v>91156705</v>
      </c>
      <c r="BS77" s="487"/>
      <c r="BT77" s="454"/>
      <c r="BU77" s="457"/>
      <c r="BV77" s="457"/>
      <c r="BW77" s="454"/>
      <c r="BX77" s="454"/>
      <c r="BY77" s="477"/>
      <c r="BZ77" s="477"/>
      <c r="CA77" s="478"/>
      <c r="CB77" s="479"/>
    </row>
    <row r="78" spans="2:80" s="135" customFormat="1" ht="15" customHeight="1">
      <c r="B78" s="366">
        <f t="shared" si="2"/>
        <v>68</v>
      </c>
      <c r="C78" s="289" t="s">
        <v>416</v>
      </c>
      <c r="D78" s="446" t="s">
        <v>270</v>
      </c>
      <c r="E78" s="447" t="s">
        <v>295</v>
      </c>
      <c r="F78" s="520" t="s">
        <v>755</v>
      </c>
      <c r="G78" s="448" t="s">
        <v>488</v>
      </c>
      <c r="H78" s="449">
        <v>1</v>
      </c>
      <c r="I78" s="450" t="s">
        <v>186</v>
      </c>
      <c r="J78" s="450" t="s">
        <v>320</v>
      </c>
      <c r="K78" s="450" t="s">
        <v>1576</v>
      </c>
      <c r="L78" s="450" t="s">
        <v>1577</v>
      </c>
      <c r="M78" s="451" t="s">
        <v>195</v>
      </c>
      <c r="N78" s="452">
        <v>65.989999999999995</v>
      </c>
      <c r="O78" s="452">
        <v>170.97</v>
      </c>
      <c r="P78" s="453"/>
      <c r="Q78" s="453"/>
      <c r="R78" s="454">
        <v>45397</v>
      </c>
      <c r="S78" s="453">
        <v>1</v>
      </c>
      <c r="T78" s="453" t="s">
        <v>196</v>
      </c>
      <c r="U78" s="455">
        <v>669600000</v>
      </c>
      <c r="V78" s="455">
        <v>669600000</v>
      </c>
      <c r="W78" s="456"/>
      <c r="X78" s="456"/>
      <c r="Y78" s="455"/>
      <c r="Z78" s="457"/>
      <c r="AA78" s="453"/>
      <c r="AB78" s="458"/>
      <c r="AC78" s="458"/>
      <c r="AD78" s="453"/>
      <c r="AE78" s="453"/>
      <c r="AF78" s="459"/>
      <c r="AG78" s="453"/>
      <c r="AH78" s="455"/>
      <c r="AI78" s="460"/>
      <c r="AJ78" s="460" t="s">
        <v>657</v>
      </c>
      <c r="AK78" s="461"/>
      <c r="AL78" s="462" t="s">
        <v>451</v>
      </c>
      <c r="AM78" s="463" t="s">
        <v>451</v>
      </c>
      <c r="AN78" s="464" t="s">
        <v>451</v>
      </c>
      <c r="AO78" s="453" t="s">
        <v>451</v>
      </c>
      <c r="AP78" s="464" t="s">
        <v>451</v>
      </c>
      <c r="AQ78" s="464" t="s">
        <v>451</v>
      </c>
      <c r="AR78" s="464" t="s">
        <v>451</v>
      </c>
      <c r="AS78" s="464" t="s">
        <v>451</v>
      </c>
      <c r="AT78" s="464" t="s">
        <v>451</v>
      </c>
      <c r="AU78" s="464" t="s">
        <v>451</v>
      </c>
      <c r="AV78" s="464" t="s">
        <v>451</v>
      </c>
      <c r="AW78" s="465" t="s">
        <v>451</v>
      </c>
      <c r="AX78" s="466" t="s">
        <v>338</v>
      </c>
      <c r="AY78" s="467" t="s">
        <v>338</v>
      </c>
      <c r="AZ78" s="468" t="s">
        <v>338</v>
      </c>
      <c r="BA78" s="469" t="s">
        <v>338</v>
      </c>
      <c r="BB78" s="469" t="s">
        <v>338</v>
      </c>
      <c r="BC78" s="469" t="s">
        <v>338</v>
      </c>
      <c r="BD78" s="469" t="s">
        <v>338</v>
      </c>
      <c r="BE78" s="469" t="s">
        <v>338</v>
      </c>
      <c r="BF78" s="471"/>
      <c r="BG78" s="472" t="s">
        <v>1711</v>
      </c>
      <c r="BH78" s="457" t="s">
        <v>200</v>
      </c>
      <c r="BI78" s="473"/>
      <c r="BJ78" s="473"/>
      <c r="BK78" s="473"/>
      <c r="BL78" s="473"/>
      <c r="BM78" s="473"/>
      <c r="BN78" s="474"/>
      <c r="BO78" s="454"/>
      <c r="BP78" s="457"/>
      <c r="BQ78" s="454"/>
      <c r="BR78" s="478"/>
      <c r="BS78" s="487"/>
      <c r="BT78" s="454"/>
      <c r="BU78" s="457"/>
      <c r="BV78" s="457"/>
      <c r="BW78" s="454"/>
      <c r="BX78" s="454"/>
      <c r="BY78" s="477"/>
      <c r="BZ78" s="477"/>
      <c r="CA78" s="478"/>
      <c r="CB78" s="479"/>
    </row>
    <row r="79" spans="2:80" s="135" customFormat="1" ht="15" customHeight="1">
      <c r="B79" s="366">
        <f t="shared" si="2"/>
        <v>69</v>
      </c>
      <c r="C79" s="289" t="s">
        <v>416</v>
      </c>
      <c r="D79" s="446" t="s">
        <v>270</v>
      </c>
      <c r="E79" s="447" t="s">
        <v>308</v>
      </c>
      <c r="F79" s="520" t="s">
        <v>756</v>
      </c>
      <c r="G79" s="448" t="s">
        <v>489</v>
      </c>
      <c r="H79" s="449">
        <v>1</v>
      </c>
      <c r="I79" s="450" t="s">
        <v>369</v>
      </c>
      <c r="J79" s="450" t="s">
        <v>1578</v>
      </c>
      <c r="K79" s="450" t="s">
        <v>1579</v>
      </c>
      <c r="L79" s="450" t="s">
        <v>1580</v>
      </c>
      <c r="M79" s="451" t="s">
        <v>174</v>
      </c>
      <c r="N79" s="452">
        <v>4199.5</v>
      </c>
      <c r="O79" s="452">
        <v>2318.73</v>
      </c>
      <c r="P79" s="453">
        <v>205</v>
      </c>
      <c r="Q79" s="453" t="s">
        <v>220</v>
      </c>
      <c r="R79" s="454">
        <v>43066</v>
      </c>
      <c r="S79" s="453" t="s">
        <v>250</v>
      </c>
      <c r="T79" s="453" t="s">
        <v>196</v>
      </c>
      <c r="U79" s="455">
        <v>1332000000</v>
      </c>
      <c r="V79" s="455">
        <v>1332000000</v>
      </c>
      <c r="W79" s="456"/>
      <c r="X79" s="456"/>
      <c r="Y79" s="455"/>
      <c r="Z79" s="457"/>
      <c r="AA79" s="453"/>
      <c r="AB79" s="458"/>
      <c r="AC79" s="458"/>
      <c r="AD79" s="453"/>
      <c r="AE79" s="453"/>
      <c r="AF79" s="459"/>
      <c r="AG79" s="453" t="s">
        <v>196</v>
      </c>
      <c r="AH79" s="455">
        <v>105159868</v>
      </c>
      <c r="AI79" s="460" t="s">
        <v>1747</v>
      </c>
      <c r="AJ79" s="460" t="s">
        <v>657</v>
      </c>
      <c r="AK79" s="461"/>
      <c r="AL79" s="462" t="s">
        <v>451</v>
      </c>
      <c r="AM79" s="463" t="s">
        <v>451</v>
      </c>
      <c r="AN79" s="464" t="s">
        <v>451</v>
      </c>
      <c r="AO79" s="453" t="s">
        <v>451</v>
      </c>
      <c r="AP79" s="464" t="s">
        <v>451</v>
      </c>
      <c r="AQ79" s="464" t="s">
        <v>451</v>
      </c>
      <c r="AR79" s="464" t="s">
        <v>451</v>
      </c>
      <c r="AS79" s="464" t="s">
        <v>451</v>
      </c>
      <c r="AT79" s="464" t="s">
        <v>451</v>
      </c>
      <c r="AU79" s="464" t="s">
        <v>451</v>
      </c>
      <c r="AV79" s="464" t="s">
        <v>451</v>
      </c>
      <c r="AW79" s="465" t="s">
        <v>451</v>
      </c>
      <c r="AX79" s="466" t="s">
        <v>658</v>
      </c>
      <c r="AY79" s="467">
        <v>44942</v>
      </c>
      <c r="AZ79" s="468" t="s">
        <v>660</v>
      </c>
      <c r="BA79" s="469">
        <v>453546000</v>
      </c>
      <c r="BB79" s="469">
        <v>757234640</v>
      </c>
      <c r="BC79" s="469">
        <v>140000000</v>
      </c>
      <c r="BD79" s="469">
        <v>0</v>
      </c>
      <c r="BE79" s="470">
        <v>1350780640</v>
      </c>
      <c r="BF79" s="471"/>
      <c r="BG79" s="472" t="s">
        <v>1711</v>
      </c>
      <c r="BH79" s="457" t="s">
        <v>674</v>
      </c>
      <c r="BI79" s="473"/>
      <c r="BJ79" s="473"/>
      <c r="BK79" s="473"/>
      <c r="BL79" s="473"/>
      <c r="BM79" s="473"/>
      <c r="BN79" s="474"/>
      <c r="BO79" s="454"/>
      <c r="BP79" s="457"/>
      <c r="BQ79" s="454"/>
      <c r="BR79" s="478"/>
      <c r="BS79" s="487"/>
      <c r="BT79" s="454"/>
      <c r="BU79" s="457"/>
      <c r="BV79" s="457"/>
      <c r="BW79" s="454"/>
      <c r="BX79" s="454"/>
      <c r="BY79" s="477"/>
      <c r="BZ79" s="477"/>
      <c r="CA79" s="478"/>
      <c r="CB79" s="479"/>
    </row>
    <row r="80" spans="2:80" s="135" customFormat="1" ht="15" customHeight="1">
      <c r="B80" s="366">
        <f t="shared" si="2"/>
        <v>70</v>
      </c>
      <c r="C80" s="289" t="s">
        <v>416</v>
      </c>
      <c r="D80" s="446" t="s">
        <v>270</v>
      </c>
      <c r="E80" s="447" t="s">
        <v>308</v>
      </c>
      <c r="F80" s="520" t="s">
        <v>756</v>
      </c>
      <c r="G80" s="448" t="s">
        <v>1695</v>
      </c>
      <c r="H80" s="449">
        <v>2</v>
      </c>
      <c r="I80" s="450" t="s">
        <v>369</v>
      </c>
      <c r="J80" s="450" t="s">
        <v>656</v>
      </c>
      <c r="K80" s="450" t="s">
        <v>1581</v>
      </c>
      <c r="L80" s="450" t="s">
        <v>1582</v>
      </c>
      <c r="M80" s="451" t="s">
        <v>1786</v>
      </c>
      <c r="N80" s="452">
        <v>52.77</v>
      </c>
      <c r="O80" s="452">
        <v>84.976299999999995</v>
      </c>
      <c r="P80" s="453"/>
      <c r="Q80" s="453"/>
      <c r="R80" s="454">
        <v>42664</v>
      </c>
      <c r="S80" s="453" t="s">
        <v>249</v>
      </c>
      <c r="T80" s="453" t="s">
        <v>196</v>
      </c>
      <c r="U80" s="455">
        <v>240000000</v>
      </c>
      <c r="V80" s="455">
        <v>240000000</v>
      </c>
      <c r="W80" s="456"/>
      <c r="X80" s="456"/>
      <c r="Y80" s="455"/>
      <c r="Z80" s="457">
        <v>1</v>
      </c>
      <c r="AA80" s="453" t="s">
        <v>196</v>
      </c>
      <c r="AB80" s="458">
        <v>100000000</v>
      </c>
      <c r="AC80" s="458">
        <v>100000000</v>
      </c>
      <c r="AD80" s="453"/>
      <c r="AE80" s="453"/>
      <c r="AF80" s="459"/>
      <c r="AG80" s="453"/>
      <c r="AH80" s="455"/>
      <c r="AI80" s="460"/>
      <c r="AJ80" s="460" t="s">
        <v>657</v>
      </c>
      <c r="AK80" s="461"/>
      <c r="AL80" s="462" t="s">
        <v>451</v>
      </c>
      <c r="AM80" s="463" t="s">
        <v>451</v>
      </c>
      <c r="AN80" s="464" t="s">
        <v>451</v>
      </c>
      <c r="AO80" s="453" t="s">
        <v>451</v>
      </c>
      <c r="AP80" s="464" t="s">
        <v>451</v>
      </c>
      <c r="AQ80" s="464" t="s">
        <v>451</v>
      </c>
      <c r="AR80" s="464" t="s">
        <v>451</v>
      </c>
      <c r="AS80" s="464" t="s">
        <v>451</v>
      </c>
      <c r="AT80" s="464" t="s">
        <v>451</v>
      </c>
      <c r="AU80" s="464" t="s">
        <v>451</v>
      </c>
      <c r="AV80" s="464" t="s">
        <v>451</v>
      </c>
      <c r="AW80" s="465" t="s">
        <v>451</v>
      </c>
      <c r="AX80" s="466" t="s">
        <v>338</v>
      </c>
      <c r="AY80" s="467" t="s">
        <v>338</v>
      </c>
      <c r="AZ80" s="468" t="s">
        <v>338</v>
      </c>
      <c r="BA80" s="469" t="s">
        <v>338</v>
      </c>
      <c r="BB80" s="469" t="s">
        <v>338</v>
      </c>
      <c r="BC80" s="469" t="s">
        <v>338</v>
      </c>
      <c r="BD80" s="469" t="s">
        <v>338</v>
      </c>
      <c r="BE80" s="469" t="s">
        <v>338</v>
      </c>
      <c r="BF80" s="484">
        <v>315000000</v>
      </c>
      <c r="BG80" s="472" t="s">
        <v>1711</v>
      </c>
      <c r="BH80" s="457" t="s">
        <v>674</v>
      </c>
      <c r="BI80" s="473"/>
      <c r="BJ80" s="473"/>
      <c r="BK80" s="473"/>
      <c r="BL80" s="473"/>
      <c r="BM80" s="473"/>
      <c r="BN80" s="474"/>
      <c r="BO80" s="454"/>
      <c r="BP80" s="457"/>
      <c r="BQ80" s="454"/>
      <c r="BR80" s="478"/>
      <c r="BS80" s="487"/>
      <c r="BT80" s="454"/>
      <c r="BU80" s="457"/>
      <c r="BV80" s="457"/>
      <c r="BW80" s="454"/>
      <c r="BX80" s="454"/>
      <c r="BY80" s="477"/>
      <c r="BZ80" s="477"/>
      <c r="CA80" s="478"/>
      <c r="CB80" s="479"/>
    </row>
    <row r="81" spans="2:80" s="135" customFormat="1" ht="15" customHeight="1">
      <c r="B81" s="366">
        <f t="shared" si="2"/>
        <v>71</v>
      </c>
      <c r="C81" s="289" t="s">
        <v>416</v>
      </c>
      <c r="D81" s="446" t="s">
        <v>270</v>
      </c>
      <c r="E81" s="447" t="s">
        <v>300</v>
      </c>
      <c r="F81" s="520" t="s">
        <v>757</v>
      </c>
      <c r="G81" s="448" t="s">
        <v>490</v>
      </c>
      <c r="H81" s="449">
        <v>1</v>
      </c>
      <c r="I81" s="450" t="s">
        <v>186</v>
      </c>
      <c r="J81" s="450" t="s">
        <v>321</v>
      </c>
      <c r="K81" s="450" t="s">
        <v>1583</v>
      </c>
      <c r="L81" s="450" t="s">
        <v>1584</v>
      </c>
      <c r="M81" s="451" t="s">
        <v>195</v>
      </c>
      <c r="N81" s="452">
        <v>14.32</v>
      </c>
      <c r="O81" s="452">
        <v>47.04</v>
      </c>
      <c r="P81" s="453"/>
      <c r="Q81" s="453"/>
      <c r="R81" s="454">
        <v>45412</v>
      </c>
      <c r="S81" s="453">
        <v>1</v>
      </c>
      <c r="T81" s="453" t="s">
        <v>196</v>
      </c>
      <c r="U81" s="455">
        <v>220800000</v>
      </c>
      <c r="V81" s="455">
        <v>220800000</v>
      </c>
      <c r="W81" s="456"/>
      <c r="X81" s="456"/>
      <c r="Y81" s="455"/>
      <c r="Z81" s="457"/>
      <c r="AA81" s="453"/>
      <c r="AB81" s="458"/>
      <c r="AC81" s="458"/>
      <c r="AD81" s="453"/>
      <c r="AE81" s="453"/>
      <c r="AF81" s="459"/>
      <c r="AG81" s="453"/>
      <c r="AH81" s="455"/>
      <c r="AI81" s="460"/>
      <c r="AJ81" s="460" t="s">
        <v>657</v>
      </c>
      <c r="AK81" s="461"/>
      <c r="AL81" s="462" t="s">
        <v>451</v>
      </c>
      <c r="AM81" s="463" t="s">
        <v>451</v>
      </c>
      <c r="AN81" s="464" t="s">
        <v>451</v>
      </c>
      <c r="AO81" s="453" t="s">
        <v>451</v>
      </c>
      <c r="AP81" s="464" t="s">
        <v>451</v>
      </c>
      <c r="AQ81" s="464" t="s">
        <v>451</v>
      </c>
      <c r="AR81" s="464" t="s">
        <v>451</v>
      </c>
      <c r="AS81" s="464" t="s">
        <v>451</v>
      </c>
      <c r="AT81" s="464" t="s">
        <v>451</v>
      </c>
      <c r="AU81" s="464" t="s">
        <v>451</v>
      </c>
      <c r="AV81" s="464" t="s">
        <v>451</v>
      </c>
      <c r="AW81" s="465" t="s">
        <v>451</v>
      </c>
      <c r="AX81" s="466" t="s">
        <v>658</v>
      </c>
      <c r="AY81" s="467">
        <v>45394</v>
      </c>
      <c r="AZ81" s="468" t="s">
        <v>670</v>
      </c>
      <c r="BA81" s="469">
        <v>0</v>
      </c>
      <c r="BB81" s="469">
        <v>281000000</v>
      </c>
      <c r="BC81" s="469">
        <v>0</v>
      </c>
      <c r="BD81" s="469">
        <v>0</v>
      </c>
      <c r="BE81" s="470">
        <v>281000000</v>
      </c>
      <c r="BF81" s="471"/>
      <c r="BG81" s="472" t="s">
        <v>1712</v>
      </c>
      <c r="BH81" s="457" t="s">
        <v>197</v>
      </c>
      <c r="BI81" s="480" t="s">
        <v>1713</v>
      </c>
      <c r="BJ81" s="481">
        <v>45790</v>
      </c>
      <c r="BK81" s="480" t="s">
        <v>1787</v>
      </c>
      <c r="BL81" s="481">
        <v>45876</v>
      </c>
      <c r="BM81" s="482">
        <v>333363291</v>
      </c>
      <c r="BN81" s="474"/>
      <c r="BO81" s="454"/>
      <c r="BP81" s="457"/>
      <c r="BQ81" s="454"/>
      <c r="BR81" s="478"/>
      <c r="BS81" s="487"/>
      <c r="BT81" s="454"/>
      <c r="BU81" s="457"/>
      <c r="BV81" s="457"/>
      <c r="BW81" s="454"/>
      <c r="BX81" s="454"/>
      <c r="BY81" s="477"/>
      <c r="BZ81" s="477"/>
      <c r="CA81" s="478"/>
      <c r="CB81" s="479"/>
    </row>
    <row r="82" spans="2:80" s="135" customFormat="1" ht="15" customHeight="1">
      <c r="B82" s="366">
        <f t="shared" si="2"/>
        <v>72</v>
      </c>
      <c r="C82" s="289" t="s">
        <v>416</v>
      </c>
      <c r="D82" s="446" t="s">
        <v>270</v>
      </c>
      <c r="E82" s="447" t="s">
        <v>300</v>
      </c>
      <c r="F82" s="520" t="s">
        <v>757</v>
      </c>
      <c r="G82" s="448" t="s">
        <v>1696</v>
      </c>
      <c r="H82" s="449">
        <v>2</v>
      </c>
      <c r="I82" s="450" t="s">
        <v>186</v>
      </c>
      <c r="J82" s="450" t="s">
        <v>321</v>
      </c>
      <c r="K82" s="450" t="s">
        <v>1583</v>
      </c>
      <c r="L82" s="450" t="s">
        <v>1585</v>
      </c>
      <c r="M82" s="451" t="s">
        <v>195</v>
      </c>
      <c r="N82" s="452">
        <v>11.1</v>
      </c>
      <c r="O82" s="452">
        <v>36.96</v>
      </c>
      <c r="P82" s="453"/>
      <c r="Q82" s="453"/>
      <c r="R82" s="454">
        <v>45412</v>
      </c>
      <c r="S82" s="453">
        <v>1</v>
      </c>
      <c r="T82" s="453" t="s">
        <v>196</v>
      </c>
      <c r="U82" s="455">
        <v>182000000</v>
      </c>
      <c r="V82" s="455">
        <v>182000000</v>
      </c>
      <c r="W82" s="456"/>
      <c r="X82" s="456"/>
      <c r="Y82" s="455"/>
      <c r="Z82" s="457"/>
      <c r="AA82" s="453"/>
      <c r="AB82" s="458"/>
      <c r="AC82" s="458"/>
      <c r="AD82" s="453"/>
      <c r="AE82" s="453"/>
      <c r="AF82" s="459"/>
      <c r="AG82" s="453"/>
      <c r="AH82" s="455"/>
      <c r="AI82" s="460"/>
      <c r="AJ82" s="460" t="s">
        <v>657</v>
      </c>
      <c r="AK82" s="461"/>
      <c r="AL82" s="462" t="s">
        <v>451</v>
      </c>
      <c r="AM82" s="463" t="s">
        <v>451</v>
      </c>
      <c r="AN82" s="464" t="s">
        <v>451</v>
      </c>
      <c r="AO82" s="453" t="s">
        <v>451</v>
      </c>
      <c r="AP82" s="464" t="s">
        <v>451</v>
      </c>
      <c r="AQ82" s="464" t="s">
        <v>451</v>
      </c>
      <c r="AR82" s="464" t="s">
        <v>451</v>
      </c>
      <c r="AS82" s="464" t="s">
        <v>451</v>
      </c>
      <c r="AT82" s="464" t="s">
        <v>451</v>
      </c>
      <c r="AU82" s="464" t="s">
        <v>451</v>
      </c>
      <c r="AV82" s="464" t="s">
        <v>451</v>
      </c>
      <c r="AW82" s="465" t="s">
        <v>451</v>
      </c>
      <c r="AX82" s="466" t="s">
        <v>658</v>
      </c>
      <c r="AY82" s="467">
        <v>45394</v>
      </c>
      <c r="AZ82" s="468" t="s">
        <v>670</v>
      </c>
      <c r="BA82" s="469">
        <v>0</v>
      </c>
      <c r="BB82" s="469">
        <v>220000000</v>
      </c>
      <c r="BC82" s="469">
        <v>0</v>
      </c>
      <c r="BD82" s="469">
        <v>0</v>
      </c>
      <c r="BE82" s="470">
        <v>220000000</v>
      </c>
      <c r="BF82" s="471"/>
      <c r="BG82" s="472" t="s">
        <v>1712</v>
      </c>
      <c r="BH82" s="457" t="s">
        <v>197</v>
      </c>
      <c r="BI82" s="480" t="s">
        <v>1713</v>
      </c>
      <c r="BJ82" s="481">
        <v>45790</v>
      </c>
      <c r="BK82" s="480" t="s">
        <v>1787</v>
      </c>
      <c r="BL82" s="481">
        <v>45876</v>
      </c>
      <c r="BM82" s="473" t="s">
        <v>675</v>
      </c>
      <c r="BN82" s="474"/>
      <c r="BO82" s="454"/>
      <c r="BP82" s="457"/>
      <c r="BQ82" s="454"/>
      <c r="BR82" s="478"/>
      <c r="BS82" s="487"/>
      <c r="BT82" s="454"/>
      <c r="BU82" s="457"/>
      <c r="BV82" s="457"/>
      <c r="BW82" s="454"/>
      <c r="BX82" s="454"/>
      <c r="BY82" s="477"/>
      <c r="BZ82" s="477"/>
      <c r="CA82" s="478"/>
      <c r="CB82" s="479"/>
    </row>
    <row r="83" spans="2:80" s="135" customFormat="1" ht="15" customHeight="1">
      <c r="B83" s="366">
        <f t="shared" ref="B83:B117" si="3">ROW()-10</f>
        <v>73</v>
      </c>
      <c r="C83" s="289" t="s">
        <v>416</v>
      </c>
      <c r="D83" s="446" t="s">
        <v>270</v>
      </c>
      <c r="E83" s="447" t="s">
        <v>302</v>
      </c>
      <c r="F83" s="520" t="s">
        <v>758</v>
      </c>
      <c r="G83" s="448" t="s">
        <v>491</v>
      </c>
      <c r="H83" s="449">
        <v>1</v>
      </c>
      <c r="I83" s="450" t="s">
        <v>244</v>
      </c>
      <c r="J83" s="450" t="s">
        <v>368</v>
      </c>
      <c r="K83" s="450" t="s">
        <v>1586</v>
      </c>
      <c r="L83" s="450" t="s">
        <v>1587</v>
      </c>
      <c r="M83" s="451" t="s">
        <v>174</v>
      </c>
      <c r="N83" s="452">
        <v>2658</v>
      </c>
      <c r="O83" s="452">
        <v>922.16</v>
      </c>
      <c r="P83" s="453">
        <v>1</v>
      </c>
      <c r="Q83" s="453" t="s">
        <v>220</v>
      </c>
      <c r="R83" s="454">
        <v>45357</v>
      </c>
      <c r="S83" s="453">
        <v>1</v>
      </c>
      <c r="T83" s="453" t="s">
        <v>196</v>
      </c>
      <c r="U83" s="455">
        <v>960000000</v>
      </c>
      <c r="V83" s="455">
        <v>960000000</v>
      </c>
      <c r="W83" s="456"/>
      <c r="X83" s="456"/>
      <c r="Y83" s="455"/>
      <c r="Z83" s="457"/>
      <c r="AA83" s="453"/>
      <c r="AB83" s="458"/>
      <c r="AC83" s="458"/>
      <c r="AD83" s="453"/>
      <c r="AE83" s="453"/>
      <c r="AF83" s="459"/>
      <c r="AG83" s="453"/>
      <c r="AH83" s="455"/>
      <c r="AI83" s="460"/>
      <c r="AJ83" s="460" t="s">
        <v>657</v>
      </c>
      <c r="AK83" s="461"/>
      <c r="AL83" s="462" t="s">
        <v>451</v>
      </c>
      <c r="AM83" s="463" t="s">
        <v>451</v>
      </c>
      <c r="AN83" s="464" t="s">
        <v>451</v>
      </c>
      <c r="AO83" s="453" t="s">
        <v>451</v>
      </c>
      <c r="AP83" s="464" t="s">
        <v>451</v>
      </c>
      <c r="AQ83" s="464" t="s">
        <v>451</v>
      </c>
      <c r="AR83" s="464" t="s">
        <v>451</v>
      </c>
      <c r="AS83" s="464" t="s">
        <v>451</v>
      </c>
      <c r="AT83" s="464" t="s">
        <v>451</v>
      </c>
      <c r="AU83" s="464" t="s">
        <v>451</v>
      </c>
      <c r="AV83" s="464" t="s">
        <v>451</v>
      </c>
      <c r="AW83" s="465" t="s">
        <v>451</v>
      </c>
      <c r="AX83" s="466" t="s">
        <v>658</v>
      </c>
      <c r="AY83" s="467">
        <v>45309</v>
      </c>
      <c r="AZ83" s="468" t="s">
        <v>664</v>
      </c>
      <c r="BA83" s="469">
        <v>763710000</v>
      </c>
      <c r="BB83" s="469">
        <v>236449600</v>
      </c>
      <c r="BC83" s="469">
        <v>0</v>
      </c>
      <c r="BD83" s="469">
        <v>0</v>
      </c>
      <c r="BE83" s="470">
        <v>1000159600</v>
      </c>
      <c r="BF83" s="471"/>
      <c r="BG83" s="472" t="s">
        <v>1712</v>
      </c>
      <c r="BH83" s="457" t="s">
        <v>246</v>
      </c>
      <c r="BI83" s="480" t="s">
        <v>1713</v>
      </c>
      <c r="BJ83" s="481">
        <v>45848</v>
      </c>
      <c r="BK83" s="480" t="s">
        <v>1788</v>
      </c>
      <c r="BL83" s="481">
        <v>45940</v>
      </c>
      <c r="BM83" s="482">
        <v>816014688</v>
      </c>
      <c r="BN83" s="474"/>
      <c r="BO83" s="454"/>
      <c r="BP83" s="457"/>
      <c r="BQ83" s="454"/>
      <c r="BR83" s="478"/>
      <c r="BS83" s="487"/>
      <c r="BT83" s="454"/>
      <c r="BU83" s="457"/>
      <c r="BV83" s="457"/>
      <c r="BW83" s="454"/>
      <c r="BX83" s="454"/>
      <c r="BY83" s="477"/>
      <c r="BZ83" s="477"/>
      <c r="CA83" s="478"/>
      <c r="CB83" s="479"/>
    </row>
    <row r="84" spans="2:80" s="135" customFormat="1" ht="15" customHeight="1">
      <c r="B84" s="366">
        <f t="shared" si="3"/>
        <v>74</v>
      </c>
      <c r="C84" s="289" t="s">
        <v>416</v>
      </c>
      <c r="D84" s="446" t="s">
        <v>270</v>
      </c>
      <c r="E84" s="447" t="s">
        <v>362</v>
      </c>
      <c r="F84" s="520" t="s">
        <v>637</v>
      </c>
      <c r="G84" s="448" t="s">
        <v>492</v>
      </c>
      <c r="H84" s="449">
        <v>1</v>
      </c>
      <c r="I84" s="450" t="s">
        <v>1493</v>
      </c>
      <c r="J84" s="450" t="s">
        <v>185</v>
      </c>
      <c r="K84" s="450" t="s">
        <v>1588</v>
      </c>
      <c r="L84" s="450" t="s">
        <v>1589</v>
      </c>
      <c r="M84" s="451" t="s">
        <v>175</v>
      </c>
      <c r="N84" s="452">
        <v>97.18</v>
      </c>
      <c r="O84" s="452">
        <v>184.45500000000001</v>
      </c>
      <c r="P84" s="453"/>
      <c r="Q84" s="453"/>
      <c r="R84" s="454">
        <v>42265</v>
      </c>
      <c r="S84" s="453">
        <v>1</v>
      </c>
      <c r="T84" s="453" t="s">
        <v>196</v>
      </c>
      <c r="U84" s="455">
        <v>420000000</v>
      </c>
      <c r="V84" s="455">
        <v>420000000</v>
      </c>
      <c r="W84" s="456"/>
      <c r="X84" s="456"/>
      <c r="Y84" s="455"/>
      <c r="Z84" s="457"/>
      <c r="AA84" s="453"/>
      <c r="AB84" s="458"/>
      <c r="AC84" s="458"/>
      <c r="AD84" s="453"/>
      <c r="AE84" s="453"/>
      <c r="AF84" s="459"/>
      <c r="AG84" s="453"/>
      <c r="AH84" s="455"/>
      <c r="AI84" s="460"/>
      <c r="AJ84" s="460" t="s">
        <v>657</v>
      </c>
      <c r="AK84" s="461"/>
      <c r="AL84" s="462" t="s">
        <v>451</v>
      </c>
      <c r="AM84" s="463" t="s">
        <v>451</v>
      </c>
      <c r="AN84" s="464" t="s">
        <v>451</v>
      </c>
      <c r="AO84" s="453" t="s">
        <v>451</v>
      </c>
      <c r="AP84" s="464" t="s">
        <v>451</v>
      </c>
      <c r="AQ84" s="464" t="s">
        <v>451</v>
      </c>
      <c r="AR84" s="464" t="s">
        <v>451</v>
      </c>
      <c r="AS84" s="464" t="s">
        <v>451</v>
      </c>
      <c r="AT84" s="464" t="s">
        <v>451</v>
      </c>
      <c r="AU84" s="464" t="s">
        <v>451</v>
      </c>
      <c r="AV84" s="464" t="s">
        <v>451</v>
      </c>
      <c r="AW84" s="465" t="s">
        <v>451</v>
      </c>
      <c r="AX84" s="466" t="s">
        <v>338</v>
      </c>
      <c r="AY84" s="467" t="s">
        <v>338</v>
      </c>
      <c r="AZ84" s="468" t="s">
        <v>338</v>
      </c>
      <c r="BA84" s="469" t="s">
        <v>338</v>
      </c>
      <c r="BB84" s="469" t="s">
        <v>338</v>
      </c>
      <c r="BC84" s="469" t="s">
        <v>338</v>
      </c>
      <c r="BD84" s="469" t="s">
        <v>338</v>
      </c>
      <c r="BE84" s="470" t="s">
        <v>338</v>
      </c>
      <c r="BF84" s="484">
        <v>910000000</v>
      </c>
      <c r="BG84" s="472" t="s">
        <v>1712</v>
      </c>
      <c r="BH84" s="457" t="s">
        <v>340</v>
      </c>
      <c r="BI84" s="480" t="s">
        <v>1713</v>
      </c>
      <c r="BJ84" s="481">
        <v>45817</v>
      </c>
      <c r="BK84" s="480" t="s">
        <v>1789</v>
      </c>
      <c r="BL84" s="481">
        <v>45898</v>
      </c>
      <c r="BM84" s="482">
        <v>298770977</v>
      </c>
      <c r="BN84" s="474"/>
      <c r="BO84" s="454"/>
      <c r="BP84" s="457"/>
      <c r="BQ84" s="454"/>
      <c r="BR84" s="478"/>
      <c r="BS84" s="487"/>
      <c r="BT84" s="454"/>
      <c r="BU84" s="457"/>
      <c r="BV84" s="457"/>
      <c r="BW84" s="454"/>
      <c r="BX84" s="454"/>
      <c r="BY84" s="477"/>
      <c r="BZ84" s="477"/>
      <c r="CA84" s="478"/>
      <c r="CB84" s="479"/>
    </row>
    <row r="85" spans="2:80" s="135" customFormat="1" ht="15" customHeight="1">
      <c r="B85" s="366">
        <f t="shared" si="3"/>
        <v>75</v>
      </c>
      <c r="C85" s="289" t="s">
        <v>416</v>
      </c>
      <c r="D85" s="446" t="s">
        <v>270</v>
      </c>
      <c r="E85" s="447" t="s">
        <v>363</v>
      </c>
      <c r="F85" s="520" t="s">
        <v>759</v>
      </c>
      <c r="G85" s="448" t="s">
        <v>493</v>
      </c>
      <c r="H85" s="449">
        <v>1</v>
      </c>
      <c r="I85" s="450" t="s">
        <v>186</v>
      </c>
      <c r="J85" s="450" t="s">
        <v>194</v>
      </c>
      <c r="K85" s="450" t="s">
        <v>1590</v>
      </c>
      <c r="L85" s="450" t="s">
        <v>1591</v>
      </c>
      <c r="M85" s="451" t="s">
        <v>177</v>
      </c>
      <c r="N85" s="452">
        <v>2593</v>
      </c>
      <c r="O85" s="452"/>
      <c r="P85" s="453"/>
      <c r="Q85" s="453"/>
      <c r="R85" s="454">
        <v>44326</v>
      </c>
      <c r="S85" s="453">
        <v>1</v>
      </c>
      <c r="T85" s="453" t="s">
        <v>196</v>
      </c>
      <c r="U85" s="455">
        <v>3000000000</v>
      </c>
      <c r="V85" s="455">
        <v>3000000000</v>
      </c>
      <c r="W85" s="456" t="s">
        <v>251</v>
      </c>
      <c r="X85" s="456" t="s">
        <v>253</v>
      </c>
      <c r="Y85" s="455">
        <v>3000000000</v>
      </c>
      <c r="Z85" s="457"/>
      <c r="AA85" s="453"/>
      <c r="AB85" s="458"/>
      <c r="AC85" s="458"/>
      <c r="AD85" s="453"/>
      <c r="AE85" s="453"/>
      <c r="AF85" s="459"/>
      <c r="AG85" s="453"/>
      <c r="AH85" s="455"/>
      <c r="AI85" s="460"/>
      <c r="AJ85" s="460" t="s">
        <v>657</v>
      </c>
      <c r="AK85" s="461"/>
      <c r="AL85" s="462" t="s">
        <v>451</v>
      </c>
      <c r="AM85" s="463" t="s">
        <v>451</v>
      </c>
      <c r="AN85" s="464" t="s">
        <v>451</v>
      </c>
      <c r="AO85" s="453" t="s">
        <v>451</v>
      </c>
      <c r="AP85" s="464" t="s">
        <v>451</v>
      </c>
      <c r="AQ85" s="464" t="s">
        <v>451</v>
      </c>
      <c r="AR85" s="464" t="s">
        <v>451</v>
      </c>
      <c r="AS85" s="464" t="s">
        <v>451</v>
      </c>
      <c r="AT85" s="464" t="s">
        <v>451</v>
      </c>
      <c r="AU85" s="464" t="s">
        <v>451</v>
      </c>
      <c r="AV85" s="464" t="s">
        <v>451</v>
      </c>
      <c r="AW85" s="465" t="s">
        <v>451</v>
      </c>
      <c r="AX85" s="466" t="s">
        <v>658</v>
      </c>
      <c r="AY85" s="467">
        <v>44316</v>
      </c>
      <c r="AZ85" s="468" t="s">
        <v>662</v>
      </c>
      <c r="BA85" s="469">
        <v>391543000</v>
      </c>
      <c r="BB85" s="469">
        <v>0</v>
      </c>
      <c r="BC85" s="469">
        <v>0</v>
      </c>
      <c r="BD85" s="469">
        <v>0</v>
      </c>
      <c r="BE85" s="470">
        <v>391543000</v>
      </c>
      <c r="BF85" s="471"/>
      <c r="BG85" s="472" t="s">
        <v>1712</v>
      </c>
      <c r="BH85" s="457" t="s">
        <v>201</v>
      </c>
      <c r="BI85" s="480" t="s">
        <v>1713</v>
      </c>
      <c r="BJ85" s="481">
        <v>45762</v>
      </c>
      <c r="BK85" s="480" t="s">
        <v>1790</v>
      </c>
      <c r="BL85" s="481">
        <v>45839</v>
      </c>
      <c r="BM85" s="482">
        <v>515263390</v>
      </c>
      <c r="BN85" s="474"/>
      <c r="BO85" s="454"/>
      <c r="BP85" s="457"/>
      <c r="BQ85" s="454"/>
      <c r="BR85" s="478"/>
      <c r="BS85" s="487"/>
      <c r="BT85" s="454"/>
      <c r="BU85" s="457"/>
      <c r="BV85" s="457"/>
      <c r="BW85" s="454"/>
      <c r="BX85" s="454"/>
      <c r="BY85" s="477"/>
      <c r="BZ85" s="477"/>
      <c r="CA85" s="478"/>
      <c r="CB85" s="479"/>
    </row>
    <row r="86" spans="2:80" s="135" customFormat="1" ht="15" customHeight="1">
      <c r="B86" s="366">
        <f t="shared" si="3"/>
        <v>76</v>
      </c>
      <c r="C86" s="289" t="s">
        <v>416</v>
      </c>
      <c r="D86" s="446" t="s">
        <v>270</v>
      </c>
      <c r="E86" s="447" t="s">
        <v>363</v>
      </c>
      <c r="F86" s="520" t="s">
        <v>759</v>
      </c>
      <c r="G86" s="448" t="s">
        <v>1697</v>
      </c>
      <c r="H86" s="449">
        <v>2</v>
      </c>
      <c r="I86" s="450" t="s">
        <v>186</v>
      </c>
      <c r="J86" s="450" t="s">
        <v>194</v>
      </c>
      <c r="K86" s="450" t="s">
        <v>1590</v>
      </c>
      <c r="L86" s="450" t="s">
        <v>1592</v>
      </c>
      <c r="M86" s="451" t="s">
        <v>177</v>
      </c>
      <c r="N86" s="452">
        <v>3731</v>
      </c>
      <c r="O86" s="452"/>
      <c r="P86" s="453"/>
      <c r="Q86" s="453"/>
      <c r="R86" s="454">
        <v>44985</v>
      </c>
      <c r="S86" s="453">
        <v>2</v>
      </c>
      <c r="T86" s="453" t="s">
        <v>196</v>
      </c>
      <c r="U86" s="455">
        <v>3000000000</v>
      </c>
      <c r="V86" s="455">
        <v>3000000000</v>
      </c>
      <c r="W86" s="456" t="s">
        <v>253</v>
      </c>
      <c r="X86" s="456" t="s">
        <v>251</v>
      </c>
      <c r="Y86" s="455">
        <v>3000000000</v>
      </c>
      <c r="Z86" s="457">
        <v>1</v>
      </c>
      <c r="AA86" s="453" t="s">
        <v>196</v>
      </c>
      <c r="AB86" s="458">
        <v>780000000</v>
      </c>
      <c r="AC86" s="458">
        <v>780000000</v>
      </c>
      <c r="AD86" s="453"/>
      <c r="AE86" s="453"/>
      <c r="AF86" s="459"/>
      <c r="AG86" s="453"/>
      <c r="AH86" s="455"/>
      <c r="AI86" s="460"/>
      <c r="AJ86" s="460" t="s">
        <v>657</v>
      </c>
      <c r="AK86" s="461"/>
      <c r="AL86" s="462" t="s">
        <v>451</v>
      </c>
      <c r="AM86" s="463" t="s">
        <v>451</v>
      </c>
      <c r="AN86" s="464" t="s">
        <v>451</v>
      </c>
      <c r="AO86" s="453" t="s">
        <v>451</v>
      </c>
      <c r="AP86" s="464" t="s">
        <v>451</v>
      </c>
      <c r="AQ86" s="464" t="s">
        <v>451</v>
      </c>
      <c r="AR86" s="464" t="s">
        <v>451</v>
      </c>
      <c r="AS86" s="464" t="s">
        <v>451</v>
      </c>
      <c r="AT86" s="464" t="s">
        <v>451</v>
      </c>
      <c r="AU86" s="464" t="s">
        <v>451</v>
      </c>
      <c r="AV86" s="464" t="s">
        <v>451</v>
      </c>
      <c r="AW86" s="465" t="s">
        <v>451</v>
      </c>
      <c r="AX86" s="466" t="s">
        <v>658</v>
      </c>
      <c r="AY86" s="467">
        <v>44316</v>
      </c>
      <c r="AZ86" s="468" t="s">
        <v>662</v>
      </c>
      <c r="BA86" s="469">
        <v>835744000</v>
      </c>
      <c r="BB86" s="469">
        <v>0</v>
      </c>
      <c r="BC86" s="469">
        <v>0</v>
      </c>
      <c r="BD86" s="469">
        <v>0</v>
      </c>
      <c r="BE86" s="470">
        <v>835744000</v>
      </c>
      <c r="BF86" s="471"/>
      <c r="BG86" s="472" t="s">
        <v>1712</v>
      </c>
      <c r="BH86" s="457" t="s">
        <v>201</v>
      </c>
      <c r="BI86" s="480" t="s">
        <v>1713</v>
      </c>
      <c r="BJ86" s="481">
        <v>45762</v>
      </c>
      <c r="BK86" s="480" t="s">
        <v>1790</v>
      </c>
      <c r="BL86" s="481">
        <v>45839</v>
      </c>
      <c r="BM86" s="473" t="s">
        <v>675</v>
      </c>
      <c r="BN86" s="474"/>
      <c r="BO86" s="454"/>
      <c r="BP86" s="457"/>
      <c r="BQ86" s="454"/>
      <c r="BR86" s="478"/>
      <c r="BS86" s="487"/>
      <c r="BT86" s="454"/>
      <c r="BU86" s="457"/>
      <c r="BV86" s="457"/>
      <c r="BW86" s="454"/>
      <c r="BX86" s="454"/>
      <c r="BY86" s="477"/>
      <c r="BZ86" s="477"/>
      <c r="CA86" s="478"/>
      <c r="CB86" s="479"/>
    </row>
    <row r="87" spans="2:80" s="135" customFormat="1" ht="15" customHeight="1">
      <c r="B87" s="366">
        <f t="shared" si="3"/>
        <v>77</v>
      </c>
      <c r="C87" s="289" t="s">
        <v>416</v>
      </c>
      <c r="D87" s="446" t="s">
        <v>270</v>
      </c>
      <c r="E87" s="447" t="s">
        <v>364</v>
      </c>
      <c r="F87" s="520" t="s">
        <v>634</v>
      </c>
      <c r="G87" s="448" t="s">
        <v>1698</v>
      </c>
      <c r="H87" s="449">
        <v>1</v>
      </c>
      <c r="I87" s="450" t="s">
        <v>272</v>
      </c>
      <c r="J87" s="450" t="s">
        <v>641</v>
      </c>
      <c r="K87" s="450" t="s">
        <v>1593</v>
      </c>
      <c r="L87" s="450" t="s">
        <v>1594</v>
      </c>
      <c r="M87" s="451" t="s">
        <v>175</v>
      </c>
      <c r="N87" s="452">
        <v>80.063000000000002</v>
      </c>
      <c r="O87" s="452">
        <v>167.31</v>
      </c>
      <c r="P87" s="453"/>
      <c r="Q87" s="453"/>
      <c r="R87" s="454">
        <v>41421</v>
      </c>
      <c r="S87" s="453" t="s">
        <v>250</v>
      </c>
      <c r="T87" s="453" t="s">
        <v>196</v>
      </c>
      <c r="U87" s="455">
        <v>276000000</v>
      </c>
      <c r="V87" s="455">
        <v>276000000</v>
      </c>
      <c r="W87" s="456"/>
      <c r="X87" s="456"/>
      <c r="Y87" s="455"/>
      <c r="Z87" s="457"/>
      <c r="AA87" s="453"/>
      <c r="AB87" s="458"/>
      <c r="AC87" s="458"/>
      <c r="AD87" s="453"/>
      <c r="AE87" s="453"/>
      <c r="AF87" s="459"/>
      <c r="AG87" s="453"/>
      <c r="AH87" s="455"/>
      <c r="AI87" s="460"/>
      <c r="AJ87" s="460" t="s">
        <v>657</v>
      </c>
      <c r="AK87" s="461"/>
      <c r="AL87" s="462" t="s">
        <v>451</v>
      </c>
      <c r="AM87" s="463" t="s">
        <v>451</v>
      </c>
      <c r="AN87" s="464" t="s">
        <v>451</v>
      </c>
      <c r="AO87" s="453" t="s">
        <v>451</v>
      </c>
      <c r="AP87" s="464" t="s">
        <v>451</v>
      </c>
      <c r="AQ87" s="464" t="s">
        <v>451</v>
      </c>
      <c r="AR87" s="464" t="s">
        <v>451</v>
      </c>
      <c r="AS87" s="464" t="s">
        <v>451</v>
      </c>
      <c r="AT87" s="464" t="s">
        <v>451</v>
      </c>
      <c r="AU87" s="464" t="s">
        <v>451</v>
      </c>
      <c r="AV87" s="464" t="s">
        <v>451</v>
      </c>
      <c r="AW87" s="465" t="s">
        <v>451</v>
      </c>
      <c r="AX87" s="466" t="s">
        <v>338</v>
      </c>
      <c r="AY87" s="467" t="s">
        <v>338</v>
      </c>
      <c r="AZ87" s="468" t="s">
        <v>338</v>
      </c>
      <c r="BA87" s="469" t="s">
        <v>338</v>
      </c>
      <c r="BB87" s="469" t="s">
        <v>338</v>
      </c>
      <c r="BC87" s="469" t="s">
        <v>338</v>
      </c>
      <c r="BD87" s="469" t="s">
        <v>338</v>
      </c>
      <c r="BE87" s="470" t="s">
        <v>338</v>
      </c>
      <c r="BF87" s="484">
        <v>322500000</v>
      </c>
      <c r="BG87" s="472" t="s">
        <v>1711</v>
      </c>
      <c r="BH87" s="457" t="s">
        <v>324</v>
      </c>
      <c r="BI87" s="473"/>
      <c r="BJ87" s="473"/>
      <c r="BK87" s="473"/>
      <c r="BL87" s="473"/>
      <c r="BM87" s="473"/>
      <c r="BN87" s="474"/>
      <c r="BO87" s="454"/>
      <c r="BP87" s="457"/>
      <c r="BQ87" s="454"/>
      <c r="BR87" s="478"/>
      <c r="BS87" s="487"/>
      <c r="BT87" s="454"/>
      <c r="BU87" s="457"/>
      <c r="BV87" s="457"/>
      <c r="BW87" s="454"/>
      <c r="BX87" s="454"/>
      <c r="BY87" s="477"/>
      <c r="BZ87" s="477"/>
      <c r="CA87" s="478"/>
      <c r="CB87" s="479"/>
    </row>
    <row r="88" spans="2:80" s="135" customFormat="1" ht="15" customHeight="1">
      <c r="B88" s="366">
        <f t="shared" si="3"/>
        <v>78</v>
      </c>
      <c r="C88" s="289" t="s">
        <v>416</v>
      </c>
      <c r="D88" s="446" t="s">
        <v>270</v>
      </c>
      <c r="E88" s="447" t="s">
        <v>364</v>
      </c>
      <c r="F88" s="520" t="s">
        <v>634</v>
      </c>
      <c r="G88" s="448" t="s">
        <v>1699</v>
      </c>
      <c r="H88" s="449">
        <v>2</v>
      </c>
      <c r="I88" s="450" t="s">
        <v>186</v>
      </c>
      <c r="J88" s="450" t="s">
        <v>366</v>
      </c>
      <c r="K88" s="450" t="s">
        <v>1595</v>
      </c>
      <c r="L88" s="450" t="s">
        <v>1596</v>
      </c>
      <c r="M88" s="451" t="s">
        <v>174</v>
      </c>
      <c r="N88" s="452">
        <v>1335</v>
      </c>
      <c r="O88" s="452">
        <v>362</v>
      </c>
      <c r="P88" s="453"/>
      <c r="Q88" s="453"/>
      <c r="R88" s="454">
        <v>42641</v>
      </c>
      <c r="S88" s="453">
        <v>1</v>
      </c>
      <c r="T88" s="453" t="s">
        <v>196</v>
      </c>
      <c r="U88" s="455">
        <v>120000000</v>
      </c>
      <c r="V88" s="455">
        <v>120000000</v>
      </c>
      <c r="W88" s="456"/>
      <c r="X88" s="456"/>
      <c r="Y88" s="455"/>
      <c r="Z88" s="457"/>
      <c r="AA88" s="453"/>
      <c r="AB88" s="458"/>
      <c r="AC88" s="458"/>
      <c r="AD88" s="453"/>
      <c r="AE88" s="453"/>
      <c r="AF88" s="459"/>
      <c r="AG88" s="453"/>
      <c r="AH88" s="455"/>
      <c r="AI88" s="460"/>
      <c r="AJ88" s="460" t="s">
        <v>657</v>
      </c>
      <c r="AK88" s="461"/>
      <c r="AL88" s="462" t="s">
        <v>451</v>
      </c>
      <c r="AM88" s="463" t="s">
        <v>451</v>
      </c>
      <c r="AN88" s="464" t="s">
        <v>451</v>
      </c>
      <c r="AO88" s="453" t="s">
        <v>451</v>
      </c>
      <c r="AP88" s="464" t="s">
        <v>451</v>
      </c>
      <c r="AQ88" s="464" t="s">
        <v>451</v>
      </c>
      <c r="AR88" s="464" t="s">
        <v>451</v>
      </c>
      <c r="AS88" s="464" t="s">
        <v>451</v>
      </c>
      <c r="AT88" s="464" t="s">
        <v>451</v>
      </c>
      <c r="AU88" s="464" t="s">
        <v>451</v>
      </c>
      <c r="AV88" s="464" t="s">
        <v>451</v>
      </c>
      <c r="AW88" s="465" t="s">
        <v>451</v>
      </c>
      <c r="AX88" s="466" t="s">
        <v>658</v>
      </c>
      <c r="AY88" s="467">
        <v>42600</v>
      </c>
      <c r="AZ88" s="468" t="s">
        <v>666</v>
      </c>
      <c r="BA88" s="469">
        <v>160200000</v>
      </c>
      <c r="BB88" s="469">
        <v>51223000</v>
      </c>
      <c r="BC88" s="469">
        <v>0</v>
      </c>
      <c r="BD88" s="469">
        <v>0</v>
      </c>
      <c r="BE88" s="470">
        <v>211423000</v>
      </c>
      <c r="BF88" s="471"/>
      <c r="BG88" s="472" t="s">
        <v>1711</v>
      </c>
      <c r="BH88" s="457" t="s">
        <v>222</v>
      </c>
      <c r="BI88" s="473"/>
      <c r="BJ88" s="473"/>
      <c r="BK88" s="473"/>
      <c r="BL88" s="473"/>
      <c r="BM88" s="473"/>
      <c r="BN88" s="474"/>
      <c r="BO88" s="454"/>
      <c r="BP88" s="457"/>
      <c r="BQ88" s="454"/>
      <c r="BR88" s="478"/>
      <c r="BS88" s="487"/>
      <c r="BT88" s="454"/>
      <c r="BU88" s="457"/>
      <c r="BV88" s="457"/>
      <c r="BW88" s="454"/>
      <c r="BX88" s="454"/>
      <c r="BY88" s="477"/>
      <c r="BZ88" s="477"/>
      <c r="CA88" s="478"/>
      <c r="CB88" s="479"/>
    </row>
    <row r="89" spans="2:80" s="135" customFormat="1" ht="15" customHeight="1">
      <c r="B89" s="366">
        <f t="shared" si="3"/>
        <v>79</v>
      </c>
      <c r="C89" s="289" t="s">
        <v>416</v>
      </c>
      <c r="D89" s="446" t="s">
        <v>270</v>
      </c>
      <c r="E89" s="447" t="s">
        <v>365</v>
      </c>
      <c r="F89" s="520" t="s">
        <v>761</v>
      </c>
      <c r="G89" s="448" t="s">
        <v>494</v>
      </c>
      <c r="H89" s="449">
        <v>1</v>
      </c>
      <c r="I89" s="450" t="s">
        <v>187</v>
      </c>
      <c r="J89" s="450" t="s">
        <v>367</v>
      </c>
      <c r="K89" s="450" t="s">
        <v>1555</v>
      </c>
      <c r="L89" s="450" t="s">
        <v>1556</v>
      </c>
      <c r="M89" s="451" t="s">
        <v>335</v>
      </c>
      <c r="N89" s="452">
        <v>21.57</v>
      </c>
      <c r="O89" s="452">
        <v>132.43</v>
      </c>
      <c r="P89" s="453"/>
      <c r="Q89" s="453"/>
      <c r="R89" s="454">
        <v>39911</v>
      </c>
      <c r="S89" s="453">
        <v>1</v>
      </c>
      <c r="T89" s="453" t="s">
        <v>196</v>
      </c>
      <c r="U89" s="455">
        <v>266400000</v>
      </c>
      <c r="V89" s="455">
        <v>266400000</v>
      </c>
      <c r="W89" s="456"/>
      <c r="X89" s="456"/>
      <c r="Y89" s="455"/>
      <c r="Z89" s="457"/>
      <c r="AA89" s="453"/>
      <c r="AB89" s="458"/>
      <c r="AC89" s="458"/>
      <c r="AD89" s="453"/>
      <c r="AE89" s="453"/>
      <c r="AF89" s="459"/>
      <c r="AG89" s="453"/>
      <c r="AH89" s="455"/>
      <c r="AI89" s="460"/>
      <c r="AJ89" s="460" t="s">
        <v>657</v>
      </c>
      <c r="AK89" s="461"/>
      <c r="AL89" s="462" t="s">
        <v>451</v>
      </c>
      <c r="AM89" s="463" t="s">
        <v>451</v>
      </c>
      <c r="AN89" s="464" t="s">
        <v>451</v>
      </c>
      <c r="AO89" s="453" t="s">
        <v>451</v>
      </c>
      <c r="AP89" s="464" t="s">
        <v>451</v>
      </c>
      <c r="AQ89" s="464" t="s">
        <v>451</v>
      </c>
      <c r="AR89" s="464" t="s">
        <v>451</v>
      </c>
      <c r="AS89" s="464" t="s">
        <v>451</v>
      </c>
      <c r="AT89" s="464" t="s">
        <v>451</v>
      </c>
      <c r="AU89" s="464" t="s">
        <v>451</v>
      </c>
      <c r="AV89" s="464" t="s">
        <v>451</v>
      </c>
      <c r="AW89" s="465" t="s">
        <v>451</v>
      </c>
      <c r="AX89" s="466" t="s">
        <v>338</v>
      </c>
      <c r="AY89" s="467" t="s">
        <v>338</v>
      </c>
      <c r="AZ89" s="468" t="s">
        <v>338</v>
      </c>
      <c r="BA89" s="469" t="s">
        <v>338</v>
      </c>
      <c r="BB89" s="469" t="s">
        <v>338</v>
      </c>
      <c r="BC89" s="469" t="s">
        <v>338</v>
      </c>
      <c r="BD89" s="469" t="s">
        <v>338</v>
      </c>
      <c r="BE89" s="470" t="s">
        <v>338</v>
      </c>
      <c r="BF89" s="484">
        <v>420000000</v>
      </c>
      <c r="BG89" s="472" t="s">
        <v>1711</v>
      </c>
      <c r="BH89" s="457" t="s">
        <v>205</v>
      </c>
      <c r="BI89" s="473"/>
      <c r="BJ89" s="473"/>
      <c r="BK89" s="473"/>
      <c r="BL89" s="473"/>
      <c r="BM89" s="473"/>
      <c r="BN89" s="474"/>
      <c r="BO89" s="454"/>
      <c r="BP89" s="457"/>
      <c r="BQ89" s="454"/>
      <c r="BR89" s="478"/>
      <c r="BS89" s="487"/>
      <c r="BT89" s="454"/>
      <c r="BU89" s="457"/>
      <c r="BV89" s="457"/>
      <c r="BW89" s="454"/>
      <c r="BX89" s="454"/>
      <c r="BY89" s="477"/>
      <c r="BZ89" s="477"/>
      <c r="CA89" s="478"/>
      <c r="CB89" s="479"/>
    </row>
    <row r="90" spans="2:80" s="135" customFormat="1" ht="15" customHeight="1">
      <c r="B90" s="366">
        <f t="shared" si="3"/>
        <v>80</v>
      </c>
      <c r="C90" s="289" t="s">
        <v>416</v>
      </c>
      <c r="D90" s="446" t="s">
        <v>270</v>
      </c>
      <c r="E90" s="447" t="s">
        <v>376</v>
      </c>
      <c r="F90" s="520" t="s">
        <v>762</v>
      </c>
      <c r="G90" s="448" t="s">
        <v>495</v>
      </c>
      <c r="H90" s="449">
        <v>1</v>
      </c>
      <c r="I90" s="450" t="s">
        <v>189</v>
      </c>
      <c r="J90" s="450" t="s">
        <v>1598</v>
      </c>
      <c r="K90" s="450" t="s">
        <v>1599</v>
      </c>
      <c r="L90" s="450" t="s">
        <v>1600</v>
      </c>
      <c r="M90" s="451" t="s">
        <v>652</v>
      </c>
      <c r="N90" s="452">
        <v>26.446999999999999</v>
      </c>
      <c r="O90" s="452">
        <v>45.12</v>
      </c>
      <c r="P90" s="453"/>
      <c r="Q90" s="453"/>
      <c r="R90" s="454">
        <v>42720</v>
      </c>
      <c r="S90" s="453" t="s">
        <v>250</v>
      </c>
      <c r="T90" s="453" t="s">
        <v>196</v>
      </c>
      <c r="U90" s="455">
        <v>240000000</v>
      </c>
      <c r="V90" s="455">
        <v>240000000</v>
      </c>
      <c r="W90" s="456"/>
      <c r="X90" s="456"/>
      <c r="Y90" s="455"/>
      <c r="Z90" s="457"/>
      <c r="AA90" s="453"/>
      <c r="AB90" s="458"/>
      <c r="AC90" s="458"/>
      <c r="AD90" s="453"/>
      <c r="AE90" s="453"/>
      <c r="AF90" s="459"/>
      <c r="AG90" s="453"/>
      <c r="AH90" s="455"/>
      <c r="AI90" s="460"/>
      <c r="AJ90" s="460" t="s">
        <v>657</v>
      </c>
      <c r="AK90" s="461"/>
      <c r="AL90" s="462" t="s">
        <v>451</v>
      </c>
      <c r="AM90" s="463" t="s">
        <v>451</v>
      </c>
      <c r="AN90" s="464" t="s">
        <v>451</v>
      </c>
      <c r="AO90" s="453" t="s">
        <v>451</v>
      </c>
      <c r="AP90" s="464" t="s">
        <v>451</v>
      </c>
      <c r="AQ90" s="464" t="s">
        <v>451</v>
      </c>
      <c r="AR90" s="464" t="s">
        <v>451</v>
      </c>
      <c r="AS90" s="464" t="s">
        <v>451</v>
      </c>
      <c r="AT90" s="464" t="s">
        <v>451</v>
      </c>
      <c r="AU90" s="464" t="s">
        <v>451</v>
      </c>
      <c r="AV90" s="464" t="s">
        <v>451</v>
      </c>
      <c r="AW90" s="465" t="s">
        <v>451</v>
      </c>
      <c r="AX90" s="466" t="s">
        <v>338</v>
      </c>
      <c r="AY90" s="467" t="s">
        <v>338</v>
      </c>
      <c r="AZ90" s="468" t="s">
        <v>338</v>
      </c>
      <c r="BA90" s="469" t="s">
        <v>338</v>
      </c>
      <c r="BB90" s="469" t="s">
        <v>338</v>
      </c>
      <c r="BC90" s="469" t="s">
        <v>338</v>
      </c>
      <c r="BD90" s="469" t="s">
        <v>338</v>
      </c>
      <c r="BE90" s="470" t="s">
        <v>338</v>
      </c>
      <c r="BF90" s="491"/>
      <c r="BG90" s="472" t="s">
        <v>1712</v>
      </c>
      <c r="BH90" s="457" t="s">
        <v>330</v>
      </c>
      <c r="BI90" s="480" t="s">
        <v>1713</v>
      </c>
      <c r="BJ90" s="481">
        <v>45749</v>
      </c>
      <c r="BK90" s="480" t="s">
        <v>1791</v>
      </c>
      <c r="BL90" s="481">
        <v>45831</v>
      </c>
      <c r="BM90" s="482">
        <v>196578970</v>
      </c>
      <c r="BN90" s="474"/>
      <c r="BO90" s="454"/>
      <c r="BP90" s="457"/>
      <c r="BQ90" s="454"/>
      <c r="BR90" s="478"/>
      <c r="BS90" s="487"/>
      <c r="BT90" s="454"/>
      <c r="BU90" s="457"/>
      <c r="BV90" s="457"/>
      <c r="BW90" s="454"/>
      <c r="BX90" s="454"/>
      <c r="BY90" s="477"/>
      <c r="BZ90" s="477"/>
      <c r="CA90" s="478"/>
      <c r="CB90" s="479"/>
    </row>
    <row r="91" spans="2:80" s="135" customFormat="1" ht="15" customHeight="1">
      <c r="B91" s="366">
        <f t="shared" si="3"/>
        <v>81</v>
      </c>
      <c r="C91" s="289" t="s">
        <v>416</v>
      </c>
      <c r="D91" s="446" t="s">
        <v>270</v>
      </c>
      <c r="E91" s="447" t="s">
        <v>377</v>
      </c>
      <c r="F91" s="520" t="s">
        <v>763</v>
      </c>
      <c r="G91" s="448" t="s">
        <v>496</v>
      </c>
      <c r="H91" s="449">
        <v>1</v>
      </c>
      <c r="I91" s="450" t="s">
        <v>188</v>
      </c>
      <c r="J91" s="450" t="s">
        <v>389</v>
      </c>
      <c r="K91" s="450" t="s">
        <v>1601</v>
      </c>
      <c r="L91" s="450" t="s">
        <v>1602</v>
      </c>
      <c r="M91" s="451" t="s">
        <v>225</v>
      </c>
      <c r="N91" s="452">
        <v>1577.4699999999998</v>
      </c>
      <c r="O91" s="452"/>
      <c r="P91" s="453"/>
      <c r="Q91" s="453"/>
      <c r="R91" s="454">
        <v>42320</v>
      </c>
      <c r="S91" s="453">
        <v>1</v>
      </c>
      <c r="T91" s="453" t="s">
        <v>196</v>
      </c>
      <c r="U91" s="455">
        <v>154800000</v>
      </c>
      <c r="V91" s="455">
        <v>154800000</v>
      </c>
      <c r="W91" s="456"/>
      <c r="X91" s="456"/>
      <c r="Y91" s="455"/>
      <c r="Z91" s="457"/>
      <c r="AA91" s="453"/>
      <c r="AB91" s="458"/>
      <c r="AC91" s="458"/>
      <c r="AD91" s="453"/>
      <c r="AE91" s="453"/>
      <c r="AF91" s="459"/>
      <c r="AG91" s="453"/>
      <c r="AH91" s="455"/>
      <c r="AI91" s="460"/>
      <c r="AJ91" s="460" t="s">
        <v>657</v>
      </c>
      <c r="AK91" s="461"/>
      <c r="AL91" s="462" t="s">
        <v>451</v>
      </c>
      <c r="AM91" s="463" t="s">
        <v>451</v>
      </c>
      <c r="AN91" s="464" t="s">
        <v>451</v>
      </c>
      <c r="AO91" s="453" t="s">
        <v>451</v>
      </c>
      <c r="AP91" s="464" t="s">
        <v>451</v>
      </c>
      <c r="AQ91" s="464" t="s">
        <v>451</v>
      </c>
      <c r="AR91" s="464" t="s">
        <v>451</v>
      </c>
      <c r="AS91" s="464" t="s">
        <v>451</v>
      </c>
      <c r="AT91" s="464" t="s">
        <v>451</v>
      </c>
      <c r="AU91" s="464" t="s">
        <v>451</v>
      </c>
      <c r="AV91" s="464" t="s">
        <v>451</v>
      </c>
      <c r="AW91" s="465" t="s">
        <v>451</v>
      </c>
      <c r="AX91" s="466" t="s">
        <v>338</v>
      </c>
      <c r="AY91" s="467" t="s">
        <v>338</v>
      </c>
      <c r="AZ91" s="468" t="s">
        <v>338</v>
      </c>
      <c r="BA91" s="469" t="s">
        <v>338</v>
      </c>
      <c r="BB91" s="469" t="s">
        <v>338</v>
      </c>
      <c r="BC91" s="469" t="s">
        <v>338</v>
      </c>
      <c r="BD91" s="469" t="s">
        <v>338</v>
      </c>
      <c r="BE91" s="470" t="s">
        <v>338</v>
      </c>
      <c r="BF91" s="471"/>
      <c r="BG91" s="472" t="s">
        <v>1712</v>
      </c>
      <c r="BH91" s="457" t="s">
        <v>198</v>
      </c>
      <c r="BI91" s="473"/>
      <c r="BJ91" s="473"/>
      <c r="BK91" s="473"/>
      <c r="BL91" s="473"/>
      <c r="BM91" s="473"/>
      <c r="BN91" s="463" t="s">
        <v>1792</v>
      </c>
      <c r="BO91" s="481">
        <v>45796</v>
      </c>
      <c r="BP91" s="480" t="s">
        <v>1793</v>
      </c>
      <c r="BQ91" s="481">
        <v>45889</v>
      </c>
      <c r="BR91" s="485">
        <v>200000000</v>
      </c>
      <c r="BS91" s="487"/>
      <c r="BT91" s="454"/>
      <c r="BU91" s="457"/>
      <c r="BV91" s="457"/>
      <c r="BW91" s="454"/>
      <c r="BX91" s="454"/>
      <c r="BY91" s="477"/>
      <c r="BZ91" s="477"/>
      <c r="CA91" s="478"/>
      <c r="CB91" s="479"/>
    </row>
    <row r="92" spans="2:80" s="135" customFormat="1" ht="15" customHeight="1">
      <c r="B92" s="366">
        <f t="shared" si="3"/>
        <v>82</v>
      </c>
      <c r="C92" s="289" t="s">
        <v>416</v>
      </c>
      <c r="D92" s="446" t="s">
        <v>270</v>
      </c>
      <c r="E92" s="447" t="s">
        <v>378</v>
      </c>
      <c r="F92" s="520" t="s">
        <v>764</v>
      </c>
      <c r="G92" s="448" t="s">
        <v>497</v>
      </c>
      <c r="H92" s="449">
        <v>1</v>
      </c>
      <c r="I92" s="450" t="s">
        <v>186</v>
      </c>
      <c r="J92" s="450" t="s">
        <v>388</v>
      </c>
      <c r="K92" s="450" t="s">
        <v>1603</v>
      </c>
      <c r="L92" s="450" t="s">
        <v>1604</v>
      </c>
      <c r="M92" s="451" t="s">
        <v>646</v>
      </c>
      <c r="N92" s="452">
        <v>259</v>
      </c>
      <c r="O92" s="452"/>
      <c r="P92" s="453"/>
      <c r="Q92" s="453"/>
      <c r="R92" s="454">
        <v>40018</v>
      </c>
      <c r="S92" s="453" t="s">
        <v>250</v>
      </c>
      <c r="T92" s="453" t="s">
        <v>196</v>
      </c>
      <c r="U92" s="455">
        <v>168000000</v>
      </c>
      <c r="V92" s="455">
        <v>168000000</v>
      </c>
      <c r="W92" s="456" t="s">
        <v>251</v>
      </c>
      <c r="X92" s="456" t="s">
        <v>251</v>
      </c>
      <c r="Y92" s="455">
        <v>72000000</v>
      </c>
      <c r="Z92" s="457"/>
      <c r="AA92" s="453"/>
      <c r="AB92" s="458"/>
      <c r="AC92" s="458"/>
      <c r="AD92" s="453"/>
      <c r="AE92" s="453"/>
      <c r="AF92" s="459"/>
      <c r="AG92" s="453"/>
      <c r="AH92" s="455"/>
      <c r="AI92" s="460"/>
      <c r="AJ92" s="460" t="s">
        <v>657</v>
      </c>
      <c r="AK92" s="461"/>
      <c r="AL92" s="462" t="s">
        <v>451</v>
      </c>
      <c r="AM92" s="463" t="s">
        <v>451</v>
      </c>
      <c r="AN92" s="464" t="s">
        <v>451</v>
      </c>
      <c r="AO92" s="453" t="s">
        <v>451</v>
      </c>
      <c r="AP92" s="464" t="s">
        <v>451</v>
      </c>
      <c r="AQ92" s="464" t="s">
        <v>451</v>
      </c>
      <c r="AR92" s="464" t="s">
        <v>451</v>
      </c>
      <c r="AS92" s="464" t="s">
        <v>451</v>
      </c>
      <c r="AT92" s="464" t="s">
        <v>451</v>
      </c>
      <c r="AU92" s="464" t="s">
        <v>451</v>
      </c>
      <c r="AV92" s="464" t="s">
        <v>451</v>
      </c>
      <c r="AW92" s="465" t="s">
        <v>451</v>
      </c>
      <c r="AX92" s="466" t="s">
        <v>338</v>
      </c>
      <c r="AY92" s="467" t="s">
        <v>338</v>
      </c>
      <c r="AZ92" s="468" t="s">
        <v>338</v>
      </c>
      <c r="BA92" s="469" t="s">
        <v>338</v>
      </c>
      <c r="BB92" s="469" t="s">
        <v>338</v>
      </c>
      <c r="BC92" s="469" t="s">
        <v>338</v>
      </c>
      <c r="BD92" s="469" t="s">
        <v>338</v>
      </c>
      <c r="BE92" s="470" t="s">
        <v>338</v>
      </c>
      <c r="BF92" s="491"/>
      <c r="BG92" s="472" t="s">
        <v>1712</v>
      </c>
      <c r="BH92" s="457" t="s">
        <v>326</v>
      </c>
      <c r="BI92" s="480" t="s">
        <v>1713</v>
      </c>
      <c r="BJ92" s="481">
        <v>45678</v>
      </c>
      <c r="BK92" s="480" t="s">
        <v>1794</v>
      </c>
      <c r="BL92" s="481">
        <v>45771</v>
      </c>
      <c r="BM92" s="473">
        <v>228000000</v>
      </c>
      <c r="BN92" s="463" t="s">
        <v>1795</v>
      </c>
      <c r="BO92" s="481">
        <v>45659</v>
      </c>
      <c r="BP92" s="480" t="s">
        <v>1796</v>
      </c>
      <c r="BQ92" s="481">
        <v>45754</v>
      </c>
      <c r="BR92" s="485">
        <v>1015361552</v>
      </c>
      <c r="BS92" s="487"/>
      <c r="BT92" s="454"/>
      <c r="BU92" s="457"/>
      <c r="BV92" s="457"/>
      <c r="BW92" s="454"/>
      <c r="BX92" s="454"/>
      <c r="BY92" s="477"/>
      <c r="BZ92" s="477"/>
      <c r="CA92" s="478"/>
      <c r="CB92" s="479"/>
    </row>
    <row r="93" spans="2:80" s="135" customFormat="1" ht="15" customHeight="1">
      <c r="B93" s="366">
        <f t="shared" si="3"/>
        <v>83</v>
      </c>
      <c r="C93" s="289" t="s">
        <v>416</v>
      </c>
      <c r="D93" s="446" t="s">
        <v>270</v>
      </c>
      <c r="E93" s="447" t="s">
        <v>378</v>
      </c>
      <c r="F93" s="520" t="s">
        <v>764</v>
      </c>
      <c r="G93" s="448" t="s">
        <v>1700</v>
      </c>
      <c r="H93" s="449">
        <v>2</v>
      </c>
      <c r="I93" s="450" t="s">
        <v>186</v>
      </c>
      <c r="J93" s="450" t="s">
        <v>388</v>
      </c>
      <c r="K93" s="450" t="s">
        <v>1603</v>
      </c>
      <c r="L93" s="450" t="s">
        <v>1605</v>
      </c>
      <c r="M93" s="451" t="s">
        <v>646</v>
      </c>
      <c r="N93" s="452">
        <v>282</v>
      </c>
      <c r="O93" s="452"/>
      <c r="P93" s="453"/>
      <c r="Q93" s="453"/>
      <c r="R93" s="454">
        <v>40018</v>
      </c>
      <c r="S93" s="453" t="s">
        <v>250</v>
      </c>
      <c r="T93" s="453" t="s">
        <v>196</v>
      </c>
      <c r="U93" s="455">
        <v>132000000</v>
      </c>
      <c r="V93" s="455">
        <v>132000000</v>
      </c>
      <c r="W93" s="456" t="s">
        <v>253</v>
      </c>
      <c r="X93" s="456" t="s">
        <v>251</v>
      </c>
      <c r="Y93" s="455">
        <v>72000000</v>
      </c>
      <c r="Z93" s="457"/>
      <c r="AA93" s="453"/>
      <c r="AB93" s="458"/>
      <c r="AC93" s="458"/>
      <c r="AD93" s="453"/>
      <c r="AE93" s="453"/>
      <c r="AF93" s="459"/>
      <c r="AG93" s="453"/>
      <c r="AH93" s="455"/>
      <c r="AI93" s="460"/>
      <c r="AJ93" s="460" t="s">
        <v>657</v>
      </c>
      <c r="AK93" s="461"/>
      <c r="AL93" s="462" t="s">
        <v>451</v>
      </c>
      <c r="AM93" s="463" t="s">
        <v>451</v>
      </c>
      <c r="AN93" s="464" t="s">
        <v>451</v>
      </c>
      <c r="AO93" s="453" t="s">
        <v>451</v>
      </c>
      <c r="AP93" s="464" t="s">
        <v>451</v>
      </c>
      <c r="AQ93" s="464" t="s">
        <v>451</v>
      </c>
      <c r="AR93" s="464" t="s">
        <v>451</v>
      </c>
      <c r="AS93" s="464" t="s">
        <v>451</v>
      </c>
      <c r="AT93" s="464" t="s">
        <v>451</v>
      </c>
      <c r="AU93" s="464" t="s">
        <v>451</v>
      </c>
      <c r="AV93" s="464" t="s">
        <v>451</v>
      </c>
      <c r="AW93" s="465" t="s">
        <v>451</v>
      </c>
      <c r="AX93" s="466" t="s">
        <v>338</v>
      </c>
      <c r="AY93" s="467" t="s">
        <v>338</v>
      </c>
      <c r="AZ93" s="468" t="s">
        <v>338</v>
      </c>
      <c r="BA93" s="469" t="s">
        <v>338</v>
      </c>
      <c r="BB93" s="469" t="s">
        <v>338</v>
      </c>
      <c r="BC93" s="469" t="s">
        <v>338</v>
      </c>
      <c r="BD93" s="469" t="s">
        <v>338</v>
      </c>
      <c r="BE93" s="470" t="s">
        <v>338</v>
      </c>
      <c r="BF93" s="471"/>
      <c r="BG93" s="472" t="s">
        <v>1712</v>
      </c>
      <c r="BH93" s="457" t="s">
        <v>326</v>
      </c>
      <c r="BI93" s="480" t="s">
        <v>1713</v>
      </c>
      <c r="BJ93" s="481">
        <v>45678</v>
      </c>
      <c r="BK93" s="480" t="s">
        <v>1794</v>
      </c>
      <c r="BL93" s="481">
        <v>45771</v>
      </c>
      <c r="BM93" s="473" t="s">
        <v>675</v>
      </c>
      <c r="BN93" s="463" t="s">
        <v>1795</v>
      </c>
      <c r="BO93" s="481">
        <v>45659</v>
      </c>
      <c r="BP93" s="480" t="s">
        <v>1796</v>
      </c>
      <c r="BQ93" s="481">
        <v>45754</v>
      </c>
      <c r="BR93" s="486" t="s">
        <v>1724</v>
      </c>
      <c r="BS93" s="487"/>
      <c r="BT93" s="454"/>
      <c r="BU93" s="457"/>
      <c r="BV93" s="457"/>
      <c r="BW93" s="454"/>
      <c r="BX93" s="454"/>
      <c r="BY93" s="477"/>
      <c r="BZ93" s="477"/>
      <c r="CA93" s="478"/>
      <c r="CB93" s="479"/>
    </row>
    <row r="94" spans="2:80" s="135" customFormat="1" ht="15" customHeight="1">
      <c r="B94" s="366">
        <f t="shared" si="3"/>
        <v>84</v>
      </c>
      <c r="C94" s="289" t="s">
        <v>416</v>
      </c>
      <c r="D94" s="446" t="s">
        <v>270</v>
      </c>
      <c r="E94" s="447" t="s">
        <v>379</v>
      </c>
      <c r="F94" s="520" t="s">
        <v>765</v>
      </c>
      <c r="G94" s="448" t="s">
        <v>498</v>
      </c>
      <c r="H94" s="449">
        <v>1</v>
      </c>
      <c r="I94" s="450" t="s">
        <v>186</v>
      </c>
      <c r="J94" s="450" t="s">
        <v>320</v>
      </c>
      <c r="K94" s="450" t="s">
        <v>643</v>
      </c>
      <c r="L94" s="450" t="s">
        <v>1606</v>
      </c>
      <c r="M94" s="451" t="s">
        <v>195</v>
      </c>
      <c r="N94" s="452">
        <v>16.420000000000002</v>
      </c>
      <c r="O94" s="452">
        <v>43.04</v>
      </c>
      <c r="P94" s="453"/>
      <c r="Q94" s="453"/>
      <c r="R94" s="454">
        <v>42767</v>
      </c>
      <c r="S94" s="453">
        <v>1</v>
      </c>
      <c r="T94" s="453" t="s">
        <v>196</v>
      </c>
      <c r="U94" s="455">
        <v>158400000</v>
      </c>
      <c r="V94" s="455">
        <v>158400000</v>
      </c>
      <c r="W94" s="456"/>
      <c r="X94" s="456"/>
      <c r="Y94" s="455"/>
      <c r="Z94" s="457"/>
      <c r="AA94" s="453"/>
      <c r="AB94" s="458"/>
      <c r="AC94" s="458"/>
      <c r="AD94" s="453"/>
      <c r="AE94" s="453"/>
      <c r="AF94" s="459"/>
      <c r="AG94" s="453"/>
      <c r="AH94" s="455"/>
      <c r="AI94" s="460"/>
      <c r="AJ94" s="460" t="s">
        <v>657</v>
      </c>
      <c r="AK94" s="461"/>
      <c r="AL94" s="462" t="s">
        <v>451</v>
      </c>
      <c r="AM94" s="463" t="s">
        <v>451</v>
      </c>
      <c r="AN94" s="464" t="s">
        <v>451</v>
      </c>
      <c r="AO94" s="453" t="s">
        <v>451</v>
      </c>
      <c r="AP94" s="464" t="s">
        <v>451</v>
      </c>
      <c r="AQ94" s="464" t="s">
        <v>451</v>
      </c>
      <c r="AR94" s="464" t="s">
        <v>451</v>
      </c>
      <c r="AS94" s="464" t="s">
        <v>451</v>
      </c>
      <c r="AT94" s="464" t="s">
        <v>451</v>
      </c>
      <c r="AU94" s="464" t="s">
        <v>451</v>
      </c>
      <c r="AV94" s="464" t="s">
        <v>451</v>
      </c>
      <c r="AW94" s="465" t="s">
        <v>451</v>
      </c>
      <c r="AX94" s="466" t="s">
        <v>338</v>
      </c>
      <c r="AY94" s="467" t="s">
        <v>338</v>
      </c>
      <c r="AZ94" s="468" t="s">
        <v>338</v>
      </c>
      <c r="BA94" s="469" t="s">
        <v>338</v>
      </c>
      <c r="BB94" s="469" t="s">
        <v>338</v>
      </c>
      <c r="BC94" s="469" t="s">
        <v>338</v>
      </c>
      <c r="BD94" s="469" t="s">
        <v>338</v>
      </c>
      <c r="BE94" s="470" t="s">
        <v>338</v>
      </c>
      <c r="BF94" s="471"/>
      <c r="BG94" s="472" t="s">
        <v>1712</v>
      </c>
      <c r="BH94" s="457" t="s">
        <v>200</v>
      </c>
      <c r="BI94" s="480" t="s">
        <v>1713</v>
      </c>
      <c r="BJ94" s="481">
        <v>45828</v>
      </c>
      <c r="BK94" s="480" t="s">
        <v>1797</v>
      </c>
      <c r="BL94" s="481">
        <v>45904</v>
      </c>
      <c r="BM94" s="482">
        <v>143683881</v>
      </c>
      <c r="BN94" s="474"/>
      <c r="BO94" s="454"/>
      <c r="BP94" s="457"/>
      <c r="BQ94" s="454"/>
      <c r="BR94" s="478"/>
      <c r="BS94" s="487"/>
      <c r="BT94" s="454"/>
      <c r="BU94" s="457"/>
      <c r="BV94" s="457"/>
      <c r="BW94" s="454"/>
      <c r="BX94" s="454"/>
      <c r="BY94" s="477"/>
      <c r="BZ94" s="477"/>
      <c r="CA94" s="478"/>
      <c r="CB94" s="479"/>
    </row>
    <row r="95" spans="2:80" s="135" customFormat="1" ht="15" customHeight="1">
      <c r="B95" s="366">
        <f t="shared" si="3"/>
        <v>85</v>
      </c>
      <c r="C95" s="289" t="s">
        <v>416</v>
      </c>
      <c r="D95" s="446" t="s">
        <v>270</v>
      </c>
      <c r="E95" s="447" t="s">
        <v>380</v>
      </c>
      <c r="F95" s="520" t="s">
        <v>766</v>
      </c>
      <c r="G95" s="448" t="s">
        <v>499</v>
      </c>
      <c r="H95" s="449">
        <v>1</v>
      </c>
      <c r="I95" s="450" t="s">
        <v>369</v>
      </c>
      <c r="J95" s="450" t="s">
        <v>656</v>
      </c>
      <c r="K95" s="450" t="s">
        <v>1581</v>
      </c>
      <c r="L95" s="450" t="s">
        <v>1582</v>
      </c>
      <c r="M95" s="451" t="s">
        <v>175</v>
      </c>
      <c r="N95" s="452">
        <v>52.77</v>
      </c>
      <c r="O95" s="452">
        <v>84.976299999999995</v>
      </c>
      <c r="P95" s="453"/>
      <c r="Q95" s="453"/>
      <c r="R95" s="454">
        <v>42663</v>
      </c>
      <c r="S95" s="453">
        <v>1</v>
      </c>
      <c r="T95" s="453" t="s">
        <v>196</v>
      </c>
      <c r="U95" s="455">
        <v>100000000</v>
      </c>
      <c r="V95" s="455">
        <v>100000000</v>
      </c>
      <c r="W95" s="456"/>
      <c r="X95" s="456"/>
      <c r="Y95" s="455"/>
      <c r="Z95" s="457"/>
      <c r="AA95" s="453"/>
      <c r="AB95" s="458"/>
      <c r="AC95" s="458"/>
      <c r="AD95" s="453"/>
      <c r="AE95" s="453"/>
      <c r="AF95" s="459"/>
      <c r="AG95" s="453"/>
      <c r="AH95" s="455"/>
      <c r="AI95" s="460"/>
      <c r="AJ95" s="460" t="s">
        <v>657</v>
      </c>
      <c r="AK95" s="461"/>
      <c r="AL95" s="462" t="s">
        <v>451</v>
      </c>
      <c r="AM95" s="463" t="s">
        <v>451</v>
      </c>
      <c r="AN95" s="464" t="s">
        <v>451</v>
      </c>
      <c r="AO95" s="453" t="s">
        <v>451</v>
      </c>
      <c r="AP95" s="464" t="s">
        <v>451</v>
      </c>
      <c r="AQ95" s="464" t="s">
        <v>451</v>
      </c>
      <c r="AR95" s="464" t="s">
        <v>451</v>
      </c>
      <c r="AS95" s="464" t="s">
        <v>451</v>
      </c>
      <c r="AT95" s="464" t="s">
        <v>451</v>
      </c>
      <c r="AU95" s="464" t="s">
        <v>451</v>
      </c>
      <c r="AV95" s="464" t="s">
        <v>451</v>
      </c>
      <c r="AW95" s="465" t="s">
        <v>451</v>
      </c>
      <c r="AX95" s="466" t="s">
        <v>338</v>
      </c>
      <c r="AY95" s="467" t="s">
        <v>338</v>
      </c>
      <c r="AZ95" s="468" t="s">
        <v>338</v>
      </c>
      <c r="BA95" s="469" t="s">
        <v>338</v>
      </c>
      <c r="BB95" s="469" t="s">
        <v>338</v>
      </c>
      <c r="BC95" s="469" t="s">
        <v>338</v>
      </c>
      <c r="BD95" s="469" t="s">
        <v>338</v>
      </c>
      <c r="BE95" s="470" t="s">
        <v>338</v>
      </c>
      <c r="BF95" s="484">
        <v>315000000</v>
      </c>
      <c r="BG95" s="472" t="s">
        <v>1711</v>
      </c>
      <c r="BH95" s="457" t="s">
        <v>674</v>
      </c>
      <c r="BI95" s="473"/>
      <c r="BJ95" s="473"/>
      <c r="BK95" s="473"/>
      <c r="BL95" s="473"/>
      <c r="BM95" s="473"/>
      <c r="BN95" s="474"/>
      <c r="BO95" s="454"/>
      <c r="BP95" s="457"/>
      <c r="BQ95" s="454"/>
      <c r="BR95" s="478"/>
      <c r="BS95" s="487"/>
      <c r="BT95" s="454"/>
      <c r="BU95" s="457"/>
      <c r="BV95" s="457"/>
      <c r="BW95" s="454"/>
      <c r="BX95" s="454"/>
      <c r="BY95" s="477"/>
      <c r="BZ95" s="477"/>
      <c r="CA95" s="478"/>
      <c r="CB95" s="479"/>
    </row>
    <row r="96" spans="2:80" s="135" customFormat="1" ht="15" customHeight="1">
      <c r="B96" s="366">
        <f t="shared" si="3"/>
        <v>86</v>
      </c>
      <c r="C96" s="289" t="s">
        <v>416</v>
      </c>
      <c r="D96" s="446" t="s">
        <v>270</v>
      </c>
      <c r="E96" s="447" t="s">
        <v>635</v>
      </c>
      <c r="F96" s="520" t="s">
        <v>767</v>
      </c>
      <c r="G96" s="448" t="s">
        <v>654</v>
      </c>
      <c r="H96" s="449">
        <v>1</v>
      </c>
      <c r="I96" s="450" t="s">
        <v>186</v>
      </c>
      <c r="J96" s="450" t="s">
        <v>341</v>
      </c>
      <c r="K96" s="450" t="s">
        <v>1607</v>
      </c>
      <c r="L96" s="450" t="s">
        <v>1608</v>
      </c>
      <c r="M96" s="451" t="s">
        <v>1532</v>
      </c>
      <c r="N96" s="452">
        <v>54.4</v>
      </c>
      <c r="O96" s="494">
        <v>48.44</v>
      </c>
      <c r="P96" s="453"/>
      <c r="Q96" s="453"/>
      <c r="R96" s="454">
        <v>42432</v>
      </c>
      <c r="S96" s="453">
        <v>1</v>
      </c>
      <c r="T96" s="453" t="s">
        <v>196</v>
      </c>
      <c r="U96" s="455">
        <v>90000000</v>
      </c>
      <c r="V96" s="455">
        <v>90000000</v>
      </c>
      <c r="W96" s="456"/>
      <c r="X96" s="456"/>
      <c r="Y96" s="455"/>
      <c r="Z96" s="457"/>
      <c r="AA96" s="453"/>
      <c r="AB96" s="458"/>
      <c r="AC96" s="458"/>
      <c r="AD96" s="453"/>
      <c r="AE96" s="453"/>
      <c r="AF96" s="459"/>
      <c r="AG96" s="453"/>
      <c r="AH96" s="455"/>
      <c r="AI96" s="460"/>
      <c r="AJ96" s="460" t="s">
        <v>657</v>
      </c>
      <c r="AK96" s="461"/>
      <c r="AL96" s="462" t="s">
        <v>451</v>
      </c>
      <c r="AM96" s="463" t="s">
        <v>451</v>
      </c>
      <c r="AN96" s="464" t="s">
        <v>451</v>
      </c>
      <c r="AO96" s="453" t="s">
        <v>451</v>
      </c>
      <c r="AP96" s="464" t="s">
        <v>451</v>
      </c>
      <c r="AQ96" s="464" t="s">
        <v>451</v>
      </c>
      <c r="AR96" s="464" t="s">
        <v>451</v>
      </c>
      <c r="AS96" s="464" t="s">
        <v>451</v>
      </c>
      <c r="AT96" s="464" t="s">
        <v>451</v>
      </c>
      <c r="AU96" s="464" t="s">
        <v>451</v>
      </c>
      <c r="AV96" s="464" t="s">
        <v>451</v>
      </c>
      <c r="AW96" s="465" t="s">
        <v>451</v>
      </c>
      <c r="AX96" s="466" t="s">
        <v>658</v>
      </c>
      <c r="AY96" s="467">
        <v>42424</v>
      </c>
      <c r="AZ96" s="468" t="s">
        <v>661</v>
      </c>
      <c r="BA96" s="469">
        <v>0</v>
      </c>
      <c r="BB96" s="469">
        <v>135000000</v>
      </c>
      <c r="BC96" s="469">
        <v>0</v>
      </c>
      <c r="BD96" s="469">
        <v>0</v>
      </c>
      <c r="BE96" s="470">
        <v>135000000</v>
      </c>
      <c r="BF96" s="491"/>
      <c r="BG96" s="472" t="s">
        <v>1712</v>
      </c>
      <c r="BH96" s="457" t="s">
        <v>197</v>
      </c>
      <c r="BI96" s="480" t="s">
        <v>1713</v>
      </c>
      <c r="BJ96" s="481">
        <v>45841</v>
      </c>
      <c r="BK96" s="480" t="s">
        <v>1798</v>
      </c>
      <c r="BL96" s="481"/>
      <c r="BM96" s="473">
        <v>57604940</v>
      </c>
      <c r="BN96" s="457" t="s">
        <v>1799</v>
      </c>
      <c r="BO96" s="481">
        <v>45643</v>
      </c>
      <c r="BP96" s="480" t="s">
        <v>1800</v>
      </c>
      <c r="BQ96" s="481">
        <v>45726</v>
      </c>
      <c r="BR96" s="485">
        <v>67518000</v>
      </c>
      <c r="BS96" s="487"/>
      <c r="BT96" s="454"/>
      <c r="BU96" s="457"/>
      <c r="BV96" s="457"/>
      <c r="BW96" s="454"/>
      <c r="BX96" s="454"/>
      <c r="BY96" s="477"/>
      <c r="BZ96" s="477"/>
      <c r="CA96" s="478"/>
      <c r="CB96" s="479"/>
    </row>
    <row r="97" spans="2:80" s="135" customFormat="1" ht="15" customHeight="1">
      <c r="B97" s="366">
        <f t="shared" si="3"/>
        <v>87</v>
      </c>
      <c r="C97" s="289" t="s">
        <v>416</v>
      </c>
      <c r="D97" s="446" t="s">
        <v>270</v>
      </c>
      <c r="E97" s="447" t="s">
        <v>381</v>
      </c>
      <c r="F97" s="520" t="s">
        <v>768</v>
      </c>
      <c r="G97" s="448" t="s">
        <v>500</v>
      </c>
      <c r="H97" s="449">
        <v>1</v>
      </c>
      <c r="I97" s="450" t="s">
        <v>188</v>
      </c>
      <c r="J97" s="450" t="s">
        <v>1609</v>
      </c>
      <c r="K97" s="450" t="s">
        <v>1610</v>
      </c>
      <c r="L97" s="450" t="s">
        <v>1611</v>
      </c>
      <c r="M97" s="451" t="s">
        <v>1532</v>
      </c>
      <c r="N97" s="452">
        <v>40.85</v>
      </c>
      <c r="O97" s="452">
        <v>40.869999999999997</v>
      </c>
      <c r="P97" s="453"/>
      <c r="Q97" s="453"/>
      <c r="R97" s="454">
        <v>43880</v>
      </c>
      <c r="S97" s="453">
        <v>1</v>
      </c>
      <c r="T97" s="453" t="s">
        <v>196</v>
      </c>
      <c r="U97" s="455">
        <v>64800000</v>
      </c>
      <c r="V97" s="455">
        <v>64800000</v>
      </c>
      <c r="W97" s="456"/>
      <c r="X97" s="456"/>
      <c r="Y97" s="455"/>
      <c r="Z97" s="457"/>
      <c r="AA97" s="453"/>
      <c r="AB97" s="458"/>
      <c r="AC97" s="458"/>
      <c r="AD97" s="453"/>
      <c r="AE97" s="453"/>
      <c r="AF97" s="459"/>
      <c r="AG97" s="453"/>
      <c r="AH97" s="455"/>
      <c r="AI97" s="460"/>
      <c r="AJ97" s="460" t="s">
        <v>657</v>
      </c>
      <c r="AK97" s="461"/>
      <c r="AL97" s="462" t="s">
        <v>451</v>
      </c>
      <c r="AM97" s="463" t="s">
        <v>451</v>
      </c>
      <c r="AN97" s="464" t="s">
        <v>451</v>
      </c>
      <c r="AO97" s="453" t="s">
        <v>451</v>
      </c>
      <c r="AP97" s="464" t="s">
        <v>451</v>
      </c>
      <c r="AQ97" s="464" t="s">
        <v>451</v>
      </c>
      <c r="AR97" s="464" t="s">
        <v>451</v>
      </c>
      <c r="AS97" s="464" t="s">
        <v>451</v>
      </c>
      <c r="AT97" s="464" t="s">
        <v>451</v>
      </c>
      <c r="AU97" s="464" t="s">
        <v>451</v>
      </c>
      <c r="AV97" s="464" t="s">
        <v>451</v>
      </c>
      <c r="AW97" s="465" t="s">
        <v>451</v>
      </c>
      <c r="AX97" s="466" t="s">
        <v>338</v>
      </c>
      <c r="AY97" s="467" t="s">
        <v>338</v>
      </c>
      <c r="AZ97" s="468" t="s">
        <v>338</v>
      </c>
      <c r="BA97" s="469" t="s">
        <v>338</v>
      </c>
      <c r="BB97" s="469" t="s">
        <v>338</v>
      </c>
      <c r="BC97" s="469" t="s">
        <v>338</v>
      </c>
      <c r="BD97" s="469" t="s">
        <v>338</v>
      </c>
      <c r="BE97" s="470" t="s">
        <v>338</v>
      </c>
      <c r="BF97" s="491"/>
      <c r="BG97" s="472" t="s">
        <v>1712</v>
      </c>
      <c r="BH97" s="457" t="s">
        <v>198</v>
      </c>
      <c r="BI97" s="480" t="s">
        <v>221</v>
      </c>
      <c r="BJ97" s="481">
        <v>45812</v>
      </c>
      <c r="BK97" s="480" t="s">
        <v>1801</v>
      </c>
      <c r="BL97" s="481">
        <v>45908</v>
      </c>
      <c r="BM97" s="482">
        <v>51645079</v>
      </c>
      <c r="BN97" s="474"/>
      <c r="BO97" s="454"/>
      <c r="BP97" s="457"/>
      <c r="BQ97" s="454"/>
      <c r="BR97" s="478"/>
      <c r="BS97" s="487"/>
      <c r="BT97" s="454"/>
      <c r="BU97" s="457"/>
      <c r="BV97" s="457"/>
      <c r="BW97" s="454"/>
      <c r="BX97" s="454"/>
      <c r="BY97" s="477"/>
      <c r="BZ97" s="477"/>
      <c r="CA97" s="478"/>
      <c r="CB97" s="479"/>
    </row>
    <row r="98" spans="2:80" s="135" customFormat="1" ht="15" customHeight="1">
      <c r="B98" s="366">
        <f t="shared" si="3"/>
        <v>88</v>
      </c>
      <c r="C98" s="289" t="s">
        <v>416</v>
      </c>
      <c r="D98" s="446" t="s">
        <v>270</v>
      </c>
      <c r="E98" s="447" t="s">
        <v>382</v>
      </c>
      <c r="F98" s="520" t="s">
        <v>769</v>
      </c>
      <c r="G98" s="448" t="s">
        <v>501</v>
      </c>
      <c r="H98" s="449">
        <v>1</v>
      </c>
      <c r="I98" s="450" t="s">
        <v>186</v>
      </c>
      <c r="J98" s="450" t="s">
        <v>1612</v>
      </c>
      <c r="K98" s="450" t="s">
        <v>1613</v>
      </c>
      <c r="L98" s="450" t="s">
        <v>1614</v>
      </c>
      <c r="M98" s="451" t="s">
        <v>175</v>
      </c>
      <c r="N98" s="452">
        <v>50.18</v>
      </c>
      <c r="O98" s="494">
        <v>84.92</v>
      </c>
      <c r="P98" s="453"/>
      <c r="Q98" s="453"/>
      <c r="R98" s="454">
        <v>42453</v>
      </c>
      <c r="S98" s="453">
        <v>1</v>
      </c>
      <c r="T98" s="453" t="s">
        <v>196</v>
      </c>
      <c r="U98" s="455">
        <v>120000000</v>
      </c>
      <c r="V98" s="455">
        <v>120000000</v>
      </c>
      <c r="W98" s="456"/>
      <c r="X98" s="456"/>
      <c r="Y98" s="455"/>
      <c r="Z98" s="457"/>
      <c r="AA98" s="453"/>
      <c r="AB98" s="458"/>
      <c r="AC98" s="458"/>
      <c r="AD98" s="453"/>
      <c r="AE98" s="453"/>
      <c r="AF98" s="459"/>
      <c r="AG98" s="453"/>
      <c r="AH98" s="455"/>
      <c r="AI98" s="460"/>
      <c r="AJ98" s="460" t="s">
        <v>657</v>
      </c>
      <c r="AK98" s="461"/>
      <c r="AL98" s="462" t="s">
        <v>451</v>
      </c>
      <c r="AM98" s="463" t="s">
        <v>451</v>
      </c>
      <c r="AN98" s="464" t="s">
        <v>451</v>
      </c>
      <c r="AO98" s="453" t="s">
        <v>451</v>
      </c>
      <c r="AP98" s="464" t="s">
        <v>451</v>
      </c>
      <c r="AQ98" s="464" t="s">
        <v>451</v>
      </c>
      <c r="AR98" s="464" t="s">
        <v>451</v>
      </c>
      <c r="AS98" s="464" t="s">
        <v>451</v>
      </c>
      <c r="AT98" s="464" t="s">
        <v>451</v>
      </c>
      <c r="AU98" s="464" t="s">
        <v>451</v>
      </c>
      <c r="AV98" s="464" t="s">
        <v>451</v>
      </c>
      <c r="AW98" s="465" t="s">
        <v>451</v>
      </c>
      <c r="AX98" s="466" t="s">
        <v>338</v>
      </c>
      <c r="AY98" s="467" t="s">
        <v>338</v>
      </c>
      <c r="AZ98" s="468" t="s">
        <v>338</v>
      </c>
      <c r="BA98" s="469" t="s">
        <v>338</v>
      </c>
      <c r="BB98" s="469" t="s">
        <v>338</v>
      </c>
      <c r="BC98" s="469" t="s">
        <v>338</v>
      </c>
      <c r="BD98" s="469" t="s">
        <v>338</v>
      </c>
      <c r="BE98" s="470" t="s">
        <v>338</v>
      </c>
      <c r="BF98" s="484">
        <v>1250000000</v>
      </c>
      <c r="BG98" s="472" t="s">
        <v>1712</v>
      </c>
      <c r="BH98" s="457" t="s">
        <v>278</v>
      </c>
      <c r="BI98" s="473"/>
      <c r="BJ98" s="473"/>
      <c r="BK98" s="473"/>
      <c r="BL98" s="473"/>
      <c r="BM98" s="473"/>
      <c r="BN98" s="457" t="s">
        <v>1802</v>
      </c>
      <c r="BO98" s="481">
        <v>45646</v>
      </c>
      <c r="BP98" s="480" t="s">
        <v>1803</v>
      </c>
      <c r="BQ98" s="481">
        <v>45720</v>
      </c>
      <c r="BR98" s="485">
        <v>1495000000</v>
      </c>
      <c r="BS98" s="487"/>
      <c r="BT98" s="454"/>
      <c r="BU98" s="457"/>
      <c r="BV98" s="457"/>
      <c r="BW98" s="454"/>
      <c r="BX98" s="454"/>
      <c r="BY98" s="477"/>
      <c r="BZ98" s="477"/>
      <c r="CA98" s="478"/>
      <c r="CB98" s="479"/>
    </row>
    <row r="99" spans="2:80" s="135" customFormat="1" ht="15" customHeight="1">
      <c r="B99" s="366">
        <f t="shared" si="3"/>
        <v>89</v>
      </c>
      <c r="C99" s="289" t="s">
        <v>416</v>
      </c>
      <c r="D99" s="446" t="s">
        <v>270</v>
      </c>
      <c r="E99" s="447" t="s">
        <v>383</v>
      </c>
      <c r="F99" s="520" t="s">
        <v>770</v>
      </c>
      <c r="G99" s="448" t="s">
        <v>502</v>
      </c>
      <c r="H99" s="449">
        <v>1</v>
      </c>
      <c r="I99" s="450" t="s">
        <v>188</v>
      </c>
      <c r="J99" s="450" t="s">
        <v>1615</v>
      </c>
      <c r="K99" s="450" t="s">
        <v>1616</v>
      </c>
      <c r="L99" s="450" t="s">
        <v>1617</v>
      </c>
      <c r="M99" s="451" t="s">
        <v>1532</v>
      </c>
      <c r="N99" s="452">
        <v>16.399999999999999</v>
      </c>
      <c r="O99" s="494">
        <v>43.28</v>
      </c>
      <c r="P99" s="453"/>
      <c r="Q99" s="453"/>
      <c r="R99" s="454">
        <v>43740</v>
      </c>
      <c r="S99" s="453">
        <v>1</v>
      </c>
      <c r="T99" s="453" t="s">
        <v>196</v>
      </c>
      <c r="U99" s="455">
        <v>38400000</v>
      </c>
      <c r="V99" s="455">
        <v>38400000</v>
      </c>
      <c r="W99" s="456"/>
      <c r="X99" s="456"/>
      <c r="Y99" s="455"/>
      <c r="Z99" s="457"/>
      <c r="AA99" s="453"/>
      <c r="AB99" s="458"/>
      <c r="AC99" s="458"/>
      <c r="AD99" s="453"/>
      <c r="AE99" s="453"/>
      <c r="AF99" s="459"/>
      <c r="AG99" s="453"/>
      <c r="AH99" s="455"/>
      <c r="AI99" s="460"/>
      <c r="AJ99" s="460" t="s">
        <v>657</v>
      </c>
      <c r="AK99" s="461"/>
      <c r="AL99" s="462" t="s">
        <v>451</v>
      </c>
      <c r="AM99" s="463" t="s">
        <v>451</v>
      </c>
      <c r="AN99" s="464" t="s">
        <v>451</v>
      </c>
      <c r="AO99" s="453" t="s">
        <v>451</v>
      </c>
      <c r="AP99" s="464" t="s">
        <v>451</v>
      </c>
      <c r="AQ99" s="464" t="s">
        <v>451</v>
      </c>
      <c r="AR99" s="464" t="s">
        <v>451</v>
      </c>
      <c r="AS99" s="464" t="s">
        <v>451</v>
      </c>
      <c r="AT99" s="464" t="s">
        <v>451</v>
      </c>
      <c r="AU99" s="464" t="s">
        <v>451</v>
      </c>
      <c r="AV99" s="464" t="s">
        <v>451</v>
      </c>
      <c r="AW99" s="465" t="s">
        <v>451</v>
      </c>
      <c r="AX99" s="466" t="s">
        <v>338</v>
      </c>
      <c r="AY99" s="467" t="s">
        <v>338</v>
      </c>
      <c r="AZ99" s="468" t="s">
        <v>338</v>
      </c>
      <c r="BA99" s="469" t="s">
        <v>338</v>
      </c>
      <c r="BB99" s="469" t="s">
        <v>338</v>
      </c>
      <c r="BC99" s="469" t="s">
        <v>338</v>
      </c>
      <c r="BD99" s="469" t="s">
        <v>338</v>
      </c>
      <c r="BE99" s="470" t="s">
        <v>338</v>
      </c>
      <c r="BF99" s="491"/>
      <c r="BG99" s="472" t="s">
        <v>1712</v>
      </c>
      <c r="BH99" s="457" t="s">
        <v>198</v>
      </c>
      <c r="BI99" s="480" t="s">
        <v>1713</v>
      </c>
      <c r="BJ99" s="481">
        <v>45828</v>
      </c>
      <c r="BK99" s="480" t="s">
        <v>1804</v>
      </c>
      <c r="BL99" s="481">
        <v>45894</v>
      </c>
      <c r="BM99" s="482">
        <v>32140751</v>
      </c>
      <c r="BN99" s="474"/>
      <c r="BO99" s="454"/>
      <c r="BP99" s="457"/>
      <c r="BQ99" s="454"/>
      <c r="BR99" s="478"/>
      <c r="BS99" s="487"/>
      <c r="BT99" s="454"/>
      <c r="BU99" s="457"/>
      <c r="BV99" s="457"/>
      <c r="BW99" s="454"/>
      <c r="BX99" s="454"/>
      <c r="BY99" s="477"/>
      <c r="BZ99" s="477"/>
      <c r="CA99" s="478"/>
      <c r="CB99" s="479"/>
    </row>
    <row r="100" spans="2:80" s="135" customFormat="1" ht="15" customHeight="1">
      <c r="B100" s="366">
        <f t="shared" si="3"/>
        <v>90</v>
      </c>
      <c r="C100" s="289" t="s">
        <v>416</v>
      </c>
      <c r="D100" s="446" t="s">
        <v>270</v>
      </c>
      <c r="E100" s="447" t="s">
        <v>384</v>
      </c>
      <c r="F100" s="520" t="s">
        <v>771</v>
      </c>
      <c r="G100" s="448" t="s">
        <v>1701</v>
      </c>
      <c r="H100" s="449">
        <v>1</v>
      </c>
      <c r="I100" s="450" t="s">
        <v>190</v>
      </c>
      <c r="J100" s="450" t="s">
        <v>1618</v>
      </c>
      <c r="K100" s="450" t="s">
        <v>1619</v>
      </c>
      <c r="L100" s="450" t="s">
        <v>1620</v>
      </c>
      <c r="M100" s="451" t="s">
        <v>175</v>
      </c>
      <c r="N100" s="452">
        <v>40.054221478821297</v>
      </c>
      <c r="O100" s="494">
        <v>74.760000000000005</v>
      </c>
      <c r="P100" s="453"/>
      <c r="Q100" s="453"/>
      <c r="R100" s="454">
        <v>41555</v>
      </c>
      <c r="S100" s="453">
        <v>1</v>
      </c>
      <c r="T100" s="453" t="s">
        <v>196</v>
      </c>
      <c r="U100" s="455">
        <v>12600000</v>
      </c>
      <c r="V100" s="455">
        <v>12600000</v>
      </c>
      <c r="W100" s="456"/>
      <c r="X100" s="456"/>
      <c r="Y100" s="455"/>
      <c r="Z100" s="457"/>
      <c r="AA100" s="453"/>
      <c r="AB100" s="458"/>
      <c r="AC100" s="458"/>
      <c r="AD100" s="453"/>
      <c r="AE100" s="453"/>
      <c r="AF100" s="459"/>
      <c r="AG100" s="453"/>
      <c r="AH100" s="455"/>
      <c r="AI100" s="460"/>
      <c r="AJ100" s="460" t="s">
        <v>657</v>
      </c>
      <c r="AK100" s="461"/>
      <c r="AL100" s="462" t="s">
        <v>451</v>
      </c>
      <c r="AM100" s="463" t="s">
        <v>451</v>
      </c>
      <c r="AN100" s="464" t="s">
        <v>451</v>
      </c>
      <c r="AO100" s="453" t="s">
        <v>451</v>
      </c>
      <c r="AP100" s="464" t="s">
        <v>451</v>
      </c>
      <c r="AQ100" s="464" t="s">
        <v>451</v>
      </c>
      <c r="AR100" s="464" t="s">
        <v>451</v>
      </c>
      <c r="AS100" s="464" t="s">
        <v>451</v>
      </c>
      <c r="AT100" s="464" t="s">
        <v>451</v>
      </c>
      <c r="AU100" s="464" t="s">
        <v>451</v>
      </c>
      <c r="AV100" s="464" t="s">
        <v>451</v>
      </c>
      <c r="AW100" s="465" t="s">
        <v>451</v>
      </c>
      <c r="AX100" s="466" t="s">
        <v>338</v>
      </c>
      <c r="AY100" s="467" t="s">
        <v>338</v>
      </c>
      <c r="AZ100" s="468" t="s">
        <v>338</v>
      </c>
      <c r="BA100" s="469" t="s">
        <v>338</v>
      </c>
      <c r="BB100" s="469" t="s">
        <v>338</v>
      </c>
      <c r="BC100" s="469" t="s">
        <v>338</v>
      </c>
      <c r="BD100" s="469" t="s">
        <v>338</v>
      </c>
      <c r="BE100" s="470" t="s">
        <v>338</v>
      </c>
      <c r="BF100" s="484">
        <v>227500000</v>
      </c>
      <c r="BG100" s="472" t="s">
        <v>1712</v>
      </c>
      <c r="BH100" s="457" t="s">
        <v>331</v>
      </c>
      <c r="BI100" s="480" t="s">
        <v>221</v>
      </c>
      <c r="BJ100" s="481">
        <v>45777</v>
      </c>
      <c r="BK100" s="480" t="s">
        <v>1621</v>
      </c>
      <c r="BL100" s="481"/>
      <c r="BM100" s="473">
        <v>12600000</v>
      </c>
      <c r="BN100" s="457" t="s">
        <v>1805</v>
      </c>
      <c r="BO100" s="481">
        <v>45741</v>
      </c>
      <c r="BP100" s="480" t="s">
        <v>1806</v>
      </c>
      <c r="BQ100" s="481">
        <v>45821</v>
      </c>
      <c r="BR100" s="485">
        <v>52709208</v>
      </c>
      <c r="BS100" s="487"/>
      <c r="BT100" s="454"/>
      <c r="BU100" s="457"/>
      <c r="BV100" s="457"/>
      <c r="BW100" s="454"/>
      <c r="BX100" s="454"/>
      <c r="BY100" s="477"/>
      <c r="BZ100" s="477"/>
      <c r="CA100" s="478"/>
      <c r="CB100" s="479"/>
    </row>
    <row r="101" spans="2:80" s="135" customFormat="1" ht="15" customHeight="1">
      <c r="B101" s="366">
        <f t="shared" si="3"/>
        <v>91</v>
      </c>
      <c r="C101" s="289" t="s">
        <v>416</v>
      </c>
      <c r="D101" s="446" t="s">
        <v>270</v>
      </c>
      <c r="E101" s="447" t="s">
        <v>385</v>
      </c>
      <c r="F101" s="520" t="s">
        <v>772</v>
      </c>
      <c r="G101" s="448" t="s">
        <v>503</v>
      </c>
      <c r="H101" s="449">
        <v>1</v>
      </c>
      <c r="I101" s="450" t="s">
        <v>186</v>
      </c>
      <c r="J101" s="450" t="s">
        <v>1622</v>
      </c>
      <c r="K101" s="450" t="s">
        <v>1623</v>
      </c>
      <c r="L101" s="450" t="s">
        <v>1624</v>
      </c>
      <c r="M101" s="451" t="s">
        <v>175</v>
      </c>
      <c r="N101" s="452">
        <v>71.082189999999997</v>
      </c>
      <c r="O101" s="494">
        <v>121.164</v>
      </c>
      <c r="P101" s="453"/>
      <c r="Q101" s="453"/>
      <c r="R101" s="454">
        <v>41863</v>
      </c>
      <c r="S101" s="453">
        <v>2</v>
      </c>
      <c r="T101" s="453" t="s">
        <v>196</v>
      </c>
      <c r="U101" s="455">
        <v>95300000</v>
      </c>
      <c r="V101" s="455">
        <v>95300000</v>
      </c>
      <c r="W101" s="456"/>
      <c r="X101" s="456"/>
      <c r="Y101" s="455"/>
      <c r="Z101" s="457">
        <v>1</v>
      </c>
      <c r="AA101" s="453" t="s">
        <v>196</v>
      </c>
      <c r="AB101" s="458">
        <v>63000000</v>
      </c>
      <c r="AC101" s="458">
        <v>63000000</v>
      </c>
      <c r="AD101" s="453"/>
      <c r="AE101" s="453"/>
      <c r="AF101" s="459"/>
      <c r="AG101" s="453"/>
      <c r="AH101" s="455"/>
      <c r="AI101" s="460"/>
      <c r="AJ101" s="460" t="s">
        <v>657</v>
      </c>
      <c r="AK101" s="461"/>
      <c r="AL101" s="462" t="s">
        <v>451</v>
      </c>
      <c r="AM101" s="463" t="s">
        <v>451</v>
      </c>
      <c r="AN101" s="464" t="s">
        <v>451</v>
      </c>
      <c r="AO101" s="453" t="s">
        <v>451</v>
      </c>
      <c r="AP101" s="464" t="s">
        <v>451</v>
      </c>
      <c r="AQ101" s="464" t="s">
        <v>451</v>
      </c>
      <c r="AR101" s="464" t="s">
        <v>451</v>
      </c>
      <c r="AS101" s="464" t="s">
        <v>451</v>
      </c>
      <c r="AT101" s="464" t="s">
        <v>451</v>
      </c>
      <c r="AU101" s="464" t="s">
        <v>451</v>
      </c>
      <c r="AV101" s="464" t="s">
        <v>451</v>
      </c>
      <c r="AW101" s="465" t="s">
        <v>451</v>
      </c>
      <c r="AX101" s="466" t="s">
        <v>338</v>
      </c>
      <c r="AY101" s="467" t="s">
        <v>338</v>
      </c>
      <c r="AZ101" s="468" t="s">
        <v>338</v>
      </c>
      <c r="BA101" s="469" t="s">
        <v>338</v>
      </c>
      <c r="BB101" s="469" t="s">
        <v>338</v>
      </c>
      <c r="BC101" s="469" t="s">
        <v>338</v>
      </c>
      <c r="BD101" s="469" t="s">
        <v>338</v>
      </c>
      <c r="BE101" s="470" t="s">
        <v>338</v>
      </c>
      <c r="BF101" s="484">
        <v>1035000000</v>
      </c>
      <c r="BG101" s="472" t="s">
        <v>1712</v>
      </c>
      <c r="BH101" s="457" t="s">
        <v>208</v>
      </c>
      <c r="BI101" s="473"/>
      <c r="BJ101" s="473"/>
      <c r="BK101" s="473"/>
      <c r="BL101" s="473"/>
      <c r="BM101" s="473"/>
      <c r="BN101" s="463" t="s">
        <v>1807</v>
      </c>
      <c r="BO101" s="481">
        <v>45442</v>
      </c>
      <c r="BP101" s="480" t="s">
        <v>1808</v>
      </c>
      <c r="BQ101" s="481">
        <v>45530</v>
      </c>
      <c r="BR101" s="485">
        <v>185111888</v>
      </c>
      <c r="BS101" s="487"/>
      <c r="BT101" s="454"/>
      <c r="BU101" s="457"/>
      <c r="BV101" s="457"/>
      <c r="BW101" s="454"/>
      <c r="BX101" s="454"/>
      <c r="BY101" s="477"/>
      <c r="BZ101" s="477"/>
      <c r="CA101" s="478"/>
      <c r="CB101" s="479"/>
    </row>
    <row r="102" spans="2:80" s="135" customFormat="1" ht="15" customHeight="1">
      <c r="B102" s="366">
        <f t="shared" si="3"/>
        <v>92</v>
      </c>
      <c r="C102" s="289" t="s">
        <v>416</v>
      </c>
      <c r="D102" s="446" t="s">
        <v>270</v>
      </c>
      <c r="E102" s="447" t="s">
        <v>386</v>
      </c>
      <c r="F102" s="520" t="s">
        <v>773</v>
      </c>
      <c r="G102" s="448" t="s">
        <v>504</v>
      </c>
      <c r="H102" s="449">
        <v>1</v>
      </c>
      <c r="I102" s="450" t="s">
        <v>186</v>
      </c>
      <c r="J102" s="450" t="s">
        <v>1426</v>
      </c>
      <c r="K102" s="450" t="s">
        <v>1625</v>
      </c>
      <c r="L102" s="450" t="s">
        <v>1626</v>
      </c>
      <c r="M102" s="451" t="s">
        <v>1532</v>
      </c>
      <c r="N102" s="452">
        <v>20.6</v>
      </c>
      <c r="O102" s="452">
        <v>39.81</v>
      </c>
      <c r="P102" s="453"/>
      <c r="Q102" s="453"/>
      <c r="R102" s="454">
        <v>41656</v>
      </c>
      <c r="S102" s="453">
        <v>1</v>
      </c>
      <c r="T102" s="453" t="s">
        <v>196</v>
      </c>
      <c r="U102" s="455">
        <v>18000000</v>
      </c>
      <c r="V102" s="455">
        <v>18000000</v>
      </c>
      <c r="W102" s="456"/>
      <c r="X102" s="456"/>
      <c r="Y102" s="455"/>
      <c r="Z102" s="457"/>
      <c r="AA102" s="453"/>
      <c r="AB102" s="458"/>
      <c r="AC102" s="458"/>
      <c r="AD102" s="453"/>
      <c r="AE102" s="453"/>
      <c r="AF102" s="459"/>
      <c r="AG102" s="453"/>
      <c r="AH102" s="455"/>
      <c r="AI102" s="460"/>
      <c r="AJ102" s="460" t="s">
        <v>657</v>
      </c>
      <c r="AK102" s="461"/>
      <c r="AL102" s="462" t="s">
        <v>451</v>
      </c>
      <c r="AM102" s="463" t="s">
        <v>451</v>
      </c>
      <c r="AN102" s="464" t="s">
        <v>451</v>
      </c>
      <c r="AO102" s="453" t="s">
        <v>451</v>
      </c>
      <c r="AP102" s="464" t="s">
        <v>451</v>
      </c>
      <c r="AQ102" s="464" t="s">
        <v>451</v>
      </c>
      <c r="AR102" s="464" t="s">
        <v>451</v>
      </c>
      <c r="AS102" s="464" t="s">
        <v>451</v>
      </c>
      <c r="AT102" s="464" t="s">
        <v>451</v>
      </c>
      <c r="AU102" s="464" t="s">
        <v>451</v>
      </c>
      <c r="AV102" s="464" t="s">
        <v>451</v>
      </c>
      <c r="AW102" s="465" t="s">
        <v>451</v>
      </c>
      <c r="AX102" s="466" t="s">
        <v>338</v>
      </c>
      <c r="AY102" s="467" t="s">
        <v>338</v>
      </c>
      <c r="AZ102" s="468" t="s">
        <v>338</v>
      </c>
      <c r="BA102" s="469" t="s">
        <v>338</v>
      </c>
      <c r="BB102" s="469" t="s">
        <v>338</v>
      </c>
      <c r="BC102" s="469" t="s">
        <v>338</v>
      </c>
      <c r="BD102" s="469" t="s">
        <v>338</v>
      </c>
      <c r="BE102" s="470" t="s">
        <v>338</v>
      </c>
      <c r="BF102" s="491"/>
      <c r="BG102" s="472" t="s">
        <v>1712</v>
      </c>
      <c r="BH102" s="457" t="s">
        <v>200</v>
      </c>
      <c r="BI102" s="480" t="s">
        <v>1713</v>
      </c>
      <c r="BJ102" s="481">
        <v>45841</v>
      </c>
      <c r="BK102" s="480" t="s">
        <v>1809</v>
      </c>
      <c r="BL102" s="481">
        <v>45915</v>
      </c>
      <c r="BM102" s="482">
        <v>15182604</v>
      </c>
      <c r="BN102" s="474"/>
      <c r="BO102" s="454"/>
      <c r="BP102" s="457"/>
      <c r="BQ102" s="454"/>
      <c r="BR102" s="478"/>
      <c r="BS102" s="487"/>
      <c r="BT102" s="454"/>
      <c r="BU102" s="457"/>
      <c r="BV102" s="457"/>
      <c r="BW102" s="454"/>
      <c r="BX102" s="454"/>
      <c r="BY102" s="477"/>
      <c r="BZ102" s="477"/>
      <c r="CA102" s="478"/>
      <c r="CB102" s="479"/>
    </row>
    <row r="103" spans="2:80" s="135" customFormat="1" ht="15" customHeight="1">
      <c r="B103" s="366">
        <f t="shared" si="3"/>
        <v>93</v>
      </c>
      <c r="C103" s="289" t="s">
        <v>416</v>
      </c>
      <c r="D103" s="446" t="s">
        <v>270</v>
      </c>
      <c r="E103" s="447" t="s">
        <v>636</v>
      </c>
      <c r="F103" s="520" t="s">
        <v>774</v>
      </c>
      <c r="G103" s="448" t="s">
        <v>1702</v>
      </c>
      <c r="H103" s="449">
        <v>1</v>
      </c>
      <c r="I103" s="450" t="s">
        <v>186</v>
      </c>
      <c r="J103" s="450" t="s">
        <v>1426</v>
      </c>
      <c r="K103" s="450" t="s">
        <v>1627</v>
      </c>
      <c r="L103" s="450" t="s">
        <v>1628</v>
      </c>
      <c r="M103" s="451" t="s">
        <v>1532</v>
      </c>
      <c r="N103" s="452">
        <v>33.482500000000002</v>
      </c>
      <c r="O103" s="494">
        <v>46.35</v>
      </c>
      <c r="P103" s="453"/>
      <c r="Q103" s="453"/>
      <c r="R103" s="454">
        <v>40785</v>
      </c>
      <c r="S103" s="453">
        <v>1</v>
      </c>
      <c r="T103" s="453" t="s">
        <v>196</v>
      </c>
      <c r="U103" s="455">
        <v>31200000</v>
      </c>
      <c r="V103" s="455">
        <v>31200000</v>
      </c>
      <c r="W103" s="456"/>
      <c r="X103" s="456"/>
      <c r="Y103" s="455"/>
      <c r="Z103" s="457"/>
      <c r="AA103" s="453"/>
      <c r="AB103" s="458"/>
      <c r="AC103" s="458"/>
      <c r="AD103" s="453"/>
      <c r="AE103" s="453"/>
      <c r="AF103" s="459"/>
      <c r="AG103" s="453"/>
      <c r="AH103" s="455"/>
      <c r="AI103" s="460"/>
      <c r="AJ103" s="460" t="s">
        <v>657</v>
      </c>
      <c r="AK103" s="461"/>
      <c r="AL103" s="462" t="s">
        <v>451</v>
      </c>
      <c r="AM103" s="463" t="s">
        <v>451</v>
      </c>
      <c r="AN103" s="464" t="s">
        <v>451</v>
      </c>
      <c r="AO103" s="453" t="s">
        <v>451</v>
      </c>
      <c r="AP103" s="464" t="s">
        <v>451</v>
      </c>
      <c r="AQ103" s="464" t="s">
        <v>451</v>
      </c>
      <c r="AR103" s="464" t="s">
        <v>451</v>
      </c>
      <c r="AS103" s="464" t="s">
        <v>451</v>
      </c>
      <c r="AT103" s="464" t="s">
        <v>451</v>
      </c>
      <c r="AU103" s="464" t="s">
        <v>451</v>
      </c>
      <c r="AV103" s="464" t="s">
        <v>451</v>
      </c>
      <c r="AW103" s="465" t="s">
        <v>451</v>
      </c>
      <c r="AX103" s="466" t="s">
        <v>338</v>
      </c>
      <c r="AY103" s="467" t="s">
        <v>338</v>
      </c>
      <c r="AZ103" s="468" t="s">
        <v>338</v>
      </c>
      <c r="BA103" s="469" t="s">
        <v>338</v>
      </c>
      <c r="BB103" s="469" t="s">
        <v>338</v>
      </c>
      <c r="BC103" s="469" t="s">
        <v>338</v>
      </c>
      <c r="BD103" s="469" t="s">
        <v>338</v>
      </c>
      <c r="BE103" s="470" t="s">
        <v>338</v>
      </c>
      <c r="BF103" s="491"/>
      <c r="BG103" s="472" t="s">
        <v>1712</v>
      </c>
      <c r="BH103" s="457" t="s">
        <v>200</v>
      </c>
      <c r="BI103" s="473"/>
      <c r="BJ103" s="473"/>
      <c r="BK103" s="473"/>
      <c r="BL103" s="473"/>
      <c r="BM103" s="473"/>
      <c r="BN103" s="463" t="s">
        <v>1810</v>
      </c>
      <c r="BO103" s="481">
        <v>45674</v>
      </c>
      <c r="BP103" s="480" t="s">
        <v>1811</v>
      </c>
      <c r="BQ103" s="481">
        <v>45750</v>
      </c>
      <c r="BR103" s="485">
        <v>60000000</v>
      </c>
      <c r="BS103" s="487"/>
      <c r="BT103" s="454"/>
      <c r="BU103" s="457"/>
      <c r="BV103" s="457"/>
      <c r="BW103" s="454"/>
      <c r="BX103" s="454"/>
      <c r="BY103" s="477"/>
      <c r="BZ103" s="477"/>
      <c r="CA103" s="478"/>
      <c r="CB103" s="479"/>
    </row>
    <row r="104" spans="2:80" s="135" customFormat="1" ht="15" customHeight="1">
      <c r="B104" s="366">
        <f t="shared" si="3"/>
        <v>94</v>
      </c>
      <c r="C104" s="289" t="s">
        <v>416</v>
      </c>
      <c r="D104" s="446" t="s">
        <v>271</v>
      </c>
      <c r="E104" s="447" t="s">
        <v>238</v>
      </c>
      <c r="F104" s="520" t="s">
        <v>775</v>
      </c>
      <c r="G104" s="448" t="s">
        <v>505</v>
      </c>
      <c r="H104" s="449">
        <v>1</v>
      </c>
      <c r="I104" s="450" t="s">
        <v>186</v>
      </c>
      <c r="J104" s="450" t="s">
        <v>263</v>
      </c>
      <c r="K104" s="450" t="s">
        <v>1629</v>
      </c>
      <c r="L104" s="450" t="s">
        <v>1630</v>
      </c>
      <c r="M104" s="451" t="s">
        <v>174</v>
      </c>
      <c r="N104" s="452">
        <v>6198</v>
      </c>
      <c r="O104" s="452">
        <v>2942.05</v>
      </c>
      <c r="P104" s="453"/>
      <c r="Q104" s="453"/>
      <c r="R104" s="454">
        <v>39731</v>
      </c>
      <c r="S104" s="453" t="s">
        <v>250</v>
      </c>
      <c r="T104" s="453" t="s">
        <v>196</v>
      </c>
      <c r="U104" s="455">
        <v>4300000000</v>
      </c>
      <c r="V104" s="455">
        <v>4300000000</v>
      </c>
      <c r="W104" s="456"/>
      <c r="X104" s="456"/>
      <c r="Y104" s="455"/>
      <c r="Z104" s="457"/>
      <c r="AA104" s="453"/>
      <c r="AB104" s="458"/>
      <c r="AC104" s="458"/>
      <c r="AD104" s="453"/>
      <c r="AE104" s="453"/>
      <c r="AF104" s="459"/>
      <c r="AG104" s="453"/>
      <c r="AH104" s="455"/>
      <c r="AI104" s="460"/>
      <c r="AJ104" s="460" t="s">
        <v>657</v>
      </c>
      <c r="AK104" s="461"/>
      <c r="AL104" s="462" t="s">
        <v>451</v>
      </c>
      <c r="AM104" s="463" t="s">
        <v>451</v>
      </c>
      <c r="AN104" s="464" t="s">
        <v>451</v>
      </c>
      <c r="AO104" s="453" t="s">
        <v>451</v>
      </c>
      <c r="AP104" s="464" t="s">
        <v>451</v>
      </c>
      <c r="AQ104" s="464" t="s">
        <v>451</v>
      </c>
      <c r="AR104" s="464" t="s">
        <v>451</v>
      </c>
      <c r="AS104" s="464" t="s">
        <v>451</v>
      </c>
      <c r="AT104" s="464" t="s">
        <v>451</v>
      </c>
      <c r="AU104" s="464" t="s">
        <v>451</v>
      </c>
      <c r="AV104" s="464" t="s">
        <v>451</v>
      </c>
      <c r="AW104" s="465" t="s">
        <v>451</v>
      </c>
      <c r="AX104" s="466" t="s">
        <v>658</v>
      </c>
      <c r="AY104" s="467">
        <v>45740</v>
      </c>
      <c r="AZ104" s="468" t="s">
        <v>660</v>
      </c>
      <c r="BA104" s="469">
        <v>4363392000</v>
      </c>
      <c r="BB104" s="469">
        <v>1471025000</v>
      </c>
      <c r="BC104" s="469">
        <v>0</v>
      </c>
      <c r="BD104" s="469">
        <v>0</v>
      </c>
      <c r="BE104" s="470">
        <v>5834417000</v>
      </c>
      <c r="BF104" s="471"/>
      <c r="BG104" s="472" t="s">
        <v>1711</v>
      </c>
      <c r="BH104" s="457" t="s">
        <v>197</v>
      </c>
      <c r="BI104" s="473"/>
      <c r="BJ104" s="473"/>
      <c r="BK104" s="473"/>
      <c r="BL104" s="473"/>
      <c r="BM104" s="473"/>
      <c r="BN104" s="474"/>
      <c r="BO104" s="454"/>
      <c r="BP104" s="457"/>
      <c r="BQ104" s="454"/>
      <c r="BR104" s="478"/>
      <c r="BS104" s="487"/>
      <c r="BT104" s="454"/>
      <c r="BU104" s="457"/>
      <c r="BV104" s="457"/>
      <c r="BW104" s="454"/>
      <c r="BX104" s="454"/>
      <c r="BY104" s="477"/>
      <c r="BZ104" s="477"/>
      <c r="CA104" s="478"/>
      <c r="CB104" s="479"/>
    </row>
    <row r="105" spans="2:80" s="135" customFormat="1" ht="15" customHeight="1">
      <c r="B105" s="366">
        <f t="shared" si="3"/>
        <v>95</v>
      </c>
      <c r="C105" s="289" t="s">
        <v>416</v>
      </c>
      <c r="D105" s="446" t="s">
        <v>271</v>
      </c>
      <c r="E105" s="447" t="s">
        <v>238</v>
      </c>
      <c r="F105" s="520" t="s">
        <v>775</v>
      </c>
      <c r="G105" s="448" t="s">
        <v>506</v>
      </c>
      <c r="H105" s="449">
        <v>2</v>
      </c>
      <c r="I105" s="450" t="s">
        <v>186</v>
      </c>
      <c r="J105" s="450" t="s">
        <v>341</v>
      </c>
      <c r="K105" s="450" t="s">
        <v>1631</v>
      </c>
      <c r="L105" s="450" t="s">
        <v>1632</v>
      </c>
      <c r="M105" s="451" t="s">
        <v>227</v>
      </c>
      <c r="N105" s="452">
        <v>248.7</v>
      </c>
      <c r="O105" s="452">
        <v>310.01</v>
      </c>
      <c r="P105" s="453"/>
      <c r="Q105" s="453"/>
      <c r="R105" s="454">
        <v>43725</v>
      </c>
      <c r="S105" s="453" t="s">
        <v>257</v>
      </c>
      <c r="T105" s="453" t="s">
        <v>1537</v>
      </c>
      <c r="U105" s="455" t="s">
        <v>1633</v>
      </c>
      <c r="V105" s="455">
        <v>2487537576</v>
      </c>
      <c r="W105" s="456" t="s">
        <v>1634</v>
      </c>
      <c r="X105" s="456" t="s">
        <v>251</v>
      </c>
      <c r="Y105" s="455">
        <v>1200000000</v>
      </c>
      <c r="Z105" s="457"/>
      <c r="AA105" s="453"/>
      <c r="AB105" s="458"/>
      <c r="AC105" s="458"/>
      <c r="AD105" s="453"/>
      <c r="AE105" s="453"/>
      <c r="AF105" s="459"/>
      <c r="AG105" s="453"/>
      <c r="AH105" s="455"/>
      <c r="AI105" s="460"/>
      <c r="AJ105" s="460" t="s">
        <v>657</v>
      </c>
      <c r="AK105" s="461"/>
      <c r="AL105" s="462" t="s">
        <v>451</v>
      </c>
      <c r="AM105" s="463" t="s">
        <v>451</v>
      </c>
      <c r="AN105" s="464" t="s">
        <v>451</v>
      </c>
      <c r="AO105" s="453" t="s">
        <v>451</v>
      </c>
      <c r="AP105" s="464" t="s">
        <v>451</v>
      </c>
      <c r="AQ105" s="464" t="s">
        <v>451</v>
      </c>
      <c r="AR105" s="464" t="s">
        <v>451</v>
      </c>
      <c r="AS105" s="464" t="s">
        <v>451</v>
      </c>
      <c r="AT105" s="464" t="s">
        <v>451</v>
      </c>
      <c r="AU105" s="464" t="s">
        <v>451</v>
      </c>
      <c r="AV105" s="464" t="s">
        <v>451</v>
      </c>
      <c r="AW105" s="465" t="s">
        <v>451</v>
      </c>
      <c r="AX105" s="466" t="s">
        <v>658</v>
      </c>
      <c r="AY105" s="467">
        <v>45167</v>
      </c>
      <c r="AZ105" s="468" t="s">
        <v>661</v>
      </c>
      <c r="BA105" s="469">
        <v>1383956000</v>
      </c>
      <c r="BB105" s="469">
        <v>142868100</v>
      </c>
      <c r="BC105" s="469">
        <v>0</v>
      </c>
      <c r="BD105" s="469">
        <v>0</v>
      </c>
      <c r="BE105" s="470">
        <v>1526824100</v>
      </c>
      <c r="BF105" s="471"/>
      <c r="BG105" s="472" t="s">
        <v>1711</v>
      </c>
      <c r="BH105" s="457" t="s">
        <v>197</v>
      </c>
      <c r="BI105" s="473"/>
      <c r="BJ105" s="473"/>
      <c r="BK105" s="473"/>
      <c r="BL105" s="473"/>
      <c r="BM105" s="473"/>
      <c r="BN105" s="474"/>
      <c r="BO105" s="454"/>
      <c r="BP105" s="457"/>
      <c r="BQ105" s="454"/>
      <c r="BR105" s="478"/>
      <c r="BS105" s="487"/>
      <c r="BT105" s="454"/>
      <c r="BU105" s="457"/>
      <c r="BV105" s="457"/>
      <c r="BW105" s="454"/>
      <c r="BX105" s="454"/>
      <c r="BY105" s="477"/>
      <c r="BZ105" s="477"/>
      <c r="CA105" s="478"/>
      <c r="CB105" s="479"/>
    </row>
    <row r="106" spans="2:80" s="135" customFormat="1" ht="15" customHeight="1">
      <c r="B106" s="366">
        <f t="shared" si="3"/>
        <v>96</v>
      </c>
      <c r="C106" s="289" t="s">
        <v>416</v>
      </c>
      <c r="D106" s="446" t="s">
        <v>271</v>
      </c>
      <c r="E106" s="447" t="s">
        <v>238</v>
      </c>
      <c r="F106" s="520" t="s">
        <v>775</v>
      </c>
      <c r="G106" s="448" t="s">
        <v>507</v>
      </c>
      <c r="H106" s="449">
        <v>3</v>
      </c>
      <c r="I106" s="450" t="s">
        <v>186</v>
      </c>
      <c r="J106" s="450" t="s">
        <v>341</v>
      </c>
      <c r="K106" s="450" t="s">
        <v>1631</v>
      </c>
      <c r="L106" s="450" t="s">
        <v>1635</v>
      </c>
      <c r="M106" s="451" t="s">
        <v>227</v>
      </c>
      <c r="N106" s="452">
        <v>225.4</v>
      </c>
      <c r="O106" s="452">
        <v>240.41</v>
      </c>
      <c r="P106" s="453"/>
      <c r="Q106" s="453"/>
      <c r="R106" s="454">
        <v>45181</v>
      </c>
      <c r="S106" s="453">
        <v>1</v>
      </c>
      <c r="T106" s="453" t="s">
        <v>196</v>
      </c>
      <c r="U106" s="455">
        <v>1600000000</v>
      </c>
      <c r="V106" s="455">
        <v>1600000000</v>
      </c>
      <c r="W106" s="456"/>
      <c r="X106" s="456"/>
      <c r="Y106" s="455"/>
      <c r="Z106" s="457"/>
      <c r="AA106" s="453"/>
      <c r="AB106" s="458"/>
      <c r="AC106" s="458"/>
      <c r="AD106" s="453"/>
      <c r="AE106" s="453"/>
      <c r="AF106" s="459"/>
      <c r="AG106" s="453"/>
      <c r="AH106" s="455"/>
      <c r="AI106" s="460"/>
      <c r="AJ106" s="460" t="s">
        <v>657</v>
      </c>
      <c r="AK106" s="461"/>
      <c r="AL106" s="462" t="s">
        <v>451</v>
      </c>
      <c r="AM106" s="463" t="s">
        <v>451</v>
      </c>
      <c r="AN106" s="464" t="s">
        <v>451</v>
      </c>
      <c r="AO106" s="453" t="s">
        <v>451</v>
      </c>
      <c r="AP106" s="464" t="s">
        <v>451</v>
      </c>
      <c r="AQ106" s="464" t="s">
        <v>451</v>
      </c>
      <c r="AR106" s="464" t="s">
        <v>451</v>
      </c>
      <c r="AS106" s="464" t="s">
        <v>451</v>
      </c>
      <c r="AT106" s="464" t="s">
        <v>451</v>
      </c>
      <c r="AU106" s="464" t="s">
        <v>451</v>
      </c>
      <c r="AV106" s="464" t="s">
        <v>451</v>
      </c>
      <c r="AW106" s="465" t="s">
        <v>451</v>
      </c>
      <c r="AX106" s="466" t="s">
        <v>658</v>
      </c>
      <c r="AY106" s="467">
        <v>45740</v>
      </c>
      <c r="AZ106" s="468" t="s">
        <v>660</v>
      </c>
      <c r="BA106" s="469">
        <v>4363392000</v>
      </c>
      <c r="BB106" s="469">
        <v>1471025000</v>
      </c>
      <c r="BC106" s="469">
        <v>0</v>
      </c>
      <c r="BD106" s="469">
        <v>0</v>
      </c>
      <c r="BE106" s="470">
        <v>5834417000</v>
      </c>
      <c r="BF106" s="471"/>
      <c r="BG106" s="472" t="s">
        <v>1711</v>
      </c>
      <c r="BH106" s="457" t="s">
        <v>197</v>
      </c>
      <c r="BI106" s="473"/>
      <c r="BJ106" s="473"/>
      <c r="BK106" s="473"/>
      <c r="BL106" s="473"/>
      <c r="BM106" s="473"/>
      <c r="BN106" s="474"/>
      <c r="BO106" s="454"/>
      <c r="BP106" s="457"/>
      <c r="BQ106" s="454"/>
      <c r="BR106" s="478"/>
      <c r="BS106" s="487"/>
      <c r="BT106" s="454"/>
      <c r="BU106" s="457"/>
      <c r="BV106" s="457"/>
      <c r="BW106" s="454"/>
      <c r="BX106" s="454"/>
      <c r="BY106" s="477"/>
      <c r="BZ106" s="477"/>
      <c r="CA106" s="478"/>
      <c r="CB106" s="479"/>
    </row>
    <row r="107" spans="2:80" s="135" customFormat="1" ht="15" customHeight="1">
      <c r="B107" s="366">
        <f t="shared" si="3"/>
        <v>97</v>
      </c>
      <c r="C107" s="289" t="s">
        <v>416</v>
      </c>
      <c r="D107" s="446" t="s">
        <v>271</v>
      </c>
      <c r="E107" s="447" t="s">
        <v>238</v>
      </c>
      <c r="F107" s="520" t="s">
        <v>775</v>
      </c>
      <c r="G107" s="448" t="s">
        <v>508</v>
      </c>
      <c r="H107" s="449">
        <v>4</v>
      </c>
      <c r="I107" s="450" t="s">
        <v>186</v>
      </c>
      <c r="J107" s="450" t="s">
        <v>263</v>
      </c>
      <c r="K107" s="450" t="s">
        <v>1451</v>
      </c>
      <c r="L107" s="450" t="s">
        <v>1636</v>
      </c>
      <c r="M107" s="451" t="s">
        <v>175</v>
      </c>
      <c r="N107" s="452">
        <v>60.01</v>
      </c>
      <c r="O107" s="452">
        <v>84.881</v>
      </c>
      <c r="P107" s="453"/>
      <c r="Q107" s="453"/>
      <c r="R107" s="454">
        <v>43999</v>
      </c>
      <c r="S107" s="453" t="s">
        <v>250</v>
      </c>
      <c r="T107" s="453" t="s">
        <v>196</v>
      </c>
      <c r="U107" s="455">
        <v>1388000000</v>
      </c>
      <c r="V107" s="455">
        <v>1388000000</v>
      </c>
      <c r="W107" s="456" t="s">
        <v>1637</v>
      </c>
      <c r="X107" s="456" t="s">
        <v>251</v>
      </c>
      <c r="Y107" s="455">
        <v>1200000000</v>
      </c>
      <c r="Z107" s="457"/>
      <c r="AA107" s="453"/>
      <c r="AB107" s="458"/>
      <c r="AC107" s="458"/>
      <c r="AD107" s="453"/>
      <c r="AE107" s="453"/>
      <c r="AF107" s="459"/>
      <c r="AG107" s="453"/>
      <c r="AH107" s="455"/>
      <c r="AI107" s="460"/>
      <c r="AJ107" s="460" t="s">
        <v>657</v>
      </c>
      <c r="AK107" s="461"/>
      <c r="AL107" s="462" t="s">
        <v>451</v>
      </c>
      <c r="AM107" s="463" t="s">
        <v>451</v>
      </c>
      <c r="AN107" s="464" t="s">
        <v>451</v>
      </c>
      <c r="AO107" s="453" t="s">
        <v>451</v>
      </c>
      <c r="AP107" s="464" t="s">
        <v>451</v>
      </c>
      <c r="AQ107" s="464" t="s">
        <v>451</v>
      </c>
      <c r="AR107" s="464" t="s">
        <v>451</v>
      </c>
      <c r="AS107" s="464" t="s">
        <v>451</v>
      </c>
      <c r="AT107" s="464" t="s">
        <v>451</v>
      </c>
      <c r="AU107" s="464" t="s">
        <v>451</v>
      </c>
      <c r="AV107" s="464" t="s">
        <v>451</v>
      </c>
      <c r="AW107" s="465" t="s">
        <v>451</v>
      </c>
      <c r="AX107" s="466" t="s">
        <v>338</v>
      </c>
      <c r="AY107" s="467" t="s">
        <v>338</v>
      </c>
      <c r="AZ107" s="468" t="s">
        <v>338</v>
      </c>
      <c r="BA107" s="469" t="s">
        <v>338</v>
      </c>
      <c r="BB107" s="469" t="s">
        <v>338</v>
      </c>
      <c r="BC107" s="469" t="s">
        <v>338</v>
      </c>
      <c r="BD107" s="469" t="s">
        <v>338</v>
      </c>
      <c r="BE107" s="470" t="s">
        <v>338</v>
      </c>
      <c r="BF107" s="484">
        <v>357500000</v>
      </c>
      <c r="BG107" s="472" t="s">
        <v>1711</v>
      </c>
      <c r="BH107" s="457" t="s">
        <v>197</v>
      </c>
      <c r="BI107" s="473"/>
      <c r="BJ107" s="473"/>
      <c r="BK107" s="473"/>
      <c r="BL107" s="473"/>
      <c r="BM107" s="473"/>
      <c r="BN107" s="474"/>
      <c r="BO107" s="454"/>
      <c r="BP107" s="457"/>
      <c r="BQ107" s="454"/>
      <c r="BR107" s="478"/>
      <c r="BS107" s="487"/>
      <c r="BT107" s="454"/>
      <c r="BU107" s="457"/>
      <c r="BV107" s="457"/>
      <c r="BW107" s="454"/>
      <c r="BX107" s="454"/>
      <c r="BY107" s="477"/>
      <c r="BZ107" s="477"/>
      <c r="CA107" s="478"/>
      <c r="CB107" s="479"/>
    </row>
    <row r="108" spans="2:80" s="135" customFormat="1" ht="15" customHeight="1">
      <c r="B108" s="366">
        <f t="shared" si="3"/>
        <v>98</v>
      </c>
      <c r="C108" s="289" t="s">
        <v>416</v>
      </c>
      <c r="D108" s="446" t="s">
        <v>271</v>
      </c>
      <c r="E108" s="447" t="s">
        <v>238</v>
      </c>
      <c r="F108" s="520" t="s">
        <v>775</v>
      </c>
      <c r="G108" s="448" t="s">
        <v>1703</v>
      </c>
      <c r="H108" s="449">
        <v>5</v>
      </c>
      <c r="I108" s="450" t="s">
        <v>186</v>
      </c>
      <c r="J108" s="450" t="s">
        <v>341</v>
      </c>
      <c r="K108" s="450" t="s">
        <v>1631</v>
      </c>
      <c r="L108" s="450" t="s">
        <v>1638</v>
      </c>
      <c r="M108" s="451" t="s">
        <v>175</v>
      </c>
      <c r="N108" s="452">
        <v>81.438999999999993</v>
      </c>
      <c r="O108" s="452">
        <v>134.88</v>
      </c>
      <c r="P108" s="453"/>
      <c r="Q108" s="453"/>
      <c r="R108" s="454">
        <v>44924</v>
      </c>
      <c r="S108" s="453">
        <v>1</v>
      </c>
      <c r="T108" s="453" t="s">
        <v>196</v>
      </c>
      <c r="U108" s="455">
        <v>1200000000</v>
      </c>
      <c r="V108" s="455">
        <v>1200000000</v>
      </c>
      <c r="W108" s="456" t="s">
        <v>370</v>
      </c>
      <c r="X108" s="456" t="s">
        <v>253</v>
      </c>
      <c r="Y108" s="455">
        <v>1200000000</v>
      </c>
      <c r="Z108" s="457"/>
      <c r="AA108" s="453"/>
      <c r="AB108" s="458"/>
      <c r="AC108" s="458"/>
      <c r="AD108" s="453"/>
      <c r="AE108" s="453"/>
      <c r="AF108" s="459"/>
      <c r="AG108" s="453"/>
      <c r="AH108" s="455"/>
      <c r="AI108" s="460"/>
      <c r="AJ108" s="460" t="s">
        <v>657</v>
      </c>
      <c r="AK108" s="461"/>
      <c r="AL108" s="462" t="s">
        <v>451</v>
      </c>
      <c r="AM108" s="463" t="s">
        <v>451</v>
      </c>
      <c r="AN108" s="464" t="s">
        <v>451</v>
      </c>
      <c r="AO108" s="453" t="s">
        <v>451</v>
      </c>
      <c r="AP108" s="464" t="s">
        <v>451</v>
      </c>
      <c r="AQ108" s="464" t="s">
        <v>451</v>
      </c>
      <c r="AR108" s="464" t="s">
        <v>451</v>
      </c>
      <c r="AS108" s="464" t="s">
        <v>451</v>
      </c>
      <c r="AT108" s="464" t="s">
        <v>451</v>
      </c>
      <c r="AU108" s="464" t="s">
        <v>451</v>
      </c>
      <c r="AV108" s="464" t="s">
        <v>451</v>
      </c>
      <c r="AW108" s="465" t="s">
        <v>451</v>
      </c>
      <c r="AX108" s="466" t="s">
        <v>338</v>
      </c>
      <c r="AY108" s="467" t="s">
        <v>338</v>
      </c>
      <c r="AZ108" s="468" t="s">
        <v>338</v>
      </c>
      <c r="BA108" s="469" t="s">
        <v>338</v>
      </c>
      <c r="BB108" s="469" t="s">
        <v>338</v>
      </c>
      <c r="BC108" s="469" t="s">
        <v>338</v>
      </c>
      <c r="BD108" s="469" t="s">
        <v>338</v>
      </c>
      <c r="BE108" s="470" t="s">
        <v>338</v>
      </c>
      <c r="BF108" s="484">
        <v>895000000</v>
      </c>
      <c r="BG108" s="472" t="s">
        <v>1711</v>
      </c>
      <c r="BH108" s="457" t="s">
        <v>197</v>
      </c>
      <c r="BI108" s="473"/>
      <c r="BJ108" s="473"/>
      <c r="BK108" s="473"/>
      <c r="BL108" s="473"/>
      <c r="BM108" s="473"/>
      <c r="BN108" s="474"/>
      <c r="BO108" s="454"/>
      <c r="BP108" s="457"/>
      <c r="BQ108" s="454"/>
      <c r="BR108" s="478"/>
      <c r="BS108" s="487"/>
      <c r="BT108" s="454"/>
      <c r="BU108" s="457"/>
      <c r="BV108" s="457"/>
      <c r="BW108" s="454"/>
      <c r="BX108" s="454"/>
      <c r="BY108" s="477"/>
      <c r="BZ108" s="477"/>
      <c r="CA108" s="478"/>
      <c r="CB108" s="479"/>
    </row>
    <row r="109" spans="2:80" s="135" customFormat="1" ht="15" customHeight="1">
      <c r="B109" s="366">
        <f t="shared" si="3"/>
        <v>99</v>
      </c>
      <c r="C109" s="289" t="s">
        <v>416</v>
      </c>
      <c r="D109" s="446" t="s">
        <v>271</v>
      </c>
      <c r="E109" s="447" t="s">
        <v>238</v>
      </c>
      <c r="F109" s="520" t="s">
        <v>775</v>
      </c>
      <c r="G109" s="448" t="s">
        <v>1704</v>
      </c>
      <c r="H109" s="449">
        <v>6</v>
      </c>
      <c r="I109" s="450" t="s">
        <v>186</v>
      </c>
      <c r="J109" s="450" t="s">
        <v>341</v>
      </c>
      <c r="K109" s="450" t="s">
        <v>1631</v>
      </c>
      <c r="L109" s="450" t="s">
        <v>1639</v>
      </c>
      <c r="M109" s="451" t="s">
        <v>175</v>
      </c>
      <c r="N109" s="452">
        <v>61.442</v>
      </c>
      <c r="O109" s="452">
        <v>101.76</v>
      </c>
      <c r="P109" s="453"/>
      <c r="Q109" s="453"/>
      <c r="R109" s="454">
        <v>44529</v>
      </c>
      <c r="S109" s="453">
        <v>1</v>
      </c>
      <c r="T109" s="453" t="s">
        <v>196</v>
      </c>
      <c r="U109" s="455">
        <v>769200000</v>
      </c>
      <c r="V109" s="455">
        <v>769200000</v>
      </c>
      <c r="W109" s="456"/>
      <c r="X109" s="456"/>
      <c r="Y109" s="455"/>
      <c r="Z109" s="457"/>
      <c r="AA109" s="453"/>
      <c r="AB109" s="458"/>
      <c r="AC109" s="458"/>
      <c r="AD109" s="453"/>
      <c r="AE109" s="453"/>
      <c r="AF109" s="459"/>
      <c r="AG109" s="453"/>
      <c r="AH109" s="455"/>
      <c r="AI109" s="460"/>
      <c r="AJ109" s="460" t="s">
        <v>657</v>
      </c>
      <c r="AK109" s="461"/>
      <c r="AL109" s="462" t="s">
        <v>451</v>
      </c>
      <c r="AM109" s="463" t="s">
        <v>451</v>
      </c>
      <c r="AN109" s="464" t="s">
        <v>451</v>
      </c>
      <c r="AO109" s="453" t="s">
        <v>451</v>
      </c>
      <c r="AP109" s="464" t="s">
        <v>451</v>
      </c>
      <c r="AQ109" s="464" t="s">
        <v>451</v>
      </c>
      <c r="AR109" s="464" t="s">
        <v>451</v>
      </c>
      <c r="AS109" s="464" t="s">
        <v>451</v>
      </c>
      <c r="AT109" s="464" t="s">
        <v>451</v>
      </c>
      <c r="AU109" s="464" t="s">
        <v>451</v>
      </c>
      <c r="AV109" s="464" t="s">
        <v>451</v>
      </c>
      <c r="AW109" s="465" t="s">
        <v>451</v>
      </c>
      <c r="AX109" s="466" t="s">
        <v>338</v>
      </c>
      <c r="AY109" s="467" t="s">
        <v>338</v>
      </c>
      <c r="AZ109" s="468" t="s">
        <v>338</v>
      </c>
      <c r="BA109" s="469" t="s">
        <v>338</v>
      </c>
      <c r="BB109" s="469" t="s">
        <v>338</v>
      </c>
      <c r="BC109" s="469" t="s">
        <v>338</v>
      </c>
      <c r="BD109" s="469" t="s">
        <v>338</v>
      </c>
      <c r="BE109" s="470" t="s">
        <v>338</v>
      </c>
      <c r="BF109" s="484">
        <v>735000000</v>
      </c>
      <c r="BG109" s="472" t="s">
        <v>1711</v>
      </c>
      <c r="BH109" s="457" t="s">
        <v>197</v>
      </c>
      <c r="BI109" s="473"/>
      <c r="BJ109" s="473"/>
      <c r="BK109" s="473"/>
      <c r="BL109" s="473"/>
      <c r="BM109" s="473"/>
      <c r="BN109" s="474"/>
      <c r="BO109" s="454"/>
      <c r="BP109" s="457"/>
      <c r="BQ109" s="454"/>
      <c r="BR109" s="478"/>
      <c r="BS109" s="487"/>
      <c r="BT109" s="454"/>
      <c r="BU109" s="457"/>
      <c r="BV109" s="457"/>
      <c r="BW109" s="454"/>
      <c r="BX109" s="454"/>
      <c r="BY109" s="477"/>
      <c r="BZ109" s="477"/>
      <c r="CA109" s="478"/>
      <c r="CB109" s="479"/>
    </row>
    <row r="110" spans="2:80" s="135" customFormat="1" ht="15" customHeight="1">
      <c r="B110" s="366">
        <f t="shared" si="3"/>
        <v>100</v>
      </c>
      <c r="C110" s="289" t="s">
        <v>416</v>
      </c>
      <c r="D110" s="446" t="s">
        <v>271</v>
      </c>
      <c r="E110" s="447" t="s">
        <v>238</v>
      </c>
      <c r="F110" s="520" t="s">
        <v>775</v>
      </c>
      <c r="G110" s="448" t="s">
        <v>1705</v>
      </c>
      <c r="H110" s="449">
        <v>7</v>
      </c>
      <c r="I110" s="450" t="s">
        <v>186</v>
      </c>
      <c r="J110" s="450" t="s">
        <v>321</v>
      </c>
      <c r="K110" s="450" t="s">
        <v>1597</v>
      </c>
      <c r="L110" s="450" t="s">
        <v>1640</v>
      </c>
      <c r="M110" s="451" t="s">
        <v>175</v>
      </c>
      <c r="N110" s="452">
        <v>54.034999999999997</v>
      </c>
      <c r="O110" s="452">
        <v>84.96</v>
      </c>
      <c r="P110" s="453"/>
      <c r="Q110" s="453"/>
      <c r="R110" s="454">
        <v>44651</v>
      </c>
      <c r="S110" s="453">
        <v>3</v>
      </c>
      <c r="T110" s="453" t="s">
        <v>196</v>
      </c>
      <c r="U110" s="455">
        <v>564000000</v>
      </c>
      <c r="V110" s="455">
        <v>564000000</v>
      </c>
      <c r="W110" s="456"/>
      <c r="X110" s="456"/>
      <c r="Y110" s="455"/>
      <c r="Z110" s="457" t="s">
        <v>250</v>
      </c>
      <c r="AA110" s="453" t="s">
        <v>196</v>
      </c>
      <c r="AB110" s="458">
        <v>72000000</v>
      </c>
      <c r="AC110" s="458">
        <v>72000000</v>
      </c>
      <c r="AD110" s="453"/>
      <c r="AE110" s="453"/>
      <c r="AF110" s="459"/>
      <c r="AG110" s="453"/>
      <c r="AH110" s="455"/>
      <c r="AI110" s="460"/>
      <c r="AJ110" s="460" t="s">
        <v>657</v>
      </c>
      <c r="AK110" s="461"/>
      <c r="AL110" s="462" t="s">
        <v>451</v>
      </c>
      <c r="AM110" s="463" t="s">
        <v>451</v>
      </c>
      <c r="AN110" s="464" t="s">
        <v>451</v>
      </c>
      <c r="AO110" s="453" t="s">
        <v>451</v>
      </c>
      <c r="AP110" s="464" t="s">
        <v>451</v>
      </c>
      <c r="AQ110" s="464" t="s">
        <v>451</v>
      </c>
      <c r="AR110" s="464" t="s">
        <v>451</v>
      </c>
      <c r="AS110" s="464" t="s">
        <v>451</v>
      </c>
      <c r="AT110" s="464" t="s">
        <v>451</v>
      </c>
      <c r="AU110" s="464" t="s">
        <v>451</v>
      </c>
      <c r="AV110" s="464" t="s">
        <v>451</v>
      </c>
      <c r="AW110" s="465" t="s">
        <v>451</v>
      </c>
      <c r="AX110" s="466" t="s">
        <v>338</v>
      </c>
      <c r="AY110" s="467" t="s">
        <v>338</v>
      </c>
      <c r="AZ110" s="468" t="s">
        <v>338</v>
      </c>
      <c r="BA110" s="469" t="s">
        <v>338</v>
      </c>
      <c r="BB110" s="469" t="s">
        <v>338</v>
      </c>
      <c r="BC110" s="469" t="s">
        <v>338</v>
      </c>
      <c r="BD110" s="469" t="s">
        <v>338</v>
      </c>
      <c r="BE110" s="470" t="s">
        <v>338</v>
      </c>
      <c r="BF110" s="484">
        <v>600000000</v>
      </c>
      <c r="BG110" s="472" t="s">
        <v>1711</v>
      </c>
      <c r="BH110" s="457" t="s">
        <v>197</v>
      </c>
      <c r="BI110" s="473"/>
      <c r="BJ110" s="473"/>
      <c r="BK110" s="473"/>
      <c r="BL110" s="473"/>
      <c r="BM110" s="473"/>
      <c r="BN110" s="474"/>
      <c r="BO110" s="454"/>
      <c r="BP110" s="457"/>
      <c r="BQ110" s="454"/>
      <c r="BR110" s="478"/>
      <c r="BS110" s="487"/>
      <c r="BT110" s="454"/>
      <c r="BU110" s="457"/>
      <c r="BV110" s="457"/>
      <c r="BW110" s="454"/>
      <c r="BX110" s="454"/>
      <c r="BY110" s="477"/>
      <c r="BZ110" s="477"/>
      <c r="CA110" s="478"/>
      <c r="CB110" s="479"/>
    </row>
    <row r="111" spans="2:80" s="135" customFormat="1" ht="15" customHeight="1">
      <c r="B111" s="366">
        <f t="shared" si="3"/>
        <v>101</v>
      </c>
      <c r="C111" s="289" t="s">
        <v>416</v>
      </c>
      <c r="D111" s="446" t="s">
        <v>271</v>
      </c>
      <c r="E111" s="447" t="s">
        <v>239</v>
      </c>
      <c r="F111" s="520" t="s">
        <v>777</v>
      </c>
      <c r="G111" s="448" t="s">
        <v>509</v>
      </c>
      <c r="H111" s="449">
        <v>1</v>
      </c>
      <c r="I111" s="450" t="s">
        <v>187</v>
      </c>
      <c r="J111" s="450" t="s">
        <v>182</v>
      </c>
      <c r="K111" s="450" t="s">
        <v>1642</v>
      </c>
      <c r="L111" s="450" t="s">
        <v>1643</v>
      </c>
      <c r="M111" s="451" t="s">
        <v>174</v>
      </c>
      <c r="N111" s="452">
        <v>5030</v>
      </c>
      <c r="O111" s="452">
        <v>3403.46</v>
      </c>
      <c r="P111" s="453">
        <v>7</v>
      </c>
      <c r="Q111" s="453" t="s">
        <v>220</v>
      </c>
      <c r="R111" s="454">
        <v>44757</v>
      </c>
      <c r="S111" s="453" t="s">
        <v>257</v>
      </c>
      <c r="T111" s="453" t="s">
        <v>196</v>
      </c>
      <c r="U111" s="455">
        <v>6100000000</v>
      </c>
      <c r="V111" s="455">
        <v>6100000000</v>
      </c>
      <c r="W111" s="456"/>
      <c r="X111" s="456"/>
      <c r="Y111" s="455"/>
      <c r="Z111" s="457"/>
      <c r="AA111" s="453"/>
      <c r="AB111" s="458"/>
      <c r="AC111" s="458"/>
      <c r="AD111" s="453"/>
      <c r="AE111" s="453"/>
      <c r="AF111" s="459"/>
      <c r="AG111" s="453"/>
      <c r="AH111" s="455"/>
      <c r="AI111" s="460"/>
      <c r="AJ111" s="460" t="s">
        <v>657</v>
      </c>
      <c r="AK111" s="461"/>
      <c r="AL111" s="462" t="s">
        <v>451</v>
      </c>
      <c r="AM111" s="463" t="s">
        <v>451</v>
      </c>
      <c r="AN111" s="464" t="s">
        <v>451</v>
      </c>
      <c r="AO111" s="453" t="s">
        <v>451</v>
      </c>
      <c r="AP111" s="464" t="s">
        <v>451</v>
      </c>
      <c r="AQ111" s="464" t="s">
        <v>451</v>
      </c>
      <c r="AR111" s="464" t="s">
        <v>451</v>
      </c>
      <c r="AS111" s="464" t="s">
        <v>451</v>
      </c>
      <c r="AT111" s="464" t="s">
        <v>451</v>
      </c>
      <c r="AU111" s="464" t="s">
        <v>451</v>
      </c>
      <c r="AV111" s="464" t="s">
        <v>451</v>
      </c>
      <c r="AW111" s="465" t="s">
        <v>451</v>
      </c>
      <c r="AX111" s="466" t="s">
        <v>658</v>
      </c>
      <c r="AY111" s="467">
        <v>45133</v>
      </c>
      <c r="AZ111" s="468" t="s">
        <v>669</v>
      </c>
      <c r="BA111" s="469">
        <v>3094990000</v>
      </c>
      <c r="BB111" s="469">
        <v>1778445830</v>
      </c>
      <c r="BC111" s="469">
        <v>1980250000</v>
      </c>
      <c r="BD111" s="469">
        <v>0</v>
      </c>
      <c r="BE111" s="470">
        <v>6853685830</v>
      </c>
      <c r="BF111" s="471"/>
      <c r="BG111" s="472" t="s">
        <v>1711</v>
      </c>
      <c r="BH111" s="457" t="s">
        <v>205</v>
      </c>
      <c r="BI111" s="473"/>
      <c r="BJ111" s="473"/>
      <c r="BK111" s="473"/>
      <c r="BL111" s="473"/>
      <c r="BM111" s="473"/>
      <c r="BN111" s="474"/>
      <c r="BO111" s="454"/>
      <c r="BP111" s="457"/>
      <c r="BQ111" s="454"/>
      <c r="BR111" s="478"/>
      <c r="BS111" s="487"/>
      <c r="BT111" s="454"/>
      <c r="BU111" s="457"/>
      <c r="BV111" s="457"/>
      <c r="BW111" s="454"/>
      <c r="BX111" s="454"/>
      <c r="BY111" s="477"/>
      <c r="BZ111" s="477"/>
      <c r="CA111" s="478"/>
      <c r="CB111" s="479"/>
    </row>
    <row r="112" spans="2:80" s="135" customFormat="1" ht="15" customHeight="1">
      <c r="B112" s="366">
        <f t="shared" si="3"/>
        <v>102</v>
      </c>
      <c r="C112" s="289" t="s">
        <v>416</v>
      </c>
      <c r="D112" s="446" t="s">
        <v>271</v>
      </c>
      <c r="E112" s="447" t="s">
        <v>239</v>
      </c>
      <c r="F112" s="520" t="s">
        <v>777</v>
      </c>
      <c r="G112" s="448" t="s">
        <v>510</v>
      </c>
      <c r="H112" s="449">
        <v>2</v>
      </c>
      <c r="I112" s="450" t="s">
        <v>187</v>
      </c>
      <c r="J112" s="450" t="s">
        <v>182</v>
      </c>
      <c r="K112" s="450" t="s">
        <v>1644</v>
      </c>
      <c r="L112" s="450" t="s">
        <v>1645</v>
      </c>
      <c r="M112" s="451" t="s">
        <v>179</v>
      </c>
      <c r="N112" s="452">
        <v>1223</v>
      </c>
      <c r="O112" s="452"/>
      <c r="P112" s="453"/>
      <c r="Q112" s="453"/>
      <c r="R112" s="454">
        <v>45070</v>
      </c>
      <c r="S112" s="453">
        <v>1</v>
      </c>
      <c r="T112" s="453" t="s">
        <v>196</v>
      </c>
      <c r="U112" s="455">
        <v>360000000</v>
      </c>
      <c r="V112" s="455">
        <v>360000000</v>
      </c>
      <c r="W112" s="456" t="s">
        <v>1482</v>
      </c>
      <c r="X112" s="456" t="s">
        <v>253</v>
      </c>
      <c r="Y112" s="455">
        <v>360000000</v>
      </c>
      <c r="Z112" s="457"/>
      <c r="AA112" s="453"/>
      <c r="AB112" s="458"/>
      <c r="AC112" s="458"/>
      <c r="AD112" s="453"/>
      <c r="AE112" s="453"/>
      <c r="AF112" s="459"/>
      <c r="AG112" s="453"/>
      <c r="AH112" s="455"/>
      <c r="AI112" s="460"/>
      <c r="AJ112" s="460" t="s">
        <v>657</v>
      </c>
      <c r="AK112" s="461"/>
      <c r="AL112" s="462" t="s">
        <v>451</v>
      </c>
      <c r="AM112" s="463" t="s">
        <v>451</v>
      </c>
      <c r="AN112" s="464" t="s">
        <v>451</v>
      </c>
      <c r="AO112" s="453" t="s">
        <v>451</v>
      </c>
      <c r="AP112" s="464" t="s">
        <v>451</v>
      </c>
      <c r="AQ112" s="464" t="s">
        <v>451</v>
      </c>
      <c r="AR112" s="464" t="s">
        <v>451</v>
      </c>
      <c r="AS112" s="464" t="s">
        <v>451</v>
      </c>
      <c r="AT112" s="464" t="s">
        <v>451</v>
      </c>
      <c r="AU112" s="464" t="s">
        <v>451</v>
      </c>
      <c r="AV112" s="464" t="s">
        <v>451</v>
      </c>
      <c r="AW112" s="465" t="s">
        <v>451</v>
      </c>
      <c r="AX112" s="466" t="s">
        <v>658</v>
      </c>
      <c r="AY112" s="467">
        <v>45061</v>
      </c>
      <c r="AZ112" s="468" t="s">
        <v>1641</v>
      </c>
      <c r="BA112" s="469">
        <v>207910000</v>
      </c>
      <c r="BB112" s="469">
        <v>0</v>
      </c>
      <c r="BC112" s="469">
        <v>0</v>
      </c>
      <c r="BD112" s="469">
        <v>0</v>
      </c>
      <c r="BE112" s="470">
        <v>207910000</v>
      </c>
      <c r="BF112" s="471"/>
      <c r="BG112" s="472" t="s">
        <v>1711</v>
      </c>
      <c r="BH112" s="457" t="s">
        <v>205</v>
      </c>
      <c r="BI112" s="473"/>
      <c r="BJ112" s="473"/>
      <c r="BK112" s="473"/>
      <c r="BL112" s="473"/>
      <c r="BM112" s="473"/>
      <c r="BN112" s="474"/>
      <c r="BO112" s="454"/>
      <c r="BP112" s="457"/>
      <c r="BQ112" s="454"/>
      <c r="BR112" s="478"/>
      <c r="BS112" s="487"/>
      <c r="BT112" s="454"/>
      <c r="BU112" s="457"/>
      <c r="BV112" s="457"/>
      <c r="BW112" s="454"/>
      <c r="BX112" s="454"/>
      <c r="BY112" s="477"/>
      <c r="BZ112" s="477"/>
      <c r="CA112" s="478"/>
      <c r="CB112" s="479"/>
    </row>
    <row r="113" spans="2:80" s="135" customFormat="1" ht="15" customHeight="1">
      <c r="B113" s="366">
        <f t="shared" si="3"/>
        <v>103</v>
      </c>
      <c r="C113" s="289" t="s">
        <v>416</v>
      </c>
      <c r="D113" s="446" t="s">
        <v>271</v>
      </c>
      <c r="E113" s="447" t="s">
        <v>239</v>
      </c>
      <c r="F113" s="520" t="s">
        <v>777</v>
      </c>
      <c r="G113" s="448" t="s">
        <v>511</v>
      </c>
      <c r="H113" s="449">
        <v>3</v>
      </c>
      <c r="I113" s="450" t="s">
        <v>187</v>
      </c>
      <c r="J113" s="450" t="s">
        <v>182</v>
      </c>
      <c r="K113" s="450" t="s">
        <v>1646</v>
      </c>
      <c r="L113" s="450" t="s">
        <v>1647</v>
      </c>
      <c r="M113" s="451" t="s">
        <v>280</v>
      </c>
      <c r="N113" s="452">
        <v>616</v>
      </c>
      <c r="O113" s="452"/>
      <c r="P113" s="453"/>
      <c r="Q113" s="453"/>
      <c r="R113" s="454">
        <v>45070</v>
      </c>
      <c r="S113" s="453">
        <v>2</v>
      </c>
      <c r="T113" s="453" t="s">
        <v>196</v>
      </c>
      <c r="U113" s="455">
        <v>360000000</v>
      </c>
      <c r="V113" s="455">
        <v>360000000</v>
      </c>
      <c r="W113" s="456" t="s">
        <v>370</v>
      </c>
      <c r="X113" s="456" t="s">
        <v>251</v>
      </c>
      <c r="Y113" s="455">
        <v>360000000</v>
      </c>
      <c r="Z113" s="457">
        <v>1</v>
      </c>
      <c r="AA113" s="453" t="s">
        <v>196</v>
      </c>
      <c r="AB113" s="458">
        <v>240000000</v>
      </c>
      <c r="AC113" s="458">
        <v>240000000</v>
      </c>
      <c r="AD113" s="453"/>
      <c r="AE113" s="453"/>
      <c r="AF113" s="459"/>
      <c r="AG113" s="453"/>
      <c r="AH113" s="455"/>
      <c r="AI113" s="460"/>
      <c r="AJ113" s="460" t="s">
        <v>657</v>
      </c>
      <c r="AK113" s="461"/>
      <c r="AL113" s="462" t="s">
        <v>451</v>
      </c>
      <c r="AM113" s="463" t="s">
        <v>451</v>
      </c>
      <c r="AN113" s="464" t="s">
        <v>451</v>
      </c>
      <c r="AO113" s="453" t="s">
        <v>451</v>
      </c>
      <c r="AP113" s="464" t="s">
        <v>451</v>
      </c>
      <c r="AQ113" s="464" t="s">
        <v>451</v>
      </c>
      <c r="AR113" s="464" t="s">
        <v>451</v>
      </c>
      <c r="AS113" s="464" t="s">
        <v>451</v>
      </c>
      <c r="AT113" s="464" t="s">
        <v>451</v>
      </c>
      <c r="AU113" s="464" t="s">
        <v>451</v>
      </c>
      <c r="AV113" s="464" t="s">
        <v>451</v>
      </c>
      <c r="AW113" s="465" t="s">
        <v>451</v>
      </c>
      <c r="AX113" s="466" t="s">
        <v>338</v>
      </c>
      <c r="AY113" s="467" t="s">
        <v>338</v>
      </c>
      <c r="AZ113" s="468" t="s">
        <v>338</v>
      </c>
      <c r="BA113" s="469" t="s">
        <v>338</v>
      </c>
      <c r="BB113" s="469" t="s">
        <v>338</v>
      </c>
      <c r="BC113" s="469" t="s">
        <v>338</v>
      </c>
      <c r="BD113" s="469" t="s">
        <v>338</v>
      </c>
      <c r="BE113" s="470" t="s">
        <v>338</v>
      </c>
      <c r="BF113" s="471"/>
      <c r="BG113" s="472" t="s">
        <v>1711</v>
      </c>
      <c r="BH113" s="457" t="s">
        <v>205</v>
      </c>
      <c r="BI113" s="473"/>
      <c r="BJ113" s="473"/>
      <c r="BK113" s="473"/>
      <c r="BL113" s="473"/>
      <c r="BM113" s="473"/>
      <c r="BN113" s="474"/>
      <c r="BO113" s="454"/>
      <c r="BP113" s="457"/>
      <c r="BQ113" s="454"/>
      <c r="BR113" s="478"/>
      <c r="BS113" s="487"/>
      <c r="BT113" s="454"/>
      <c r="BU113" s="457"/>
      <c r="BV113" s="457"/>
      <c r="BW113" s="454"/>
      <c r="BX113" s="454"/>
      <c r="BY113" s="477"/>
      <c r="BZ113" s="477"/>
      <c r="CA113" s="478"/>
      <c r="CB113" s="479"/>
    </row>
    <row r="114" spans="2:80" s="135" customFormat="1" ht="15" customHeight="1">
      <c r="B114" s="366">
        <f t="shared" si="3"/>
        <v>104</v>
      </c>
      <c r="C114" s="289" t="s">
        <v>416</v>
      </c>
      <c r="D114" s="446" t="s">
        <v>271</v>
      </c>
      <c r="E114" s="447" t="s">
        <v>239</v>
      </c>
      <c r="F114" s="520" t="s">
        <v>777</v>
      </c>
      <c r="G114" s="448" t="s">
        <v>512</v>
      </c>
      <c r="H114" s="449">
        <v>4</v>
      </c>
      <c r="I114" s="450" t="s">
        <v>244</v>
      </c>
      <c r="J114" s="450" t="s">
        <v>275</v>
      </c>
      <c r="K114" s="450" t="s">
        <v>1648</v>
      </c>
      <c r="L114" s="450" t="s">
        <v>1649</v>
      </c>
      <c r="M114" s="451" t="s">
        <v>179</v>
      </c>
      <c r="N114" s="452">
        <v>292</v>
      </c>
      <c r="O114" s="452"/>
      <c r="P114" s="453"/>
      <c r="Q114" s="453"/>
      <c r="R114" s="454">
        <v>45070</v>
      </c>
      <c r="S114" s="453">
        <v>1</v>
      </c>
      <c r="T114" s="453" t="s">
        <v>196</v>
      </c>
      <c r="U114" s="455">
        <v>360000000</v>
      </c>
      <c r="V114" s="455">
        <v>360000000</v>
      </c>
      <c r="W114" s="456" t="s">
        <v>249</v>
      </c>
      <c r="X114" s="456" t="s">
        <v>253</v>
      </c>
      <c r="Y114" s="455">
        <v>360000000</v>
      </c>
      <c r="Z114" s="457"/>
      <c r="AA114" s="453"/>
      <c r="AB114" s="458"/>
      <c r="AC114" s="458"/>
      <c r="AD114" s="453"/>
      <c r="AE114" s="453"/>
      <c r="AF114" s="459"/>
      <c r="AG114" s="453"/>
      <c r="AH114" s="455"/>
      <c r="AI114" s="460"/>
      <c r="AJ114" s="460" t="s">
        <v>657</v>
      </c>
      <c r="AK114" s="461"/>
      <c r="AL114" s="462" t="s">
        <v>451</v>
      </c>
      <c r="AM114" s="463" t="s">
        <v>451</v>
      </c>
      <c r="AN114" s="464" t="s">
        <v>451</v>
      </c>
      <c r="AO114" s="453" t="s">
        <v>451</v>
      </c>
      <c r="AP114" s="464" t="s">
        <v>451</v>
      </c>
      <c r="AQ114" s="464" t="s">
        <v>451</v>
      </c>
      <c r="AR114" s="464" t="s">
        <v>451</v>
      </c>
      <c r="AS114" s="464" t="s">
        <v>451</v>
      </c>
      <c r="AT114" s="464" t="s">
        <v>451</v>
      </c>
      <c r="AU114" s="464" t="s">
        <v>451</v>
      </c>
      <c r="AV114" s="464" t="s">
        <v>451</v>
      </c>
      <c r="AW114" s="465" t="s">
        <v>451</v>
      </c>
      <c r="AX114" s="466" t="s">
        <v>338</v>
      </c>
      <c r="AY114" s="467" t="s">
        <v>338</v>
      </c>
      <c r="AZ114" s="468" t="s">
        <v>338</v>
      </c>
      <c r="BA114" s="469" t="s">
        <v>338</v>
      </c>
      <c r="BB114" s="469" t="s">
        <v>338</v>
      </c>
      <c r="BC114" s="469" t="s">
        <v>338</v>
      </c>
      <c r="BD114" s="469" t="s">
        <v>338</v>
      </c>
      <c r="BE114" s="470" t="s">
        <v>338</v>
      </c>
      <c r="BF114" s="471"/>
      <c r="BG114" s="472" t="s">
        <v>1711</v>
      </c>
      <c r="BH114" s="457" t="s">
        <v>279</v>
      </c>
      <c r="BI114" s="473"/>
      <c r="BJ114" s="473"/>
      <c r="BK114" s="473"/>
      <c r="BL114" s="473"/>
      <c r="BM114" s="473"/>
      <c r="BN114" s="474"/>
      <c r="BO114" s="454"/>
      <c r="BP114" s="457"/>
      <c r="BQ114" s="454"/>
      <c r="BR114" s="478"/>
      <c r="BS114" s="487"/>
      <c r="BT114" s="454"/>
      <c r="BU114" s="457"/>
      <c r="BV114" s="457"/>
      <c r="BW114" s="454"/>
      <c r="BX114" s="454"/>
      <c r="BY114" s="477"/>
      <c r="BZ114" s="477"/>
      <c r="CA114" s="478"/>
      <c r="CB114" s="479"/>
    </row>
    <row r="115" spans="2:80" s="135" customFormat="1" ht="15" customHeight="1">
      <c r="B115" s="366">
        <f t="shared" si="3"/>
        <v>105</v>
      </c>
      <c r="C115" s="289" t="s">
        <v>416</v>
      </c>
      <c r="D115" s="446" t="s">
        <v>271</v>
      </c>
      <c r="E115" s="447" t="s">
        <v>240</v>
      </c>
      <c r="F115" s="520" t="s">
        <v>779</v>
      </c>
      <c r="G115" s="448" t="s">
        <v>513</v>
      </c>
      <c r="H115" s="449">
        <v>1</v>
      </c>
      <c r="I115" s="450" t="s">
        <v>186</v>
      </c>
      <c r="J115" s="450" t="s">
        <v>343</v>
      </c>
      <c r="K115" s="450" t="s">
        <v>1443</v>
      </c>
      <c r="L115" s="450" t="s">
        <v>1650</v>
      </c>
      <c r="M115" s="451" t="s">
        <v>1651</v>
      </c>
      <c r="N115" s="452">
        <v>674.6</v>
      </c>
      <c r="O115" s="452">
        <v>658.27</v>
      </c>
      <c r="P115" s="453"/>
      <c r="Q115" s="453"/>
      <c r="R115" s="454">
        <v>44285</v>
      </c>
      <c r="S115" s="453" t="s">
        <v>250</v>
      </c>
      <c r="T115" s="453" t="s">
        <v>196</v>
      </c>
      <c r="U115" s="455">
        <v>3960000000</v>
      </c>
      <c r="V115" s="455">
        <v>3960000000</v>
      </c>
      <c r="W115" s="456"/>
      <c r="X115" s="456"/>
      <c r="Y115" s="455"/>
      <c r="Z115" s="457"/>
      <c r="AA115" s="453"/>
      <c r="AB115" s="458"/>
      <c r="AC115" s="458"/>
      <c r="AD115" s="453"/>
      <c r="AE115" s="453"/>
      <c r="AF115" s="459"/>
      <c r="AG115" s="453"/>
      <c r="AH115" s="455"/>
      <c r="AI115" s="460"/>
      <c r="AJ115" s="460" t="s">
        <v>657</v>
      </c>
      <c r="AK115" s="461"/>
      <c r="AL115" s="462" t="s">
        <v>451</v>
      </c>
      <c r="AM115" s="463" t="s">
        <v>451</v>
      </c>
      <c r="AN115" s="464" t="s">
        <v>451</v>
      </c>
      <c r="AO115" s="453" t="s">
        <v>451</v>
      </c>
      <c r="AP115" s="464" t="s">
        <v>451</v>
      </c>
      <c r="AQ115" s="464" t="s">
        <v>451</v>
      </c>
      <c r="AR115" s="464" t="s">
        <v>451</v>
      </c>
      <c r="AS115" s="464" t="s">
        <v>451</v>
      </c>
      <c r="AT115" s="464" t="s">
        <v>451</v>
      </c>
      <c r="AU115" s="464" t="s">
        <v>451</v>
      </c>
      <c r="AV115" s="464" t="s">
        <v>451</v>
      </c>
      <c r="AW115" s="465" t="s">
        <v>451</v>
      </c>
      <c r="AX115" s="466" t="s">
        <v>658</v>
      </c>
      <c r="AY115" s="467">
        <v>44693</v>
      </c>
      <c r="AZ115" s="468" t="s">
        <v>670</v>
      </c>
      <c r="BA115" s="469">
        <v>3777760000</v>
      </c>
      <c r="BB115" s="469">
        <v>658414500</v>
      </c>
      <c r="BC115" s="469">
        <v>0</v>
      </c>
      <c r="BD115" s="469">
        <v>0</v>
      </c>
      <c r="BE115" s="470">
        <v>4436174500</v>
      </c>
      <c r="BF115" s="471"/>
      <c r="BG115" s="472" t="s">
        <v>1711</v>
      </c>
      <c r="BH115" s="457" t="s">
        <v>264</v>
      </c>
      <c r="BI115" s="473"/>
      <c r="BJ115" s="473"/>
      <c r="BK115" s="473"/>
      <c r="BL115" s="473"/>
      <c r="BM115" s="473"/>
      <c r="BN115" s="474"/>
      <c r="BO115" s="454"/>
      <c r="BP115" s="457"/>
      <c r="BQ115" s="454"/>
      <c r="BR115" s="478"/>
      <c r="BS115" s="487"/>
      <c r="BT115" s="454"/>
      <c r="BU115" s="457"/>
      <c r="BV115" s="457"/>
      <c r="BW115" s="454"/>
      <c r="BX115" s="454"/>
      <c r="BY115" s="477"/>
      <c r="BZ115" s="477"/>
      <c r="CA115" s="478"/>
      <c r="CB115" s="479"/>
    </row>
    <row r="116" spans="2:80" s="135" customFormat="1" ht="15" customHeight="1">
      <c r="B116" s="366">
        <f t="shared" si="3"/>
        <v>106</v>
      </c>
      <c r="C116" s="289" t="s">
        <v>416</v>
      </c>
      <c r="D116" s="446" t="s">
        <v>271</v>
      </c>
      <c r="E116" s="447" t="s">
        <v>241</v>
      </c>
      <c r="F116" s="520" t="s">
        <v>781</v>
      </c>
      <c r="G116" s="448" t="s">
        <v>514</v>
      </c>
      <c r="H116" s="449">
        <v>1</v>
      </c>
      <c r="I116" s="450" t="s">
        <v>193</v>
      </c>
      <c r="J116" s="450" t="s">
        <v>184</v>
      </c>
      <c r="K116" s="450" t="s">
        <v>1652</v>
      </c>
      <c r="L116" s="450" t="s">
        <v>1653</v>
      </c>
      <c r="M116" s="451" t="s">
        <v>174</v>
      </c>
      <c r="N116" s="452">
        <v>14216</v>
      </c>
      <c r="O116" s="452">
        <v>4675.01</v>
      </c>
      <c r="P116" s="453">
        <v>31</v>
      </c>
      <c r="Q116" s="453" t="s">
        <v>220</v>
      </c>
      <c r="R116" s="454">
        <v>42457</v>
      </c>
      <c r="S116" s="453" t="s">
        <v>257</v>
      </c>
      <c r="T116" s="453" t="s">
        <v>196</v>
      </c>
      <c r="U116" s="455">
        <v>4584000000</v>
      </c>
      <c r="V116" s="455">
        <v>4584000000</v>
      </c>
      <c r="W116" s="456" t="s">
        <v>650</v>
      </c>
      <c r="X116" s="456" t="s">
        <v>257</v>
      </c>
      <c r="Y116" s="455">
        <v>4584000000</v>
      </c>
      <c r="Z116" s="457"/>
      <c r="AA116" s="453"/>
      <c r="AB116" s="458"/>
      <c r="AC116" s="458"/>
      <c r="AD116" s="453"/>
      <c r="AE116" s="453"/>
      <c r="AF116" s="459"/>
      <c r="AG116" s="453"/>
      <c r="AH116" s="455"/>
      <c r="AI116" s="460"/>
      <c r="AJ116" s="460" t="s">
        <v>657</v>
      </c>
      <c r="AK116" s="461"/>
      <c r="AL116" s="462" t="s">
        <v>451</v>
      </c>
      <c r="AM116" s="463" t="s">
        <v>451</v>
      </c>
      <c r="AN116" s="464" t="s">
        <v>451</v>
      </c>
      <c r="AO116" s="453" t="s">
        <v>451</v>
      </c>
      <c r="AP116" s="464" t="s">
        <v>451</v>
      </c>
      <c r="AQ116" s="464" t="s">
        <v>451</v>
      </c>
      <c r="AR116" s="464" t="s">
        <v>451</v>
      </c>
      <c r="AS116" s="464" t="s">
        <v>451</v>
      </c>
      <c r="AT116" s="464" t="s">
        <v>451</v>
      </c>
      <c r="AU116" s="464" t="s">
        <v>451</v>
      </c>
      <c r="AV116" s="464" t="s">
        <v>451</v>
      </c>
      <c r="AW116" s="465" t="s">
        <v>451</v>
      </c>
      <c r="AX116" s="466" t="s">
        <v>658</v>
      </c>
      <c r="AY116" s="467">
        <v>44497</v>
      </c>
      <c r="AZ116" s="468" t="s">
        <v>669</v>
      </c>
      <c r="BA116" s="469">
        <v>2544664000</v>
      </c>
      <c r="BB116" s="469">
        <v>1302529000</v>
      </c>
      <c r="BC116" s="469">
        <v>798080000</v>
      </c>
      <c r="BD116" s="469">
        <v>0</v>
      </c>
      <c r="BE116" s="470">
        <v>4645273000</v>
      </c>
      <c r="BF116" s="471"/>
      <c r="BG116" s="472" t="s">
        <v>1711</v>
      </c>
      <c r="BH116" s="457" t="s">
        <v>207</v>
      </c>
      <c r="BI116" s="480"/>
      <c r="BJ116" s="481"/>
      <c r="BK116" s="480"/>
      <c r="BL116" s="481"/>
      <c r="BM116" s="482"/>
      <c r="BN116" s="474"/>
      <c r="BO116" s="454"/>
      <c r="BP116" s="457"/>
      <c r="BQ116" s="454"/>
      <c r="BR116" s="478"/>
      <c r="BS116" s="487"/>
      <c r="BT116" s="454"/>
      <c r="BU116" s="457"/>
      <c r="BV116" s="457"/>
      <c r="BW116" s="454"/>
      <c r="BX116" s="454"/>
      <c r="BY116" s="477"/>
      <c r="BZ116" s="477"/>
      <c r="CA116" s="478"/>
      <c r="CB116" s="479"/>
    </row>
    <row r="117" spans="2:80" s="135" customFormat="1" ht="15" customHeight="1">
      <c r="B117" s="366">
        <f t="shared" si="3"/>
        <v>107</v>
      </c>
      <c r="C117" s="289" t="s">
        <v>416</v>
      </c>
      <c r="D117" s="446" t="s">
        <v>271</v>
      </c>
      <c r="E117" s="447" t="s">
        <v>241</v>
      </c>
      <c r="F117" s="520" t="s">
        <v>781</v>
      </c>
      <c r="G117" s="448" t="s">
        <v>1706</v>
      </c>
      <c r="H117" s="449">
        <v>2</v>
      </c>
      <c r="I117" s="450" t="s">
        <v>193</v>
      </c>
      <c r="J117" s="450" t="s">
        <v>184</v>
      </c>
      <c r="K117" s="450" t="s">
        <v>1652</v>
      </c>
      <c r="L117" s="450" t="s">
        <v>1654</v>
      </c>
      <c r="M117" s="451" t="s">
        <v>1655</v>
      </c>
      <c r="N117" s="452">
        <v>883</v>
      </c>
      <c r="O117" s="452"/>
      <c r="P117" s="453" t="s">
        <v>717</v>
      </c>
      <c r="Q117" s="453" t="s">
        <v>220</v>
      </c>
      <c r="R117" s="454">
        <v>42642</v>
      </c>
      <c r="S117" s="453" t="s">
        <v>250</v>
      </c>
      <c r="T117" s="453" t="s">
        <v>196</v>
      </c>
      <c r="U117" s="455">
        <v>3084000000</v>
      </c>
      <c r="V117" s="455">
        <v>3084000000</v>
      </c>
      <c r="W117" s="456" t="s">
        <v>647</v>
      </c>
      <c r="X117" s="456" t="s">
        <v>250</v>
      </c>
      <c r="Y117" s="455">
        <v>3084000000</v>
      </c>
      <c r="Z117" s="457"/>
      <c r="AA117" s="453"/>
      <c r="AB117" s="458"/>
      <c r="AC117" s="458"/>
      <c r="AD117" s="453"/>
      <c r="AE117" s="453"/>
      <c r="AF117" s="459"/>
      <c r="AG117" s="453"/>
      <c r="AH117" s="455"/>
      <c r="AI117" s="460"/>
      <c r="AJ117" s="460" t="s">
        <v>657</v>
      </c>
      <c r="AK117" s="461"/>
      <c r="AL117" s="462" t="s">
        <v>451</v>
      </c>
      <c r="AM117" s="463" t="s">
        <v>451</v>
      </c>
      <c r="AN117" s="464" t="s">
        <v>451</v>
      </c>
      <c r="AO117" s="453" t="s">
        <v>451</v>
      </c>
      <c r="AP117" s="464" t="s">
        <v>451</v>
      </c>
      <c r="AQ117" s="464" t="s">
        <v>451</v>
      </c>
      <c r="AR117" s="464" t="s">
        <v>451</v>
      </c>
      <c r="AS117" s="464" t="s">
        <v>451</v>
      </c>
      <c r="AT117" s="464" t="s">
        <v>451</v>
      </c>
      <c r="AU117" s="464" t="s">
        <v>451</v>
      </c>
      <c r="AV117" s="464" t="s">
        <v>451</v>
      </c>
      <c r="AW117" s="465" t="s">
        <v>451</v>
      </c>
      <c r="AX117" s="466" t="s">
        <v>338</v>
      </c>
      <c r="AY117" s="467" t="s">
        <v>338</v>
      </c>
      <c r="AZ117" s="468" t="s">
        <v>338</v>
      </c>
      <c r="BA117" s="469" t="s">
        <v>338</v>
      </c>
      <c r="BB117" s="469" t="s">
        <v>338</v>
      </c>
      <c r="BC117" s="469" t="s">
        <v>338</v>
      </c>
      <c r="BD117" s="469" t="s">
        <v>338</v>
      </c>
      <c r="BE117" s="470" t="s">
        <v>338</v>
      </c>
      <c r="BF117" s="471"/>
      <c r="BG117" s="472" t="s">
        <v>1711</v>
      </c>
      <c r="BH117" s="457" t="s">
        <v>207</v>
      </c>
      <c r="BI117" s="473"/>
      <c r="BJ117" s="473"/>
      <c r="BK117" s="473"/>
      <c r="BL117" s="473"/>
      <c r="BM117" s="473"/>
      <c r="BN117" s="474"/>
      <c r="BO117" s="454"/>
      <c r="BP117" s="457"/>
      <c r="BQ117" s="454"/>
      <c r="BR117" s="478"/>
      <c r="BS117" s="487"/>
      <c r="BT117" s="454"/>
      <c r="BU117" s="457"/>
      <c r="BV117" s="457"/>
      <c r="BW117" s="454"/>
      <c r="BX117" s="454"/>
      <c r="BY117" s="477"/>
      <c r="BZ117" s="477"/>
      <c r="CA117" s="478"/>
      <c r="CB117" s="479"/>
    </row>
    <row r="118" spans="2:80" s="135" customFormat="1" ht="15" customHeight="1">
      <c r="B118" s="366">
        <f t="shared" ref="B118:B123" si="4">ROW()-10</f>
        <v>108</v>
      </c>
      <c r="C118" s="289" t="s">
        <v>416</v>
      </c>
      <c r="D118" s="446" t="s">
        <v>271</v>
      </c>
      <c r="E118" s="447" t="s">
        <v>241</v>
      </c>
      <c r="F118" s="520" t="s">
        <v>781</v>
      </c>
      <c r="G118" s="448" t="s">
        <v>1707</v>
      </c>
      <c r="H118" s="449">
        <v>3</v>
      </c>
      <c r="I118" s="450" t="s">
        <v>193</v>
      </c>
      <c r="J118" s="450" t="s">
        <v>184</v>
      </c>
      <c r="K118" s="450" t="s">
        <v>1652</v>
      </c>
      <c r="L118" s="450" t="s">
        <v>1656</v>
      </c>
      <c r="M118" s="451" t="s">
        <v>174</v>
      </c>
      <c r="N118" s="452"/>
      <c r="O118" s="452">
        <v>89.25</v>
      </c>
      <c r="P118" s="453" t="s">
        <v>717</v>
      </c>
      <c r="Q118" s="453" t="s">
        <v>220</v>
      </c>
      <c r="R118" s="454">
        <v>42642</v>
      </c>
      <c r="S118" s="453" t="s">
        <v>250</v>
      </c>
      <c r="T118" s="453" t="s">
        <v>196</v>
      </c>
      <c r="U118" s="455">
        <v>2100000000</v>
      </c>
      <c r="V118" s="455">
        <v>2100000000</v>
      </c>
      <c r="W118" s="456" t="s">
        <v>645</v>
      </c>
      <c r="X118" s="456" t="s">
        <v>250</v>
      </c>
      <c r="Y118" s="455">
        <v>2100000000</v>
      </c>
      <c r="Z118" s="457"/>
      <c r="AA118" s="453"/>
      <c r="AB118" s="458"/>
      <c r="AC118" s="458"/>
      <c r="AD118" s="453"/>
      <c r="AE118" s="453"/>
      <c r="AF118" s="459"/>
      <c r="AG118" s="453"/>
      <c r="AH118" s="455"/>
      <c r="AI118" s="460"/>
      <c r="AJ118" s="460" t="s">
        <v>657</v>
      </c>
      <c r="AK118" s="461"/>
      <c r="AL118" s="462" t="s">
        <v>451</v>
      </c>
      <c r="AM118" s="463" t="s">
        <v>451</v>
      </c>
      <c r="AN118" s="464" t="s">
        <v>451</v>
      </c>
      <c r="AO118" s="453" t="s">
        <v>451</v>
      </c>
      <c r="AP118" s="464" t="s">
        <v>451</v>
      </c>
      <c r="AQ118" s="464" t="s">
        <v>451</v>
      </c>
      <c r="AR118" s="464" t="s">
        <v>451</v>
      </c>
      <c r="AS118" s="464" t="s">
        <v>451</v>
      </c>
      <c r="AT118" s="464" t="s">
        <v>451</v>
      </c>
      <c r="AU118" s="464" t="s">
        <v>451</v>
      </c>
      <c r="AV118" s="464" t="s">
        <v>451</v>
      </c>
      <c r="AW118" s="465" t="s">
        <v>451</v>
      </c>
      <c r="AX118" s="466" t="s">
        <v>658</v>
      </c>
      <c r="AY118" s="467">
        <v>44497</v>
      </c>
      <c r="AZ118" s="468" t="s">
        <v>669</v>
      </c>
      <c r="BA118" s="469">
        <v>0</v>
      </c>
      <c r="BB118" s="469">
        <v>40140000</v>
      </c>
      <c r="BC118" s="469">
        <v>0</v>
      </c>
      <c r="BD118" s="469">
        <v>0</v>
      </c>
      <c r="BE118" s="470">
        <v>40140000</v>
      </c>
      <c r="BF118" s="471"/>
      <c r="BG118" s="472" t="s">
        <v>1711</v>
      </c>
      <c r="BH118" s="457" t="s">
        <v>207</v>
      </c>
      <c r="BI118" s="473"/>
      <c r="BJ118" s="473"/>
      <c r="BK118" s="473"/>
      <c r="BL118" s="473"/>
      <c r="BM118" s="473"/>
      <c r="BN118" s="474"/>
      <c r="BO118" s="454"/>
      <c r="BP118" s="457"/>
      <c r="BQ118" s="454"/>
      <c r="BR118" s="478"/>
      <c r="BS118" s="487"/>
      <c r="BT118" s="454"/>
      <c r="BU118" s="457"/>
      <c r="BV118" s="457"/>
      <c r="BW118" s="454"/>
      <c r="BX118" s="454"/>
      <c r="BY118" s="477"/>
      <c r="BZ118" s="477"/>
      <c r="CA118" s="478"/>
      <c r="CB118" s="479"/>
    </row>
    <row r="119" spans="2:80" s="135" customFormat="1" ht="15" customHeight="1">
      <c r="B119" s="366">
        <f t="shared" si="4"/>
        <v>109</v>
      </c>
      <c r="C119" s="289" t="s">
        <v>416</v>
      </c>
      <c r="D119" s="446" t="s">
        <v>271</v>
      </c>
      <c r="E119" s="447" t="s">
        <v>241</v>
      </c>
      <c r="F119" s="520" t="s">
        <v>781</v>
      </c>
      <c r="G119" s="448" t="s">
        <v>1708</v>
      </c>
      <c r="H119" s="449">
        <v>4</v>
      </c>
      <c r="I119" s="450" t="s">
        <v>193</v>
      </c>
      <c r="J119" s="450" t="s">
        <v>184</v>
      </c>
      <c r="K119" s="450" t="s">
        <v>1652</v>
      </c>
      <c r="L119" s="450" t="s">
        <v>1657</v>
      </c>
      <c r="M119" s="451" t="s">
        <v>174</v>
      </c>
      <c r="N119" s="452"/>
      <c r="O119" s="452">
        <v>201.93</v>
      </c>
      <c r="P119" s="453" t="s">
        <v>717</v>
      </c>
      <c r="Q119" s="453" t="s">
        <v>220</v>
      </c>
      <c r="R119" s="454">
        <v>42654</v>
      </c>
      <c r="S119" s="453">
        <v>1</v>
      </c>
      <c r="T119" s="453" t="s">
        <v>196</v>
      </c>
      <c r="U119" s="455">
        <v>600000000</v>
      </c>
      <c r="V119" s="455">
        <v>600000000</v>
      </c>
      <c r="W119" s="456" t="s">
        <v>257</v>
      </c>
      <c r="X119" s="456" t="s">
        <v>253</v>
      </c>
      <c r="Y119" s="455">
        <v>600000000</v>
      </c>
      <c r="Z119" s="457"/>
      <c r="AA119" s="453"/>
      <c r="AB119" s="458"/>
      <c r="AC119" s="458"/>
      <c r="AD119" s="453"/>
      <c r="AE119" s="453"/>
      <c r="AF119" s="459"/>
      <c r="AG119" s="453"/>
      <c r="AH119" s="455"/>
      <c r="AI119" s="460"/>
      <c r="AJ119" s="460" t="s">
        <v>657</v>
      </c>
      <c r="AK119" s="461"/>
      <c r="AL119" s="462" t="s">
        <v>451</v>
      </c>
      <c r="AM119" s="463" t="s">
        <v>451</v>
      </c>
      <c r="AN119" s="464" t="s">
        <v>451</v>
      </c>
      <c r="AO119" s="453" t="s">
        <v>451</v>
      </c>
      <c r="AP119" s="464" t="s">
        <v>451</v>
      </c>
      <c r="AQ119" s="464" t="s">
        <v>451</v>
      </c>
      <c r="AR119" s="464" t="s">
        <v>451</v>
      </c>
      <c r="AS119" s="464" t="s">
        <v>451</v>
      </c>
      <c r="AT119" s="464" t="s">
        <v>451</v>
      </c>
      <c r="AU119" s="464" t="s">
        <v>451</v>
      </c>
      <c r="AV119" s="464" t="s">
        <v>451</v>
      </c>
      <c r="AW119" s="465" t="s">
        <v>451</v>
      </c>
      <c r="AX119" s="466" t="s">
        <v>658</v>
      </c>
      <c r="AY119" s="467">
        <v>44497</v>
      </c>
      <c r="AZ119" s="468" t="s">
        <v>669</v>
      </c>
      <c r="BA119" s="469">
        <v>0</v>
      </c>
      <c r="BB119" s="469">
        <v>121140000</v>
      </c>
      <c r="BC119" s="469">
        <v>0</v>
      </c>
      <c r="BD119" s="469">
        <v>0</v>
      </c>
      <c r="BE119" s="470">
        <v>121140000</v>
      </c>
      <c r="BF119" s="471"/>
      <c r="BG119" s="472" t="s">
        <v>1711</v>
      </c>
      <c r="BH119" s="457" t="s">
        <v>207</v>
      </c>
      <c r="BI119" s="473"/>
      <c r="BJ119" s="473"/>
      <c r="BK119" s="473"/>
      <c r="BL119" s="473"/>
      <c r="BM119" s="473"/>
      <c r="BN119" s="474"/>
      <c r="BO119" s="454"/>
      <c r="BP119" s="457"/>
      <c r="BQ119" s="454"/>
      <c r="BR119" s="478"/>
      <c r="BS119" s="487"/>
      <c r="BT119" s="454"/>
      <c r="BU119" s="457"/>
      <c r="BV119" s="457"/>
      <c r="BW119" s="454"/>
      <c r="BX119" s="454"/>
      <c r="BY119" s="477"/>
      <c r="BZ119" s="477"/>
      <c r="CA119" s="478"/>
      <c r="CB119" s="479"/>
    </row>
    <row r="120" spans="2:80" s="135" customFormat="1" ht="15" customHeight="1">
      <c r="B120" s="366">
        <f t="shared" si="4"/>
        <v>110</v>
      </c>
      <c r="C120" s="289" t="s">
        <v>416</v>
      </c>
      <c r="D120" s="446" t="s">
        <v>271</v>
      </c>
      <c r="E120" s="447" t="s">
        <v>241</v>
      </c>
      <c r="F120" s="520" t="s">
        <v>781</v>
      </c>
      <c r="G120" s="448" t="s">
        <v>1709</v>
      </c>
      <c r="H120" s="449">
        <v>5</v>
      </c>
      <c r="I120" s="450" t="s">
        <v>193</v>
      </c>
      <c r="J120" s="450" t="s">
        <v>184</v>
      </c>
      <c r="K120" s="450" t="s">
        <v>1652</v>
      </c>
      <c r="L120" s="450" t="s">
        <v>1658</v>
      </c>
      <c r="M120" s="451" t="s">
        <v>390</v>
      </c>
      <c r="N120" s="452"/>
      <c r="O120" s="452"/>
      <c r="P120" s="453">
        <v>5</v>
      </c>
      <c r="Q120" s="453"/>
      <c r="R120" s="454">
        <v>45307</v>
      </c>
      <c r="S120" s="453">
        <v>1</v>
      </c>
      <c r="T120" s="453" t="s">
        <v>196</v>
      </c>
      <c r="U120" s="455">
        <v>300000000</v>
      </c>
      <c r="V120" s="455">
        <v>300000000</v>
      </c>
      <c r="W120" s="456"/>
      <c r="X120" s="456"/>
      <c r="Y120" s="455"/>
      <c r="Z120" s="457"/>
      <c r="AA120" s="453"/>
      <c r="AB120" s="458"/>
      <c r="AC120" s="458"/>
      <c r="AD120" s="453"/>
      <c r="AE120" s="453"/>
      <c r="AF120" s="459"/>
      <c r="AG120" s="453"/>
      <c r="AH120" s="455"/>
      <c r="AI120" s="460"/>
      <c r="AJ120" s="460" t="s">
        <v>657</v>
      </c>
      <c r="AK120" s="461"/>
      <c r="AL120" s="462" t="s">
        <v>451</v>
      </c>
      <c r="AM120" s="463" t="s">
        <v>451</v>
      </c>
      <c r="AN120" s="464" t="s">
        <v>451</v>
      </c>
      <c r="AO120" s="453" t="s">
        <v>451</v>
      </c>
      <c r="AP120" s="464" t="s">
        <v>451</v>
      </c>
      <c r="AQ120" s="464" t="s">
        <v>451</v>
      </c>
      <c r="AR120" s="464" t="s">
        <v>451</v>
      </c>
      <c r="AS120" s="464" t="s">
        <v>451</v>
      </c>
      <c r="AT120" s="464" t="s">
        <v>451</v>
      </c>
      <c r="AU120" s="464" t="s">
        <v>451</v>
      </c>
      <c r="AV120" s="464" t="s">
        <v>451</v>
      </c>
      <c r="AW120" s="465" t="s">
        <v>451</v>
      </c>
      <c r="AX120" s="466" t="s">
        <v>658</v>
      </c>
      <c r="AY120" s="467">
        <v>45268</v>
      </c>
      <c r="AZ120" s="468" t="s">
        <v>662</v>
      </c>
      <c r="BA120" s="469">
        <v>0</v>
      </c>
      <c r="BB120" s="469">
        <v>0</v>
      </c>
      <c r="BC120" s="469">
        <v>520960000</v>
      </c>
      <c r="BD120" s="469">
        <v>0</v>
      </c>
      <c r="BE120" s="470">
        <v>520960000</v>
      </c>
      <c r="BF120" s="471"/>
      <c r="BG120" s="472" t="s">
        <v>1711</v>
      </c>
      <c r="BH120" s="457" t="s">
        <v>207</v>
      </c>
      <c r="BI120" s="473"/>
      <c r="BJ120" s="473"/>
      <c r="BK120" s="473"/>
      <c r="BL120" s="473"/>
      <c r="BM120" s="473"/>
      <c r="BN120" s="474"/>
      <c r="BO120" s="454"/>
      <c r="BP120" s="457"/>
      <c r="BQ120" s="454"/>
      <c r="BR120" s="478"/>
      <c r="BS120" s="487"/>
      <c r="BT120" s="454"/>
      <c r="BU120" s="457"/>
      <c r="BV120" s="457"/>
      <c r="BW120" s="454"/>
      <c r="BX120" s="454"/>
      <c r="BY120" s="477"/>
      <c r="BZ120" s="477"/>
      <c r="CA120" s="478"/>
      <c r="CB120" s="479"/>
    </row>
    <row r="121" spans="2:80" s="135" customFormat="1" ht="15" customHeight="1">
      <c r="B121" s="366">
        <f t="shared" si="4"/>
        <v>111</v>
      </c>
      <c r="C121" s="289" t="s">
        <v>416</v>
      </c>
      <c r="D121" s="446" t="s">
        <v>271</v>
      </c>
      <c r="E121" s="447" t="s">
        <v>242</v>
      </c>
      <c r="F121" s="520" t="s">
        <v>783</v>
      </c>
      <c r="G121" s="448" t="s">
        <v>515</v>
      </c>
      <c r="H121" s="449">
        <v>1</v>
      </c>
      <c r="I121" s="450" t="s">
        <v>189</v>
      </c>
      <c r="J121" s="450" t="s">
        <v>342</v>
      </c>
      <c r="K121" s="450" t="s">
        <v>1659</v>
      </c>
      <c r="L121" s="450" t="s">
        <v>1660</v>
      </c>
      <c r="M121" s="451" t="s">
        <v>175</v>
      </c>
      <c r="N121" s="452">
        <v>49.893599999999999</v>
      </c>
      <c r="O121" s="452">
        <v>93.4</v>
      </c>
      <c r="P121" s="453"/>
      <c r="Q121" s="453"/>
      <c r="R121" s="454">
        <v>45044</v>
      </c>
      <c r="S121" s="453">
        <v>3</v>
      </c>
      <c r="T121" s="453" t="s">
        <v>196</v>
      </c>
      <c r="U121" s="455">
        <v>1302000000</v>
      </c>
      <c r="V121" s="455">
        <v>1302000000</v>
      </c>
      <c r="W121" s="456"/>
      <c r="X121" s="456"/>
      <c r="Y121" s="455"/>
      <c r="Z121" s="457" t="s">
        <v>250</v>
      </c>
      <c r="AA121" s="453" t="s">
        <v>196</v>
      </c>
      <c r="AB121" s="458">
        <v>1440000000</v>
      </c>
      <c r="AC121" s="458">
        <v>1440000000</v>
      </c>
      <c r="AD121" s="453"/>
      <c r="AE121" s="453"/>
      <c r="AF121" s="459"/>
      <c r="AG121" s="453"/>
      <c r="AH121" s="455"/>
      <c r="AI121" s="460"/>
      <c r="AJ121" s="460" t="s">
        <v>657</v>
      </c>
      <c r="AK121" s="461"/>
      <c r="AL121" s="462" t="s">
        <v>451</v>
      </c>
      <c r="AM121" s="463" t="s">
        <v>451</v>
      </c>
      <c r="AN121" s="464" t="s">
        <v>451</v>
      </c>
      <c r="AO121" s="453" t="s">
        <v>451</v>
      </c>
      <c r="AP121" s="464" t="s">
        <v>451</v>
      </c>
      <c r="AQ121" s="464" t="s">
        <v>451</v>
      </c>
      <c r="AR121" s="464" t="s">
        <v>451</v>
      </c>
      <c r="AS121" s="464" t="s">
        <v>451</v>
      </c>
      <c r="AT121" s="464" t="s">
        <v>451</v>
      </c>
      <c r="AU121" s="464" t="s">
        <v>451</v>
      </c>
      <c r="AV121" s="464" t="s">
        <v>451</v>
      </c>
      <c r="AW121" s="465" t="s">
        <v>451</v>
      </c>
      <c r="AX121" s="466" t="s">
        <v>338</v>
      </c>
      <c r="AY121" s="467" t="s">
        <v>338</v>
      </c>
      <c r="AZ121" s="468" t="s">
        <v>338</v>
      </c>
      <c r="BA121" s="469" t="s">
        <v>338</v>
      </c>
      <c r="BB121" s="469" t="s">
        <v>338</v>
      </c>
      <c r="BC121" s="469" t="s">
        <v>338</v>
      </c>
      <c r="BD121" s="469" t="s">
        <v>338</v>
      </c>
      <c r="BE121" s="470" t="s">
        <v>338</v>
      </c>
      <c r="BF121" s="484">
        <v>4200000000</v>
      </c>
      <c r="BG121" s="472" t="s">
        <v>1711</v>
      </c>
      <c r="BH121" s="457" t="s">
        <v>224</v>
      </c>
      <c r="BI121" s="473"/>
      <c r="BJ121" s="473"/>
      <c r="BK121" s="473"/>
      <c r="BL121" s="473"/>
      <c r="BM121" s="473"/>
      <c r="BN121" s="474"/>
      <c r="BO121" s="454"/>
      <c r="BP121" s="457"/>
      <c r="BQ121" s="454"/>
      <c r="BR121" s="478"/>
      <c r="BS121" s="487"/>
      <c r="BT121" s="454"/>
      <c r="BU121" s="457"/>
      <c r="BV121" s="457"/>
      <c r="BW121" s="454"/>
      <c r="BX121" s="454"/>
      <c r="BY121" s="477"/>
      <c r="BZ121" s="477"/>
      <c r="CA121" s="478"/>
      <c r="CB121" s="479"/>
    </row>
    <row r="122" spans="2:80" s="135" customFormat="1" ht="15" customHeight="1">
      <c r="B122" s="366">
        <f t="shared" si="4"/>
        <v>112</v>
      </c>
      <c r="C122" s="289" t="s">
        <v>416</v>
      </c>
      <c r="D122" s="446" t="s">
        <v>271</v>
      </c>
      <c r="E122" s="447" t="s">
        <v>243</v>
      </c>
      <c r="F122" s="520" t="s">
        <v>785</v>
      </c>
      <c r="G122" s="448" t="s">
        <v>516</v>
      </c>
      <c r="H122" s="449">
        <v>1</v>
      </c>
      <c r="I122" s="450" t="s">
        <v>188</v>
      </c>
      <c r="J122" s="450" t="s">
        <v>185</v>
      </c>
      <c r="K122" s="450" t="s">
        <v>337</v>
      </c>
      <c r="L122" s="450" t="s">
        <v>1661</v>
      </c>
      <c r="M122" s="451" t="s">
        <v>174</v>
      </c>
      <c r="N122" s="452">
        <v>540</v>
      </c>
      <c r="O122" s="452">
        <v>823.93</v>
      </c>
      <c r="P122" s="453">
        <v>11</v>
      </c>
      <c r="Q122" s="453" t="s">
        <v>220</v>
      </c>
      <c r="R122" s="454">
        <v>45016</v>
      </c>
      <c r="S122" s="453">
        <v>1</v>
      </c>
      <c r="T122" s="453" t="s">
        <v>196</v>
      </c>
      <c r="U122" s="455">
        <v>1848000000</v>
      </c>
      <c r="V122" s="455">
        <v>1848000000</v>
      </c>
      <c r="W122" s="456"/>
      <c r="X122" s="456"/>
      <c r="Y122" s="455"/>
      <c r="Z122" s="457"/>
      <c r="AA122" s="453"/>
      <c r="AB122" s="458"/>
      <c r="AC122" s="458"/>
      <c r="AD122" s="453"/>
      <c r="AE122" s="453"/>
      <c r="AF122" s="459"/>
      <c r="AG122" s="453"/>
      <c r="AH122" s="455"/>
      <c r="AI122" s="460"/>
      <c r="AJ122" s="460" t="s">
        <v>657</v>
      </c>
      <c r="AK122" s="461"/>
      <c r="AL122" s="462" t="s">
        <v>451</v>
      </c>
      <c r="AM122" s="463" t="s">
        <v>451</v>
      </c>
      <c r="AN122" s="464" t="s">
        <v>451</v>
      </c>
      <c r="AO122" s="453" t="s">
        <v>451</v>
      </c>
      <c r="AP122" s="464" t="s">
        <v>451</v>
      </c>
      <c r="AQ122" s="464" t="s">
        <v>451</v>
      </c>
      <c r="AR122" s="464" t="s">
        <v>451</v>
      </c>
      <c r="AS122" s="464" t="s">
        <v>451</v>
      </c>
      <c r="AT122" s="464" t="s">
        <v>451</v>
      </c>
      <c r="AU122" s="464" t="s">
        <v>451</v>
      </c>
      <c r="AV122" s="464" t="s">
        <v>451</v>
      </c>
      <c r="AW122" s="465" t="s">
        <v>451</v>
      </c>
      <c r="AX122" s="466" t="s">
        <v>658</v>
      </c>
      <c r="AY122" s="467">
        <v>45008</v>
      </c>
      <c r="AZ122" s="468" t="s">
        <v>669</v>
      </c>
      <c r="BA122" s="469">
        <v>1267200000</v>
      </c>
      <c r="BB122" s="469">
        <v>713497400</v>
      </c>
      <c r="BC122" s="469">
        <v>197502000</v>
      </c>
      <c r="BD122" s="469">
        <v>0</v>
      </c>
      <c r="BE122" s="470">
        <v>2178199400</v>
      </c>
      <c r="BF122" s="471"/>
      <c r="BG122" s="472" t="s">
        <v>1711</v>
      </c>
      <c r="BH122" s="457" t="s">
        <v>198</v>
      </c>
      <c r="BI122" s="473"/>
      <c r="BJ122" s="473"/>
      <c r="BK122" s="473"/>
      <c r="BL122" s="473"/>
      <c r="BM122" s="473"/>
      <c r="BN122" s="474"/>
      <c r="BO122" s="454"/>
      <c r="BP122" s="457"/>
      <c r="BQ122" s="454"/>
      <c r="BR122" s="478"/>
      <c r="BS122" s="487"/>
      <c r="BT122" s="454"/>
      <c r="BU122" s="457"/>
      <c r="BV122" s="457"/>
      <c r="BW122" s="454"/>
      <c r="BX122" s="454"/>
      <c r="BY122" s="477"/>
      <c r="BZ122" s="477"/>
      <c r="CA122" s="478"/>
      <c r="CB122" s="479"/>
    </row>
    <row r="123" spans="2:80" s="135" customFormat="1" ht="15" customHeight="1">
      <c r="B123" s="366">
        <f t="shared" si="4"/>
        <v>113</v>
      </c>
      <c r="C123" s="289" t="s">
        <v>416</v>
      </c>
      <c r="D123" s="446" t="s">
        <v>271</v>
      </c>
      <c r="E123" s="447" t="s">
        <v>787</v>
      </c>
      <c r="F123" s="520" t="s">
        <v>788</v>
      </c>
      <c r="G123" s="448" t="s">
        <v>1710</v>
      </c>
      <c r="H123" s="449">
        <v>1</v>
      </c>
      <c r="I123" s="450" t="s">
        <v>244</v>
      </c>
      <c r="J123" s="450" t="s">
        <v>1662</v>
      </c>
      <c r="K123" s="450" t="s">
        <v>1663</v>
      </c>
      <c r="L123" s="450" t="s">
        <v>1664</v>
      </c>
      <c r="M123" s="451" t="s">
        <v>174</v>
      </c>
      <c r="N123" s="452">
        <v>4357</v>
      </c>
      <c r="O123" s="452">
        <v>812.16</v>
      </c>
      <c r="P123" s="453">
        <v>3</v>
      </c>
      <c r="Q123" s="453" t="s">
        <v>220</v>
      </c>
      <c r="R123" s="454">
        <v>43677</v>
      </c>
      <c r="S123" s="453" t="s">
        <v>250</v>
      </c>
      <c r="T123" s="453" t="s">
        <v>196</v>
      </c>
      <c r="U123" s="455">
        <v>1080000000</v>
      </c>
      <c r="V123" s="455">
        <v>1080000000</v>
      </c>
      <c r="W123" s="456"/>
      <c r="X123" s="456"/>
      <c r="Y123" s="455"/>
      <c r="Z123" s="457"/>
      <c r="AA123" s="453"/>
      <c r="AB123" s="458"/>
      <c r="AC123" s="458"/>
      <c r="AD123" s="453"/>
      <c r="AE123" s="453"/>
      <c r="AF123" s="459"/>
      <c r="AG123" s="453" t="s">
        <v>196</v>
      </c>
      <c r="AH123" s="455">
        <v>142857885</v>
      </c>
      <c r="AI123" s="460" t="s">
        <v>1812</v>
      </c>
      <c r="AJ123" s="460" t="s">
        <v>657</v>
      </c>
      <c r="AK123" s="461"/>
      <c r="AL123" s="462" t="s">
        <v>451</v>
      </c>
      <c r="AM123" s="463" t="s">
        <v>451</v>
      </c>
      <c r="AN123" s="464" t="s">
        <v>451</v>
      </c>
      <c r="AO123" s="453" t="s">
        <v>451</v>
      </c>
      <c r="AP123" s="464" t="s">
        <v>451</v>
      </c>
      <c r="AQ123" s="464" t="s">
        <v>451</v>
      </c>
      <c r="AR123" s="464" t="s">
        <v>451</v>
      </c>
      <c r="AS123" s="464" t="s">
        <v>451</v>
      </c>
      <c r="AT123" s="464" t="s">
        <v>451</v>
      </c>
      <c r="AU123" s="464" t="s">
        <v>451</v>
      </c>
      <c r="AV123" s="464" t="s">
        <v>451</v>
      </c>
      <c r="AW123" s="465" t="s">
        <v>451</v>
      </c>
      <c r="AX123" s="466" t="s">
        <v>1464</v>
      </c>
      <c r="AY123" s="467">
        <v>45433</v>
      </c>
      <c r="AZ123" s="468" t="s">
        <v>1665</v>
      </c>
      <c r="BA123" s="469">
        <v>642557000</v>
      </c>
      <c r="BB123" s="469">
        <v>430444800</v>
      </c>
      <c r="BC123" s="469">
        <v>278900000</v>
      </c>
      <c r="BD123" s="469">
        <v>23710200</v>
      </c>
      <c r="BE123" s="470">
        <v>1375612000</v>
      </c>
      <c r="BF123" s="471"/>
      <c r="BG123" s="472" t="s">
        <v>1712</v>
      </c>
      <c r="BH123" s="457" t="s">
        <v>279</v>
      </c>
      <c r="BI123" s="480" t="s">
        <v>1713</v>
      </c>
      <c r="BJ123" s="481">
        <v>45415</v>
      </c>
      <c r="BK123" s="480" t="s">
        <v>1813</v>
      </c>
      <c r="BL123" s="481">
        <v>45510</v>
      </c>
      <c r="BM123" s="482">
        <v>849903069</v>
      </c>
      <c r="BN123" s="474"/>
      <c r="BO123" s="454"/>
      <c r="BP123" s="457"/>
      <c r="BQ123" s="454"/>
      <c r="BR123" s="478"/>
      <c r="BS123" s="487">
        <v>1375612000</v>
      </c>
      <c r="BT123" s="454">
        <v>45700</v>
      </c>
      <c r="BU123" s="457"/>
      <c r="BV123" s="457" t="s">
        <v>392</v>
      </c>
      <c r="BW123" s="454"/>
      <c r="BX123" s="454"/>
      <c r="BY123" s="477"/>
      <c r="BZ123" s="477"/>
      <c r="CA123" s="478"/>
      <c r="CB123" s="479" t="s">
        <v>1814</v>
      </c>
    </row>
    <row r="124" spans="2:80" ht="12" customHeight="1" thickBot="1">
      <c r="B124" s="321"/>
      <c r="C124" s="323"/>
      <c r="D124" s="324"/>
      <c r="E124" s="345"/>
      <c r="F124" s="325"/>
      <c r="G124" s="399"/>
      <c r="H124" s="400"/>
      <c r="I124" s="401"/>
      <c r="J124" s="401"/>
      <c r="K124" s="401"/>
      <c r="L124" s="401"/>
      <c r="M124" s="402"/>
      <c r="N124" s="403"/>
      <c r="O124" s="403"/>
      <c r="P124" s="404"/>
      <c r="Q124" s="404"/>
      <c r="R124" s="405"/>
      <c r="S124" s="404"/>
      <c r="T124" s="404"/>
      <c r="U124" s="136"/>
      <c r="V124" s="136"/>
      <c r="W124" s="406"/>
      <c r="X124" s="406"/>
      <c r="Y124" s="136"/>
      <c r="Z124" s="407"/>
      <c r="AA124" s="404"/>
      <c r="AB124" s="137"/>
      <c r="AC124" s="137"/>
      <c r="AD124" s="404"/>
      <c r="AE124" s="404"/>
      <c r="AF124" s="408"/>
      <c r="AG124" s="404"/>
      <c r="AH124" s="136"/>
      <c r="AI124" s="138"/>
      <c r="AJ124" s="138"/>
      <c r="AK124" s="139"/>
      <c r="AL124" s="409"/>
      <c r="AM124" s="404"/>
      <c r="AN124" s="410"/>
      <c r="AO124" s="404"/>
      <c r="AP124" s="410"/>
      <c r="AQ124" s="410"/>
      <c r="AR124" s="410"/>
      <c r="AS124" s="410"/>
      <c r="AT124" s="410"/>
      <c r="AU124" s="410"/>
      <c r="AV124" s="410"/>
      <c r="AW124" s="411"/>
      <c r="AX124" s="412"/>
      <c r="AY124" s="413"/>
      <c r="AZ124" s="414"/>
      <c r="BA124" s="140"/>
      <c r="BB124" s="140"/>
      <c r="BC124" s="140"/>
      <c r="BD124" s="140"/>
      <c r="BE124" s="141"/>
      <c r="BF124" s="415"/>
      <c r="BG124" s="416"/>
      <c r="BH124" s="407"/>
      <c r="BI124" s="407"/>
      <c r="BJ124" s="405"/>
      <c r="BK124" s="407"/>
      <c r="BL124" s="405"/>
      <c r="BM124" s="322"/>
      <c r="BN124" s="407"/>
      <c r="BO124" s="405"/>
      <c r="BP124" s="407"/>
      <c r="BQ124" s="405"/>
      <c r="BR124" s="417"/>
      <c r="BS124" s="418"/>
      <c r="BT124" s="405"/>
      <c r="BU124" s="407"/>
      <c r="BV124" s="407"/>
      <c r="BW124" s="405"/>
      <c r="BX124" s="405"/>
      <c r="BY124" s="419"/>
      <c r="BZ124" s="419"/>
      <c r="CA124" s="420"/>
      <c r="CB124" s="421"/>
    </row>
  </sheetData>
  <phoneticPr fontId="3" type="noConversion"/>
  <pageMargins left="0.25" right="0.25" top="0.75" bottom="0.75" header="0.3" footer="0.3"/>
  <pageSetup paperSize="9" scale="1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I302"/>
  <sheetViews>
    <sheetView showGridLines="0" zoomScale="85" zoomScaleNormal="85" zoomScaleSheetLayoutView="115" workbookViewId="0"/>
  </sheetViews>
  <sheetFormatPr defaultColWidth="9" defaultRowHeight="12" customHeight="1"/>
  <cols>
    <col min="1" max="1" width="1.58203125" style="40" customWidth="1"/>
    <col min="2" max="5" width="10.58203125" style="41" customWidth="1"/>
    <col min="6" max="6" width="17.58203125" style="41" customWidth="1"/>
    <col min="7" max="7" width="7.33203125" style="41" bestFit="1" customWidth="1"/>
    <col min="8" max="8" width="9.58203125" style="41" bestFit="1" customWidth="1"/>
    <col min="9" max="9" width="7.58203125" style="39" customWidth="1"/>
    <col min="10" max="10" width="9.08203125" style="42" customWidth="1"/>
    <col min="11" max="11" width="12.25" style="43" customWidth="1" collapsed="1"/>
    <col min="12" max="12" width="14.5" style="43" customWidth="1"/>
    <col min="13" max="13" width="12.83203125" style="43" customWidth="1"/>
    <col min="14" max="14" width="50.58203125" style="39" customWidth="1"/>
    <col min="15" max="15" width="30.58203125" style="44" customWidth="1"/>
    <col min="16" max="17" width="10.58203125" style="41" customWidth="1"/>
    <col min="18" max="18" width="10.58203125" style="309" customWidth="1"/>
    <col min="19" max="19" width="10.58203125" style="41" customWidth="1"/>
    <col min="20" max="20" width="17.58203125" style="41" customWidth="1"/>
    <col min="21" max="21" width="10.58203125" style="40" customWidth="1"/>
    <col min="22" max="22" width="15.58203125" style="40" customWidth="1"/>
    <col min="23" max="23" width="10.58203125" style="40" customWidth="1"/>
    <col min="24" max="25" width="15.58203125" style="40" customWidth="1"/>
    <col min="26" max="26" width="10.58203125" style="40" customWidth="1"/>
    <col min="27" max="27" width="13.58203125" style="40" customWidth="1"/>
    <col min="28" max="28" width="10.58203125" style="40" customWidth="1"/>
    <col min="29" max="30" width="15.58203125" style="40" customWidth="1"/>
    <col min="31" max="31" width="13.58203125" style="40" customWidth="1"/>
    <col min="32" max="32" width="10.58203125" style="40" customWidth="1"/>
    <col min="33" max="34" width="15.58203125" style="40" customWidth="1"/>
    <col min="35" max="35" width="40.58203125" style="40" customWidth="1"/>
    <col min="36" max="16384" width="9" style="40"/>
  </cols>
  <sheetData>
    <row r="1" spans="1:35" s="98" customFormat="1" ht="15" customHeight="1">
      <c r="A1" s="75"/>
      <c r="B1" s="76"/>
      <c r="C1" s="76"/>
      <c r="D1" s="76"/>
      <c r="E1" s="76"/>
      <c r="F1" s="76"/>
      <c r="G1" s="76"/>
      <c r="H1" s="76"/>
      <c r="I1" s="150"/>
      <c r="J1" s="150"/>
      <c r="K1" s="75"/>
      <c r="L1" s="75"/>
      <c r="M1" s="75"/>
      <c r="N1" s="75"/>
      <c r="O1" s="75"/>
      <c r="P1" s="152"/>
      <c r="Q1" s="153"/>
      <c r="R1" s="304"/>
      <c r="S1" s="154"/>
      <c r="T1" s="154"/>
      <c r="U1" s="76"/>
      <c r="V1" s="76"/>
      <c r="W1" s="90"/>
      <c r="X1" s="155"/>
      <c r="Y1" s="155"/>
      <c r="Z1" s="155"/>
      <c r="AA1" s="90"/>
      <c r="AB1" s="90"/>
      <c r="AC1" s="156"/>
      <c r="AD1" s="156"/>
      <c r="AE1" s="156"/>
      <c r="AF1" s="156"/>
      <c r="AG1" s="156"/>
      <c r="AH1" s="156"/>
      <c r="AI1" s="87"/>
    </row>
    <row r="2" spans="1:35" s="88" customFormat="1" ht="26.25" customHeight="1" thickBot="1">
      <c r="A2" s="2" t="s">
        <v>790</v>
      </c>
      <c r="B2" s="77"/>
      <c r="C2" s="77"/>
      <c r="D2" s="77"/>
      <c r="E2" s="78"/>
      <c r="J2" s="82"/>
      <c r="K2" s="79"/>
      <c r="L2" s="5"/>
      <c r="M2" s="5"/>
      <c r="N2" s="157"/>
      <c r="O2" s="158"/>
      <c r="P2" s="159"/>
      <c r="Q2" s="159"/>
      <c r="R2" s="305"/>
      <c r="S2" s="83"/>
      <c r="T2" s="83"/>
      <c r="U2" s="84"/>
      <c r="V2" s="84"/>
      <c r="W2" s="89"/>
      <c r="X2" s="160"/>
      <c r="Y2" s="155"/>
      <c r="Z2" s="155"/>
      <c r="AA2" s="89"/>
      <c r="AB2" s="89"/>
      <c r="AC2" s="161"/>
      <c r="AD2" s="161"/>
      <c r="AE2" s="161"/>
      <c r="AF2" s="161"/>
      <c r="AG2" s="161"/>
      <c r="AH2" s="161"/>
      <c r="AI2" s="86"/>
    </row>
    <row r="3" spans="1:35" s="98" customFormat="1" ht="20.25" customHeight="1">
      <c r="A3" s="224" t="s">
        <v>2482</v>
      </c>
      <c r="B3" s="7"/>
      <c r="C3" s="92"/>
      <c r="D3" s="92"/>
      <c r="E3" s="91"/>
      <c r="F3" s="88"/>
      <c r="J3" s="94"/>
      <c r="K3" s="4"/>
      <c r="L3" s="439" t="s">
        <v>0</v>
      </c>
      <c r="M3" s="440">
        <v>45869</v>
      </c>
      <c r="N3" s="151"/>
      <c r="O3" s="162"/>
      <c r="P3" s="163"/>
      <c r="Q3" s="163"/>
      <c r="R3" s="374"/>
      <c r="S3" s="375"/>
      <c r="T3" s="375"/>
      <c r="U3" s="96"/>
      <c r="V3" s="96"/>
      <c r="W3" s="90"/>
      <c r="X3" s="218"/>
      <c r="Y3" s="155"/>
      <c r="Z3" s="155"/>
      <c r="AA3" s="90"/>
      <c r="AB3" s="90"/>
      <c r="AC3" s="156"/>
      <c r="AD3" s="156"/>
      <c r="AE3" s="156"/>
      <c r="AF3" s="156"/>
      <c r="AG3" s="156"/>
      <c r="AH3" s="156"/>
      <c r="AI3" s="87"/>
    </row>
    <row r="4" spans="1:35" s="100" customFormat="1" ht="20.25" customHeight="1">
      <c r="A4" s="9" t="s">
        <v>113</v>
      </c>
      <c r="B4" s="10"/>
      <c r="C4" s="103"/>
      <c r="D4" s="103"/>
      <c r="E4" s="99"/>
      <c r="J4" s="164"/>
      <c r="K4" s="4"/>
      <c r="L4" s="441" t="s">
        <v>361</v>
      </c>
      <c r="M4" s="442">
        <v>1396</v>
      </c>
      <c r="N4" s="101"/>
      <c r="O4" s="165"/>
      <c r="P4" s="166"/>
      <c r="Q4" s="243"/>
      <c r="R4" s="376"/>
      <c r="S4" s="377"/>
      <c r="T4" s="377"/>
      <c r="U4" s="96"/>
      <c r="V4" s="96"/>
      <c r="W4" s="90"/>
      <c r="X4" s="155"/>
      <c r="Y4" s="155"/>
      <c r="Z4" s="155"/>
      <c r="AA4" s="105"/>
      <c r="AB4" s="105"/>
      <c r="AC4" s="167"/>
      <c r="AD4" s="167"/>
      <c r="AE4" s="167"/>
      <c r="AF4" s="167"/>
      <c r="AG4" s="167"/>
      <c r="AH4" s="167"/>
      <c r="AI4" s="106"/>
    </row>
    <row r="5" spans="1:35" s="100" customFormat="1" ht="20.25" customHeight="1" thickBot="1">
      <c r="A5" s="9" t="s">
        <v>114</v>
      </c>
      <c r="B5" s="59"/>
      <c r="C5" s="103"/>
      <c r="D5" s="103"/>
      <c r="E5" s="99"/>
      <c r="I5" s="225"/>
      <c r="J5" s="164"/>
      <c r="K5" s="4"/>
      <c r="L5" s="443" t="s">
        <v>374</v>
      </c>
      <c r="M5" s="328">
        <v>9.3489000000000004</v>
      </c>
      <c r="N5" s="101"/>
      <c r="O5" s="165"/>
      <c r="P5" s="166"/>
      <c r="Q5" s="166"/>
      <c r="R5" s="376"/>
      <c r="S5" s="377"/>
      <c r="T5" s="377"/>
      <c r="U5" s="96"/>
      <c r="V5" s="96"/>
      <c r="W5" s="90"/>
      <c r="X5" s="155"/>
      <c r="Y5" s="155"/>
      <c r="Z5" s="155"/>
      <c r="AA5" s="105"/>
      <c r="AB5" s="105"/>
      <c r="AC5" s="167"/>
      <c r="AD5" s="378"/>
      <c r="AE5" s="167"/>
      <c r="AF5" s="167"/>
      <c r="AG5" s="167"/>
      <c r="AH5" s="167"/>
      <c r="AI5" s="106"/>
    </row>
    <row r="6" spans="1:35" s="100" customFormat="1" ht="20.25" customHeight="1">
      <c r="A6" s="9"/>
      <c r="B6" s="59"/>
      <c r="C6" s="103"/>
      <c r="D6" s="103"/>
      <c r="E6" s="99"/>
      <c r="I6" s="225"/>
      <c r="J6" s="164"/>
      <c r="K6" s="4"/>
      <c r="M6" s="225"/>
      <c r="N6" s="164"/>
      <c r="O6" s="165"/>
      <c r="P6" s="166"/>
      <c r="Q6" s="166"/>
      <c r="R6" s="376"/>
      <c r="S6" s="377"/>
      <c r="T6" s="377"/>
      <c r="U6" s="96"/>
      <c r="V6" s="96"/>
      <c r="W6" s="90"/>
      <c r="X6" s="155"/>
      <c r="Y6" s="155"/>
      <c r="Z6" s="155"/>
      <c r="AA6" s="105"/>
      <c r="AB6" s="105"/>
      <c r="AC6" s="167"/>
      <c r="AD6" s="378"/>
      <c r="AE6" s="167"/>
      <c r="AF6" s="167"/>
      <c r="AG6" s="167"/>
      <c r="AH6" s="167"/>
      <c r="AI6" s="106"/>
    </row>
    <row r="7" spans="1:35" s="100" customFormat="1" ht="12" customHeight="1" thickBot="1">
      <c r="A7" s="10"/>
      <c r="B7" s="59"/>
      <c r="C7" s="103"/>
      <c r="D7" s="103"/>
      <c r="E7" s="99"/>
      <c r="F7" s="103"/>
      <c r="G7" s="103"/>
      <c r="H7" s="103"/>
      <c r="I7" s="287"/>
      <c r="J7" s="164"/>
      <c r="L7" s="102"/>
      <c r="M7" s="102"/>
      <c r="N7" s="101"/>
      <c r="O7" s="165"/>
      <c r="P7" s="234"/>
      <c r="Q7" s="233"/>
      <c r="R7" s="376"/>
      <c r="S7" s="377"/>
      <c r="T7" s="377"/>
      <c r="U7" s="96"/>
      <c r="V7" s="239"/>
      <c r="W7" s="90"/>
      <c r="X7" s="379"/>
      <c r="Y7" s="379"/>
      <c r="Z7" s="155"/>
      <c r="AA7" s="105"/>
      <c r="AB7" s="105"/>
      <c r="AC7" s="380"/>
      <c r="AD7" s="380"/>
      <c r="AE7" s="167"/>
      <c r="AF7" s="167"/>
      <c r="AG7" s="380"/>
      <c r="AH7" s="380"/>
      <c r="AI7" s="106"/>
    </row>
    <row r="8" spans="1:35" s="236" customFormat="1" ht="15" customHeight="1">
      <c r="A8" s="296"/>
      <c r="B8" s="168" t="s">
        <v>115</v>
      </c>
      <c r="C8" s="169"/>
      <c r="D8" s="169"/>
      <c r="E8" s="170"/>
      <c r="F8" s="170"/>
      <c r="G8" s="170"/>
      <c r="H8" s="170"/>
      <c r="I8" s="171" t="s">
        <v>116</v>
      </c>
      <c r="J8" s="172"/>
      <c r="K8" s="170"/>
      <c r="L8" s="170"/>
      <c r="M8" s="169"/>
      <c r="N8" s="173"/>
      <c r="O8" s="212" t="s">
        <v>162</v>
      </c>
      <c r="P8" s="171" t="s">
        <v>117</v>
      </c>
      <c r="Q8" s="171"/>
      <c r="R8" s="306"/>
      <c r="S8" s="174"/>
      <c r="T8" s="169" t="s">
        <v>118</v>
      </c>
      <c r="U8" s="175" t="s">
        <v>119</v>
      </c>
      <c r="V8" s="175"/>
      <c r="W8" s="169"/>
      <c r="X8" s="176"/>
      <c r="Y8" s="176"/>
      <c r="Z8" s="176"/>
      <c r="AA8" s="169"/>
      <c r="AB8" s="169"/>
      <c r="AC8" s="176"/>
      <c r="AD8" s="176"/>
      <c r="AE8" s="177"/>
      <c r="AF8" s="177"/>
      <c r="AG8" s="177"/>
      <c r="AH8" s="177"/>
      <c r="AI8" s="178" t="s">
        <v>120</v>
      </c>
    </row>
    <row r="9" spans="1:35" s="90" customFormat="1" ht="15" customHeight="1" thickBot="1">
      <c r="A9" s="297"/>
      <c r="B9" s="121" t="str">
        <f>"Field "&amp;COLUMN()-1</f>
        <v>Field 1</v>
      </c>
      <c r="C9" s="21" t="str">
        <f>"Field "&amp;COLUMN()-1-COUNTBLANK($B$9:B9)</f>
        <v>Field 2</v>
      </c>
      <c r="D9" s="21" t="str">
        <f>"Field "&amp;COLUMN()-1-COUNTBLANK($B$9:C9)</f>
        <v>Field 3</v>
      </c>
      <c r="E9" s="21" t="str">
        <f>"Field "&amp;COLUMN()-1-COUNTBLANK($B$9:D9)</f>
        <v>Field 4</v>
      </c>
      <c r="F9" s="21" t="str">
        <f>"Field "&amp;COLUMN()-1-COUNTBLANK($B$9:E9)</f>
        <v>Field 5</v>
      </c>
      <c r="G9" s="122" t="str">
        <f>"Field "&amp;COLUMN()-1-COUNTBLANK($B$9:F9)</f>
        <v>Field 6</v>
      </c>
      <c r="H9" s="122" t="str">
        <f>"Field "&amp;COLUMN()-1-COUNTBLANK($B$9:G9)</f>
        <v>Field 7</v>
      </c>
      <c r="I9" s="21" t="str">
        <f>"Field "&amp;COLUMN()-1-COUNTBLANK($B$9:H9)</f>
        <v>Field 8</v>
      </c>
      <c r="J9" s="21" t="str">
        <f>"Field "&amp;COLUMN()-1-COUNTBLANK($B$9:I9)</f>
        <v>Field 9</v>
      </c>
      <c r="K9" s="21" t="str">
        <f>"Field "&amp;COLUMN()-1-COUNTBLANK($B$9:J9)</f>
        <v>Field 10</v>
      </c>
      <c r="L9" s="21" t="str">
        <f>"Field "&amp;COLUMN()-1-COUNTBLANK($B$9:K9)</f>
        <v>Field 11</v>
      </c>
      <c r="M9" s="21" t="str">
        <f>"Field "&amp;COLUMN()-1-COUNTBLANK($B$9:L9)</f>
        <v>Field 12</v>
      </c>
      <c r="N9" s="21" t="str">
        <f>"Field "&amp;COLUMN()-1-COUNTBLANK($B$9:M9)</f>
        <v>Field 13</v>
      </c>
      <c r="O9" s="21" t="str">
        <f>"Field "&amp;COLUMN()-1-COUNTBLANK($B$9:N9)</f>
        <v>Field 14</v>
      </c>
      <c r="P9" s="21" t="str">
        <f>"Field "&amp;COLUMN()-1-COUNTBLANK($B$9:O9)</f>
        <v>Field 15</v>
      </c>
      <c r="Q9" s="21" t="str">
        <f>"Field "&amp;COLUMN()-1-COUNTBLANK($B$9:P9)</f>
        <v>Field 16</v>
      </c>
      <c r="R9" s="307" t="str">
        <f>"Field "&amp;COLUMN()-1-COUNTBLANK($B$9:Q9)</f>
        <v>Field 17</v>
      </c>
      <c r="S9" s="21" t="str">
        <f>"Field "&amp;COLUMN()-1-COUNTBLANK($B$9:R9)</f>
        <v>Field 18</v>
      </c>
      <c r="T9" s="21" t="str">
        <f>"Field "&amp;COLUMN()-1-COUNTBLANK($B$9:S9)</f>
        <v>Field 19</v>
      </c>
      <c r="U9" s="21" t="str">
        <f>"Field "&amp;COLUMN()-1-COUNTBLANK($B$9:T9)</f>
        <v>Field 20</v>
      </c>
      <c r="V9" s="21" t="str">
        <f>"Field "&amp;COLUMN()-1-COUNTBLANK($B$9:U9)</f>
        <v>Field 21</v>
      </c>
      <c r="W9" s="21" t="str">
        <f>"Field "&amp;COLUMN()-1-COUNTBLANK($B$9:V9)</f>
        <v>Field 22</v>
      </c>
      <c r="X9" s="21" t="str">
        <f>"Field "&amp;COLUMN()-1-COUNTBLANK($B$9:W9)</f>
        <v>Field 23</v>
      </c>
      <c r="Y9" s="21" t="str">
        <f>"Field "&amp;COLUMN()-1-COUNTBLANK($B$9:X9)</f>
        <v>Field 24</v>
      </c>
      <c r="Z9" s="21" t="str">
        <f>"Field "&amp;COLUMN()-1-COUNTBLANK($B$9:Y9)</f>
        <v>Field 25</v>
      </c>
      <c r="AA9" s="21" t="str">
        <f>"Field "&amp;COLUMN()-1-COUNTBLANK($B$9:Z9)</f>
        <v>Field 26</v>
      </c>
      <c r="AB9" s="21" t="str">
        <f>"Field "&amp;COLUMN()-1-COUNTBLANK($B$9:AA9)</f>
        <v>Field 27</v>
      </c>
      <c r="AC9" s="21" t="str">
        <f>"Field "&amp;COLUMN()-1-COUNTBLANK($B$9:AB9)</f>
        <v>Field 28</v>
      </c>
      <c r="AD9" s="21" t="str">
        <f>"Field "&amp;COLUMN()-1-COUNTBLANK($B$9:AC9)</f>
        <v>Field 29</v>
      </c>
      <c r="AE9" s="21" t="str">
        <f>"Field "&amp;COLUMN()-1-COUNTBLANK($B$9:AD9)</f>
        <v>Field 30</v>
      </c>
      <c r="AF9" s="21" t="str">
        <f>"Field "&amp;COLUMN()-1-COUNTBLANK($B$9:AE9)</f>
        <v>Field 31</v>
      </c>
      <c r="AG9" s="21" t="str">
        <f>"Field "&amp;COLUMN()-1-COUNTBLANK($B$9:AF9)</f>
        <v>Field 32</v>
      </c>
      <c r="AH9" s="21" t="str">
        <f>"Field "&amp;COLUMN()-1-COUNTBLANK($B$9:AG9)</f>
        <v>Field 33</v>
      </c>
      <c r="AI9" s="22" t="str">
        <f>"Field "&amp;COLUMN()-1-COUNTBLANK($B$9:AH9)</f>
        <v>Field 34</v>
      </c>
    </row>
    <row r="10" spans="1:35" s="39" customFormat="1" ht="37.5" customHeight="1" thickBot="1">
      <c r="A10" s="38"/>
      <c r="B10" s="179" t="s">
        <v>5</v>
      </c>
      <c r="C10" s="24" t="s">
        <v>6</v>
      </c>
      <c r="D10" s="25" t="s">
        <v>398</v>
      </c>
      <c r="E10" s="25" t="s">
        <v>18</v>
      </c>
      <c r="F10" s="180" t="s">
        <v>50</v>
      </c>
      <c r="G10" s="70" t="s">
        <v>57</v>
      </c>
      <c r="H10" s="181" t="s">
        <v>405</v>
      </c>
      <c r="I10" s="181" t="s">
        <v>121</v>
      </c>
      <c r="J10" s="182" t="s">
        <v>122</v>
      </c>
      <c r="K10" s="183" t="s">
        <v>123</v>
      </c>
      <c r="L10" s="183" t="s">
        <v>59</v>
      </c>
      <c r="M10" s="184" t="s">
        <v>60</v>
      </c>
      <c r="N10" s="185" t="s">
        <v>124</v>
      </c>
      <c r="O10" s="184" t="s">
        <v>125</v>
      </c>
      <c r="P10" s="186" t="s">
        <v>126</v>
      </c>
      <c r="Q10" s="187" t="s">
        <v>127</v>
      </c>
      <c r="R10" s="308" t="s">
        <v>128</v>
      </c>
      <c r="S10" s="188" t="s">
        <v>129</v>
      </c>
      <c r="T10" s="188" t="s">
        <v>130</v>
      </c>
      <c r="U10" s="189" t="s">
        <v>131</v>
      </c>
      <c r="V10" s="189" t="s">
        <v>132</v>
      </c>
      <c r="W10" s="184" t="s">
        <v>69</v>
      </c>
      <c r="X10" s="190" t="s">
        <v>133</v>
      </c>
      <c r="Y10" s="190" t="s">
        <v>134</v>
      </c>
      <c r="Z10" s="190" t="s">
        <v>135</v>
      </c>
      <c r="AA10" s="184" t="s">
        <v>136</v>
      </c>
      <c r="AB10" s="184" t="s">
        <v>69</v>
      </c>
      <c r="AC10" s="190" t="s">
        <v>137</v>
      </c>
      <c r="AD10" s="190" t="s">
        <v>138</v>
      </c>
      <c r="AE10" s="190" t="s">
        <v>139</v>
      </c>
      <c r="AF10" s="190" t="s">
        <v>140</v>
      </c>
      <c r="AG10" s="190" t="s">
        <v>141</v>
      </c>
      <c r="AH10" s="190" t="s">
        <v>142</v>
      </c>
      <c r="AI10" s="191" t="s">
        <v>223</v>
      </c>
    </row>
    <row r="11" spans="1:35" ht="15" customHeight="1">
      <c r="B11" s="366">
        <f t="shared" ref="B11:B42" si="0">ROW()-10</f>
        <v>1</v>
      </c>
      <c r="C11" s="289" t="s">
        <v>416</v>
      </c>
      <c r="D11" s="446" t="s">
        <v>270</v>
      </c>
      <c r="E11" s="451" t="s">
        <v>228</v>
      </c>
      <c r="F11" s="520" t="s">
        <v>718</v>
      </c>
      <c r="G11" s="535" t="s">
        <v>452</v>
      </c>
      <c r="H11" s="518" t="s">
        <v>517</v>
      </c>
      <c r="I11" s="521">
        <v>1</v>
      </c>
      <c r="J11" s="522">
        <v>1</v>
      </c>
      <c r="K11" s="450" t="s">
        <v>186</v>
      </c>
      <c r="L11" s="450" t="s">
        <v>1427</v>
      </c>
      <c r="M11" s="450" t="s">
        <v>1428</v>
      </c>
      <c r="N11" s="523" t="s">
        <v>1817</v>
      </c>
      <c r="O11" s="524" t="s">
        <v>1818</v>
      </c>
      <c r="P11" s="525"/>
      <c r="Q11" s="526">
        <v>3438.96</v>
      </c>
      <c r="R11" s="527"/>
      <c r="S11" s="528">
        <v>1</v>
      </c>
      <c r="T11" s="529" t="s">
        <v>718</v>
      </c>
      <c r="U11" s="530" t="s">
        <v>257</v>
      </c>
      <c r="V11" s="531" t="s">
        <v>447</v>
      </c>
      <c r="W11" s="453" t="s">
        <v>196</v>
      </c>
      <c r="X11" s="455">
        <v>11300000000</v>
      </c>
      <c r="Y11" s="455">
        <v>11300000000</v>
      </c>
      <c r="Z11" s="460" t="s">
        <v>1816</v>
      </c>
      <c r="AA11" s="453"/>
      <c r="AB11" s="453"/>
      <c r="AC11" s="458"/>
      <c r="AD11" s="458"/>
      <c r="AE11" s="532"/>
      <c r="AF11" s="531"/>
      <c r="AG11" s="455"/>
      <c r="AH11" s="461"/>
      <c r="AI11" s="533"/>
    </row>
    <row r="12" spans="1:35" ht="15" customHeight="1">
      <c r="B12" s="366">
        <f t="shared" si="0"/>
        <v>2</v>
      </c>
      <c r="C12" s="289" t="s">
        <v>416</v>
      </c>
      <c r="D12" s="446" t="s">
        <v>270</v>
      </c>
      <c r="E12" s="451" t="s">
        <v>228</v>
      </c>
      <c r="F12" s="520" t="s">
        <v>718</v>
      </c>
      <c r="G12" s="535" t="s">
        <v>452</v>
      </c>
      <c r="H12" s="518" t="s">
        <v>627</v>
      </c>
      <c r="I12" s="521">
        <v>1</v>
      </c>
      <c r="J12" s="522">
        <v>2</v>
      </c>
      <c r="K12" s="450" t="s">
        <v>186</v>
      </c>
      <c r="L12" s="450" t="s">
        <v>1427</v>
      </c>
      <c r="M12" s="450" t="s">
        <v>1428</v>
      </c>
      <c r="N12" s="523" t="s">
        <v>1819</v>
      </c>
      <c r="O12" s="524" t="s">
        <v>400</v>
      </c>
      <c r="P12" s="525"/>
      <c r="Q12" s="526">
        <v>198.88</v>
      </c>
      <c r="R12" s="527"/>
      <c r="S12" s="528">
        <v>1</v>
      </c>
      <c r="T12" s="529" t="s">
        <v>718</v>
      </c>
      <c r="U12" s="530" t="s">
        <v>257</v>
      </c>
      <c r="V12" s="531" t="s">
        <v>447</v>
      </c>
      <c r="W12" s="453" t="s">
        <v>196</v>
      </c>
      <c r="X12" s="455">
        <v>11300000000</v>
      </c>
      <c r="Y12" s="455">
        <v>11300000000</v>
      </c>
      <c r="Z12" s="460" t="s">
        <v>1816</v>
      </c>
      <c r="AA12" s="453"/>
      <c r="AB12" s="453"/>
      <c r="AC12" s="458"/>
      <c r="AD12" s="458"/>
      <c r="AE12" s="532"/>
      <c r="AF12" s="531"/>
      <c r="AG12" s="455"/>
      <c r="AH12" s="461"/>
      <c r="AI12" s="533"/>
    </row>
    <row r="13" spans="1:35" ht="15" customHeight="1">
      <c r="B13" s="366">
        <f t="shared" si="0"/>
        <v>3</v>
      </c>
      <c r="C13" s="289" t="s">
        <v>416</v>
      </c>
      <c r="D13" s="446" t="s">
        <v>270</v>
      </c>
      <c r="E13" s="451" t="s">
        <v>228</v>
      </c>
      <c r="F13" s="520" t="s">
        <v>718</v>
      </c>
      <c r="G13" s="535" t="s">
        <v>452</v>
      </c>
      <c r="H13" s="518" t="s">
        <v>676</v>
      </c>
      <c r="I13" s="521">
        <v>1</v>
      </c>
      <c r="J13" s="522">
        <v>3</v>
      </c>
      <c r="K13" s="450" t="s">
        <v>186</v>
      </c>
      <c r="L13" s="450" t="s">
        <v>1427</v>
      </c>
      <c r="M13" s="450" t="s">
        <v>1428</v>
      </c>
      <c r="N13" s="523" t="s">
        <v>1820</v>
      </c>
      <c r="O13" s="524" t="s">
        <v>400</v>
      </c>
      <c r="P13" s="525"/>
      <c r="Q13" s="526">
        <v>191.45</v>
      </c>
      <c r="R13" s="527"/>
      <c r="S13" s="528">
        <v>1</v>
      </c>
      <c r="T13" s="529" t="s">
        <v>718</v>
      </c>
      <c r="U13" s="530" t="s">
        <v>257</v>
      </c>
      <c r="V13" s="531" t="s">
        <v>447</v>
      </c>
      <c r="W13" s="453" t="s">
        <v>196</v>
      </c>
      <c r="X13" s="455">
        <v>11300000000</v>
      </c>
      <c r="Y13" s="455">
        <v>11300000000</v>
      </c>
      <c r="Z13" s="460" t="s">
        <v>1816</v>
      </c>
      <c r="AA13" s="453"/>
      <c r="AB13" s="453"/>
      <c r="AC13" s="458"/>
      <c r="AD13" s="458"/>
      <c r="AE13" s="532"/>
      <c r="AF13" s="531"/>
      <c r="AG13" s="455"/>
      <c r="AH13" s="461"/>
      <c r="AI13" s="533"/>
    </row>
    <row r="14" spans="1:35" ht="15" customHeight="1">
      <c r="B14" s="366">
        <f t="shared" si="0"/>
        <v>4</v>
      </c>
      <c r="C14" s="289" t="s">
        <v>416</v>
      </c>
      <c r="D14" s="446" t="s">
        <v>270</v>
      </c>
      <c r="E14" s="451" t="s">
        <v>228</v>
      </c>
      <c r="F14" s="520" t="s">
        <v>718</v>
      </c>
      <c r="G14" s="535" t="s">
        <v>452</v>
      </c>
      <c r="H14" s="518" t="s">
        <v>2126</v>
      </c>
      <c r="I14" s="521">
        <v>1</v>
      </c>
      <c r="J14" s="522">
        <v>4</v>
      </c>
      <c r="K14" s="450" t="s">
        <v>186</v>
      </c>
      <c r="L14" s="450" t="s">
        <v>1427</v>
      </c>
      <c r="M14" s="450" t="s">
        <v>1428</v>
      </c>
      <c r="N14" s="523" t="s">
        <v>1821</v>
      </c>
      <c r="O14" s="524" t="s">
        <v>400</v>
      </c>
      <c r="P14" s="525"/>
      <c r="Q14" s="526">
        <v>261.74</v>
      </c>
      <c r="R14" s="527"/>
      <c r="S14" s="528">
        <v>1</v>
      </c>
      <c r="T14" s="529" t="s">
        <v>718</v>
      </c>
      <c r="U14" s="530" t="s">
        <v>257</v>
      </c>
      <c r="V14" s="531" t="s">
        <v>447</v>
      </c>
      <c r="W14" s="453" t="s">
        <v>196</v>
      </c>
      <c r="X14" s="455">
        <v>11300000000</v>
      </c>
      <c r="Y14" s="455">
        <v>11300000000</v>
      </c>
      <c r="Z14" s="460" t="s">
        <v>1816</v>
      </c>
      <c r="AA14" s="453"/>
      <c r="AB14" s="453"/>
      <c r="AC14" s="458"/>
      <c r="AD14" s="458"/>
      <c r="AE14" s="532"/>
      <c r="AF14" s="531"/>
      <c r="AG14" s="455"/>
      <c r="AH14" s="461"/>
      <c r="AI14" s="533"/>
    </row>
    <row r="15" spans="1:35" ht="15" customHeight="1">
      <c r="B15" s="366">
        <f t="shared" si="0"/>
        <v>5</v>
      </c>
      <c r="C15" s="289" t="s">
        <v>416</v>
      </c>
      <c r="D15" s="446" t="s">
        <v>270</v>
      </c>
      <c r="E15" s="451" t="s">
        <v>228</v>
      </c>
      <c r="F15" s="520" t="s">
        <v>718</v>
      </c>
      <c r="G15" s="535" t="s">
        <v>452</v>
      </c>
      <c r="H15" s="518" t="s">
        <v>2127</v>
      </c>
      <c r="I15" s="521">
        <v>1</v>
      </c>
      <c r="J15" s="522">
        <v>5</v>
      </c>
      <c r="K15" s="450" t="s">
        <v>186</v>
      </c>
      <c r="L15" s="450" t="s">
        <v>1427</v>
      </c>
      <c r="M15" s="450" t="s">
        <v>1428</v>
      </c>
      <c r="N15" s="523" t="s">
        <v>1822</v>
      </c>
      <c r="O15" s="524" t="s">
        <v>215</v>
      </c>
      <c r="P15" s="525">
        <v>6678</v>
      </c>
      <c r="Q15" s="526"/>
      <c r="R15" s="527"/>
      <c r="S15" s="528">
        <v>1</v>
      </c>
      <c r="T15" s="529" t="s">
        <v>718</v>
      </c>
      <c r="U15" s="530" t="s">
        <v>257</v>
      </c>
      <c r="V15" s="531" t="s">
        <v>447</v>
      </c>
      <c r="W15" s="453" t="s">
        <v>196</v>
      </c>
      <c r="X15" s="455">
        <v>11300000000</v>
      </c>
      <c r="Y15" s="455">
        <v>11300000000</v>
      </c>
      <c r="Z15" s="460" t="s">
        <v>1816</v>
      </c>
      <c r="AA15" s="453"/>
      <c r="AB15" s="453"/>
      <c r="AC15" s="458"/>
      <c r="AD15" s="458"/>
      <c r="AE15" s="532"/>
      <c r="AF15" s="531"/>
      <c r="AG15" s="455"/>
      <c r="AH15" s="461"/>
      <c r="AI15" s="533" t="s">
        <v>1823</v>
      </c>
    </row>
    <row r="16" spans="1:35" ht="15" customHeight="1">
      <c r="B16" s="366">
        <f t="shared" si="0"/>
        <v>6</v>
      </c>
      <c r="C16" s="289" t="s">
        <v>416</v>
      </c>
      <c r="D16" s="446" t="s">
        <v>270</v>
      </c>
      <c r="E16" s="451" t="s">
        <v>228</v>
      </c>
      <c r="F16" s="520" t="s">
        <v>718</v>
      </c>
      <c r="G16" s="535" t="s">
        <v>452</v>
      </c>
      <c r="H16" s="518" t="s">
        <v>2128</v>
      </c>
      <c r="I16" s="521">
        <v>1</v>
      </c>
      <c r="J16" s="522">
        <v>6</v>
      </c>
      <c r="K16" s="450" t="s">
        <v>186</v>
      </c>
      <c r="L16" s="450" t="s">
        <v>1427</v>
      </c>
      <c r="M16" s="450" t="s">
        <v>1428</v>
      </c>
      <c r="N16" s="523" t="s">
        <v>1824</v>
      </c>
      <c r="O16" s="524" t="s">
        <v>215</v>
      </c>
      <c r="P16" s="525">
        <v>1218</v>
      </c>
      <c r="Q16" s="526"/>
      <c r="R16" s="527"/>
      <c r="S16" s="528">
        <v>1</v>
      </c>
      <c r="T16" s="529" t="s">
        <v>718</v>
      </c>
      <c r="U16" s="530" t="s">
        <v>257</v>
      </c>
      <c r="V16" s="531" t="s">
        <v>447</v>
      </c>
      <c r="W16" s="453" t="s">
        <v>196</v>
      </c>
      <c r="X16" s="455">
        <v>11300000000</v>
      </c>
      <c r="Y16" s="455">
        <v>11300000000</v>
      </c>
      <c r="Z16" s="460" t="s">
        <v>1816</v>
      </c>
      <c r="AA16" s="453"/>
      <c r="AB16" s="453"/>
      <c r="AC16" s="458"/>
      <c r="AD16" s="458"/>
      <c r="AE16" s="532"/>
      <c r="AF16" s="531"/>
      <c r="AG16" s="455"/>
      <c r="AH16" s="461"/>
      <c r="AI16" s="533" t="s">
        <v>1823</v>
      </c>
    </row>
    <row r="17" spans="2:35" ht="15" customHeight="1">
      <c r="B17" s="366">
        <f t="shared" si="0"/>
        <v>7</v>
      </c>
      <c r="C17" s="289" t="s">
        <v>416</v>
      </c>
      <c r="D17" s="446" t="s">
        <v>270</v>
      </c>
      <c r="E17" s="451" t="s">
        <v>228</v>
      </c>
      <c r="F17" s="520" t="s">
        <v>718</v>
      </c>
      <c r="G17" s="535" t="s">
        <v>452</v>
      </c>
      <c r="H17" s="518" t="s">
        <v>2129</v>
      </c>
      <c r="I17" s="521">
        <v>1</v>
      </c>
      <c r="J17" s="522">
        <v>7</v>
      </c>
      <c r="K17" s="450" t="s">
        <v>186</v>
      </c>
      <c r="L17" s="450" t="s">
        <v>1427</v>
      </c>
      <c r="M17" s="450" t="s">
        <v>1428</v>
      </c>
      <c r="N17" s="523" t="s">
        <v>1825</v>
      </c>
      <c r="O17" s="524" t="s">
        <v>215</v>
      </c>
      <c r="P17" s="525">
        <v>38</v>
      </c>
      <c r="Q17" s="526"/>
      <c r="R17" s="527"/>
      <c r="S17" s="528">
        <v>1</v>
      </c>
      <c r="T17" s="529" t="s">
        <v>718</v>
      </c>
      <c r="U17" s="530" t="s">
        <v>257</v>
      </c>
      <c r="V17" s="531" t="s">
        <v>447</v>
      </c>
      <c r="W17" s="453" t="s">
        <v>196</v>
      </c>
      <c r="X17" s="455">
        <v>11300000000</v>
      </c>
      <c r="Y17" s="455">
        <v>11300000000</v>
      </c>
      <c r="Z17" s="460" t="s">
        <v>1816</v>
      </c>
      <c r="AA17" s="453"/>
      <c r="AB17" s="453"/>
      <c r="AC17" s="458"/>
      <c r="AD17" s="458"/>
      <c r="AE17" s="532"/>
      <c r="AF17" s="531"/>
      <c r="AG17" s="455"/>
      <c r="AH17" s="461"/>
      <c r="AI17" s="533" t="s">
        <v>1823</v>
      </c>
    </row>
    <row r="18" spans="2:35" ht="15" customHeight="1">
      <c r="B18" s="366">
        <f t="shared" si="0"/>
        <v>8</v>
      </c>
      <c r="C18" s="289" t="s">
        <v>416</v>
      </c>
      <c r="D18" s="446" t="s">
        <v>270</v>
      </c>
      <c r="E18" s="451" t="s">
        <v>228</v>
      </c>
      <c r="F18" s="520" t="s">
        <v>718</v>
      </c>
      <c r="G18" s="535" t="s">
        <v>453</v>
      </c>
      <c r="H18" s="518" t="s">
        <v>518</v>
      </c>
      <c r="I18" s="521">
        <v>2</v>
      </c>
      <c r="J18" s="522">
        <v>1</v>
      </c>
      <c r="K18" s="450" t="s">
        <v>186</v>
      </c>
      <c r="L18" s="450" t="s">
        <v>180</v>
      </c>
      <c r="M18" s="450" t="s">
        <v>1430</v>
      </c>
      <c r="N18" s="523" t="s">
        <v>1826</v>
      </c>
      <c r="O18" s="524" t="s">
        <v>400</v>
      </c>
      <c r="P18" s="525"/>
      <c r="Q18" s="526">
        <v>327.45</v>
      </c>
      <c r="R18" s="527"/>
      <c r="S18" s="528">
        <v>1</v>
      </c>
      <c r="T18" s="529" t="s">
        <v>718</v>
      </c>
      <c r="U18" s="530" t="s">
        <v>250</v>
      </c>
      <c r="V18" s="531" t="s">
        <v>444</v>
      </c>
      <c r="W18" s="453" t="s">
        <v>196</v>
      </c>
      <c r="X18" s="455">
        <v>1380000000</v>
      </c>
      <c r="Y18" s="455">
        <v>1380000000</v>
      </c>
      <c r="Z18" s="460" t="s">
        <v>1816</v>
      </c>
      <c r="AA18" s="453"/>
      <c r="AB18" s="453"/>
      <c r="AC18" s="458"/>
      <c r="AD18" s="458"/>
      <c r="AE18" s="532"/>
      <c r="AF18" s="531"/>
      <c r="AG18" s="455"/>
      <c r="AH18" s="461"/>
      <c r="AI18" s="533"/>
    </row>
    <row r="19" spans="2:35" ht="15" customHeight="1">
      <c r="B19" s="366">
        <f t="shared" si="0"/>
        <v>9</v>
      </c>
      <c r="C19" s="289" t="s">
        <v>416</v>
      </c>
      <c r="D19" s="446" t="s">
        <v>270</v>
      </c>
      <c r="E19" s="451" t="s">
        <v>228</v>
      </c>
      <c r="F19" s="520" t="s">
        <v>718</v>
      </c>
      <c r="G19" s="535" t="s">
        <v>453</v>
      </c>
      <c r="H19" s="518" t="s">
        <v>519</v>
      </c>
      <c r="I19" s="521">
        <v>2</v>
      </c>
      <c r="J19" s="522">
        <v>2</v>
      </c>
      <c r="K19" s="450" t="s">
        <v>186</v>
      </c>
      <c r="L19" s="450" t="s">
        <v>180</v>
      </c>
      <c r="M19" s="450" t="s">
        <v>1430</v>
      </c>
      <c r="N19" s="523" t="s">
        <v>1827</v>
      </c>
      <c r="O19" s="524" t="s">
        <v>400</v>
      </c>
      <c r="P19" s="525"/>
      <c r="Q19" s="526">
        <v>240.38</v>
      </c>
      <c r="R19" s="527"/>
      <c r="S19" s="528">
        <v>1</v>
      </c>
      <c r="T19" s="529" t="s">
        <v>718</v>
      </c>
      <c r="U19" s="530" t="s">
        <v>250</v>
      </c>
      <c r="V19" s="531" t="s">
        <v>444</v>
      </c>
      <c r="W19" s="453" t="s">
        <v>196</v>
      </c>
      <c r="X19" s="455">
        <v>1380000000</v>
      </c>
      <c r="Y19" s="455">
        <v>1380000000</v>
      </c>
      <c r="Z19" s="460" t="s">
        <v>1816</v>
      </c>
      <c r="AA19" s="453"/>
      <c r="AB19" s="453"/>
      <c r="AC19" s="458"/>
      <c r="AD19" s="458"/>
      <c r="AE19" s="532"/>
      <c r="AF19" s="531"/>
      <c r="AG19" s="455"/>
      <c r="AH19" s="461"/>
      <c r="AI19" s="533"/>
    </row>
    <row r="20" spans="2:35" ht="15" customHeight="1">
      <c r="B20" s="366">
        <f t="shared" si="0"/>
        <v>10</v>
      </c>
      <c r="C20" s="289" t="s">
        <v>416</v>
      </c>
      <c r="D20" s="446" t="s">
        <v>270</v>
      </c>
      <c r="E20" s="451" t="s">
        <v>228</v>
      </c>
      <c r="F20" s="520" t="s">
        <v>718</v>
      </c>
      <c r="G20" s="535" t="s">
        <v>453</v>
      </c>
      <c r="H20" s="518" t="s">
        <v>2130</v>
      </c>
      <c r="I20" s="521">
        <v>2</v>
      </c>
      <c r="J20" s="522">
        <v>3</v>
      </c>
      <c r="K20" s="450" t="s">
        <v>186</v>
      </c>
      <c r="L20" s="450" t="s">
        <v>180</v>
      </c>
      <c r="M20" s="450" t="s">
        <v>1430</v>
      </c>
      <c r="N20" s="523" t="s">
        <v>1828</v>
      </c>
      <c r="O20" s="524" t="s">
        <v>215</v>
      </c>
      <c r="P20" s="525">
        <v>378</v>
      </c>
      <c r="Q20" s="526"/>
      <c r="R20" s="527"/>
      <c r="S20" s="528">
        <v>1</v>
      </c>
      <c r="T20" s="529" t="s">
        <v>718</v>
      </c>
      <c r="U20" s="530" t="s">
        <v>250</v>
      </c>
      <c r="V20" s="531" t="s">
        <v>444</v>
      </c>
      <c r="W20" s="453" t="s">
        <v>196</v>
      </c>
      <c r="X20" s="455">
        <v>1380000000</v>
      </c>
      <c r="Y20" s="455">
        <v>1380000000</v>
      </c>
      <c r="Z20" s="460" t="s">
        <v>1816</v>
      </c>
      <c r="AA20" s="453"/>
      <c r="AB20" s="453"/>
      <c r="AC20" s="458"/>
      <c r="AD20" s="458"/>
      <c r="AE20" s="532"/>
      <c r="AF20" s="531"/>
      <c r="AG20" s="455"/>
      <c r="AH20" s="461"/>
      <c r="AI20" s="533"/>
    </row>
    <row r="21" spans="2:35" ht="15" customHeight="1">
      <c r="B21" s="366">
        <f t="shared" si="0"/>
        <v>11</v>
      </c>
      <c r="C21" s="289" t="s">
        <v>416</v>
      </c>
      <c r="D21" s="446" t="s">
        <v>270</v>
      </c>
      <c r="E21" s="451" t="s">
        <v>228</v>
      </c>
      <c r="F21" s="520" t="s">
        <v>718</v>
      </c>
      <c r="G21" s="535" t="s">
        <v>453</v>
      </c>
      <c r="H21" s="518" t="s">
        <v>2131</v>
      </c>
      <c r="I21" s="521">
        <v>2</v>
      </c>
      <c r="J21" s="522">
        <v>4</v>
      </c>
      <c r="K21" s="450" t="s">
        <v>186</v>
      </c>
      <c r="L21" s="450" t="s">
        <v>180</v>
      </c>
      <c r="M21" s="450" t="s">
        <v>1430</v>
      </c>
      <c r="N21" s="523" t="s">
        <v>1829</v>
      </c>
      <c r="O21" s="524" t="s">
        <v>215</v>
      </c>
      <c r="P21" s="525">
        <v>327.60000000000002</v>
      </c>
      <c r="Q21" s="526"/>
      <c r="R21" s="527"/>
      <c r="S21" s="528">
        <v>1</v>
      </c>
      <c r="T21" s="529" t="s">
        <v>718</v>
      </c>
      <c r="U21" s="530" t="s">
        <v>250</v>
      </c>
      <c r="V21" s="531" t="s">
        <v>444</v>
      </c>
      <c r="W21" s="453" t="s">
        <v>196</v>
      </c>
      <c r="X21" s="455">
        <v>1380000000</v>
      </c>
      <c r="Y21" s="455">
        <v>1380000000</v>
      </c>
      <c r="Z21" s="460" t="s">
        <v>1816</v>
      </c>
      <c r="AA21" s="453"/>
      <c r="AB21" s="453"/>
      <c r="AC21" s="458"/>
      <c r="AD21" s="458"/>
      <c r="AE21" s="532"/>
      <c r="AF21" s="531"/>
      <c r="AG21" s="455"/>
      <c r="AH21" s="461"/>
      <c r="AI21" s="533"/>
    </row>
    <row r="22" spans="2:35" ht="15" customHeight="1">
      <c r="B22" s="366">
        <f t="shared" si="0"/>
        <v>12</v>
      </c>
      <c r="C22" s="289" t="s">
        <v>416</v>
      </c>
      <c r="D22" s="446" t="s">
        <v>270</v>
      </c>
      <c r="E22" s="451" t="s">
        <v>228</v>
      </c>
      <c r="F22" s="520" t="s">
        <v>718</v>
      </c>
      <c r="G22" s="535" t="s">
        <v>1666</v>
      </c>
      <c r="H22" s="518" t="s">
        <v>2132</v>
      </c>
      <c r="I22" s="521">
        <v>3</v>
      </c>
      <c r="J22" s="522">
        <v>1</v>
      </c>
      <c r="K22" s="450" t="s">
        <v>186</v>
      </c>
      <c r="L22" s="450" t="s">
        <v>183</v>
      </c>
      <c r="M22" s="450" t="s">
        <v>314</v>
      </c>
      <c r="N22" s="523" t="s">
        <v>1830</v>
      </c>
      <c r="O22" s="524" t="s">
        <v>400</v>
      </c>
      <c r="P22" s="525"/>
      <c r="Q22" s="526">
        <v>185.85000000000002</v>
      </c>
      <c r="R22" s="527"/>
      <c r="S22" s="528">
        <v>1</v>
      </c>
      <c r="T22" s="529" t="s">
        <v>718</v>
      </c>
      <c r="U22" s="530">
        <v>1</v>
      </c>
      <c r="V22" s="531" t="s">
        <v>442</v>
      </c>
      <c r="W22" s="453" t="s">
        <v>196</v>
      </c>
      <c r="X22" s="455">
        <v>600000000</v>
      </c>
      <c r="Y22" s="455">
        <v>600000000</v>
      </c>
      <c r="Z22" s="460" t="s">
        <v>1816</v>
      </c>
      <c r="AA22" s="453"/>
      <c r="AB22" s="453"/>
      <c r="AC22" s="458"/>
      <c r="AD22" s="458"/>
      <c r="AE22" s="532"/>
      <c r="AF22" s="531"/>
      <c r="AG22" s="455"/>
      <c r="AH22" s="461"/>
      <c r="AI22" s="533"/>
    </row>
    <row r="23" spans="2:35" ht="15" customHeight="1">
      <c r="B23" s="366">
        <f t="shared" si="0"/>
        <v>13</v>
      </c>
      <c r="C23" s="289" t="s">
        <v>416</v>
      </c>
      <c r="D23" s="446" t="s">
        <v>270</v>
      </c>
      <c r="E23" s="451" t="s">
        <v>228</v>
      </c>
      <c r="F23" s="520" t="s">
        <v>718</v>
      </c>
      <c r="G23" s="535" t="s">
        <v>1666</v>
      </c>
      <c r="H23" s="518" t="s">
        <v>2133</v>
      </c>
      <c r="I23" s="521">
        <v>3</v>
      </c>
      <c r="J23" s="522">
        <v>2</v>
      </c>
      <c r="K23" s="450" t="s">
        <v>186</v>
      </c>
      <c r="L23" s="450" t="s">
        <v>183</v>
      </c>
      <c r="M23" s="450" t="s">
        <v>314</v>
      </c>
      <c r="N23" s="523" t="s">
        <v>1831</v>
      </c>
      <c r="O23" s="524" t="s">
        <v>215</v>
      </c>
      <c r="P23" s="525">
        <v>502</v>
      </c>
      <c r="Q23" s="526"/>
      <c r="R23" s="527"/>
      <c r="S23" s="528">
        <v>1</v>
      </c>
      <c r="T23" s="529" t="s">
        <v>718</v>
      </c>
      <c r="U23" s="530">
        <v>1</v>
      </c>
      <c r="V23" s="531" t="s">
        <v>442</v>
      </c>
      <c r="W23" s="453" t="s">
        <v>196</v>
      </c>
      <c r="X23" s="455">
        <v>600000000</v>
      </c>
      <c r="Y23" s="455">
        <v>600000000</v>
      </c>
      <c r="Z23" s="460" t="s">
        <v>1816</v>
      </c>
      <c r="AA23" s="453"/>
      <c r="AB23" s="453"/>
      <c r="AC23" s="458"/>
      <c r="AD23" s="458"/>
      <c r="AE23" s="532"/>
      <c r="AF23" s="531"/>
      <c r="AG23" s="455"/>
      <c r="AH23" s="461"/>
      <c r="AI23" s="533"/>
    </row>
    <row r="24" spans="2:35" ht="15" customHeight="1">
      <c r="B24" s="366">
        <f t="shared" si="0"/>
        <v>14</v>
      </c>
      <c r="C24" s="289" t="s">
        <v>416</v>
      </c>
      <c r="D24" s="446" t="s">
        <v>270</v>
      </c>
      <c r="E24" s="451" t="s">
        <v>228</v>
      </c>
      <c r="F24" s="520" t="s">
        <v>718</v>
      </c>
      <c r="G24" s="535" t="s">
        <v>1666</v>
      </c>
      <c r="H24" s="518" t="s">
        <v>2134</v>
      </c>
      <c r="I24" s="521">
        <v>3</v>
      </c>
      <c r="J24" s="522">
        <v>3</v>
      </c>
      <c r="K24" s="450" t="s">
        <v>186</v>
      </c>
      <c r="L24" s="450" t="s">
        <v>183</v>
      </c>
      <c r="M24" s="450" t="s">
        <v>314</v>
      </c>
      <c r="N24" s="523" t="s">
        <v>1832</v>
      </c>
      <c r="O24" s="524" t="s">
        <v>215</v>
      </c>
      <c r="P24" s="525">
        <v>39</v>
      </c>
      <c r="Q24" s="526"/>
      <c r="R24" s="527"/>
      <c r="S24" s="528">
        <v>1</v>
      </c>
      <c r="T24" s="529" t="s">
        <v>718</v>
      </c>
      <c r="U24" s="530">
        <v>1</v>
      </c>
      <c r="V24" s="531" t="s">
        <v>442</v>
      </c>
      <c r="W24" s="453" t="s">
        <v>196</v>
      </c>
      <c r="X24" s="455">
        <v>600000000</v>
      </c>
      <c r="Y24" s="455">
        <v>600000000</v>
      </c>
      <c r="Z24" s="460" t="s">
        <v>1816</v>
      </c>
      <c r="AA24" s="453"/>
      <c r="AB24" s="453"/>
      <c r="AC24" s="458"/>
      <c r="AD24" s="458"/>
      <c r="AE24" s="532"/>
      <c r="AF24" s="531"/>
      <c r="AG24" s="455"/>
      <c r="AH24" s="461"/>
      <c r="AI24" s="533"/>
    </row>
    <row r="25" spans="2:35" ht="15" customHeight="1">
      <c r="B25" s="366">
        <f t="shared" si="0"/>
        <v>15</v>
      </c>
      <c r="C25" s="289" t="s">
        <v>416</v>
      </c>
      <c r="D25" s="446" t="s">
        <v>270</v>
      </c>
      <c r="E25" s="451" t="s">
        <v>228</v>
      </c>
      <c r="F25" s="520" t="s">
        <v>718</v>
      </c>
      <c r="G25" s="535" t="s">
        <v>1667</v>
      </c>
      <c r="H25" s="518" t="s">
        <v>2135</v>
      </c>
      <c r="I25" s="521">
        <v>4</v>
      </c>
      <c r="J25" s="522">
        <v>1</v>
      </c>
      <c r="K25" s="450" t="s">
        <v>188</v>
      </c>
      <c r="L25" s="450" t="s">
        <v>185</v>
      </c>
      <c r="M25" s="450" t="s">
        <v>1432</v>
      </c>
      <c r="N25" s="523" t="s">
        <v>1833</v>
      </c>
      <c r="O25" s="524" t="s">
        <v>400</v>
      </c>
      <c r="P25" s="525"/>
      <c r="Q25" s="526">
        <v>306.98</v>
      </c>
      <c r="R25" s="527"/>
      <c r="S25" s="528">
        <v>1</v>
      </c>
      <c r="T25" s="529" t="s">
        <v>718</v>
      </c>
      <c r="U25" s="530">
        <v>1</v>
      </c>
      <c r="V25" s="531" t="s">
        <v>442</v>
      </c>
      <c r="W25" s="453" t="s">
        <v>196</v>
      </c>
      <c r="X25" s="455">
        <v>480000000</v>
      </c>
      <c r="Y25" s="455">
        <v>480000000</v>
      </c>
      <c r="Z25" s="460" t="s">
        <v>1816</v>
      </c>
      <c r="AA25" s="453"/>
      <c r="AB25" s="453"/>
      <c r="AC25" s="458"/>
      <c r="AD25" s="458"/>
      <c r="AE25" s="532"/>
      <c r="AF25" s="531"/>
      <c r="AG25" s="455"/>
      <c r="AH25" s="461"/>
      <c r="AI25" s="533"/>
    </row>
    <row r="26" spans="2:35" ht="15" customHeight="1">
      <c r="B26" s="366">
        <f t="shared" si="0"/>
        <v>16</v>
      </c>
      <c r="C26" s="289" t="s">
        <v>416</v>
      </c>
      <c r="D26" s="446" t="s">
        <v>270</v>
      </c>
      <c r="E26" s="451" t="s">
        <v>228</v>
      </c>
      <c r="F26" s="520" t="s">
        <v>718</v>
      </c>
      <c r="G26" s="535" t="s">
        <v>1667</v>
      </c>
      <c r="H26" s="518" t="s">
        <v>2136</v>
      </c>
      <c r="I26" s="521">
        <v>4</v>
      </c>
      <c r="J26" s="522">
        <v>2</v>
      </c>
      <c r="K26" s="450" t="s">
        <v>188</v>
      </c>
      <c r="L26" s="450" t="s">
        <v>185</v>
      </c>
      <c r="M26" s="450" t="s">
        <v>1432</v>
      </c>
      <c r="N26" s="523" t="s">
        <v>1833</v>
      </c>
      <c r="O26" s="524" t="s">
        <v>215</v>
      </c>
      <c r="P26" s="525">
        <v>365.6</v>
      </c>
      <c r="Q26" s="526"/>
      <c r="R26" s="527"/>
      <c r="S26" s="528">
        <v>1</v>
      </c>
      <c r="T26" s="529" t="s">
        <v>718</v>
      </c>
      <c r="U26" s="530">
        <v>1</v>
      </c>
      <c r="V26" s="531" t="s">
        <v>442</v>
      </c>
      <c r="W26" s="453" t="s">
        <v>196</v>
      </c>
      <c r="X26" s="455">
        <v>480000000</v>
      </c>
      <c r="Y26" s="455">
        <v>480000000</v>
      </c>
      <c r="Z26" s="460" t="s">
        <v>1816</v>
      </c>
      <c r="AA26" s="453"/>
      <c r="AB26" s="453"/>
      <c r="AC26" s="458"/>
      <c r="AD26" s="458"/>
      <c r="AE26" s="532"/>
      <c r="AF26" s="531"/>
      <c r="AG26" s="455"/>
      <c r="AH26" s="461"/>
      <c r="AI26" s="533"/>
    </row>
    <row r="27" spans="2:35" ht="15" customHeight="1">
      <c r="B27" s="366">
        <f t="shared" si="0"/>
        <v>17</v>
      </c>
      <c r="C27" s="289" t="s">
        <v>416</v>
      </c>
      <c r="D27" s="446" t="s">
        <v>270</v>
      </c>
      <c r="E27" s="451" t="s">
        <v>228</v>
      </c>
      <c r="F27" s="520" t="s">
        <v>718</v>
      </c>
      <c r="G27" s="535" t="s">
        <v>1668</v>
      </c>
      <c r="H27" s="518" t="s">
        <v>2137</v>
      </c>
      <c r="I27" s="521">
        <v>5</v>
      </c>
      <c r="J27" s="522">
        <v>1</v>
      </c>
      <c r="K27" s="450" t="s">
        <v>188</v>
      </c>
      <c r="L27" s="450" t="s">
        <v>185</v>
      </c>
      <c r="M27" s="450" t="s">
        <v>1432</v>
      </c>
      <c r="N27" s="523" t="s">
        <v>1433</v>
      </c>
      <c r="O27" s="524" t="s">
        <v>1834</v>
      </c>
      <c r="P27" s="525">
        <v>47328.5</v>
      </c>
      <c r="Q27" s="526">
        <v>112.36</v>
      </c>
      <c r="R27" s="527">
        <v>1.0194702980233898E-3</v>
      </c>
      <c r="S27" s="528">
        <v>1</v>
      </c>
      <c r="T27" s="529" t="s">
        <v>718</v>
      </c>
      <c r="U27" s="530">
        <v>1</v>
      </c>
      <c r="V27" s="531" t="s">
        <v>442</v>
      </c>
      <c r="W27" s="453" t="s">
        <v>196</v>
      </c>
      <c r="X27" s="455">
        <v>321600000</v>
      </c>
      <c r="Y27" s="455">
        <v>321600000</v>
      </c>
      <c r="Z27" s="460" t="s">
        <v>1816</v>
      </c>
      <c r="AA27" s="453"/>
      <c r="AB27" s="453"/>
      <c r="AC27" s="458"/>
      <c r="AD27" s="458"/>
      <c r="AE27" s="532"/>
      <c r="AF27" s="531"/>
      <c r="AG27" s="455"/>
      <c r="AH27" s="461"/>
      <c r="AI27" s="533"/>
    </row>
    <row r="28" spans="2:35" ht="15" customHeight="1">
      <c r="B28" s="366">
        <f t="shared" si="0"/>
        <v>18</v>
      </c>
      <c r="C28" s="289" t="s">
        <v>416</v>
      </c>
      <c r="D28" s="446" t="s">
        <v>270</v>
      </c>
      <c r="E28" s="451" t="s">
        <v>210</v>
      </c>
      <c r="F28" s="520" t="s">
        <v>719</v>
      </c>
      <c r="G28" s="535" t="s">
        <v>454</v>
      </c>
      <c r="H28" s="518" t="s">
        <v>520</v>
      </c>
      <c r="I28" s="521">
        <v>1</v>
      </c>
      <c r="J28" s="522">
        <v>1</v>
      </c>
      <c r="K28" s="450" t="s">
        <v>188</v>
      </c>
      <c r="L28" s="450" t="s">
        <v>642</v>
      </c>
      <c r="M28" s="450" t="s">
        <v>1434</v>
      </c>
      <c r="N28" s="523" t="s">
        <v>1836</v>
      </c>
      <c r="O28" s="524" t="s">
        <v>1837</v>
      </c>
      <c r="P28" s="525"/>
      <c r="Q28" s="526">
        <v>3436.68</v>
      </c>
      <c r="R28" s="527"/>
      <c r="S28" s="528">
        <v>1</v>
      </c>
      <c r="T28" s="529" t="s">
        <v>719</v>
      </c>
      <c r="U28" s="530">
        <v>1</v>
      </c>
      <c r="V28" s="531" t="s">
        <v>442</v>
      </c>
      <c r="W28" s="453" t="s">
        <v>196</v>
      </c>
      <c r="X28" s="455">
        <v>11400000000</v>
      </c>
      <c r="Y28" s="455">
        <v>11400000000</v>
      </c>
      <c r="Z28" s="460" t="s">
        <v>1816</v>
      </c>
      <c r="AA28" s="453"/>
      <c r="AB28" s="453"/>
      <c r="AC28" s="458"/>
      <c r="AD28" s="458"/>
      <c r="AE28" s="532"/>
      <c r="AF28" s="531"/>
      <c r="AG28" s="455"/>
      <c r="AH28" s="461"/>
      <c r="AI28" s="533"/>
    </row>
    <row r="29" spans="2:35" ht="15" customHeight="1">
      <c r="B29" s="366">
        <f t="shared" si="0"/>
        <v>19</v>
      </c>
      <c r="C29" s="289" t="s">
        <v>416</v>
      </c>
      <c r="D29" s="446" t="s">
        <v>270</v>
      </c>
      <c r="E29" s="451" t="s">
        <v>210</v>
      </c>
      <c r="F29" s="520" t="s">
        <v>719</v>
      </c>
      <c r="G29" s="535" t="s">
        <v>454</v>
      </c>
      <c r="H29" s="518" t="s">
        <v>521</v>
      </c>
      <c r="I29" s="521">
        <v>1</v>
      </c>
      <c r="J29" s="522">
        <v>2</v>
      </c>
      <c r="K29" s="450" t="s">
        <v>188</v>
      </c>
      <c r="L29" s="450" t="s">
        <v>642</v>
      </c>
      <c r="M29" s="450" t="s">
        <v>1434</v>
      </c>
      <c r="N29" s="523" t="s">
        <v>1838</v>
      </c>
      <c r="O29" s="524" t="s">
        <v>215</v>
      </c>
      <c r="P29" s="525">
        <v>4793</v>
      </c>
      <c r="Q29" s="526"/>
      <c r="R29" s="527"/>
      <c r="S29" s="528">
        <v>1</v>
      </c>
      <c r="T29" s="529" t="s">
        <v>719</v>
      </c>
      <c r="U29" s="530">
        <v>1</v>
      </c>
      <c r="V29" s="531" t="s">
        <v>442</v>
      </c>
      <c r="W29" s="453" t="s">
        <v>196</v>
      </c>
      <c r="X29" s="455">
        <v>11400000000</v>
      </c>
      <c r="Y29" s="455">
        <v>11400000000</v>
      </c>
      <c r="Z29" s="460" t="s">
        <v>1816</v>
      </c>
      <c r="AA29" s="453"/>
      <c r="AB29" s="453"/>
      <c r="AC29" s="458"/>
      <c r="AD29" s="458"/>
      <c r="AE29" s="532"/>
      <c r="AF29" s="531"/>
      <c r="AG29" s="455"/>
      <c r="AH29" s="461"/>
      <c r="AI29" s="533"/>
    </row>
    <row r="30" spans="2:35" ht="15" customHeight="1">
      <c r="B30" s="366">
        <f t="shared" si="0"/>
        <v>20</v>
      </c>
      <c r="C30" s="289" t="s">
        <v>416</v>
      </c>
      <c r="D30" s="446" t="s">
        <v>270</v>
      </c>
      <c r="E30" s="451" t="s">
        <v>210</v>
      </c>
      <c r="F30" s="520" t="s">
        <v>719</v>
      </c>
      <c r="G30" s="535" t="s">
        <v>454</v>
      </c>
      <c r="H30" s="518" t="s">
        <v>522</v>
      </c>
      <c r="I30" s="521">
        <v>1</v>
      </c>
      <c r="J30" s="522">
        <v>3</v>
      </c>
      <c r="K30" s="450" t="s">
        <v>188</v>
      </c>
      <c r="L30" s="450" t="s">
        <v>642</v>
      </c>
      <c r="M30" s="450" t="s">
        <v>1434</v>
      </c>
      <c r="N30" s="523" t="s">
        <v>1839</v>
      </c>
      <c r="O30" s="524" t="s">
        <v>215</v>
      </c>
      <c r="P30" s="525">
        <v>285</v>
      </c>
      <c r="Q30" s="526"/>
      <c r="R30" s="527"/>
      <c r="S30" s="528">
        <v>1</v>
      </c>
      <c r="T30" s="529" t="s">
        <v>719</v>
      </c>
      <c r="U30" s="530">
        <v>1</v>
      </c>
      <c r="V30" s="531" t="s">
        <v>442</v>
      </c>
      <c r="W30" s="453" t="s">
        <v>196</v>
      </c>
      <c r="X30" s="455">
        <v>11400000000</v>
      </c>
      <c r="Y30" s="455">
        <v>11400000000</v>
      </c>
      <c r="Z30" s="460" t="s">
        <v>1816</v>
      </c>
      <c r="AA30" s="453"/>
      <c r="AB30" s="453"/>
      <c r="AC30" s="458"/>
      <c r="AD30" s="458"/>
      <c r="AE30" s="532"/>
      <c r="AF30" s="531"/>
      <c r="AG30" s="455"/>
      <c r="AH30" s="461"/>
      <c r="AI30" s="533"/>
    </row>
    <row r="31" spans="2:35" ht="15" customHeight="1">
      <c r="B31" s="366">
        <f t="shared" si="0"/>
        <v>21</v>
      </c>
      <c r="C31" s="289" t="s">
        <v>416</v>
      </c>
      <c r="D31" s="446" t="s">
        <v>270</v>
      </c>
      <c r="E31" s="451" t="s">
        <v>210</v>
      </c>
      <c r="F31" s="520" t="s">
        <v>719</v>
      </c>
      <c r="G31" s="535" t="s">
        <v>454</v>
      </c>
      <c r="H31" s="518" t="s">
        <v>523</v>
      </c>
      <c r="I31" s="521">
        <v>1</v>
      </c>
      <c r="J31" s="522">
        <v>4</v>
      </c>
      <c r="K31" s="450" t="s">
        <v>188</v>
      </c>
      <c r="L31" s="450" t="s">
        <v>642</v>
      </c>
      <c r="M31" s="450" t="s">
        <v>1434</v>
      </c>
      <c r="N31" s="523" t="s">
        <v>1840</v>
      </c>
      <c r="O31" s="524" t="s">
        <v>215</v>
      </c>
      <c r="P31" s="525">
        <v>31</v>
      </c>
      <c r="Q31" s="526"/>
      <c r="R31" s="527"/>
      <c r="S31" s="528">
        <v>1</v>
      </c>
      <c r="T31" s="529" t="s">
        <v>719</v>
      </c>
      <c r="U31" s="530">
        <v>1</v>
      </c>
      <c r="V31" s="531" t="s">
        <v>442</v>
      </c>
      <c r="W31" s="453" t="s">
        <v>196</v>
      </c>
      <c r="X31" s="455">
        <v>11400000000</v>
      </c>
      <c r="Y31" s="455">
        <v>11400000000</v>
      </c>
      <c r="Z31" s="460" t="s">
        <v>1816</v>
      </c>
      <c r="AA31" s="453"/>
      <c r="AB31" s="453"/>
      <c r="AC31" s="458"/>
      <c r="AD31" s="458"/>
      <c r="AE31" s="532"/>
      <c r="AF31" s="531"/>
      <c r="AG31" s="455"/>
      <c r="AH31" s="461"/>
      <c r="AI31" s="533"/>
    </row>
    <row r="32" spans="2:35" ht="15" customHeight="1">
      <c r="B32" s="366">
        <f t="shared" si="0"/>
        <v>22</v>
      </c>
      <c r="C32" s="289" t="s">
        <v>416</v>
      </c>
      <c r="D32" s="446" t="s">
        <v>270</v>
      </c>
      <c r="E32" s="451" t="s">
        <v>210</v>
      </c>
      <c r="F32" s="520" t="s">
        <v>719</v>
      </c>
      <c r="G32" s="535" t="s">
        <v>454</v>
      </c>
      <c r="H32" s="518" t="s">
        <v>524</v>
      </c>
      <c r="I32" s="521">
        <v>1</v>
      </c>
      <c r="J32" s="522">
        <v>5</v>
      </c>
      <c r="K32" s="450" t="s">
        <v>188</v>
      </c>
      <c r="L32" s="450" t="s">
        <v>642</v>
      </c>
      <c r="M32" s="450" t="s">
        <v>1434</v>
      </c>
      <c r="N32" s="523" t="s">
        <v>1841</v>
      </c>
      <c r="O32" s="524" t="s">
        <v>214</v>
      </c>
      <c r="P32" s="525">
        <v>126</v>
      </c>
      <c r="Q32" s="526"/>
      <c r="R32" s="527"/>
      <c r="S32" s="528">
        <v>1</v>
      </c>
      <c r="T32" s="529" t="s">
        <v>719</v>
      </c>
      <c r="U32" s="530">
        <v>1</v>
      </c>
      <c r="V32" s="531" t="s">
        <v>442</v>
      </c>
      <c r="W32" s="453" t="s">
        <v>196</v>
      </c>
      <c r="X32" s="455">
        <v>11400000000</v>
      </c>
      <c r="Y32" s="455">
        <v>11400000000</v>
      </c>
      <c r="Z32" s="460" t="s">
        <v>1816</v>
      </c>
      <c r="AA32" s="453"/>
      <c r="AB32" s="453"/>
      <c r="AC32" s="458"/>
      <c r="AD32" s="458"/>
      <c r="AE32" s="532"/>
      <c r="AF32" s="531"/>
      <c r="AG32" s="455"/>
      <c r="AH32" s="461"/>
      <c r="AI32" s="533"/>
    </row>
    <row r="33" spans="2:35" ht="15" customHeight="1">
      <c r="B33" s="366">
        <f t="shared" si="0"/>
        <v>23</v>
      </c>
      <c r="C33" s="289" t="s">
        <v>416</v>
      </c>
      <c r="D33" s="446" t="s">
        <v>270</v>
      </c>
      <c r="E33" s="451" t="s">
        <v>210</v>
      </c>
      <c r="F33" s="520" t="s">
        <v>719</v>
      </c>
      <c r="G33" s="535" t="s">
        <v>454</v>
      </c>
      <c r="H33" s="518" t="s">
        <v>525</v>
      </c>
      <c r="I33" s="521">
        <v>1</v>
      </c>
      <c r="J33" s="522">
        <v>6</v>
      </c>
      <c r="K33" s="450" t="s">
        <v>188</v>
      </c>
      <c r="L33" s="450" t="s">
        <v>642</v>
      </c>
      <c r="M33" s="450" t="s">
        <v>1434</v>
      </c>
      <c r="N33" s="523" t="s">
        <v>1842</v>
      </c>
      <c r="O33" s="524" t="s">
        <v>214</v>
      </c>
      <c r="P33" s="525">
        <v>18</v>
      </c>
      <c r="Q33" s="526"/>
      <c r="R33" s="527"/>
      <c r="S33" s="528">
        <v>1</v>
      </c>
      <c r="T33" s="529" t="s">
        <v>719</v>
      </c>
      <c r="U33" s="530">
        <v>1</v>
      </c>
      <c r="V33" s="531" t="s">
        <v>442</v>
      </c>
      <c r="W33" s="453" t="s">
        <v>196</v>
      </c>
      <c r="X33" s="455">
        <v>11400000000</v>
      </c>
      <c r="Y33" s="455">
        <v>11400000000</v>
      </c>
      <c r="Z33" s="460" t="s">
        <v>1816</v>
      </c>
      <c r="AA33" s="453"/>
      <c r="AB33" s="453"/>
      <c r="AC33" s="458"/>
      <c r="AD33" s="458"/>
      <c r="AE33" s="532"/>
      <c r="AF33" s="531"/>
      <c r="AG33" s="455"/>
      <c r="AH33" s="461"/>
      <c r="AI33" s="533"/>
    </row>
    <row r="34" spans="2:35" ht="15" customHeight="1">
      <c r="B34" s="366">
        <f t="shared" si="0"/>
        <v>24</v>
      </c>
      <c r="C34" s="289" t="s">
        <v>416</v>
      </c>
      <c r="D34" s="446" t="s">
        <v>270</v>
      </c>
      <c r="E34" s="451" t="s">
        <v>210</v>
      </c>
      <c r="F34" s="520" t="s">
        <v>719</v>
      </c>
      <c r="G34" s="535" t="s">
        <v>454</v>
      </c>
      <c r="H34" s="518" t="s">
        <v>526</v>
      </c>
      <c r="I34" s="521">
        <v>1</v>
      </c>
      <c r="J34" s="522">
        <v>7</v>
      </c>
      <c r="K34" s="450" t="s">
        <v>188</v>
      </c>
      <c r="L34" s="450" t="s">
        <v>642</v>
      </c>
      <c r="M34" s="450" t="s">
        <v>1434</v>
      </c>
      <c r="N34" s="523" t="s">
        <v>1843</v>
      </c>
      <c r="O34" s="524" t="s">
        <v>214</v>
      </c>
      <c r="P34" s="525">
        <v>1</v>
      </c>
      <c r="Q34" s="526"/>
      <c r="R34" s="527"/>
      <c r="S34" s="528">
        <v>1</v>
      </c>
      <c r="T34" s="529" t="s">
        <v>1844</v>
      </c>
      <c r="U34" s="530">
        <v>1</v>
      </c>
      <c r="V34" s="531" t="s">
        <v>442</v>
      </c>
      <c r="W34" s="453" t="s">
        <v>196</v>
      </c>
      <c r="X34" s="455">
        <v>11400000000</v>
      </c>
      <c r="Y34" s="455">
        <v>11400000000</v>
      </c>
      <c r="Z34" s="460" t="s">
        <v>1816</v>
      </c>
      <c r="AA34" s="453"/>
      <c r="AB34" s="453"/>
      <c r="AC34" s="458"/>
      <c r="AD34" s="458"/>
      <c r="AE34" s="532"/>
      <c r="AF34" s="531"/>
      <c r="AG34" s="455"/>
      <c r="AH34" s="461"/>
      <c r="AI34" s="533"/>
    </row>
    <row r="35" spans="2:35" ht="15" customHeight="1">
      <c r="B35" s="366">
        <f t="shared" si="0"/>
        <v>25</v>
      </c>
      <c r="C35" s="289" t="s">
        <v>416</v>
      </c>
      <c r="D35" s="446" t="s">
        <v>270</v>
      </c>
      <c r="E35" s="451" t="s">
        <v>229</v>
      </c>
      <c r="F35" s="520" t="s">
        <v>720</v>
      </c>
      <c r="G35" s="535" t="s">
        <v>455</v>
      </c>
      <c r="H35" s="518" t="s">
        <v>527</v>
      </c>
      <c r="I35" s="521">
        <v>1</v>
      </c>
      <c r="J35" s="522">
        <v>1</v>
      </c>
      <c r="K35" s="450" t="s">
        <v>192</v>
      </c>
      <c r="L35" s="450" t="s">
        <v>1437</v>
      </c>
      <c r="M35" s="450" t="s">
        <v>1438</v>
      </c>
      <c r="N35" s="523" t="s">
        <v>1845</v>
      </c>
      <c r="O35" s="524" t="s">
        <v>176</v>
      </c>
      <c r="P35" s="525">
        <v>4297.5</v>
      </c>
      <c r="Q35" s="526"/>
      <c r="R35" s="527"/>
      <c r="S35" s="528">
        <v>1</v>
      </c>
      <c r="T35" s="529" t="s">
        <v>720</v>
      </c>
      <c r="U35" s="530" t="s">
        <v>1440</v>
      </c>
      <c r="V35" s="531" t="s">
        <v>448</v>
      </c>
      <c r="W35" s="453" t="s">
        <v>196</v>
      </c>
      <c r="X35" s="455">
        <v>9843600000</v>
      </c>
      <c r="Y35" s="455">
        <v>9843600000</v>
      </c>
      <c r="Z35" s="460" t="s">
        <v>1816</v>
      </c>
      <c r="AA35" s="453"/>
      <c r="AB35" s="453"/>
      <c r="AC35" s="458"/>
      <c r="AD35" s="458"/>
      <c r="AE35" s="532"/>
      <c r="AF35" s="531"/>
      <c r="AG35" s="455"/>
      <c r="AH35" s="461"/>
      <c r="AI35" s="533"/>
    </row>
    <row r="36" spans="2:35" ht="15" customHeight="1">
      <c r="B36" s="366">
        <f t="shared" si="0"/>
        <v>26</v>
      </c>
      <c r="C36" s="289" t="s">
        <v>416</v>
      </c>
      <c r="D36" s="446" t="s">
        <v>270</v>
      </c>
      <c r="E36" s="451" t="s">
        <v>229</v>
      </c>
      <c r="F36" s="520" t="s">
        <v>720</v>
      </c>
      <c r="G36" s="535" t="s">
        <v>1669</v>
      </c>
      <c r="H36" s="518" t="s">
        <v>2138</v>
      </c>
      <c r="I36" s="521">
        <v>2</v>
      </c>
      <c r="J36" s="522">
        <v>1</v>
      </c>
      <c r="K36" s="450" t="s">
        <v>192</v>
      </c>
      <c r="L36" s="450" t="s">
        <v>1437</v>
      </c>
      <c r="M36" s="450" t="s">
        <v>1438</v>
      </c>
      <c r="N36" s="523" t="s">
        <v>1846</v>
      </c>
      <c r="O36" s="524" t="s">
        <v>213</v>
      </c>
      <c r="P36" s="525"/>
      <c r="Q36" s="526">
        <v>2778.55</v>
      </c>
      <c r="R36" s="527"/>
      <c r="S36" s="528">
        <v>1</v>
      </c>
      <c r="T36" s="529" t="s">
        <v>720</v>
      </c>
      <c r="U36" s="530" t="s">
        <v>258</v>
      </c>
      <c r="V36" s="531" t="s">
        <v>446</v>
      </c>
      <c r="W36" s="453" t="s">
        <v>196</v>
      </c>
      <c r="X36" s="455">
        <v>8775600000</v>
      </c>
      <c r="Y36" s="455">
        <v>8775600000</v>
      </c>
      <c r="Z36" s="460" t="s">
        <v>1816</v>
      </c>
      <c r="AA36" s="453"/>
      <c r="AB36" s="453"/>
      <c r="AC36" s="458"/>
      <c r="AD36" s="458"/>
      <c r="AE36" s="532"/>
      <c r="AF36" s="531"/>
      <c r="AG36" s="455"/>
      <c r="AH36" s="461"/>
      <c r="AI36" s="533"/>
    </row>
    <row r="37" spans="2:35" ht="15" customHeight="1">
      <c r="B37" s="366">
        <f t="shared" si="0"/>
        <v>27</v>
      </c>
      <c r="C37" s="289" t="s">
        <v>416</v>
      </c>
      <c r="D37" s="446" t="s">
        <v>270</v>
      </c>
      <c r="E37" s="451" t="s">
        <v>229</v>
      </c>
      <c r="F37" s="520" t="s">
        <v>720</v>
      </c>
      <c r="G37" s="535" t="s">
        <v>1670</v>
      </c>
      <c r="H37" s="518" t="s">
        <v>2139</v>
      </c>
      <c r="I37" s="521">
        <v>3</v>
      </c>
      <c r="J37" s="522">
        <v>1</v>
      </c>
      <c r="K37" s="450" t="s">
        <v>192</v>
      </c>
      <c r="L37" s="450" t="s">
        <v>1437</v>
      </c>
      <c r="M37" s="450" t="s">
        <v>1438</v>
      </c>
      <c r="N37" s="523" t="s">
        <v>1847</v>
      </c>
      <c r="O37" s="524" t="s">
        <v>213</v>
      </c>
      <c r="P37" s="525"/>
      <c r="Q37" s="526">
        <v>2922.37</v>
      </c>
      <c r="R37" s="527"/>
      <c r="S37" s="528">
        <v>1</v>
      </c>
      <c r="T37" s="529" t="s">
        <v>720</v>
      </c>
      <c r="U37" s="530" t="s">
        <v>257</v>
      </c>
      <c r="V37" s="531" t="s">
        <v>447</v>
      </c>
      <c r="W37" s="453" t="s">
        <v>196</v>
      </c>
      <c r="X37" s="455">
        <v>6108000000</v>
      </c>
      <c r="Y37" s="455">
        <v>6108000000</v>
      </c>
      <c r="Z37" s="460" t="s">
        <v>1816</v>
      </c>
      <c r="AA37" s="453"/>
      <c r="AB37" s="453"/>
      <c r="AC37" s="458"/>
      <c r="AD37" s="458"/>
      <c r="AE37" s="532"/>
      <c r="AF37" s="531"/>
      <c r="AG37" s="455"/>
      <c r="AH37" s="461"/>
      <c r="AI37" s="533"/>
    </row>
    <row r="38" spans="2:35" ht="15" customHeight="1">
      <c r="B38" s="366">
        <f t="shared" si="0"/>
        <v>28</v>
      </c>
      <c r="C38" s="289" t="s">
        <v>416</v>
      </c>
      <c r="D38" s="446" t="s">
        <v>270</v>
      </c>
      <c r="E38" s="451" t="s">
        <v>230</v>
      </c>
      <c r="F38" s="520" t="s">
        <v>721</v>
      </c>
      <c r="G38" s="535" t="s">
        <v>456</v>
      </c>
      <c r="H38" s="518" t="s">
        <v>528</v>
      </c>
      <c r="I38" s="521">
        <v>1</v>
      </c>
      <c r="J38" s="522">
        <v>1</v>
      </c>
      <c r="K38" s="450" t="s">
        <v>186</v>
      </c>
      <c r="L38" s="450" t="s">
        <v>343</v>
      </c>
      <c r="M38" s="450" t="s">
        <v>1443</v>
      </c>
      <c r="N38" s="523" t="s">
        <v>1848</v>
      </c>
      <c r="O38" s="524" t="s">
        <v>219</v>
      </c>
      <c r="P38" s="525"/>
      <c r="Q38" s="526">
        <v>58.4</v>
      </c>
      <c r="R38" s="527"/>
      <c r="S38" s="528">
        <v>1</v>
      </c>
      <c r="T38" s="529" t="s">
        <v>721</v>
      </c>
      <c r="U38" s="530">
        <v>1</v>
      </c>
      <c r="V38" s="531" t="s">
        <v>442</v>
      </c>
      <c r="W38" s="453" t="s">
        <v>196</v>
      </c>
      <c r="X38" s="455">
        <v>3840000000</v>
      </c>
      <c r="Y38" s="455">
        <v>3840000000</v>
      </c>
      <c r="Z38" s="460" t="s">
        <v>1816</v>
      </c>
      <c r="AA38" s="453"/>
      <c r="AB38" s="453"/>
      <c r="AC38" s="458"/>
      <c r="AD38" s="458"/>
      <c r="AE38" s="532"/>
      <c r="AF38" s="531"/>
      <c r="AG38" s="455"/>
      <c r="AH38" s="461"/>
      <c r="AI38" s="533"/>
    </row>
    <row r="39" spans="2:35" ht="15" customHeight="1">
      <c r="B39" s="366">
        <f t="shared" si="0"/>
        <v>29</v>
      </c>
      <c r="C39" s="289" t="s">
        <v>416</v>
      </c>
      <c r="D39" s="446" t="s">
        <v>270</v>
      </c>
      <c r="E39" s="451" t="s">
        <v>230</v>
      </c>
      <c r="F39" s="520" t="s">
        <v>721</v>
      </c>
      <c r="G39" s="535" t="s">
        <v>456</v>
      </c>
      <c r="H39" s="518" t="s">
        <v>529</v>
      </c>
      <c r="I39" s="521">
        <v>1</v>
      </c>
      <c r="J39" s="522">
        <v>2</v>
      </c>
      <c r="K39" s="450" t="s">
        <v>186</v>
      </c>
      <c r="L39" s="450" t="s">
        <v>343</v>
      </c>
      <c r="M39" s="450" t="s">
        <v>1443</v>
      </c>
      <c r="N39" s="523" t="s">
        <v>1849</v>
      </c>
      <c r="O39" s="524" t="s">
        <v>219</v>
      </c>
      <c r="P39" s="525"/>
      <c r="Q39" s="526">
        <v>84.68</v>
      </c>
      <c r="R39" s="527"/>
      <c r="S39" s="528">
        <v>1</v>
      </c>
      <c r="T39" s="529" t="s">
        <v>721</v>
      </c>
      <c r="U39" s="530">
        <v>1</v>
      </c>
      <c r="V39" s="531" t="s">
        <v>442</v>
      </c>
      <c r="W39" s="453" t="s">
        <v>196</v>
      </c>
      <c r="X39" s="455">
        <v>3840000000</v>
      </c>
      <c r="Y39" s="455">
        <v>3840000000</v>
      </c>
      <c r="Z39" s="460" t="s">
        <v>1816</v>
      </c>
      <c r="AA39" s="453"/>
      <c r="AB39" s="453"/>
      <c r="AC39" s="458"/>
      <c r="AD39" s="458"/>
      <c r="AE39" s="532"/>
      <c r="AF39" s="531"/>
      <c r="AG39" s="455"/>
      <c r="AH39" s="461"/>
      <c r="AI39" s="533"/>
    </row>
    <row r="40" spans="2:35" ht="15" customHeight="1">
      <c r="B40" s="366">
        <f t="shared" si="0"/>
        <v>30</v>
      </c>
      <c r="C40" s="289" t="s">
        <v>416</v>
      </c>
      <c r="D40" s="446" t="s">
        <v>270</v>
      </c>
      <c r="E40" s="451" t="s">
        <v>230</v>
      </c>
      <c r="F40" s="520" t="s">
        <v>721</v>
      </c>
      <c r="G40" s="535" t="s">
        <v>456</v>
      </c>
      <c r="H40" s="518" t="s">
        <v>530</v>
      </c>
      <c r="I40" s="521">
        <v>1</v>
      </c>
      <c r="J40" s="522">
        <v>3</v>
      </c>
      <c r="K40" s="450" t="s">
        <v>186</v>
      </c>
      <c r="L40" s="450" t="s">
        <v>343</v>
      </c>
      <c r="M40" s="450" t="s">
        <v>1443</v>
      </c>
      <c r="N40" s="523" t="s">
        <v>1848</v>
      </c>
      <c r="O40" s="524" t="s">
        <v>215</v>
      </c>
      <c r="P40" s="525">
        <v>668.6</v>
      </c>
      <c r="Q40" s="526"/>
      <c r="R40" s="527"/>
      <c r="S40" s="528">
        <v>1</v>
      </c>
      <c r="T40" s="529" t="s">
        <v>721</v>
      </c>
      <c r="U40" s="530">
        <v>1</v>
      </c>
      <c r="V40" s="531" t="s">
        <v>442</v>
      </c>
      <c r="W40" s="453" t="s">
        <v>196</v>
      </c>
      <c r="X40" s="455">
        <v>3840000000</v>
      </c>
      <c r="Y40" s="455">
        <v>3840000000</v>
      </c>
      <c r="Z40" s="460" t="s">
        <v>1816</v>
      </c>
      <c r="AA40" s="453"/>
      <c r="AB40" s="453"/>
      <c r="AC40" s="458"/>
      <c r="AD40" s="458"/>
      <c r="AE40" s="532"/>
      <c r="AF40" s="531"/>
      <c r="AG40" s="455"/>
      <c r="AH40" s="461"/>
      <c r="AI40" s="533"/>
    </row>
    <row r="41" spans="2:35" ht="15" customHeight="1">
      <c r="B41" s="366">
        <f t="shared" si="0"/>
        <v>31</v>
      </c>
      <c r="C41" s="289" t="s">
        <v>416</v>
      </c>
      <c r="D41" s="446" t="s">
        <v>270</v>
      </c>
      <c r="E41" s="451" t="s">
        <v>230</v>
      </c>
      <c r="F41" s="520" t="s">
        <v>721</v>
      </c>
      <c r="G41" s="535" t="s">
        <v>457</v>
      </c>
      <c r="H41" s="518" t="s">
        <v>531</v>
      </c>
      <c r="I41" s="521">
        <v>2</v>
      </c>
      <c r="J41" s="522">
        <v>1</v>
      </c>
      <c r="K41" s="450" t="s">
        <v>186</v>
      </c>
      <c r="L41" s="450" t="s">
        <v>343</v>
      </c>
      <c r="M41" s="450" t="s">
        <v>1445</v>
      </c>
      <c r="N41" s="523" t="s">
        <v>1850</v>
      </c>
      <c r="O41" s="524" t="s">
        <v>709</v>
      </c>
      <c r="P41" s="525"/>
      <c r="Q41" s="526">
        <v>1026</v>
      </c>
      <c r="R41" s="527"/>
      <c r="S41" s="528">
        <v>1</v>
      </c>
      <c r="T41" s="529" t="s">
        <v>721</v>
      </c>
      <c r="U41" s="530" t="s">
        <v>250</v>
      </c>
      <c r="V41" s="531" t="s">
        <v>444</v>
      </c>
      <c r="W41" s="453" t="s">
        <v>196</v>
      </c>
      <c r="X41" s="455">
        <v>2660400000</v>
      </c>
      <c r="Y41" s="455">
        <v>2660400000</v>
      </c>
      <c r="Z41" s="460" t="s">
        <v>1816</v>
      </c>
      <c r="AA41" s="453"/>
      <c r="AB41" s="453"/>
      <c r="AC41" s="458"/>
      <c r="AD41" s="458"/>
      <c r="AE41" s="532"/>
      <c r="AF41" s="531"/>
      <c r="AG41" s="455"/>
      <c r="AH41" s="461"/>
      <c r="AI41" s="533"/>
    </row>
    <row r="42" spans="2:35" ht="15" customHeight="1">
      <c r="B42" s="366">
        <f t="shared" si="0"/>
        <v>32</v>
      </c>
      <c r="C42" s="289" t="s">
        <v>416</v>
      </c>
      <c r="D42" s="446" t="s">
        <v>270</v>
      </c>
      <c r="E42" s="451" t="s">
        <v>230</v>
      </c>
      <c r="F42" s="520" t="s">
        <v>721</v>
      </c>
      <c r="G42" s="535" t="s">
        <v>457</v>
      </c>
      <c r="H42" s="518" t="s">
        <v>2140</v>
      </c>
      <c r="I42" s="521">
        <v>2</v>
      </c>
      <c r="J42" s="522">
        <v>2</v>
      </c>
      <c r="K42" s="450" t="s">
        <v>186</v>
      </c>
      <c r="L42" s="450" t="s">
        <v>343</v>
      </c>
      <c r="M42" s="450" t="s">
        <v>1445</v>
      </c>
      <c r="N42" s="523" t="s">
        <v>1851</v>
      </c>
      <c r="O42" s="524" t="s">
        <v>1852</v>
      </c>
      <c r="P42" s="525"/>
      <c r="Q42" s="526">
        <v>244.15</v>
      </c>
      <c r="R42" s="527"/>
      <c r="S42" s="528">
        <v>1</v>
      </c>
      <c r="T42" s="529" t="s">
        <v>721</v>
      </c>
      <c r="U42" s="530" t="s">
        <v>250</v>
      </c>
      <c r="V42" s="531" t="s">
        <v>444</v>
      </c>
      <c r="W42" s="453" t="s">
        <v>196</v>
      </c>
      <c r="X42" s="455">
        <v>2660400000</v>
      </c>
      <c r="Y42" s="455">
        <v>2660400000</v>
      </c>
      <c r="Z42" s="460" t="s">
        <v>1816</v>
      </c>
      <c r="AA42" s="453"/>
      <c r="AB42" s="453"/>
      <c r="AC42" s="458"/>
      <c r="AD42" s="458"/>
      <c r="AE42" s="532"/>
      <c r="AF42" s="531"/>
      <c r="AG42" s="455"/>
      <c r="AH42" s="461"/>
      <c r="AI42" s="533"/>
    </row>
    <row r="43" spans="2:35" ht="15" customHeight="1">
      <c r="B43" s="366">
        <f t="shared" ref="B43:B73" si="1">ROW()-10</f>
        <v>33</v>
      </c>
      <c r="C43" s="289" t="s">
        <v>416</v>
      </c>
      <c r="D43" s="446" t="s">
        <v>270</v>
      </c>
      <c r="E43" s="451" t="s">
        <v>230</v>
      </c>
      <c r="F43" s="520" t="s">
        <v>721</v>
      </c>
      <c r="G43" s="535" t="s">
        <v>457</v>
      </c>
      <c r="H43" s="518" t="s">
        <v>2141</v>
      </c>
      <c r="I43" s="521">
        <v>2</v>
      </c>
      <c r="J43" s="522">
        <v>3</v>
      </c>
      <c r="K43" s="450" t="s">
        <v>186</v>
      </c>
      <c r="L43" s="450" t="s">
        <v>343</v>
      </c>
      <c r="M43" s="450" t="s">
        <v>1445</v>
      </c>
      <c r="N43" s="523" t="s">
        <v>1853</v>
      </c>
      <c r="O43" s="524" t="s">
        <v>216</v>
      </c>
      <c r="P43" s="525">
        <v>1351</v>
      </c>
      <c r="Q43" s="526"/>
      <c r="R43" s="527"/>
      <c r="S43" s="528">
        <v>1</v>
      </c>
      <c r="T43" s="529" t="s">
        <v>721</v>
      </c>
      <c r="U43" s="530" t="s">
        <v>250</v>
      </c>
      <c r="V43" s="531" t="s">
        <v>444</v>
      </c>
      <c r="W43" s="453" t="s">
        <v>196</v>
      </c>
      <c r="X43" s="455">
        <v>2660400000</v>
      </c>
      <c r="Y43" s="455">
        <v>2660400000</v>
      </c>
      <c r="Z43" s="460" t="s">
        <v>1816</v>
      </c>
      <c r="AA43" s="453"/>
      <c r="AB43" s="453"/>
      <c r="AC43" s="458"/>
      <c r="AD43" s="458"/>
      <c r="AE43" s="532"/>
      <c r="AF43" s="531"/>
      <c r="AG43" s="455"/>
      <c r="AH43" s="461"/>
      <c r="AI43" s="533"/>
    </row>
    <row r="44" spans="2:35" ht="15" customHeight="1">
      <c r="B44" s="366">
        <f t="shared" si="1"/>
        <v>34</v>
      </c>
      <c r="C44" s="289" t="s">
        <v>416</v>
      </c>
      <c r="D44" s="446" t="s">
        <v>270</v>
      </c>
      <c r="E44" s="451" t="s">
        <v>230</v>
      </c>
      <c r="F44" s="520" t="s">
        <v>721</v>
      </c>
      <c r="G44" s="535" t="s">
        <v>457</v>
      </c>
      <c r="H44" s="518" t="s">
        <v>2142</v>
      </c>
      <c r="I44" s="521">
        <v>2</v>
      </c>
      <c r="J44" s="522">
        <v>4</v>
      </c>
      <c r="K44" s="450" t="s">
        <v>186</v>
      </c>
      <c r="L44" s="450" t="s">
        <v>343</v>
      </c>
      <c r="M44" s="450" t="s">
        <v>1445</v>
      </c>
      <c r="N44" s="523" t="s">
        <v>1854</v>
      </c>
      <c r="O44" s="524" t="s">
        <v>216</v>
      </c>
      <c r="P44" s="525">
        <v>181</v>
      </c>
      <c r="Q44" s="526"/>
      <c r="R44" s="527"/>
      <c r="S44" s="528">
        <v>1</v>
      </c>
      <c r="T44" s="529" t="s">
        <v>721</v>
      </c>
      <c r="U44" s="530" t="s">
        <v>250</v>
      </c>
      <c r="V44" s="531" t="s">
        <v>444</v>
      </c>
      <c r="W44" s="453" t="s">
        <v>196</v>
      </c>
      <c r="X44" s="455">
        <v>2660400000</v>
      </c>
      <c r="Y44" s="455">
        <v>2660400000</v>
      </c>
      <c r="Z44" s="460" t="s">
        <v>1816</v>
      </c>
      <c r="AA44" s="453"/>
      <c r="AB44" s="453"/>
      <c r="AC44" s="458"/>
      <c r="AD44" s="458"/>
      <c r="AE44" s="532"/>
      <c r="AF44" s="531"/>
      <c r="AG44" s="455"/>
      <c r="AH44" s="461"/>
      <c r="AI44" s="533"/>
    </row>
    <row r="45" spans="2:35" ht="15" customHeight="1">
      <c r="B45" s="366">
        <f t="shared" si="1"/>
        <v>35</v>
      </c>
      <c r="C45" s="289" t="s">
        <v>416</v>
      </c>
      <c r="D45" s="446" t="s">
        <v>270</v>
      </c>
      <c r="E45" s="451" t="s">
        <v>230</v>
      </c>
      <c r="F45" s="520" t="s">
        <v>721</v>
      </c>
      <c r="G45" s="535" t="s">
        <v>457</v>
      </c>
      <c r="H45" s="518" t="s">
        <v>2143</v>
      </c>
      <c r="I45" s="521">
        <v>2</v>
      </c>
      <c r="J45" s="522">
        <v>5</v>
      </c>
      <c r="K45" s="450" t="s">
        <v>186</v>
      </c>
      <c r="L45" s="450" t="s">
        <v>343</v>
      </c>
      <c r="M45" s="450" t="s">
        <v>1445</v>
      </c>
      <c r="N45" s="523" t="s">
        <v>1855</v>
      </c>
      <c r="O45" s="524" t="s">
        <v>216</v>
      </c>
      <c r="P45" s="525">
        <v>116</v>
      </c>
      <c r="Q45" s="526"/>
      <c r="R45" s="527"/>
      <c r="S45" s="528">
        <v>1</v>
      </c>
      <c r="T45" s="529" t="s">
        <v>721</v>
      </c>
      <c r="U45" s="530" t="s">
        <v>250</v>
      </c>
      <c r="V45" s="531" t="s">
        <v>444</v>
      </c>
      <c r="W45" s="453" t="s">
        <v>196</v>
      </c>
      <c r="X45" s="455">
        <v>2660400000</v>
      </c>
      <c r="Y45" s="455">
        <v>2660400000</v>
      </c>
      <c r="Z45" s="460" t="s">
        <v>1816</v>
      </c>
      <c r="AA45" s="453"/>
      <c r="AB45" s="453"/>
      <c r="AC45" s="458"/>
      <c r="AD45" s="458"/>
      <c r="AE45" s="532"/>
      <c r="AF45" s="531"/>
      <c r="AG45" s="455"/>
      <c r="AH45" s="461"/>
      <c r="AI45" s="533"/>
    </row>
    <row r="46" spans="2:35" ht="15" customHeight="1">
      <c r="B46" s="366">
        <f t="shared" si="1"/>
        <v>36</v>
      </c>
      <c r="C46" s="289" t="s">
        <v>416</v>
      </c>
      <c r="D46" s="446" t="s">
        <v>270</v>
      </c>
      <c r="E46" s="451" t="s">
        <v>230</v>
      </c>
      <c r="F46" s="520" t="s">
        <v>721</v>
      </c>
      <c r="G46" s="535" t="s">
        <v>457</v>
      </c>
      <c r="H46" s="518" t="s">
        <v>2144</v>
      </c>
      <c r="I46" s="521">
        <v>2</v>
      </c>
      <c r="J46" s="522">
        <v>6</v>
      </c>
      <c r="K46" s="450" t="s">
        <v>186</v>
      </c>
      <c r="L46" s="450" t="s">
        <v>343</v>
      </c>
      <c r="M46" s="450" t="s">
        <v>1445</v>
      </c>
      <c r="N46" s="523" t="s">
        <v>1856</v>
      </c>
      <c r="O46" s="524" t="s">
        <v>216</v>
      </c>
      <c r="P46" s="525">
        <v>20</v>
      </c>
      <c r="Q46" s="526"/>
      <c r="R46" s="527"/>
      <c r="S46" s="528">
        <v>1</v>
      </c>
      <c r="T46" s="529" t="s">
        <v>721</v>
      </c>
      <c r="U46" s="530" t="s">
        <v>250</v>
      </c>
      <c r="V46" s="531" t="s">
        <v>444</v>
      </c>
      <c r="W46" s="453" t="s">
        <v>196</v>
      </c>
      <c r="X46" s="455">
        <v>2660400000</v>
      </c>
      <c r="Y46" s="455">
        <v>2660400000</v>
      </c>
      <c r="Z46" s="460" t="s">
        <v>1816</v>
      </c>
      <c r="AA46" s="453"/>
      <c r="AB46" s="453"/>
      <c r="AC46" s="458"/>
      <c r="AD46" s="458"/>
      <c r="AE46" s="532"/>
      <c r="AF46" s="531"/>
      <c r="AG46" s="455"/>
      <c r="AH46" s="461"/>
      <c r="AI46" s="533"/>
    </row>
    <row r="47" spans="2:35" ht="15" customHeight="1">
      <c r="B47" s="366">
        <f t="shared" si="1"/>
        <v>37</v>
      </c>
      <c r="C47" s="289" t="s">
        <v>416</v>
      </c>
      <c r="D47" s="446" t="s">
        <v>270</v>
      </c>
      <c r="E47" s="451" t="s">
        <v>230</v>
      </c>
      <c r="F47" s="520" t="s">
        <v>721</v>
      </c>
      <c r="G47" s="535" t="s">
        <v>457</v>
      </c>
      <c r="H47" s="518" t="s">
        <v>2145</v>
      </c>
      <c r="I47" s="521">
        <v>2</v>
      </c>
      <c r="J47" s="522">
        <v>7</v>
      </c>
      <c r="K47" s="450" t="s">
        <v>186</v>
      </c>
      <c r="L47" s="450" t="s">
        <v>343</v>
      </c>
      <c r="M47" s="450" t="s">
        <v>1445</v>
      </c>
      <c r="N47" s="523" t="s">
        <v>1857</v>
      </c>
      <c r="O47" s="524" t="s">
        <v>216</v>
      </c>
      <c r="P47" s="525">
        <v>1</v>
      </c>
      <c r="Q47" s="526"/>
      <c r="R47" s="527"/>
      <c r="S47" s="528">
        <v>1</v>
      </c>
      <c r="T47" s="529" t="s">
        <v>721</v>
      </c>
      <c r="U47" s="530" t="s">
        <v>250</v>
      </c>
      <c r="V47" s="531" t="s">
        <v>444</v>
      </c>
      <c r="W47" s="453" t="s">
        <v>196</v>
      </c>
      <c r="X47" s="455">
        <v>2660400000</v>
      </c>
      <c r="Y47" s="455">
        <v>2660400000</v>
      </c>
      <c r="Z47" s="460" t="s">
        <v>1816</v>
      </c>
      <c r="AA47" s="453"/>
      <c r="AB47" s="453"/>
      <c r="AC47" s="458"/>
      <c r="AD47" s="458"/>
      <c r="AE47" s="532"/>
      <c r="AF47" s="531"/>
      <c r="AG47" s="455"/>
      <c r="AH47" s="461"/>
      <c r="AI47" s="533"/>
    </row>
    <row r="48" spans="2:35" ht="15" customHeight="1">
      <c r="B48" s="366">
        <f t="shared" si="1"/>
        <v>38</v>
      </c>
      <c r="C48" s="289" t="s">
        <v>416</v>
      </c>
      <c r="D48" s="446" t="s">
        <v>270</v>
      </c>
      <c r="E48" s="451" t="s">
        <v>230</v>
      </c>
      <c r="F48" s="520" t="s">
        <v>721</v>
      </c>
      <c r="G48" s="535" t="s">
        <v>1671</v>
      </c>
      <c r="H48" s="518" t="s">
        <v>2146</v>
      </c>
      <c r="I48" s="521">
        <v>3</v>
      </c>
      <c r="J48" s="522">
        <v>1</v>
      </c>
      <c r="K48" s="450" t="s">
        <v>186</v>
      </c>
      <c r="L48" s="450" t="s">
        <v>343</v>
      </c>
      <c r="M48" s="450" t="s">
        <v>1445</v>
      </c>
      <c r="N48" s="523" t="s">
        <v>1858</v>
      </c>
      <c r="O48" s="524" t="s">
        <v>372</v>
      </c>
      <c r="P48" s="525"/>
      <c r="Q48" s="526">
        <v>598.9</v>
      </c>
      <c r="R48" s="527"/>
      <c r="S48" s="528">
        <v>1</v>
      </c>
      <c r="T48" s="529" t="s">
        <v>721</v>
      </c>
      <c r="U48" s="530" t="s">
        <v>258</v>
      </c>
      <c r="V48" s="531" t="s">
        <v>446</v>
      </c>
      <c r="W48" s="453" t="s">
        <v>196</v>
      </c>
      <c r="X48" s="455">
        <v>2640000000</v>
      </c>
      <c r="Y48" s="455">
        <v>2640000000</v>
      </c>
      <c r="Z48" s="460" t="s">
        <v>1816</v>
      </c>
      <c r="AA48" s="453"/>
      <c r="AB48" s="453"/>
      <c r="AC48" s="458"/>
      <c r="AD48" s="458"/>
      <c r="AE48" s="532"/>
      <c r="AF48" s="531"/>
      <c r="AG48" s="455"/>
      <c r="AH48" s="461"/>
      <c r="AI48" s="533"/>
    </row>
    <row r="49" spans="2:35" ht="15" customHeight="1">
      <c r="B49" s="366">
        <f t="shared" si="1"/>
        <v>39</v>
      </c>
      <c r="C49" s="289" t="s">
        <v>416</v>
      </c>
      <c r="D49" s="446" t="s">
        <v>270</v>
      </c>
      <c r="E49" s="451" t="s">
        <v>230</v>
      </c>
      <c r="F49" s="520" t="s">
        <v>721</v>
      </c>
      <c r="G49" s="535" t="s">
        <v>1671</v>
      </c>
      <c r="H49" s="518" t="s">
        <v>2147</v>
      </c>
      <c r="I49" s="521">
        <v>3</v>
      </c>
      <c r="J49" s="522">
        <v>2</v>
      </c>
      <c r="K49" s="450" t="s">
        <v>186</v>
      </c>
      <c r="L49" s="450" t="s">
        <v>343</v>
      </c>
      <c r="M49" s="450" t="s">
        <v>1445</v>
      </c>
      <c r="N49" s="523" t="s">
        <v>1859</v>
      </c>
      <c r="O49" s="524" t="s">
        <v>215</v>
      </c>
      <c r="P49" s="525">
        <v>751</v>
      </c>
      <c r="Q49" s="526"/>
      <c r="R49" s="527"/>
      <c r="S49" s="528">
        <v>1</v>
      </c>
      <c r="T49" s="529" t="s">
        <v>721</v>
      </c>
      <c r="U49" s="530" t="s">
        <v>258</v>
      </c>
      <c r="V49" s="531" t="s">
        <v>446</v>
      </c>
      <c r="W49" s="453" t="s">
        <v>196</v>
      </c>
      <c r="X49" s="455">
        <v>2640000000</v>
      </c>
      <c r="Y49" s="455">
        <v>2640000000</v>
      </c>
      <c r="Z49" s="460" t="s">
        <v>1816</v>
      </c>
      <c r="AA49" s="453"/>
      <c r="AB49" s="453"/>
      <c r="AC49" s="458"/>
      <c r="AD49" s="458"/>
      <c r="AE49" s="532"/>
      <c r="AF49" s="531"/>
      <c r="AG49" s="455"/>
      <c r="AH49" s="461"/>
      <c r="AI49" s="533"/>
    </row>
    <row r="50" spans="2:35" ht="15" customHeight="1">
      <c r="B50" s="366">
        <f t="shared" si="1"/>
        <v>40</v>
      </c>
      <c r="C50" s="289" t="s">
        <v>416</v>
      </c>
      <c r="D50" s="446" t="s">
        <v>270</v>
      </c>
      <c r="E50" s="451" t="s">
        <v>230</v>
      </c>
      <c r="F50" s="520" t="s">
        <v>721</v>
      </c>
      <c r="G50" s="535" t="s">
        <v>1671</v>
      </c>
      <c r="H50" s="518" t="s">
        <v>2148</v>
      </c>
      <c r="I50" s="521">
        <v>3</v>
      </c>
      <c r="J50" s="522">
        <v>3</v>
      </c>
      <c r="K50" s="450" t="s">
        <v>186</v>
      </c>
      <c r="L50" s="450" t="s">
        <v>343</v>
      </c>
      <c r="M50" s="450" t="s">
        <v>1445</v>
      </c>
      <c r="N50" s="523" t="s">
        <v>1860</v>
      </c>
      <c r="O50" s="524" t="s">
        <v>371</v>
      </c>
      <c r="P50" s="525"/>
      <c r="Q50" s="526">
        <v>620.32000000000005</v>
      </c>
      <c r="R50" s="527"/>
      <c r="S50" s="528">
        <v>1</v>
      </c>
      <c r="T50" s="529" t="s">
        <v>721</v>
      </c>
      <c r="U50" s="530" t="s">
        <v>258</v>
      </c>
      <c r="V50" s="531" t="s">
        <v>446</v>
      </c>
      <c r="W50" s="453" t="s">
        <v>196</v>
      </c>
      <c r="X50" s="455">
        <v>2640000000</v>
      </c>
      <c r="Y50" s="455">
        <v>2640000000</v>
      </c>
      <c r="Z50" s="460" t="s">
        <v>1816</v>
      </c>
      <c r="AA50" s="453"/>
      <c r="AB50" s="453"/>
      <c r="AC50" s="458"/>
      <c r="AD50" s="458"/>
      <c r="AE50" s="532"/>
      <c r="AF50" s="531"/>
      <c r="AG50" s="455"/>
      <c r="AH50" s="461"/>
      <c r="AI50" s="533"/>
    </row>
    <row r="51" spans="2:35" ht="15" customHeight="1">
      <c r="B51" s="366">
        <f t="shared" si="1"/>
        <v>41</v>
      </c>
      <c r="C51" s="289" t="s">
        <v>416</v>
      </c>
      <c r="D51" s="446" t="s">
        <v>270</v>
      </c>
      <c r="E51" s="451" t="s">
        <v>230</v>
      </c>
      <c r="F51" s="520" t="s">
        <v>721</v>
      </c>
      <c r="G51" s="535" t="s">
        <v>1671</v>
      </c>
      <c r="H51" s="518" t="s">
        <v>2149</v>
      </c>
      <c r="I51" s="521">
        <v>3</v>
      </c>
      <c r="J51" s="522">
        <v>4</v>
      </c>
      <c r="K51" s="450" t="s">
        <v>186</v>
      </c>
      <c r="L51" s="450" t="s">
        <v>343</v>
      </c>
      <c r="M51" s="450" t="s">
        <v>1445</v>
      </c>
      <c r="N51" s="523" t="s">
        <v>1861</v>
      </c>
      <c r="O51" s="524" t="s">
        <v>215</v>
      </c>
      <c r="P51" s="525">
        <v>788</v>
      </c>
      <c r="Q51" s="526"/>
      <c r="R51" s="527"/>
      <c r="S51" s="528">
        <v>1</v>
      </c>
      <c r="T51" s="529" t="s">
        <v>721</v>
      </c>
      <c r="U51" s="530" t="s">
        <v>258</v>
      </c>
      <c r="V51" s="531" t="s">
        <v>446</v>
      </c>
      <c r="W51" s="453" t="s">
        <v>196</v>
      </c>
      <c r="X51" s="455">
        <v>2640000000</v>
      </c>
      <c r="Y51" s="455">
        <v>2640000000</v>
      </c>
      <c r="Z51" s="460" t="s">
        <v>1816</v>
      </c>
      <c r="AA51" s="453"/>
      <c r="AB51" s="453"/>
      <c r="AC51" s="458"/>
      <c r="AD51" s="458"/>
      <c r="AE51" s="532"/>
      <c r="AF51" s="531"/>
      <c r="AG51" s="455"/>
      <c r="AH51" s="461"/>
      <c r="AI51" s="533"/>
    </row>
    <row r="52" spans="2:35" ht="15" customHeight="1">
      <c r="B52" s="366">
        <f t="shared" si="1"/>
        <v>42</v>
      </c>
      <c r="C52" s="289" t="s">
        <v>416</v>
      </c>
      <c r="D52" s="446" t="s">
        <v>270</v>
      </c>
      <c r="E52" s="451" t="s">
        <v>230</v>
      </c>
      <c r="F52" s="520" t="s">
        <v>721</v>
      </c>
      <c r="G52" s="535" t="s">
        <v>1671</v>
      </c>
      <c r="H52" s="518" t="s">
        <v>2150</v>
      </c>
      <c r="I52" s="521">
        <v>3</v>
      </c>
      <c r="J52" s="522">
        <v>5</v>
      </c>
      <c r="K52" s="450" t="s">
        <v>186</v>
      </c>
      <c r="L52" s="450" t="s">
        <v>343</v>
      </c>
      <c r="M52" s="450" t="s">
        <v>1445</v>
      </c>
      <c r="N52" s="523" t="s">
        <v>1862</v>
      </c>
      <c r="O52" s="524" t="s">
        <v>214</v>
      </c>
      <c r="P52" s="525">
        <v>115</v>
      </c>
      <c r="Q52" s="526"/>
      <c r="R52" s="527"/>
      <c r="S52" s="528">
        <v>0.30434782608695654</v>
      </c>
      <c r="T52" s="529" t="s">
        <v>721</v>
      </c>
      <c r="U52" s="530" t="s">
        <v>258</v>
      </c>
      <c r="V52" s="531" t="s">
        <v>446</v>
      </c>
      <c r="W52" s="453" t="s">
        <v>196</v>
      </c>
      <c r="X52" s="455">
        <v>2640000000</v>
      </c>
      <c r="Y52" s="455">
        <v>2640000000</v>
      </c>
      <c r="Z52" s="460" t="s">
        <v>1816</v>
      </c>
      <c r="AA52" s="453"/>
      <c r="AB52" s="453"/>
      <c r="AC52" s="458"/>
      <c r="AD52" s="458"/>
      <c r="AE52" s="532"/>
      <c r="AF52" s="531"/>
      <c r="AG52" s="455"/>
      <c r="AH52" s="461"/>
      <c r="AI52" s="533"/>
    </row>
    <row r="53" spans="2:35" ht="15" customHeight="1">
      <c r="B53" s="366">
        <f t="shared" si="1"/>
        <v>43</v>
      </c>
      <c r="C53" s="289" t="s">
        <v>416</v>
      </c>
      <c r="D53" s="446" t="s">
        <v>270</v>
      </c>
      <c r="E53" s="451" t="s">
        <v>230</v>
      </c>
      <c r="F53" s="520" t="s">
        <v>721</v>
      </c>
      <c r="G53" s="535" t="s">
        <v>1671</v>
      </c>
      <c r="H53" s="518" t="s">
        <v>2151</v>
      </c>
      <c r="I53" s="521">
        <v>3</v>
      </c>
      <c r="J53" s="522">
        <v>6</v>
      </c>
      <c r="K53" s="450" t="s">
        <v>186</v>
      </c>
      <c r="L53" s="450" t="s">
        <v>343</v>
      </c>
      <c r="M53" s="450" t="s">
        <v>1445</v>
      </c>
      <c r="N53" s="523" t="s">
        <v>1863</v>
      </c>
      <c r="O53" s="524" t="s">
        <v>214</v>
      </c>
      <c r="P53" s="525">
        <v>389</v>
      </c>
      <c r="Q53" s="526"/>
      <c r="R53" s="527"/>
      <c r="S53" s="528">
        <v>0.15167095115681234</v>
      </c>
      <c r="T53" s="529" t="s">
        <v>721</v>
      </c>
      <c r="U53" s="530" t="s">
        <v>258</v>
      </c>
      <c r="V53" s="531" t="s">
        <v>446</v>
      </c>
      <c r="W53" s="453" t="s">
        <v>196</v>
      </c>
      <c r="X53" s="455">
        <v>2640000000</v>
      </c>
      <c r="Y53" s="455">
        <v>2640000000</v>
      </c>
      <c r="Z53" s="460" t="s">
        <v>1816</v>
      </c>
      <c r="AA53" s="453"/>
      <c r="AB53" s="453"/>
      <c r="AC53" s="458"/>
      <c r="AD53" s="458"/>
      <c r="AE53" s="532"/>
      <c r="AF53" s="531"/>
      <c r="AG53" s="455"/>
      <c r="AH53" s="461"/>
      <c r="AI53" s="533"/>
    </row>
    <row r="54" spans="2:35" ht="15" customHeight="1">
      <c r="B54" s="366">
        <f t="shared" si="1"/>
        <v>44</v>
      </c>
      <c r="C54" s="289" t="s">
        <v>416</v>
      </c>
      <c r="D54" s="446" t="s">
        <v>270</v>
      </c>
      <c r="E54" s="451" t="s">
        <v>230</v>
      </c>
      <c r="F54" s="520" t="s">
        <v>721</v>
      </c>
      <c r="G54" s="535" t="s">
        <v>1671</v>
      </c>
      <c r="H54" s="518" t="s">
        <v>2152</v>
      </c>
      <c r="I54" s="521">
        <v>3</v>
      </c>
      <c r="J54" s="522">
        <v>7</v>
      </c>
      <c r="K54" s="450" t="s">
        <v>186</v>
      </c>
      <c r="L54" s="450" t="s">
        <v>343</v>
      </c>
      <c r="M54" s="450" t="s">
        <v>1445</v>
      </c>
      <c r="N54" s="523" t="s">
        <v>1864</v>
      </c>
      <c r="O54" s="524" t="s">
        <v>214</v>
      </c>
      <c r="P54" s="525">
        <v>509</v>
      </c>
      <c r="Q54" s="526"/>
      <c r="R54" s="527"/>
      <c r="S54" s="528">
        <v>0.2010127309987822</v>
      </c>
      <c r="T54" s="529" t="s">
        <v>721</v>
      </c>
      <c r="U54" s="530" t="s">
        <v>258</v>
      </c>
      <c r="V54" s="531" t="s">
        <v>446</v>
      </c>
      <c r="W54" s="453" t="s">
        <v>196</v>
      </c>
      <c r="X54" s="455">
        <v>2640000000</v>
      </c>
      <c r="Y54" s="455">
        <v>2640000000</v>
      </c>
      <c r="Z54" s="460" t="s">
        <v>1816</v>
      </c>
      <c r="AA54" s="453"/>
      <c r="AB54" s="453"/>
      <c r="AC54" s="458"/>
      <c r="AD54" s="458"/>
      <c r="AE54" s="532"/>
      <c r="AF54" s="531"/>
      <c r="AG54" s="455"/>
      <c r="AH54" s="461"/>
      <c r="AI54" s="533"/>
    </row>
    <row r="55" spans="2:35" ht="15" customHeight="1">
      <c r="B55" s="366">
        <f t="shared" si="1"/>
        <v>45</v>
      </c>
      <c r="C55" s="289" t="s">
        <v>416</v>
      </c>
      <c r="D55" s="446" t="s">
        <v>270</v>
      </c>
      <c r="E55" s="451" t="s">
        <v>230</v>
      </c>
      <c r="F55" s="520" t="s">
        <v>721</v>
      </c>
      <c r="G55" s="535" t="s">
        <v>1672</v>
      </c>
      <c r="H55" s="518" t="s">
        <v>2153</v>
      </c>
      <c r="I55" s="521">
        <v>4</v>
      </c>
      <c r="J55" s="522">
        <v>1</v>
      </c>
      <c r="K55" s="450" t="s">
        <v>186</v>
      </c>
      <c r="L55" s="450" t="s">
        <v>343</v>
      </c>
      <c r="M55" s="450" t="s">
        <v>1447</v>
      </c>
      <c r="N55" s="523" t="s">
        <v>1448</v>
      </c>
      <c r="O55" s="524" t="s">
        <v>1865</v>
      </c>
      <c r="P55" s="525">
        <v>85483</v>
      </c>
      <c r="Q55" s="526">
        <v>171.63</v>
      </c>
      <c r="R55" s="527">
        <v>1.14221541125136E-3</v>
      </c>
      <c r="S55" s="528">
        <v>1</v>
      </c>
      <c r="T55" s="529" t="s">
        <v>721</v>
      </c>
      <c r="U55" s="530" t="s">
        <v>250</v>
      </c>
      <c r="V55" s="531" t="s">
        <v>444</v>
      </c>
      <c r="W55" s="453" t="s">
        <v>196</v>
      </c>
      <c r="X55" s="455">
        <v>840000000</v>
      </c>
      <c r="Y55" s="455">
        <v>840000000</v>
      </c>
      <c r="Z55" s="460" t="s">
        <v>1816</v>
      </c>
      <c r="AA55" s="453"/>
      <c r="AB55" s="453"/>
      <c r="AC55" s="458"/>
      <c r="AD55" s="458"/>
      <c r="AE55" s="532"/>
      <c r="AF55" s="531"/>
      <c r="AG55" s="455"/>
      <c r="AH55" s="461"/>
      <c r="AI55" s="533"/>
    </row>
    <row r="56" spans="2:35" ht="15" customHeight="1">
      <c r="B56" s="366">
        <f t="shared" si="1"/>
        <v>46</v>
      </c>
      <c r="C56" s="289" t="s">
        <v>416</v>
      </c>
      <c r="D56" s="446" t="s">
        <v>270</v>
      </c>
      <c r="E56" s="451" t="s">
        <v>231</v>
      </c>
      <c r="F56" s="520" t="s">
        <v>722</v>
      </c>
      <c r="G56" s="535" t="s">
        <v>458</v>
      </c>
      <c r="H56" s="518" t="s">
        <v>532</v>
      </c>
      <c r="I56" s="521">
        <v>1</v>
      </c>
      <c r="J56" s="522">
        <v>1</v>
      </c>
      <c r="K56" s="450" t="s">
        <v>186</v>
      </c>
      <c r="L56" s="450" t="s">
        <v>263</v>
      </c>
      <c r="M56" s="450" t="s">
        <v>1449</v>
      </c>
      <c r="N56" s="523" t="s">
        <v>1866</v>
      </c>
      <c r="O56" s="524" t="s">
        <v>1867</v>
      </c>
      <c r="P56" s="525"/>
      <c r="Q56" s="526">
        <v>1155.01</v>
      </c>
      <c r="R56" s="527"/>
      <c r="S56" s="528">
        <v>1</v>
      </c>
      <c r="T56" s="529" t="s">
        <v>722</v>
      </c>
      <c r="U56" s="530">
        <v>1</v>
      </c>
      <c r="V56" s="531" t="s">
        <v>442</v>
      </c>
      <c r="W56" s="453" t="s">
        <v>196</v>
      </c>
      <c r="X56" s="455">
        <v>4401600000</v>
      </c>
      <c r="Y56" s="455">
        <v>4401600000</v>
      </c>
      <c r="Z56" s="460" t="s">
        <v>1816</v>
      </c>
      <c r="AA56" s="453"/>
      <c r="AB56" s="453"/>
      <c r="AC56" s="458"/>
      <c r="AD56" s="458"/>
      <c r="AE56" s="532"/>
      <c r="AF56" s="531"/>
      <c r="AG56" s="455"/>
      <c r="AH56" s="461"/>
      <c r="AI56" s="533"/>
    </row>
    <row r="57" spans="2:35" ht="15" customHeight="1">
      <c r="B57" s="366">
        <f t="shared" si="1"/>
        <v>47</v>
      </c>
      <c r="C57" s="289" t="s">
        <v>416</v>
      </c>
      <c r="D57" s="446" t="s">
        <v>270</v>
      </c>
      <c r="E57" s="451" t="s">
        <v>231</v>
      </c>
      <c r="F57" s="520" t="s">
        <v>722</v>
      </c>
      <c r="G57" s="535" t="s">
        <v>458</v>
      </c>
      <c r="H57" s="518" t="s">
        <v>533</v>
      </c>
      <c r="I57" s="521">
        <v>1</v>
      </c>
      <c r="J57" s="522">
        <v>2</v>
      </c>
      <c r="K57" s="450" t="s">
        <v>186</v>
      </c>
      <c r="L57" s="450" t="s">
        <v>263</v>
      </c>
      <c r="M57" s="450" t="s">
        <v>1449</v>
      </c>
      <c r="N57" s="523" t="s">
        <v>1866</v>
      </c>
      <c r="O57" s="524" t="s">
        <v>176</v>
      </c>
      <c r="P57" s="525">
        <v>2716</v>
      </c>
      <c r="Q57" s="526"/>
      <c r="R57" s="527"/>
      <c r="S57" s="528">
        <v>1</v>
      </c>
      <c r="T57" s="529" t="s">
        <v>722</v>
      </c>
      <c r="U57" s="530">
        <v>1</v>
      </c>
      <c r="V57" s="531" t="s">
        <v>442</v>
      </c>
      <c r="W57" s="453" t="s">
        <v>196</v>
      </c>
      <c r="X57" s="455">
        <v>4401600000</v>
      </c>
      <c r="Y57" s="455">
        <v>4401600000</v>
      </c>
      <c r="Z57" s="460" t="s">
        <v>1816</v>
      </c>
      <c r="AA57" s="453"/>
      <c r="AB57" s="453"/>
      <c r="AC57" s="458"/>
      <c r="AD57" s="458"/>
      <c r="AE57" s="532"/>
      <c r="AF57" s="531"/>
      <c r="AG57" s="455"/>
      <c r="AH57" s="461"/>
      <c r="AI57" s="533"/>
    </row>
    <row r="58" spans="2:35" ht="15" customHeight="1">
      <c r="B58" s="366">
        <f t="shared" si="1"/>
        <v>48</v>
      </c>
      <c r="C58" s="289" t="s">
        <v>416</v>
      </c>
      <c r="D58" s="446" t="s">
        <v>270</v>
      </c>
      <c r="E58" s="451" t="s">
        <v>231</v>
      </c>
      <c r="F58" s="520" t="s">
        <v>722</v>
      </c>
      <c r="G58" s="535" t="s">
        <v>458</v>
      </c>
      <c r="H58" s="518" t="s">
        <v>534</v>
      </c>
      <c r="I58" s="521">
        <v>1</v>
      </c>
      <c r="J58" s="522">
        <v>3</v>
      </c>
      <c r="K58" s="450" t="s">
        <v>186</v>
      </c>
      <c r="L58" s="450" t="s">
        <v>263</v>
      </c>
      <c r="M58" s="450" t="s">
        <v>1449</v>
      </c>
      <c r="N58" s="523" t="s">
        <v>1868</v>
      </c>
      <c r="O58" s="524" t="s">
        <v>214</v>
      </c>
      <c r="P58" s="525">
        <v>178</v>
      </c>
      <c r="Q58" s="526"/>
      <c r="R58" s="527"/>
      <c r="S58" s="528">
        <v>0.20786516853932585</v>
      </c>
      <c r="T58" s="529" t="s">
        <v>722</v>
      </c>
      <c r="U58" s="530">
        <v>1</v>
      </c>
      <c r="V58" s="531" t="s">
        <v>442</v>
      </c>
      <c r="W58" s="453" t="s">
        <v>196</v>
      </c>
      <c r="X58" s="455">
        <v>4401600000</v>
      </c>
      <c r="Y58" s="455">
        <v>4401600000</v>
      </c>
      <c r="Z58" s="460" t="s">
        <v>1816</v>
      </c>
      <c r="AA58" s="453"/>
      <c r="AB58" s="453"/>
      <c r="AC58" s="458"/>
      <c r="AD58" s="458"/>
      <c r="AE58" s="532"/>
      <c r="AF58" s="531"/>
      <c r="AG58" s="455"/>
      <c r="AH58" s="461"/>
      <c r="AI58" s="533"/>
    </row>
    <row r="59" spans="2:35" ht="15" customHeight="1">
      <c r="B59" s="366">
        <f t="shared" si="1"/>
        <v>49</v>
      </c>
      <c r="C59" s="289" t="s">
        <v>416</v>
      </c>
      <c r="D59" s="446" t="s">
        <v>270</v>
      </c>
      <c r="E59" s="451" t="s">
        <v>231</v>
      </c>
      <c r="F59" s="520" t="s">
        <v>722</v>
      </c>
      <c r="G59" s="535" t="s">
        <v>458</v>
      </c>
      <c r="H59" s="518" t="s">
        <v>535</v>
      </c>
      <c r="I59" s="521">
        <v>1</v>
      </c>
      <c r="J59" s="522">
        <v>4</v>
      </c>
      <c r="K59" s="450" t="s">
        <v>186</v>
      </c>
      <c r="L59" s="450" t="s">
        <v>263</v>
      </c>
      <c r="M59" s="450" t="s">
        <v>1449</v>
      </c>
      <c r="N59" s="523" t="s">
        <v>1869</v>
      </c>
      <c r="O59" s="524" t="s">
        <v>214</v>
      </c>
      <c r="P59" s="525">
        <v>53</v>
      </c>
      <c r="Q59" s="526"/>
      <c r="R59" s="527"/>
      <c r="S59" s="528">
        <v>0.20754716981132076</v>
      </c>
      <c r="T59" s="529" t="s">
        <v>722</v>
      </c>
      <c r="U59" s="530">
        <v>1</v>
      </c>
      <c r="V59" s="531" t="s">
        <v>442</v>
      </c>
      <c r="W59" s="453" t="s">
        <v>196</v>
      </c>
      <c r="X59" s="455">
        <v>4401600000</v>
      </c>
      <c r="Y59" s="455">
        <v>4401600000</v>
      </c>
      <c r="Z59" s="460" t="s">
        <v>1816</v>
      </c>
      <c r="AA59" s="453"/>
      <c r="AB59" s="453"/>
      <c r="AC59" s="458"/>
      <c r="AD59" s="458"/>
      <c r="AE59" s="532"/>
      <c r="AF59" s="531"/>
      <c r="AG59" s="455"/>
      <c r="AH59" s="461"/>
      <c r="AI59" s="533"/>
    </row>
    <row r="60" spans="2:35" ht="15" customHeight="1">
      <c r="B60" s="366">
        <f t="shared" si="1"/>
        <v>50</v>
      </c>
      <c r="C60" s="289" t="s">
        <v>416</v>
      </c>
      <c r="D60" s="446" t="s">
        <v>270</v>
      </c>
      <c r="E60" s="451" t="s">
        <v>231</v>
      </c>
      <c r="F60" s="520" t="s">
        <v>722</v>
      </c>
      <c r="G60" s="535" t="s">
        <v>458</v>
      </c>
      <c r="H60" s="518" t="s">
        <v>2154</v>
      </c>
      <c r="I60" s="521">
        <v>1</v>
      </c>
      <c r="J60" s="522">
        <v>5</v>
      </c>
      <c r="K60" s="450" t="s">
        <v>186</v>
      </c>
      <c r="L60" s="450" t="s">
        <v>263</v>
      </c>
      <c r="M60" s="450" t="s">
        <v>1449</v>
      </c>
      <c r="N60" s="523" t="s">
        <v>1870</v>
      </c>
      <c r="O60" s="524" t="s">
        <v>214</v>
      </c>
      <c r="P60" s="525">
        <v>1025</v>
      </c>
      <c r="Q60" s="526"/>
      <c r="R60" s="527"/>
      <c r="S60" s="528">
        <v>0.20783348713216446</v>
      </c>
      <c r="T60" s="529" t="s">
        <v>722</v>
      </c>
      <c r="U60" s="530">
        <v>1</v>
      </c>
      <c r="V60" s="531" t="s">
        <v>442</v>
      </c>
      <c r="W60" s="453" t="s">
        <v>196</v>
      </c>
      <c r="X60" s="455">
        <v>4401600000</v>
      </c>
      <c r="Y60" s="455">
        <v>4401600000</v>
      </c>
      <c r="Z60" s="460" t="s">
        <v>1816</v>
      </c>
      <c r="AA60" s="453"/>
      <c r="AB60" s="453"/>
      <c r="AC60" s="458"/>
      <c r="AD60" s="458"/>
      <c r="AE60" s="532"/>
      <c r="AF60" s="531"/>
      <c r="AG60" s="455"/>
      <c r="AH60" s="461"/>
      <c r="AI60" s="533"/>
    </row>
    <row r="61" spans="2:35" ht="15" customHeight="1">
      <c r="B61" s="366">
        <f t="shared" si="1"/>
        <v>51</v>
      </c>
      <c r="C61" s="289" t="s">
        <v>416</v>
      </c>
      <c r="D61" s="446" t="s">
        <v>270</v>
      </c>
      <c r="E61" s="451" t="s">
        <v>231</v>
      </c>
      <c r="F61" s="520" t="s">
        <v>722</v>
      </c>
      <c r="G61" s="535" t="s">
        <v>1673</v>
      </c>
      <c r="H61" s="518" t="s">
        <v>2155</v>
      </c>
      <c r="I61" s="521">
        <v>2</v>
      </c>
      <c r="J61" s="522">
        <v>1</v>
      </c>
      <c r="K61" s="450" t="s">
        <v>186</v>
      </c>
      <c r="L61" s="450" t="s">
        <v>263</v>
      </c>
      <c r="M61" s="450" t="s">
        <v>1451</v>
      </c>
      <c r="N61" s="523" t="s">
        <v>1871</v>
      </c>
      <c r="O61" s="524" t="s">
        <v>1872</v>
      </c>
      <c r="P61" s="525">
        <v>1090.3</v>
      </c>
      <c r="Q61" s="526">
        <v>41.1</v>
      </c>
      <c r="R61" s="527">
        <v>7.0439328625149043E-3</v>
      </c>
      <c r="S61" s="528">
        <v>1</v>
      </c>
      <c r="T61" s="529" t="s">
        <v>722</v>
      </c>
      <c r="U61" s="530">
        <v>1</v>
      </c>
      <c r="V61" s="531" t="s">
        <v>442</v>
      </c>
      <c r="W61" s="453" t="s">
        <v>196</v>
      </c>
      <c r="X61" s="455">
        <v>4401600000</v>
      </c>
      <c r="Y61" s="455">
        <v>4401600000</v>
      </c>
      <c r="Z61" s="460" t="s">
        <v>1816</v>
      </c>
      <c r="AA61" s="453"/>
      <c r="AB61" s="453"/>
      <c r="AC61" s="458"/>
      <c r="AD61" s="458"/>
      <c r="AE61" s="532"/>
      <c r="AF61" s="531"/>
      <c r="AG61" s="455"/>
      <c r="AH61" s="461"/>
      <c r="AI61" s="533"/>
    </row>
    <row r="62" spans="2:35" ht="15" customHeight="1">
      <c r="B62" s="366">
        <f t="shared" si="1"/>
        <v>52</v>
      </c>
      <c r="C62" s="289" t="s">
        <v>416</v>
      </c>
      <c r="D62" s="446" t="s">
        <v>270</v>
      </c>
      <c r="E62" s="451" t="s">
        <v>231</v>
      </c>
      <c r="F62" s="520" t="s">
        <v>722</v>
      </c>
      <c r="G62" s="535" t="s">
        <v>1673</v>
      </c>
      <c r="H62" s="518" t="s">
        <v>2156</v>
      </c>
      <c r="I62" s="521">
        <v>2</v>
      </c>
      <c r="J62" s="522">
        <v>2</v>
      </c>
      <c r="K62" s="450" t="s">
        <v>186</v>
      </c>
      <c r="L62" s="450" t="s">
        <v>263</v>
      </c>
      <c r="M62" s="450" t="s">
        <v>1451</v>
      </c>
      <c r="N62" s="523" t="s">
        <v>1873</v>
      </c>
      <c r="O62" s="524" t="s">
        <v>1872</v>
      </c>
      <c r="P62" s="525">
        <v>1090.3</v>
      </c>
      <c r="Q62" s="526">
        <v>123.17</v>
      </c>
      <c r="R62" s="527">
        <v>2.1113455012381915E-2</v>
      </c>
      <c r="S62" s="528">
        <v>1</v>
      </c>
      <c r="T62" s="529" t="s">
        <v>722</v>
      </c>
      <c r="U62" s="530">
        <v>1</v>
      </c>
      <c r="V62" s="531" t="s">
        <v>442</v>
      </c>
      <c r="W62" s="453" t="s">
        <v>196</v>
      </c>
      <c r="X62" s="455">
        <v>4401600000</v>
      </c>
      <c r="Y62" s="455">
        <v>4401600000</v>
      </c>
      <c r="Z62" s="460" t="s">
        <v>1816</v>
      </c>
      <c r="AA62" s="453"/>
      <c r="AB62" s="453"/>
      <c r="AC62" s="458"/>
      <c r="AD62" s="458"/>
      <c r="AE62" s="532"/>
      <c r="AF62" s="531"/>
      <c r="AG62" s="455"/>
      <c r="AH62" s="461"/>
      <c r="AI62" s="533"/>
    </row>
    <row r="63" spans="2:35" ht="15" customHeight="1">
      <c r="B63" s="366">
        <f t="shared" si="1"/>
        <v>53</v>
      </c>
      <c r="C63" s="289" t="s">
        <v>416</v>
      </c>
      <c r="D63" s="446" t="s">
        <v>270</v>
      </c>
      <c r="E63" s="451" t="s">
        <v>231</v>
      </c>
      <c r="F63" s="520" t="s">
        <v>722</v>
      </c>
      <c r="G63" s="535" t="s">
        <v>1674</v>
      </c>
      <c r="H63" s="518" t="s">
        <v>2157</v>
      </c>
      <c r="I63" s="521">
        <v>3</v>
      </c>
      <c r="J63" s="522">
        <v>1</v>
      </c>
      <c r="K63" s="450" t="s">
        <v>186</v>
      </c>
      <c r="L63" s="450" t="s">
        <v>341</v>
      </c>
      <c r="M63" s="450" t="s">
        <v>1453</v>
      </c>
      <c r="N63" s="523" t="s">
        <v>1454</v>
      </c>
      <c r="O63" s="524" t="s">
        <v>1874</v>
      </c>
      <c r="P63" s="525">
        <v>15318</v>
      </c>
      <c r="Q63" s="526">
        <v>95.26</v>
      </c>
      <c r="R63" s="527">
        <v>3.0487008747878317E-3</v>
      </c>
      <c r="S63" s="528">
        <v>1</v>
      </c>
      <c r="T63" s="529" t="s">
        <v>722</v>
      </c>
      <c r="U63" s="530">
        <v>1</v>
      </c>
      <c r="V63" s="531" t="s">
        <v>442</v>
      </c>
      <c r="W63" s="453" t="s">
        <v>196</v>
      </c>
      <c r="X63" s="455">
        <v>4401600000</v>
      </c>
      <c r="Y63" s="455">
        <v>4401600000</v>
      </c>
      <c r="Z63" s="460" t="s">
        <v>1816</v>
      </c>
      <c r="AA63" s="453"/>
      <c r="AB63" s="453"/>
      <c r="AC63" s="458"/>
      <c r="AD63" s="458"/>
      <c r="AE63" s="532"/>
      <c r="AF63" s="531"/>
      <c r="AG63" s="455"/>
      <c r="AH63" s="461"/>
      <c r="AI63" s="533"/>
    </row>
    <row r="64" spans="2:35" ht="15" customHeight="1">
      <c r="B64" s="366">
        <f t="shared" si="1"/>
        <v>54</v>
      </c>
      <c r="C64" s="289" t="s">
        <v>416</v>
      </c>
      <c r="D64" s="446" t="s">
        <v>270</v>
      </c>
      <c r="E64" s="451" t="s">
        <v>232</v>
      </c>
      <c r="F64" s="520" t="s">
        <v>723</v>
      </c>
      <c r="G64" s="535" t="s">
        <v>459</v>
      </c>
      <c r="H64" s="518" t="s">
        <v>536</v>
      </c>
      <c r="I64" s="521">
        <v>1</v>
      </c>
      <c r="J64" s="522">
        <v>1</v>
      </c>
      <c r="K64" s="450" t="s">
        <v>191</v>
      </c>
      <c r="L64" s="450" t="s">
        <v>319</v>
      </c>
      <c r="M64" s="450" t="s">
        <v>1455</v>
      </c>
      <c r="N64" s="523" t="s">
        <v>1875</v>
      </c>
      <c r="O64" s="524" t="s">
        <v>176</v>
      </c>
      <c r="P64" s="525">
        <v>6616</v>
      </c>
      <c r="Q64" s="526"/>
      <c r="R64" s="527"/>
      <c r="S64" s="528">
        <v>1</v>
      </c>
      <c r="T64" s="529" t="s">
        <v>723</v>
      </c>
      <c r="U64" s="530" t="s">
        <v>250</v>
      </c>
      <c r="V64" s="531" t="s">
        <v>444</v>
      </c>
      <c r="W64" s="453" t="s">
        <v>196</v>
      </c>
      <c r="X64" s="455">
        <v>4380000000</v>
      </c>
      <c r="Y64" s="455">
        <v>4380000000</v>
      </c>
      <c r="Z64" s="460" t="s">
        <v>1816</v>
      </c>
      <c r="AA64" s="453"/>
      <c r="AB64" s="453"/>
      <c r="AC64" s="458"/>
      <c r="AD64" s="458"/>
      <c r="AE64" s="532"/>
      <c r="AF64" s="531"/>
      <c r="AG64" s="455"/>
      <c r="AH64" s="461"/>
      <c r="AI64" s="533"/>
    </row>
    <row r="65" spans="2:35" ht="15" customHeight="1">
      <c r="B65" s="366">
        <f t="shared" si="1"/>
        <v>55</v>
      </c>
      <c r="C65" s="289" t="s">
        <v>416</v>
      </c>
      <c r="D65" s="446" t="s">
        <v>270</v>
      </c>
      <c r="E65" s="451" t="s">
        <v>232</v>
      </c>
      <c r="F65" s="520" t="s">
        <v>723</v>
      </c>
      <c r="G65" s="535" t="s">
        <v>459</v>
      </c>
      <c r="H65" s="518" t="s">
        <v>537</v>
      </c>
      <c r="I65" s="521">
        <v>1</v>
      </c>
      <c r="J65" s="522">
        <v>2</v>
      </c>
      <c r="K65" s="450" t="s">
        <v>191</v>
      </c>
      <c r="L65" s="450" t="s">
        <v>319</v>
      </c>
      <c r="M65" s="450" t="s">
        <v>1455</v>
      </c>
      <c r="N65" s="523" t="s">
        <v>1876</v>
      </c>
      <c r="O65" s="524" t="s">
        <v>214</v>
      </c>
      <c r="P65" s="525">
        <v>359</v>
      </c>
      <c r="Q65" s="526"/>
      <c r="R65" s="527"/>
      <c r="S65" s="528">
        <v>0.22284122562674094</v>
      </c>
      <c r="T65" s="529" t="s">
        <v>723</v>
      </c>
      <c r="U65" s="530" t="s">
        <v>250</v>
      </c>
      <c r="V65" s="531" t="s">
        <v>444</v>
      </c>
      <c r="W65" s="453" t="s">
        <v>196</v>
      </c>
      <c r="X65" s="455">
        <v>4380000000</v>
      </c>
      <c r="Y65" s="455">
        <v>4380000000</v>
      </c>
      <c r="Z65" s="460" t="s">
        <v>1816</v>
      </c>
      <c r="AA65" s="453"/>
      <c r="AB65" s="453"/>
      <c r="AC65" s="458"/>
      <c r="AD65" s="458"/>
      <c r="AE65" s="532"/>
      <c r="AF65" s="531"/>
      <c r="AG65" s="455"/>
      <c r="AH65" s="461"/>
      <c r="AI65" s="533"/>
    </row>
    <row r="66" spans="2:35" ht="15" customHeight="1">
      <c r="B66" s="366">
        <f t="shared" si="1"/>
        <v>56</v>
      </c>
      <c r="C66" s="289" t="s">
        <v>416</v>
      </c>
      <c r="D66" s="446" t="s">
        <v>270</v>
      </c>
      <c r="E66" s="451" t="s">
        <v>232</v>
      </c>
      <c r="F66" s="520" t="s">
        <v>723</v>
      </c>
      <c r="G66" s="535" t="s">
        <v>459</v>
      </c>
      <c r="H66" s="518" t="s">
        <v>2158</v>
      </c>
      <c r="I66" s="521">
        <v>1</v>
      </c>
      <c r="J66" s="522">
        <v>3</v>
      </c>
      <c r="K66" s="450" t="s">
        <v>191</v>
      </c>
      <c r="L66" s="450" t="s">
        <v>319</v>
      </c>
      <c r="M66" s="450" t="s">
        <v>1455</v>
      </c>
      <c r="N66" s="523" t="s">
        <v>1877</v>
      </c>
      <c r="O66" s="524" t="s">
        <v>214</v>
      </c>
      <c r="P66" s="525">
        <v>183</v>
      </c>
      <c r="Q66" s="526"/>
      <c r="R66" s="527"/>
      <c r="S66" s="528">
        <v>0.10928961748633879</v>
      </c>
      <c r="T66" s="529" t="s">
        <v>723</v>
      </c>
      <c r="U66" s="530" t="s">
        <v>250</v>
      </c>
      <c r="V66" s="531" t="s">
        <v>444</v>
      </c>
      <c r="W66" s="453" t="s">
        <v>196</v>
      </c>
      <c r="X66" s="455">
        <v>4380000000</v>
      </c>
      <c r="Y66" s="455">
        <v>4380000000</v>
      </c>
      <c r="Z66" s="460" t="s">
        <v>1816</v>
      </c>
      <c r="AA66" s="453"/>
      <c r="AB66" s="453"/>
      <c r="AC66" s="458"/>
      <c r="AD66" s="458"/>
      <c r="AE66" s="532"/>
      <c r="AF66" s="531"/>
      <c r="AG66" s="455"/>
      <c r="AH66" s="461"/>
      <c r="AI66" s="533"/>
    </row>
    <row r="67" spans="2:35" ht="15" customHeight="1">
      <c r="B67" s="366">
        <f t="shared" si="1"/>
        <v>57</v>
      </c>
      <c r="C67" s="289" t="s">
        <v>416</v>
      </c>
      <c r="D67" s="446" t="s">
        <v>270</v>
      </c>
      <c r="E67" s="451" t="s">
        <v>232</v>
      </c>
      <c r="F67" s="520" t="s">
        <v>723</v>
      </c>
      <c r="G67" s="535" t="s">
        <v>459</v>
      </c>
      <c r="H67" s="518" t="s">
        <v>2159</v>
      </c>
      <c r="I67" s="521">
        <v>1</v>
      </c>
      <c r="J67" s="522">
        <v>4</v>
      </c>
      <c r="K67" s="450" t="s">
        <v>191</v>
      </c>
      <c r="L67" s="450" t="s">
        <v>319</v>
      </c>
      <c r="M67" s="450" t="s">
        <v>1455</v>
      </c>
      <c r="N67" s="523" t="s">
        <v>1878</v>
      </c>
      <c r="O67" s="524" t="s">
        <v>214</v>
      </c>
      <c r="P67" s="525">
        <v>238</v>
      </c>
      <c r="Q67" s="526"/>
      <c r="R67" s="527"/>
      <c r="S67" s="528">
        <v>0.25210084033613445</v>
      </c>
      <c r="T67" s="529" t="s">
        <v>723</v>
      </c>
      <c r="U67" s="530" t="s">
        <v>250</v>
      </c>
      <c r="V67" s="531" t="s">
        <v>444</v>
      </c>
      <c r="W67" s="453" t="s">
        <v>196</v>
      </c>
      <c r="X67" s="455">
        <v>4380000000</v>
      </c>
      <c r="Y67" s="455">
        <v>4380000000</v>
      </c>
      <c r="Z67" s="460" t="s">
        <v>1816</v>
      </c>
      <c r="AA67" s="453"/>
      <c r="AB67" s="453"/>
      <c r="AC67" s="458"/>
      <c r="AD67" s="458"/>
      <c r="AE67" s="532"/>
      <c r="AF67" s="531"/>
      <c r="AG67" s="455"/>
      <c r="AH67" s="461"/>
      <c r="AI67" s="533"/>
    </row>
    <row r="68" spans="2:35" ht="15" customHeight="1">
      <c r="B68" s="366">
        <f t="shared" si="1"/>
        <v>58</v>
      </c>
      <c r="C68" s="289" t="s">
        <v>416</v>
      </c>
      <c r="D68" s="446" t="s">
        <v>270</v>
      </c>
      <c r="E68" s="451" t="s">
        <v>232</v>
      </c>
      <c r="F68" s="520" t="s">
        <v>723</v>
      </c>
      <c r="G68" s="535" t="s">
        <v>459</v>
      </c>
      <c r="H68" s="518" t="s">
        <v>2160</v>
      </c>
      <c r="I68" s="521">
        <v>1</v>
      </c>
      <c r="J68" s="522">
        <v>5</v>
      </c>
      <c r="K68" s="450" t="s">
        <v>191</v>
      </c>
      <c r="L68" s="450" t="s">
        <v>319</v>
      </c>
      <c r="M68" s="450" t="s">
        <v>1455</v>
      </c>
      <c r="N68" s="523" t="s">
        <v>1879</v>
      </c>
      <c r="O68" s="524" t="s">
        <v>214</v>
      </c>
      <c r="P68" s="525">
        <v>807</v>
      </c>
      <c r="Q68" s="526"/>
      <c r="R68" s="527"/>
      <c r="S68" s="528">
        <v>0.34696406443618338</v>
      </c>
      <c r="T68" s="529" t="s">
        <v>723</v>
      </c>
      <c r="U68" s="530" t="s">
        <v>250</v>
      </c>
      <c r="V68" s="531" t="s">
        <v>444</v>
      </c>
      <c r="W68" s="453" t="s">
        <v>196</v>
      </c>
      <c r="X68" s="455">
        <v>4380000000</v>
      </c>
      <c r="Y68" s="455">
        <v>4380000000</v>
      </c>
      <c r="Z68" s="460" t="s">
        <v>1816</v>
      </c>
      <c r="AA68" s="453"/>
      <c r="AB68" s="453"/>
      <c r="AC68" s="458"/>
      <c r="AD68" s="458"/>
      <c r="AE68" s="532"/>
      <c r="AF68" s="531"/>
      <c r="AG68" s="455"/>
      <c r="AH68" s="461"/>
      <c r="AI68" s="533"/>
    </row>
    <row r="69" spans="2:35" ht="15" customHeight="1">
      <c r="B69" s="366">
        <f t="shared" si="1"/>
        <v>59</v>
      </c>
      <c r="C69" s="289" t="s">
        <v>416</v>
      </c>
      <c r="D69" s="446" t="s">
        <v>270</v>
      </c>
      <c r="E69" s="451" t="s">
        <v>232</v>
      </c>
      <c r="F69" s="520" t="s">
        <v>723</v>
      </c>
      <c r="G69" s="535" t="s">
        <v>459</v>
      </c>
      <c r="H69" s="518" t="s">
        <v>2161</v>
      </c>
      <c r="I69" s="521">
        <v>1</v>
      </c>
      <c r="J69" s="522">
        <v>6</v>
      </c>
      <c r="K69" s="450" t="s">
        <v>191</v>
      </c>
      <c r="L69" s="450" t="s">
        <v>319</v>
      </c>
      <c r="M69" s="450" t="s">
        <v>1455</v>
      </c>
      <c r="N69" s="523" t="s">
        <v>703</v>
      </c>
      <c r="O69" s="524" t="s">
        <v>214</v>
      </c>
      <c r="P69" s="525">
        <v>324</v>
      </c>
      <c r="Q69" s="526"/>
      <c r="R69" s="527"/>
      <c r="S69" s="528">
        <v>0.30864197530864196</v>
      </c>
      <c r="T69" s="529" t="s">
        <v>723</v>
      </c>
      <c r="U69" s="530" t="s">
        <v>250</v>
      </c>
      <c r="V69" s="531" t="s">
        <v>444</v>
      </c>
      <c r="W69" s="453" t="s">
        <v>196</v>
      </c>
      <c r="X69" s="455">
        <v>4380000000</v>
      </c>
      <c r="Y69" s="455">
        <v>4380000000</v>
      </c>
      <c r="Z69" s="460" t="s">
        <v>1816</v>
      </c>
      <c r="AA69" s="453"/>
      <c r="AB69" s="453"/>
      <c r="AC69" s="458"/>
      <c r="AD69" s="458"/>
      <c r="AE69" s="532"/>
      <c r="AF69" s="531"/>
      <c r="AG69" s="455"/>
      <c r="AH69" s="461"/>
      <c r="AI69" s="533"/>
    </row>
    <row r="70" spans="2:35" ht="15" customHeight="1">
      <c r="B70" s="366">
        <f t="shared" si="1"/>
        <v>60</v>
      </c>
      <c r="C70" s="289" t="s">
        <v>416</v>
      </c>
      <c r="D70" s="446" t="s">
        <v>270</v>
      </c>
      <c r="E70" s="451" t="s">
        <v>232</v>
      </c>
      <c r="F70" s="520" t="s">
        <v>723</v>
      </c>
      <c r="G70" s="535" t="s">
        <v>1675</v>
      </c>
      <c r="H70" s="518" t="s">
        <v>2162</v>
      </c>
      <c r="I70" s="521">
        <v>2</v>
      </c>
      <c r="J70" s="522">
        <v>1</v>
      </c>
      <c r="K70" s="450" t="s">
        <v>191</v>
      </c>
      <c r="L70" s="450" t="s">
        <v>319</v>
      </c>
      <c r="M70" s="450" t="s">
        <v>1455</v>
      </c>
      <c r="N70" s="523" t="s">
        <v>1880</v>
      </c>
      <c r="O70" s="524" t="s">
        <v>266</v>
      </c>
      <c r="P70" s="525"/>
      <c r="Q70" s="526">
        <v>2353.5700000000002</v>
      </c>
      <c r="R70" s="527"/>
      <c r="S70" s="528">
        <v>1</v>
      </c>
      <c r="T70" s="529" t="s">
        <v>723</v>
      </c>
      <c r="U70" s="530">
        <v>1</v>
      </c>
      <c r="V70" s="531" t="s">
        <v>442</v>
      </c>
      <c r="W70" s="453" t="s">
        <v>196</v>
      </c>
      <c r="X70" s="455">
        <v>2700000000</v>
      </c>
      <c r="Y70" s="455">
        <v>2700000000</v>
      </c>
      <c r="Z70" s="460" t="s">
        <v>1816</v>
      </c>
      <c r="AA70" s="453"/>
      <c r="AB70" s="453"/>
      <c r="AC70" s="458"/>
      <c r="AD70" s="458"/>
      <c r="AE70" s="532"/>
      <c r="AF70" s="531"/>
      <c r="AG70" s="455"/>
      <c r="AH70" s="461"/>
      <c r="AI70" s="533"/>
    </row>
    <row r="71" spans="2:35" ht="15" customHeight="1">
      <c r="B71" s="366">
        <f t="shared" si="1"/>
        <v>61</v>
      </c>
      <c r="C71" s="289" t="s">
        <v>416</v>
      </c>
      <c r="D71" s="446" t="s">
        <v>270</v>
      </c>
      <c r="E71" s="451" t="s">
        <v>233</v>
      </c>
      <c r="F71" s="520" t="s">
        <v>724</v>
      </c>
      <c r="G71" s="535" t="s">
        <v>460</v>
      </c>
      <c r="H71" s="518" t="s">
        <v>538</v>
      </c>
      <c r="I71" s="521">
        <v>1</v>
      </c>
      <c r="J71" s="522">
        <v>1</v>
      </c>
      <c r="K71" s="450" t="s">
        <v>187</v>
      </c>
      <c r="L71" s="450" t="s">
        <v>316</v>
      </c>
      <c r="M71" s="450" t="s">
        <v>1461</v>
      </c>
      <c r="N71" s="523" t="s">
        <v>1882</v>
      </c>
      <c r="O71" s="524" t="s">
        <v>1883</v>
      </c>
      <c r="P71" s="525"/>
      <c r="Q71" s="526">
        <v>2773.9850000000006</v>
      </c>
      <c r="R71" s="527"/>
      <c r="S71" s="528">
        <v>1</v>
      </c>
      <c r="T71" s="529" t="s">
        <v>724</v>
      </c>
      <c r="U71" s="530">
        <v>1</v>
      </c>
      <c r="V71" s="531" t="s">
        <v>442</v>
      </c>
      <c r="W71" s="453" t="s">
        <v>196</v>
      </c>
      <c r="X71" s="455">
        <v>6000000000</v>
      </c>
      <c r="Y71" s="455">
        <v>6000000000</v>
      </c>
      <c r="Z71" s="460" t="s">
        <v>1816</v>
      </c>
      <c r="AA71" s="453"/>
      <c r="AB71" s="453"/>
      <c r="AC71" s="458"/>
      <c r="AD71" s="458"/>
      <c r="AE71" s="532"/>
      <c r="AF71" s="531"/>
      <c r="AG71" s="455"/>
      <c r="AH71" s="461"/>
      <c r="AI71" s="533"/>
    </row>
    <row r="72" spans="2:35" ht="15" customHeight="1">
      <c r="B72" s="366">
        <f t="shared" si="1"/>
        <v>62</v>
      </c>
      <c r="C72" s="289" t="s">
        <v>416</v>
      </c>
      <c r="D72" s="446" t="s">
        <v>270</v>
      </c>
      <c r="E72" s="451" t="s">
        <v>233</v>
      </c>
      <c r="F72" s="520" t="s">
        <v>724</v>
      </c>
      <c r="G72" s="535" t="s">
        <v>460</v>
      </c>
      <c r="H72" s="518" t="s">
        <v>539</v>
      </c>
      <c r="I72" s="521">
        <v>1</v>
      </c>
      <c r="J72" s="522">
        <v>2</v>
      </c>
      <c r="K72" s="450" t="s">
        <v>187</v>
      </c>
      <c r="L72" s="450" t="s">
        <v>316</v>
      </c>
      <c r="M72" s="450" t="s">
        <v>1461</v>
      </c>
      <c r="N72" s="523" t="s">
        <v>1884</v>
      </c>
      <c r="O72" s="524" t="s">
        <v>1885</v>
      </c>
      <c r="P72" s="525"/>
      <c r="Q72" s="526">
        <v>2004.3</v>
      </c>
      <c r="R72" s="527"/>
      <c r="S72" s="528">
        <v>1</v>
      </c>
      <c r="T72" s="529" t="s">
        <v>724</v>
      </c>
      <c r="U72" s="530">
        <v>1</v>
      </c>
      <c r="V72" s="531" t="s">
        <v>442</v>
      </c>
      <c r="W72" s="453" t="s">
        <v>196</v>
      </c>
      <c r="X72" s="455">
        <v>6000000000</v>
      </c>
      <c r="Y72" s="455">
        <v>6000000000</v>
      </c>
      <c r="Z72" s="460" t="s">
        <v>1816</v>
      </c>
      <c r="AA72" s="453"/>
      <c r="AB72" s="453"/>
      <c r="AC72" s="458"/>
      <c r="AD72" s="458"/>
      <c r="AE72" s="532"/>
      <c r="AF72" s="531"/>
      <c r="AG72" s="455"/>
      <c r="AH72" s="461"/>
      <c r="AI72" s="533"/>
    </row>
    <row r="73" spans="2:35" ht="15" customHeight="1">
      <c r="B73" s="366">
        <f t="shared" si="1"/>
        <v>63</v>
      </c>
      <c r="C73" s="289" t="s">
        <v>416</v>
      </c>
      <c r="D73" s="446" t="s">
        <v>270</v>
      </c>
      <c r="E73" s="451" t="s">
        <v>233</v>
      </c>
      <c r="F73" s="520" t="s">
        <v>724</v>
      </c>
      <c r="G73" s="535" t="s">
        <v>460</v>
      </c>
      <c r="H73" s="518" t="s">
        <v>677</v>
      </c>
      <c r="I73" s="521">
        <v>1</v>
      </c>
      <c r="J73" s="522">
        <v>3</v>
      </c>
      <c r="K73" s="450" t="s">
        <v>187</v>
      </c>
      <c r="L73" s="450" t="s">
        <v>316</v>
      </c>
      <c r="M73" s="450" t="s">
        <v>1461</v>
      </c>
      <c r="N73" s="523" t="s">
        <v>1886</v>
      </c>
      <c r="O73" s="524" t="s">
        <v>176</v>
      </c>
      <c r="P73" s="525">
        <v>9905.2999999999993</v>
      </c>
      <c r="Q73" s="526"/>
      <c r="R73" s="527"/>
      <c r="S73" s="528">
        <v>1</v>
      </c>
      <c r="T73" s="529" t="s">
        <v>724</v>
      </c>
      <c r="U73" s="530">
        <v>1</v>
      </c>
      <c r="V73" s="531" t="s">
        <v>442</v>
      </c>
      <c r="W73" s="453" t="s">
        <v>196</v>
      </c>
      <c r="X73" s="455">
        <v>6000000000</v>
      </c>
      <c r="Y73" s="455">
        <v>6000000000</v>
      </c>
      <c r="Z73" s="460" t="s">
        <v>1816</v>
      </c>
      <c r="AA73" s="453"/>
      <c r="AB73" s="453"/>
      <c r="AC73" s="458"/>
      <c r="AD73" s="458"/>
      <c r="AE73" s="532"/>
      <c r="AF73" s="531"/>
      <c r="AG73" s="455"/>
      <c r="AH73" s="461"/>
      <c r="AI73" s="533"/>
    </row>
    <row r="74" spans="2:35" ht="15" customHeight="1">
      <c r="B74" s="366">
        <f t="shared" ref="B74:B101" si="2">ROW()-10</f>
        <v>64</v>
      </c>
      <c r="C74" s="289" t="s">
        <v>416</v>
      </c>
      <c r="D74" s="446" t="s">
        <v>270</v>
      </c>
      <c r="E74" s="451" t="s">
        <v>234</v>
      </c>
      <c r="F74" s="520" t="s">
        <v>725</v>
      </c>
      <c r="G74" s="535" t="s">
        <v>461</v>
      </c>
      <c r="H74" s="518" t="s">
        <v>540</v>
      </c>
      <c r="I74" s="521">
        <v>1</v>
      </c>
      <c r="J74" s="522">
        <v>1</v>
      </c>
      <c r="K74" s="450" t="s">
        <v>192</v>
      </c>
      <c r="L74" s="450" t="s">
        <v>1465</v>
      </c>
      <c r="M74" s="450" t="s">
        <v>1466</v>
      </c>
      <c r="N74" s="523" t="s">
        <v>1887</v>
      </c>
      <c r="O74" s="524" t="s">
        <v>1888</v>
      </c>
      <c r="P74" s="525"/>
      <c r="Q74" s="526">
        <v>4101.835</v>
      </c>
      <c r="R74" s="527"/>
      <c r="S74" s="528">
        <v>1</v>
      </c>
      <c r="T74" s="529" t="s">
        <v>725</v>
      </c>
      <c r="U74" s="530">
        <v>1</v>
      </c>
      <c r="V74" s="531" t="s">
        <v>442</v>
      </c>
      <c r="W74" s="453" t="s">
        <v>196</v>
      </c>
      <c r="X74" s="455">
        <v>4382000000</v>
      </c>
      <c r="Y74" s="455">
        <v>4382000000</v>
      </c>
      <c r="Z74" s="460" t="s">
        <v>1816</v>
      </c>
      <c r="AA74" s="453"/>
      <c r="AB74" s="453"/>
      <c r="AC74" s="458"/>
      <c r="AD74" s="458"/>
      <c r="AE74" s="532"/>
      <c r="AF74" s="531"/>
      <c r="AG74" s="455"/>
      <c r="AH74" s="461"/>
      <c r="AI74" s="533"/>
    </row>
    <row r="75" spans="2:35" ht="15" customHeight="1">
      <c r="B75" s="366">
        <f t="shared" si="2"/>
        <v>65</v>
      </c>
      <c r="C75" s="289" t="s">
        <v>416</v>
      </c>
      <c r="D75" s="446" t="s">
        <v>270</v>
      </c>
      <c r="E75" s="451" t="s">
        <v>234</v>
      </c>
      <c r="F75" s="520" t="s">
        <v>725</v>
      </c>
      <c r="G75" s="535" t="s">
        <v>461</v>
      </c>
      <c r="H75" s="518" t="s">
        <v>541</v>
      </c>
      <c r="I75" s="521">
        <v>1</v>
      </c>
      <c r="J75" s="522">
        <v>2</v>
      </c>
      <c r="K75" s="450" t="s">
        <v>192</v>
      </c>
      <c r="L75" s="450" t="s">
        <v>1465</v>
      </c>
      <c r="M75" s="450" t="s">
        <v>1466</v>
      </c>
      <c r="N75" s="523" t="s">
        <v>1889</v>
      </c>
      <c r="O75" s="524" t="s">
        <v>1890</v>
      </c>
      <c r="P75" s="525"/>
      <c r="Q75" s="526">
        <v>420.84</v>
      </c>
      <c r="R75" s="527"/>
      <c r="S75" s="528">
        <v>1</v>
      </c>
      <c r="T75" s="529" t="s">
        <v>725</v>
      </c>
      <c r="U75" s="530">
        <v>1</v>
      </c>
      <c r="V75" s="531" t="s">
        <v>442</v>
      </c>
      <c r="W75" s="453" t="s">
        <v>196</v>
      </c>
      <c r="X75" s="455">
        <v>4382000000</v>
      </c>
      <c r="Y75" s="455">
        <v>4382000000</v>
      </c>
      <c r="Z75" s="460" t="s">
        <v>1816</v>
      </c>
      <c r="AA75" s="453"/>
      <c r="AB75" s="453"/>
      <c r="AC75" s="458"/>
      <c r="AD75" s="458"/>
      <c r="AE75" s="532"/>
      <c r="AF75" s="531"/>
      <c r="AG75" s="455"/>
      <c r="AH75" s="461"/>
      <c r="AI75" s="533"/>
    </row>
    <row r="76" spans="2:35" ht="15" customHeight="1">
      <c r="B76" s="366">
        <f t="shared" si="2"/>
        <v>66</v>
      </c>
      <c r="C76" s="289" t="s">
        <v>416</v>
      </c>
      <c r="D76" s="446" t="s">
        <v>270</v>
      </c>
      <c r="E76" s="451" t="s">
        <v>234</v>
      </c>
      <c r="F76" s="520" t="s">
        <v>725</v>
      </c>
      <c r="G76" s="535" t="s">
        <v>461</v>
      </c>
      <c r="H76" s="518" t="s">
        <v>542</v>
      </c>
      <c r="I76" s="521">
        <v>1</v>
      </c>
      <c r="J76" s="522">
        <v>3</v>
      </c>
      <c r="K76" s="450" t="s">
        <v>192</v>
      </c>
      <c r="L76" s="450" t="s">
        <v>1465</v>
      </c>
      <c r="M76" s="450" t="s">
        <v>1466</v>
      </c>
      <c r="N76" s="523" t="s">
        <v>1891</v>
      </c>
      <c r="O76" s="524" t="s">
        <v>1892</v>
      </c>
      <c r="P76" s="525"/>
      <c r="Q76" s="526">
        <v>703.36249999999995</v>
      </c>
      <c r="R76" s="527"/>
      <c r="S76" s="528">
        <v>1</v>
      </c>
      <c r="T76" s="529" t="s">
        <v>725</v>
      </c>
      <c r="U76" s="530">
        <v>1</v>
      </c>
      <c r="V76" s="531" t="s">
        <v>442</v>
      </c>
      <c r="W76" s="453" t="s">
        <v>196</v>
      </c>
      <c r="X76" s="455">
        <v>4382000000</v>
      </c>
      <c r="Y76" s="455">
        <v>4382000000</v>
      </c>
      <c r="Z76" s="460" t="s">
        <v>1816</v>
      </c>
      <c r="AA76" s="453"/>
      <c r="AB76" s="453"/>
      <c r="AC76" s="458"/>
      <c r="AD76" s="458"/>
      <c r="AE76" s="532"/>
      <c r="AF76" s="531"/>
      <c r="AG76" s="455"/>
      <c r="AH76" s="461"/>
      <c r="AI76" s="533"/>
    </row>
    <row r="77" spans="2:35" ht="15" customHeight="1">
      <c r="B77" s="366">
        <f t="shared" si="2"/>
        <v>67</v>
      </c>
      <c r="C77" s="289" t="s">
        <v>416</v>
      </c>
      <c r="D77" s="446" t="s">
        <v>270</v>
      </c>
      <c r="E77" s="451" t="s">
        <v>234</v>
      </c>
      <c r="F77" s="520" t="s">
        <v>725</v>
      </c>
      <c r="G77" s="535" t="s">
        <v>461</v>
      </c>
      <c r="H77" s="518" t="s">
        <v>628</v>
      </c>
      <c r="I77" s="521">
        <v>1</v>
      </c>
      <c r="J77" s="522">
        <v>4</v>
      </c>
      <c r="K77" s="450" t="s">
        <v>192</v>
      </c>
      <c r="L77" s="450" t="s">
        <v>1465</v>
      </c>
      <c r="M77" s="450" t="s">
        <v>1466</v>
      </c>
      <c r="N77" s="523" t="s">
        <v>1893</v>
      </c>
      <c r="O77" s="524" t="s">
        <v>216</v>
      </c>
      <c r="P77" s="525">
        <v>10896</v>
      </c>
      <c r="Q77" s="526"/>
      <c r="R77" s="527"/>
      <c r="S77" s="528">
        <v>1</v>
      </c>
      <c r="T77" s="529" t="s">
        <v>725</v>
      </c>
      <c r="U77" s="530">
        <v>1</v>
      </c>
      <c r="V77" s="531" t="s">
        <v>442</v>
      </c>
      <c r="W77" s="453" t="s">
        <v>196</v>
      </c>
      <c r="X77" s="455">
        <v>4382000000</v>
      </c>
      <c r="Y77" s="455">
        <v>4382000000</v>
      </c>
      <c r="Z77" s="460" t="s">
        <v>1816</v>
      </c>
      <c r="AA77" s="453"/>
      <c r="AB77" s="453"/>
      <c r="AC77" s="458"/>
      <c r="AD77" s="458"/>
      <c r="AE77" s="532"/>
      <c r="AF77" s="531"/>
      <c r="AG77" s="455"/>
      <c r="AH77" s="461"/>
      <c r="AI77" s="533"/>
    </row>
    <row r="78" spans="2:35" ht="15" customHeight="1">
      <c r="B78" s="366">
        <f t="shared" si="2"/>
        <v>68</v>
      </c>
      <c r="C78" s="289" t="s">
        <v>416</v>
      </c>
      <c r="D78" s="446" t="s">
        <v>270</v>
      </c>
      <c r="E78" s="451" t="s">
        <v>234</v>
      </c>
      <c r="F78" s="520" t="s">
        <v>725</v>
      </c>
      <c r="G78" s="535" t="s">
        <v>461</v>
      </c>
      <c r="H78" s="518" t="s">
        <v>678</v>
      </c>
      <c r="I78" s="521">
        <v>1</v>
      </c>
      <c r="J78" s="522">
        <v>5</v>
      </c>
      <c r="K78" s="450" t="s">
        <v>192</v>
      </c>
      <c r="L78" s="450" t="s">
        <v>1465</v>
      </c>
      <c r="M78" s="450" t="s">
        <v>1466</v>
      </c>
      <c r="N78" s="523" t="s">
        <v>1894</v>
      </c>
      <c r="O78" s="524" t="s">
        <v>216</v>
      </c>
      <c r="P78" s="525">
        <v>165</v>
      </c>
      <c r="Q78" s="526"/>
      <c r="R78" s="527"/>
      <c r="S78" s="528">
        <v>1</v>
      </c>
      <c r="T78" s="529" t="s">
        <v>725</v>
      </c>
      <c r="U78" s="530">
        <v>1</v>
      </c>
      <c r="V78" s="531" t="s">
        <v>442</v>
      </c>
      <c r="W78" s="453" t="s">
        <v>196</v>
      </c>
      <c r="X78" s="455">
        <v>4382000000</v>
      </c>
      <c r="Y78" s="455">
        <v>4382000000</v>
      </c>
      <c r="Z78" s="460" t="s">
        <v>1816</v>
      </c>
      <c r="AA78" s="453"/>
      <c r="AB78" s="453"/>
      <c r="AC78" s="458"/>
      <c r="AD78" s="458"/>
      <c r="AE78" s="532"/>
      <c r="AF78" s="531"/>
      <c r="AG78" s="455"/>
      <c r="AH78" s="461"/>
      <c r="AI78" s="533"/>
    </row>
    <row r="79" spans="2:35" ht="15" customHeight="1">
      <c r="B79" s="366">
        <f t="shared" si="2"/>
        <v>69</v>
      </c>
      <c r="C79" s="289" t="s">
        <v>416</v>
      </c>
      <c r="D79" s="446" t="s">
        <v>270</v>
      </c>
      <c r="E79" s="451" t="s">
        <v>234</v>
      </c>
      <c r="F79" s="520" t="s">
        <v>725</v>
      </c>
      <c r="G79" s="535" t="s">
        <v>461</v>
      </c>
      <c r="H79" s="518" t="s">
        <v>679</v>
      </c>
      <c r="I79" s="521">
        <v>1</v>
      </c>
      <c r="J79" s="522">
        <v>6</v>
      </c>
      <c r="K79" s="450" t="s">
        <v>192</v>
      </c>
      <c r="L79" s="450" t="s">
        <v>1465</v>
      </c>
      <c r="M79" s="450" t="s">
        <v>1466</v>
      </c>
      <c r="N79" s="523" t="s">
        <v>1895</v>
      </c>
      <c r="O79" s="524" t="s">
        <v>214</v>
      </c>
      <c r="P79" s="525">
        <v>15</v>
      </c>
      <c r="Q79" s="526"/>
      <c r="R79" s="527"/>
      <c r="S79" s="528">
        <v>1</v>
      </c>
      <c r="T79" s="529" t="s">
        <v>725</v>
      </c>
      <c r="U79" s="530">
        <v>1</v>
      </c>
      <c r="V79" s="531" t="s">
        <v>442</v>
      </c>
      <c r="W79" s="453" t="s">
        <v>196</v>
      </c>
      <c r="X79" s="455">
        <v>4382000000</v>
      </c>
      <c r="Y79" s="455">
        <v>4382000000</v>
      </c>
      <c r="Z79" s="460" t="s">
        <v>1816</v>
      </c>
      <c r="AA79" s="453"/>
      <c r="AB79" s="453"/>
      <c r="AC79" s="458"/>
      <c r="AD79" s="458"/>
      <c r="AE79" s="532"/>
      <c r="AF79" s="531"/>
      <c r="AG79" s="455"/>
      <c r="AH79" s="461"/>
      <c r="AI79" s="533"/>
    </row>
    <row r="80" spans="2:35" ht="15" customHeight="1">
      <c r="B80" s="366">
        <f t="shared" si="2"/>
        <v>70</v>
      </c>
      <c r="C80" s="289" t="s">
        <v>416</v>
      </c>
      <c r="D80" s="446" t="s">
        <v>270</v>
      </c>
      <c r="E80" s="451" t="s">
        <v>234</v>
      </c>
      <c r="F80" s="520" t="s">
        <v>725</v>
      </c>
      <c r="G80" s="535" t="s">
        <v>461</v>
      </c>
      <c r="H80" s="518" t="s">
        <v>2163</v>
      </c>
      <c r="I80" s="521">
        <v>1</v>
      </c>
      <c r="J80" s="522">
        <v>7</v>
      </c>
      <c r="K80" s="450" t="s">
        <v>192</v>
      </c>
      <c r="L80" s="450" t="s">
        <v>1465</v>
      </c>
      <c r="M80" s="450" t="s">
        <v>1466</v>
      </c>
      <c r="N80" s="523" t="s">
        <v>1896</v>
      </c>
      <c r="O80" s="524" t="s">
        <v>214</v>
      </c>
      <c r="P80" s="525">
        <v>73</v>
      </c>
      <c r="Q80" s="526"/>
      <c r="R80" s="527"/>
      <c r="S80" s="528">
        <v>1</v>
      </c>
      <c r="T80" s="529" t="s">
        <v>725</v>
      </c>
      <c r="U80" s="530">
        <v>1</v>
      </c>
      <c r="V80" s="531" t="s">
        <v>442</v>
      </c>
      <c r="W80" s="453" t="s">
        <v>196</v>
      </c>
      <c r="X80" s="455">
        <v>4382000000</v>
      </c>
      <c r="Y80" s="455">
        <v>4382000000</v>
      </c>
      <c r="Z80" s="460" t="s">
        <v>1816</v>
      </c>
      <c r="AA80" s="453"/>
      <c r="AB80" s="453"/>
      <c r="AC80" s="458"/>
      <c r="AD80" s="458"/>
      <c r="AE80" s="532"/>
      <c r="AF80" s="531"/>
      <c r="AG80" s="455"/>
      <c r="AH80" s="461"/>
      <c r="AI80" s="533"/>
    </row>
    <row r="81" spans="2:35" ht="15" customHeight="1">
      <c r="B81" s="366">
        <f t="shared" si="2"/>
        <v>71</v>
      </c>
      <c r="C81" s="289" t="s">
        <v>416</v>
      </c>
      <c r="D81" s="446" t="s">
        <v>270</v>
      </c>
      <c r="E81" s="451" t="s">
        <v>234</v>
      </c>
      <c r="F81" s="520" t="s">
        <v>725</v>
      </c>
      <c r="G81" s="535" t="s">
        <v>461</v>
      </c>
      <c r="H81" s="518" t="s">
        <v>2164</v>
      </c>
      <c r="I81" s="521">
        <v>1</v>
      </c>
      <c r="J81" s="522">
        <v>8</v>
      </c>
      <c r="K81" s="450" t="s">
        <v>192</v>
      </c>
      <c r="L81" s="450" t="s">
        <v>1465</v>
      </c>
      <c r="M81" s="450" t="s">
        <v>1466</v>
      </c>
      <c r="N81" s="523" t="s">
        <v>1897</v>
      </c>
      <c r="O81" s="524" t="s">
        <v>214</v>
      </c>
      <c r="P81" s="525">
        <v>123</v>
      </c>
      <c r="Q81" s="526"/>
      <c r="R81" s="527"/>
      <c r="S81" s="528">
        <v>1</v>
      </c>
      <c r="T81" s="529" t="s">
        <v>725</v>
      </c>
      <c r="U81" s="530">
        <v>1</v>
      </c>
      <c r="V81" s="531" t="s">
        <v>442</v>
      </c>
      <c r="W81" s="453" t="s">
        <v>196</v>
      </c>
      <c r="X81" s="455">
        <v>4382000000</v>
      </c>
      <c r="Y81" s="455">
        <v>4382000000</v>
      </c>
      <c r="Z81" s="460" t="s">
        <v>1816</v>
      </c>
      <c r="AA81" s="453"/>
      <c r="AB81" s="453"/>
      <c r="AC81" s="458"/>
      <c r="AD81" s="458"/>
      <c r="AE81" s="532"/>
      <c r="AF81" s="531"/>
      <c r="AG81" s="455"/>
      <c r="AH81" s="461"/>
      <c r="AI81" s="533"/>
    </row>
    <row r="82" spans="2:35" ht="15" customHeight="1">
      <c r="B82" s="366">
        <f t="shared" si="2"/>
        <v>72</v>
      </c>
      <c r="C82" s="289" t="s">
        <v>416</v>
      </c>
      <c r="D82" s="446" t="s">
        <v>270</v>
      </c>
      <c r="E82" s="451" t="s">
        <v>234</v>
      </c>
      <c r="F82" s="520" t="s">
        <v>725</v>
      </c>
      <c r="G82" s="535" t="s">
        <v>461</v>
      </c>
      <c r="H82" s="518" t="s">
        <v>2165</v>
      </c>
      <c r="I82" s="521">
        <v>1</v>
      </c>
      <c r="J82" s="522">
        <v>9</v>
      </c>
      <c r="K82" s="450" t="s">
        <v>192</v>
      </c>
      <c r="L82" s="450" t="s">
        <v>1465</v>
      </c>
      <c r="M82" s="450" t="s">
        <v>1466</v>
      </c>
      <c r="N82" s="523" t="s">
        <v>1898</v>
      </c>
      <c r="O82" s="524" t="s">
        <v>214</v>
      </c>
      <c r="P82" s="525">
        <v>21</v>
      </c>
      <c r="Q82" s="526"/>
      <c r="R82" s="527"/>
      <c r="S82" s="528">
        <v>1</v>
      </c>
      <c r="T82" s="529" t="s">
        <v>725</v>
      </c>
      <c r="U82" s="530">
        <v>1</v>
      </c>
      <c r="V82" s="531" t="s">
        <v>442</v>
      </c>
      <c r="W82" s="453" t="s">
        <v>196</v>
      </c>
      <c r="X82" s="455">
        <v>4382000000</v>
      </c>
      <c r="Y82" s="455">
        <v>4382000000</v>
      </c>
      <c r="Z82" s="460" t="s">
        <v>1816</v>
      </c>
      <c r="AA82" s="453"/>
      <c r="AB82" s="453"/>
      <c r="AC82" s="458"/>
      <c r="AD82" s="458"/>
      <c r="AE82" s="532"/>
      <c r="AF82" s="531"/>
      <c r="AG82" s="455"/>
      <c r="AH82" s="461"/>
      <c r="AI82" s="533"/>
    </row>
    <row r="83" spans="2:35" ht="15" customHeight="1">
      <c r="B83" s="366">
        <f t="shared" si="2"/>
        <v>73</v>
      </c>
      <c r="C83" s="289" t="s">
        <v>416</v>
      </c>
      <c r="D83" s="446" t="s">
        <v>270</v>
      </c>
      <c r="E83" s="451" t="s">
        <v>234</v>
      </c>
      <c r="F83" s="520" t="s">
        <v>725</v>
      </c>
      <c r="G83" s="535" t="s">
        <v>461</v>
      </c>
      <c r="H83" s="518" t="s">
        <v>2166</v>
      </c>
      <c r="I83" s="521">
        <v>1</v>
      </c>
      <c r="J83" s="522">
        <v>10</v>
      </c>
      <c r="K83" s="450" t="s">
        <v>192</v>
      </c>
      <c r="L83" s="450" t="s">
        <v>1465</v>
      </c>
      <c r="M83" s="450" t="s">
        <v>1466</v>
      </c>
      <c r="N83" s="523" t="s">
        <v>1899</v>
      </c>
      <c r="O83" s="524" t="s">
        <v>214</v>
      </c>
      <c r="P83" s="525">
        <v>30</v>
      </c>
      <c r="Q83" s="526"/>
      <c r="R83" s="527"/>
      <c r="S83" s="528">
        <v>1</v>
      </c>
      <c r="T83" s="529" t="s">
        <v>725</v>
      </c>
      <c r="U83" s="530">
        <v>1</v>
      </c>
      <c r="V83" s="531" t="s">
        <v>442</v>
      </c>
      <c r="W83" s="453" t="s">
        <v>196</v>
      </c>
      <c r="X83" s="455">
        <v>4382000000</v>
      </c>
      <c r="Y83" s="455">
        <v>4382000000</v>
      </c>
      <c r="Z83" s="460" t="s">
        <v>1816</v>
      </c>
      <c r="AA83" s="453"/>
      <c r="AB83" s="453"/>
      <c r="AC83" s="458"/>
      <c r="AD83" s="458"/>
      <c r="AE83" s="532"/>
      <c r="AF83" s="531"/>
      <c r="AG83" s="455"/>
      <c r="AH83" s="461"/>
      <c r="AI83" s="533"/>
    </row>
    <row r="84" spans="2:35" ht="15" customHeight="1">
      <c r="B84" s="366">
        <f t="shared" si="2"/>
        <v>74</v>
      </c>
      <c r="C84" s="289" t="s">
        <v>416</v>
      </c>
      <c r="D84" s="446" t="s">
        <v>270</v>
      </c>
      <c r="E84" s="451" t="s">
        <v>235</v>
      </c>
      <c r="F84" s="520" t="s">
        <v>726</v>
      </c>
      <c r="G84" s="535" t="s">
        <v>462</v>
      </c>
      <c r="H84" s="518" t="s">
        <v>543</v>
      </c>
      <c r="I84" s="521">
        <v>1</v>
      </c>
      <c r="J84" s="522">
        <v>1</v>
      </c>
      <c r="K84" s="450" t="s">
        <v>186</v>
      </c>
      <c r="L84" s="450" t="s">
        <v>183</v>
      </c>
      <c r="M84" s="450" t="s">
        <v>1468</v>
      </c>
      <c r="N84" s="523" t="s">
        <v>1900</v>
      </c>
      <c r="O84" s="524" t="s">
        <v>247</v>
      </c>
      <c r="P84" s="525"/>
      <c r="Q84" s="526">
        <v>707.7</v>
      </c>
      <c r="R84" s="527"/>
      <c r="S84" s="528">
        <v>1</v>
      </c>
      <c r="T84" s="529" t="s">
        <v>726</v>
      </c>
      <c r="U84" s="530">
        <v>1</v>
      </c>
      <c r="V84" s="531" t="s">
        <v>442</v>
      </c>
      <c r="W84" s="453" t="s">
        <v>196</v>
      </c>
      <c r="X84" s="455">
        <v>4920000000</v>
      </c>
      <c r="Y84" s="455">
        <v>4920000000</v>
      </c>
      <c r="Z84" s="460" t="s">
        <v>1816</v>
      </c>
      <c r="AA84" s="453"/>
      <c r="AB84" s="453"/>
      <c r="AC84" s="458"/>
      <c r="AD84" s="458"/>
      <c r="AE84" s="532"/>
      <c r="AF84" s="531"/>
      <c r="AG84" s="455"/>
      <c r="AH84" s="461"/>
      <c r="AI84" s="533"/>
    </row>
    <row r="85" spans="2:35" ht="15" customHeight="1">
      <c r="B85" s="366">
        <f t="shared" si="2"/>
        <v>75</v>
      </c>
      <c r="C85" s="289" t="s">
        <v>416</v>
      </c>
      <c r="D85" s="446" t="s">
        <v>270</v>
      </c>
      <c r="E85" s="451" t="s">
        <v>235</v>
      </c>
      <c r="F85" s="520" t="s">
        <v>726</v>
      </c>
      <c r="G85" s="535" t="s">
        <v>462</v>
      </c>
      <c r="H85" s="518" t="s">
        <v>544</v>
      </c>
      <c r="I85" s="521">
        <v>1</v>
      </c>
      <c r="J85" s="522">
        <v>2</v>
      </c>
      <c r="K85" s="450" t="s">
        <v>186</v>
      </c>
      <c r="L85" s="450" t="s">
        <v>183</v>
      </c>
      <c r="M85" s="450" t="s">
        <v>1468</v>
      </c>
      <c r="N85" s="523" t="s">
        <v>1901</v>
      </c>
      <c r="O85" s="524" t="s">
        <v>213</v>
      </c>
      <c r="P85" s="525"/>
      <c r="Q85" s="526">
        <v>752</v>
      </c>
      <c r="R85" s="527"/>
      <c r="S85" s="528">
        <v>1</v>
      </c>
      <c r="T85" s="529" t="s">
        <v>726</v>
      </c>
      <c r="U85" s="530">
        <v>1</v>
      </c>
      <c r="V85" s="531" t="s">
        <v>442</v>
      </c>
      <c r="W85" s="453" t="s">
        <v>196</v>
      </c>
      <c r="X85" s="455">
        <v>4920000000</v>
      </c>
      <c r="Y85" s="455">
        <v>4920000000</v>
      </c>
      <c r="Z85" s="460" t="s">
        <v>1816</v>
      </c>
      <c r="AA85" s="453"/>
      <c r="AB85" s="453"/>
      <c r="AC85" s="458"/>
      <c r="AD85" s="458"/>
      <c r="AE85" s="532"/>
      <c r="AF85" s="531"/>
      <c r="AG85" s="455"/>
      <c r="AH85" s="461"/>
      <c r="AI85" s="533"/>
    </row>
    <row r="86" spans="2:35" ht="15" customHeight="1">
      <c r="B86" s="366">
        <f t="shared" si="2"/>
        <v>76</v>
      </c>
      <c r="C86" s="289" t="s">
        <v>416</v>
      </c>
      <c r="D86" s="446" t="s">
        <v>270</v>
      </c>
      <c r="E86" s="451" t="s">
        <v>235</v>
      </c>
      <c r="F86" s="520" t="s">
        <v>726</v>
      </c>
      <c r="G86" s="535" t="s">
        <v>462</v>
      </c>
      <c r="H86" s="518" t="s">
        <v>545</v>
      </c>
      <c r="I86" s="521">
        <v>1</v>
      </c>
      <c r="J86" s="522">
        <v>3</v>
      </c>
      <c r="K86" s="450" t="s">
        <v>186</v>
      </c>
      <c r="L86" s="450" t="s">
        <v>183</v>
      </c>
      <c r="M86" s="450" t="s">
        <v>1468</v>
      </c>
      <c r="N86" s="523" t="s">
        <v>706</v>
      </c>
      <c r="O86" s="524" t="s">
        <v>176</v>
      </c>
      <c r="P86" s="525">
        <v>1570</v>
      </c>
      <c r="Q86" s="526"/>
      <c r="R86" s="527"/>
      <c r="S86" s="528">
        <v>1</v>
      </c>
      <c r="T86" s="529" t="s">
        <v>726</v>
      </c>
      <c r="U86" s="530">
        <v>1</v>
      </c>
      <c r="V86" s="531" t="s">
        <v>442</v>
      </c>
      <c r="W86" s="453" t="s">
        <v>196</v>
      </c>
      <c r="X86" s="455">
        <v>4920000000</v>
      </c>
      <c r="Y86" s="455">
        <v>4920000000</v>
      </c>
      <c r="Z86" s="460" t="s">
        <v>1816</v>
      </c>
      <c r="AA86" s="453"/>
      <c r="AB86" s="453"/>
      <c r="AC86" s="458"/>
      <c r="AD86" s="458"/>
      <c r="AE86" s="532"/>
      <c r="AF86" s="531"/>
      <c r="AG86" s="455"/>
      <c r="AH86" s="461"/>
      <c r="AI86" s="533"/>
    </row>
    <row r="87" spans="2:35" ht="15" customHeight="1">
      <c r="B87" s="366">
        <f t="shared" si="2"/>
        <v>77</v>
      </c>
      <c r="C87" s="289" t="s">
        <v>416</v>
      </c>
      <c r="D87" s="446" t="s">
        <v>270</v>
      </c>
      <c r="E87" s="451" t="s">
        <v>235</v>
      </c>
      <c r="F87" s="520" t="s">
        <v>726</v>
      </c>
      <c r="G87" s="535" t="s">
        <v>462</v>
      </c>
      <c r="H87" s="518" t="s">
        <v>546</v>
      </c>
      <c r="I87" s="521">
        <v>1</v>
      </c>
      <c r="J87" s="522">
        <v>4</v>
      </c>
      <c r="K87" s="450" t="s">
        <v>186</v>
      </c>
      <c r="L87" s="450" t="s">
        <v>183</v>
      </c>
      <c r="M87" s="450" t="s">
        <v>1468</v>
      </c>
      <c r="N87" s="523" t="s">
        <v>1902</v>
      </c>
      <c r="O87" s="524" t="s">
        <v>176</v>
      </c>
      <c r="P87" s="525">
        <v>1423</v>
      </c>
      <c r="Q87" s="526"/>
      <c r="R87" s="527"/>
      <c r="S87" s="528">
        <v>1</v>
      </c>
      <c r="T87" s="529" t="s">
        <v>726</v>
      </c>
      <c r="U87" s="530">
        <v>1</v>
      </c>
      <c r="V87" s="531" t="s">
        <v>442</v>
      </c>
      <c r="W87" s="453" t="s">
        <v>196</v>
      </c>
      <c r="X87" s="455">
        <v>4920000000</v>
      </c>
      <c r="Y87" s="455">
        <v>4920000000</v>
      </c>
      <c r="Z87" s="460" t="s">
        <v>1816</v>
      </c>
      <c r="AA87" s="453"/>
      <c r="AB87" s="453"/>
      <c r="AC87" s="458"/>
      <c r="AD87" s="458"/>
      <c r="AE87" s="532"/>
      <c r="AF87" s="531"/>
      <c r="AG87" s="455"/>
      <c r="AH87" s="461"/>
      <c r="AI87" s="533"/>
    </row>
    <row r="88" spans="2:35" ht="15" customHeight="1">
      <c r="B88" s="366">
        <f t="shared" si="2"/>
        <v>78</v>
      </c>
      <c r="C88" s="289" t="s">
        <v>416</v>
      </c>
      <c r="D88" s="446" t="s">
        <v>270</v>
      </c>
      <c r="E88" s="451" t="s">
        <v>235</v>
      </c>
      <c r="F88" s="520" t="s">
        <v>726</v>
      </c>
      <c r="G88" s="535" t="s">
        <v>1676</v>
      </c>
      <c r="H88" s="518" t="s">
        <v>2167</v>
      </c>
      <c r="I88" s="521">
        <v>2</v>
      </c>
      <c r="J88" s="522">
        <v>1</v>
      </c>
      <c r="K88" s="450" t="s">
        <v>186</v>
      </c>
      <c r="L88" s="450" t="s">
        <v>183</v>
      </c>
      <c r="M88" s="450" t="s">
        <v>1468</v>
      </c>
      <c r="N88" s="523" t="s">
        <v>1903</v>
      </c>
      <c r="O88" s="524" t="s">
        <v>219</v>
      </c>
      <c r="P88" s="525"/>
      <c r="Q88" s="526">
        <v>192.08</v>
      </c>
      <c r="R88" s="527"/>
      <c r="S88" s="528">
        <v>1</v>
      </c>
      <c r="T88" s="529" t="s">
        <v>726</v>
      </c>
      <c r="U88" s="530" t="s">
        <v>257</v>
      </c>
      <c r="V88" s="531" t="s">
        <v>447</v>
      </c>
      <c r="W88" s="453" t="s">
        <v>196</v>
      </c>
      <c r="X88" s="455">
        <v>1380000000</v>
      </c>
      <c r="Y88" s="455">
        <v>1380000000</v>
      </c>
      <c r="Z88" s="460" t="s">
        <v>1816</v>
      </c>
      <c r="AA88" s="453"/>
      <c r="AB88" s="453"/>
      <c r="AC88" s="458"/>
      <c r="AD88" s="458"/>
      <c r="AE88" s="532"/>
      <c r="AF88" s="531"/>
      <c r="AG88" s="455"/>
      <c r="AH88" s="461"/>
      <c r="AI88" s="533"/>
    </row>
    <row r="89" spans="2:35" ht="15" customHeight="1">
      <c r="B89" s="366">
        <f t="shared" si="2"/>
        <v>79</v>
      </c>
      <c r="C89" s="289" t="s">
        <v>416</v>
      </c>
      <c r="D89" s="446" t="s">
        <v>270</v>
      </c>
      <c r="E89" s="451" t="s">
        <v>235</v>
      </c>
      <c r="F89" s="520" t="s">
        <v>726</v>
      </c>
      <c r="G89" s="535" t="s">
        <v>1676</v>
      </c>
      <c r="H89" s="518" t="s">
        <v>2168</v>
      </c>
      <c r="I89" s="521">
        <v>2</v>
      </c>
      <c r="J89" s="522">
        <v>2</v>
      </c>
      <c r="K89" s="450" t="s">
        <v>186</v>
      </c>
      <c r="L89" s="450" t="s">
        <v>183</v>
      </c>
      <c r="M89" s="450" t="s">
        <v>1468</v>
      </c>
      <c r="N89" s="523" t="s">
        <v>707</v>
      </c>
      <c r="O89" s="524" t="s">
        <v>176</v>
      </c>
      <c r="P89" s="525">
        <v>392</v>
      </c>
      <c r="Q89" s="526"/>
      <c r="R89" s="527"/>
      <c r="S89" s="528">
        <v>1</v>
      </c>
      <c r="T89" s="529" t="s">
        <v>726</v>
      </c>
      <c r="U89" s="530" t="s">
        <v>257</v>
      </c>
      <c r="V89" s="531" t="s">
        <v>447</v>
      </c>
      <c r="W89" s="453" t="s">
        <v>196</v>
      </c>
      <c r="X89" s="455">
        <v>1380000000</v>
      </c>
      <c r="Y89" s="455">
        <v>1380000000</v>
      </c>
      <c r="Z89" s="460" t="s">
        <v>1816</v>
      </c>
      <c r="AA89" s="453"/>
      <c r="AB89" s="453"/>
      <c r="AC89" s="458"/>
      <c r="AD89" s="458"/>
      <c r="AE89" s="532"/>
      <c r="AF89" s="531"/>
      <c r="AG89" s="455"/>
      <c r="AH89" s="461"/>
      <c r="AI89" s="533"/>
    </row>
    <row r="90" spans="2:35" ht="15" customHeight="1">
      <c r="B90" s="366">
        <f t="shared" si="2"/>
        <v>80</v>
      </c>
      <c r="C90" s="289" t="s">
        <v>416</v>
      </c>
      <c r="D90" s="446" t="s">
        <v>270</v>
      </c>
      <c r="E90" s="451" t="s">
        <v>235</v>
      </c>
      <c r="F90" s="520" t="s">
        <v>726</v>
      </c>
      <c r="G90" s="535" t="s">
        <v>1676</v>
      </c>
      <c r="H90" s="518" t="s">
        <v>2169</v>
      </c>
      <c r="I90" s="521">
        <v>2</v>
      </c>
      <c r="J90" s="522">
        <v>3</v>
      </c>
      <c r="K90" s="450" t="s">
        <v>186</v>
      </c>
      <c r="L90" s="450" t="s">
        <v>183</v>
      </c>
      <c r="M90" s="450" t="s">
        <v>1468</v>
      </c>
      <c r="N90" s="523" t="s">
        <v>1904</v>
      </c>
      <c r="O90" s="524" t="s">
        <v>176</v>
      </c>
      <c r="P90" s="525">
        <v>573</v>
      </c>
      <c r="Q90" s="526"/>
      <c r="R90" s="527"/>
      <c r="S90" s="528">
        <v>1</v>
      </c>
      <c r="T90" s="529" t="s">
        <v>726</v>
      </c>
      <c r="U90" s="530" t="s">
        <v>257</v>
      </c>
      <c r="V90" s="531" t="s">
        <v>447</v>
      </c>
      <c r="W90" s="453" t="s">
        <v>196</v>
      </c>
      <c r="X90" s="455">
        <v>1380000000</v>
      </c>
      <c r="Y90" s="455">
        <v>1380000000</v>
      </c>
      <c r="Z90" s="460" t="s">
        <v>1816</v>
      </c>
      <c r="AA90" s="453"/>
      <c r="AB90" s="453"/>
      <c r="AC90" s="458"/>
      <c r="AD90" s="458"/>
      <c r="AE90" s="532"/>
      <c r="AF90" s="531"/>
      <c r="AG90" s="455"/>
      <c r="AH90" s="461"/>
      <c r="AI90" s="533"/>
    </row>
    <row r="91" spans="2:35" ht="15" customHeight="1">
      <c r="B91" s="366">
        <f t="shared" si="2"/>
        <v>81</v>
      </c>
      <c r="C91" s="289" t="s">
        <v>416</v>
      </c>
      <c r="D91" s="446" t="s">
        <v>270</v>
      </c>
      <c r="E91" s="451" t="s">
        <v>211</v>
      </c>
      <c r="F91" s="520" t="s">
        <v>728</v>
      </c>
      <c r="G91" s="535" t="s">
        <v>463</v>
      </c>
      <c r="H91" s="518" t="s">
        <v>547</v>
      </c>
      <c r="I91" s="521">
        <v>1</v>
      </c>
      <c r="J91" s="522">
        <v>1</v>
      </c>
      <c r="K91" s="450" t="s">
        <v>272</v>
      </c>
      <c r="L91" s="450" t="s">
        <v>387</v>
      </c>
      <c r="M91" s="450" t="s">
        <v>1472</v>
      </c>
      <c r="N91" s="523" t="s">
        <v>1905</v>
      </c>
      <c r="O91" s="524" t="s">
        <v>1906</v>
      </c>
      <c r="P91" s="525"/>
      <c r="Q91" s="526">
        <v>5175.1549999999997</v>
      </c>
      <c r="R91" s="527"/>
      <c r="S91" s="528">
        <v>1</v>
      </c>
      <c r="T91" s="529" t="s">
        <v>728</v>
      </c>
      <c r="U91" s="530" t="s">
        <v>250</v>
      </c>
      <c r="V91" s="531" t="s">
        <v>444</v>
      </c>
      <c r="W91" s="453" t="s">
        <v>196</v>
      </c>
      <c r="X91" s="455">
        <v>4464000000</v>
      </c>
      <c r="Y91" s="455">
        <v>4464000000</v>
      </c>
      <c r="Z91" s="460" t="s">
        <v>1816</v>
      </c>
      <c r="AA91" s="453"/>
      <c r="AB91" s="453"/>
      <c r="AC91" s="458"/>
      <c r="AD91" s="458"/>
      <c r="AE91" s="532"/>
      <c r="AF91" s="531"/>
      <c r="AG91" s="455"/>
      <c r="AH91" s="461"/>
      <c r="AI91" s="533"/>
    </row>
    <row r="92" spans="2:35" ht="15" customHeight="1">
      <c r="B92" s="366">
        <f t="shared" si="2"/>
        <v>82</v>
      </c>
      <c r="C92" s="289" t="s">
        <v>416</v>
      </c>
      <c r="D92" s="446" t="s">
        <v>270</v>
      </c>
      <c r="E92" s="451" t="s">
        <v>211</v>
      </c>
      <c r="F92" s="520" t="s">
        <v>728</v>
      </c>
      <c r="G92" s="535" t="s">
        <v>463</v>
      </c>
      <c r="H92" s="518" t="s">
        <v>548</v>
      </c>
      <c r="I92" s="521">
        <v>1</v>
      </c>
      <c r="J92" s="522">
        <v>2</v>
      </c>
      <c r="K92" s="450" t="s">
        <v>272</v>
      </c>
      <c r="L92" s="450" t="s">
        <v>387</v>
      </c>
      <c r="M92" s="450" t="s">
        <v>1472</v>
      </c>
      <c r="N92" s="523" t="s">
        <v>1905</v>
      </c>
      <c r="O92" s="524" t="s">
        <v>176</v>
      </c>
      <c r="P92" s="525">
        <v>9260</v>
      </c>
      <c r="Q92" s="526"/>
      <c r="R92" s="527"/>
      <c r="S92" s="528">
        <v>1</v>
      </c>
      <c r="T92" s="529" t="s">
        <v>728</v>
      </c>
      <c r="U92" s="530" t="s">
        <v>250</v>
      </c>
      <c r="V92" s="531" t="s">
        <v>444</v>
      </c>
      <c r="W92" s="453" t="s">
        <v>196</v>
      </c>
      <c r="X92" s="455">
        <v>4464000000</v>
      </c>
      <c r="Y92" s="455">
        <v>4464000000</v>
      </c>
      <c r="Z92" s="460" t="s">
        <v>1816</v>
      </c>
      <c r="AA92" s="453"/>
      <c r="AB92" s="453"/>
      <c r="AC92" s="458"/>
      <c r="AD92" s="458"/>
      <c r="AE92" s="532"/>
      <c r="AF92" s="531"/>
      <c r="AG92" s="455"/>
      <c r="AH92" s="461"/>
      <c r="AI92" s="533"/>
    </row>
    <row r="93" spans="2:35" ht="15" customHeight="1">
      <c r="B93" s="366">
        <f t="shared" si="2"/>
        <v>83</v>
      </c>
      <c r="C93" s="289" t="s">
        <v>416</v>
      </c>
      <c r="D93" s="446" t="s">
        <v>270</v>
      </c>
      <c r="E93" s="451" t="s">
        <v>211</v>
      </c>
      <c r="F93" s="520" t="s">
        <v>728</v>
      </c>
      <c r="G93" s="535" t="s">
        <v>463</v>
      </c>
      <c r="H93" s="518" t="s">
        <v>549</v>
      </c>
      <c r="I93" s="521">
        <v>1</v>
      </c>
      <c r="J93" s="522">
        <v>3</v>
      </c>
      <c r="K93" s="450" t="s">
        <v>272</v>
      </c>
      <c r="L93" s="450" t="s">
        <v>387</v>
      </c>
      <c r="M93" s="450" t="s">
        <v>1472</v>
      </c>
      <c r="N93" s="523" t="s">
        <v>1907</v>
      </c>
      <c r="O93" s="524" t="s">
        <v>176</v>
      </c>
      <c r="P93" s="525">
        <v>407</v>
      </c>
      <c r="Q93" s="526"/>
      <c r="R93" s="527"/>
      <c r="S93" s="528">
        <v>1</v>
      </c>
      <c r="T93" s="529" t="s">
        <v>728</v>
      </c>
      <c r="U93" s="530" t="s">
        <v>250</v>
      </c>
      <c r="V93" s="531" t="s">
        <v>444</v>
      </c>
      <c r="W93" s="453" t="s">
        <v>196</v>
      </c>
      <c r="X93" s="455">
        <v>4464000000</v>
      </c>
      <c r="Y93" s="455">
        <v>4464000000</v>
      </c>
      <c r="Z93" s="460" t="s">
        <v>1816</v>
      </c>
      <c r="AA93" s="453"/>
      <c r="AB93" s="453"/>
      <c r="AC93" s="458"/>
      <c r="AD93" s="458"/>
      <c r="AE93" s="532"/>
      <c r="AF93" s="531"/>
      <c r="AG93" s="455"/>
      <c r="AH93" s="461"/>
      <c r="AI93" s="533"/>
    </row>
    <row r="94" spans="2:35" ht="15" customHeight="1">
      <c r="B94" s="366">
        <f t="shared" si="2"/>
        <v>84</v>
      </c>
      <c r="C94" s="289" t="s">
        <v>416</v>
      </c>
      <c r="D94" s="446" t="s">
        <v>270</v>
      </c>
      <c r="E94" s="451" t="s">
        <v>211</v>
      </c>
      <c r="F94" s="520" t="s">
        <v>728</v>
      </c>
      <c r="G94" s="535" t="s">
        <v>464</v>
      </c>
      <c r="H94" s="518" t="s">
        <v>550</v>
      </c>
      <c r="I94" s="521">
        <v>2</v>
      </c>
      <c r="J94" s="522">
        <v>1</v>
      </c>
      <c r="K94" s="450" t="s">
        <v>272</v>
      </c>
      <c r="L94" s="450" t="s">
        <v>344</v>
      </c>
      <c r="M94" s="450" t="s">
        <v>391</v>
      </c>
      <c r="N94" s="523" t="s">
        <v>1475</v>
      </c>
      <c r="O94" s="524" t="s">
        <v>403</v>
      </c>
      <c r="P94" s="525">
        <v>21412.1</v>
      </c>
      <c r="Q94" s="526">
        <v>154.7158</v>
      </c>
      <c r="R94" s="527">
        <v>1.1713610528626339E-3</v>
      </c>
      <c r="S94" s="528">
        <v>1</v>
      </c>
      <c r="T94" s="529" t="s">
        <v>760</v>
      </c>
      <c r="U94" s="530" t="s">
        <v>250</v>
      </c>
      <c r="V94" s="531" t="s">
        <v>444</v>
      </c>
      <c r="W94" s="453" t="s">
        <v>196</v>
      </c>
      <c r="X94" s="455">
        <v>1472000000</v>
      </c>
      <c r="Y94" s="455">
        <v>1472000000</v>
      </c>
      <c r="Z94" s="460" t="s">
        <v>1816</v>
      </c>
      <c r="AA94" s="453"/>
      <c r="AB94" s="453"/>
      <c r="AC94" s="458"/>
      <c r="AD94" s="458"/>
      <c r="AE94" s="532"/>
      <c r="AF94" s="531"/>
      <c r="AG94" s="455"/>
      <c r="AH94" s="461"/>
      <c r="AI94" s="533"/>
    </row>
    <row r="95" spans="2:35" ht="15" customHeight="1">
      <c r="B95" s="366">
        <f t="shared" si="2"/>
        <v>85</v>
      </c>
      <c r="C95" s="289" t="s">
        <v>416</v>
      </c>
      <c r="D95" s="446" t="s">
        <v>270</v>
      </c>
      <c r="E95" s="451" t="s">
        <v>236</v>
      </c>
      <c r="F95" s="520" t="s">
        <v>729</v>
      </c>
      <c r="G95" s="535" t="s">
        <v>465</v>
      </c>
      <c r="H95" s="518" t="s">
        <v>551</v>
      </c>
      <c r="I95" s="521">
        <v>1</v>
      </c>
      <c r="J95" s="522">
        <v>1</v>
      </c>
      <c r="K95" s="450" t="s">
        <v>187</v>
      </c>
      <c r="L95" s="450" t="s">
        <v>182</v>
      </c>
      <c r="M95" s="450" t="s">
        <v>1477</v>
      </c>
      <c r="N95" s="523" t="s">
        <v>1908</v>
      </c>
      <c r="O95" s="524" t="s">
        <v>1909</v>
      </c>
      <c r="P95" s="525"/>
      <c r="Q95" s="526">
        <v>4112.5</v>
      </c>
      <c r="R95" s="527"/>
      <c r="S95" s="528">
        <v>1</v>
      </c>
      <c r="T95" s="529" t="s">
        <v>729</v>
      </c>
      <c r="U95" s="530">
        <v>3</v>
      </c>
      <c r="V95" s="531" t="s">
        <v>442</v>
      </c>
      <c r="W95" s="453" t="s">
        <v>196</v>
      </c>
      <c r="X95" s="455">
        <v>5500000000</v>
      </c>
      <c r="Y95" s="455">
        <v>5500000000</v>
      </c>
      <c r="Z95" s="460" t="s">
        <v>1816</v>
      </c>
      <c r="AA95" s="453" t="s">
        <v>250</v>
      </c>
      <c r="AB95" s="453" t="s">
        <v>196</v>
      </c>
      <c r="AC95" s="458">
        <v>960000000</v>
      </c>
      <c r="AD95" s="458">
        <v>960000000</v>
      </c>
      <c r="AE95" s="532"/>
      <c r="AF95" s="531"/>
      <c r="AG95" s="455"/>
      <c r="AH95" s="461"/>
      <c r="AI95" s="533"/>
    </row>
    <row r="96" spans="2:35" ht="15" customHeight="1">
      <c r="B96" s="366">
        <f t="shared" si="2"/>
        <v>86</v>
      </c>
      <c r="C96" s="289" t="s">
        <v>416</v>
      </c>
      <c r="D96" s="446" t="s">
        <v>270</v>
      </c>
      <c r="E96" s="451" t="s">
        <v>236</v>
      </c>
      <c r="F96" s="520" t="s">
        <v>729</v>
      </c>
      <c r="G96" s="535" t="s">
        <v>465</v>
      </c>
      <c r="H96" s="518" t="s">
        <v>552</v>
      </c>
      <c r="I96" s="521">
        <v>1</v>
      </c>
      <c r="J96" s="522">
        <v>2</v>
      </c>
      <c r="K96" s="450" t="s">
        <v>187</v>
      </c>
      <c r="L96" s="450" t="s">
        <v>182</v>
      </c>
      <c r="M96" s="450" t="s">
        <v>1477</v>
      </c>
      <c r="N96" s="523" t="s">
        <v>1908</v>
      </c>
      <c r="O96" s="524" t="s">
        <v>176</v>
      </c>
      <c r="P96" s="525">
        <v>9629</v>
      </c>
      <c r="Q96" s="526"/>
      <c r="R96" s="527"/>
      <c r="S96" s="528">
        <v>1</v>
      </c>
      <c r="T96" s="529" t="s">
        <v>729</v>
      </c>
      <c r="U96" s="530">
        <v>3</v>
      </c>
      <c r="V96" s="531" t="s">
        <v>442</v>
      </c>
      <c r="W96" s="453" t="s">
        <v>196</v>
      </c>
      <c r="X96" s="455">
        <v>5500000000</v>
      </c>
      <c r="Y96" s="455">
        <v>5500000000</v>
      </c>
      <c r="Z96" s="460" t="s">
        <v>1816</v>
      </c>
      <c r="AA96" s="453" t="s">
        <v>250</v>
      </c>
      <c r="AB96" s="453" t="s">
        <v>196</v>
      </c>
      <c r="AC96" s="458">
        <v>960000000</v>
      </c>
      <c r="AD96" s="458">
        <v>960000000</v>
      </c>
      <c r="AE96" s="532"/>
      <c r="AF96" s="531"/>
      <c r="AG96" s="455"/>
      <c r="AH96" s="461"/>
      <c r="AI96" s="533"/>
    </row>
    <row r="97" spans="2:35" ht="15" customHeight="1">
      <c r="B97" s="366">
        <f t="shared" si="2"/>
        <v>87</v>
      </c>
      <c r="C97" s="289" t="s">
        <v>416</v>
      </c>
      <c r="D97" s="446" t="s">
        <v>270</v>
      </c>
      <c r="E97" s="451" t="s">
        <v>236</v>
      </c>
      <c r="F97" s="520" t="s">
        <v>729</v>
      </c>
      <c r="G97" s="535" t="s">
        <v>465</v>
      </c>
      <c r="H97" s="518" t="s">
        <v>553</v>
      </c>
      <c r="I97" s="521">
        <v>1</v>
      </c>
      <c r="J97" s="522">
        <v>3</v>
      </c>
      <c r="K97" s="450" t="s">
        <v>187</v>
      </c>
      <c r="L97" s="450" t="s">
        <v>182</v>
      </c>
      <c r="M97" s="450" t="s">
        <v>1477</v>
      </c>
      <c r="N97" s="523" t="s">
        <v>1910</v>
      </c>
      <c r="O97" s="524" t="s">
        <v>177</v>
      </c>
      <c r="P97" s="525">
        <v>577</v>
      </c>
      <c r="Q97" s="526"/>
      <c r="R97" s="527"/>
      <c r="S97" s="528">
        <v>1</v>
      </c>
      <c r="T97" s="529" t="s">
        <v>729</v>
      </c>
      <c r="U97" s="530">
        <v>3</v>
      </c>
      <c r="V97" s="531" t="s">
        <v>442</v>
      </c>
      <c r="W97" s="453" t="s">
        <v>196</v>
      </c>
      <c r="X97" s="455">
        <v>5500000000</v>
      </c>
      <c r="Y97" s="455">
        <v>5500000000</v>
      </c>
      <c r="Z97" s="460" t="s">
        <v>1816</v>
      </c>
      <c r="AA97" s="453" t="s">
        <v>250</v>
      </c>
      <c r="AB97" s="453" t="s">
        <v>196</v>
      </c>
      <c r="AC97" s="458">
        <v>960000000</v>
      </c>
      <c r="AD97" s="458">
        <v>960000000</v>
      </c>
      <c r="AE97" s="532"/>
      <c r="AF97" s="531"/>
      <c r="AG97" s="455"/>
      <c r="AH97" s="461"/>
      <c r="AI97" s="533"/>
    </row>
    <row r="98" spans="2:35" ht="15" customHeight="1">
      <c r="B98" s="366">
        <f t="shared" si="2"/>
        <v>88</v>
      </c>
      <c r="C98" s="289" t="s">
        <v>416</v>
      </c>
      <c r="D98" s="446" t="s">
        <v>270</v>
      </c>
      <c r="E98" s="451" t="s">
        <v>236</v>
      </c>
      <c r="F98" s="520" t="s">
        <v>729</v>
      </c>
      <c r="G98" s="535" t="s">
        <v>465</v>
      </c>
      <c r="H98" s="518" t="s">
        <v>680</v>
      </c>
      <c r="I98" s="521">
        <v>1</v>
      </c>
      <c r="J98" s="522">
        <v>4</v>
      </c>
      <c r="K98" s="450" t="s">
        <v>187</v>
      </c>
      <c r="L98" s="450" t="s">
        <v>182</v>
      </c>
      <c r="M98" s="450" t="s">
        <v>1477</v>
      </c>
      <c r="N98" s="523" t="s">
        <v>1911</v>
      </c>
      <c r="O98" s="524" t="s">
        <v>177</v>
      </c>
      <c r="P98" s="525">
        <v>139</v>
      </c>
      <c r="Q98" s="526"/>
      <c r="R98" s="527"/>
      <c r="S98" s="528">
        <v>1</v>
      </c>
      <c r="T98" s="529" t="s">
        <v>729</v>
      </c>
      <c r="U98" s="530">
        <v>3</v>
      </c>
      <c r="V98" s="531" t="s">
        <v>442</v>
      </c>
      <c r="W98" s="453" t="s">
        <v>196</v>
      </c>
      <c r="X98" s="455">
        <v>5500000000</v>
      </c>
      <c r="Y98" s="455">
        <v>5500000000</v>
      </c>
      <c r="Z98" s="460" t="s">
        <v>1816</v>
      </c>
      <c r="AA98" s="453" t="s">
        <v>250</v>
      </c>
      <c r="AB98" s="453" t="s">
        <v>196</v>
      </c>
      <c r="AC98" s="458">
        <v>960000000</v>
      </c>
      <c r="AD98" s="458">
        <v>960000000</v>
      </c>
      <c r="AE98" s="532"/>
      <c r="AF98" s="531"/>
      <c r="AG98" s="455"/>
      <c r="AH98" s="461"/>
      <c r="AI98" s="533"/>
    </row>
    <row r="99" spans="2:35" ht="15" customHeight="1">
      <c r="B99" s="366">
        <f t="shared" si="2"/>
        <v>89</v>
      </c>
      <c r="C99" s="289" t="s">
        <v>416</v>
      </c>
      <c r="D99" s="446" t="s">
        <v>270</v>
      </c>
      <c r="E99" s="451" t="s">
        <v>236</v>
      </c>
      <c r="F99" s="520" t="s">
        <v>729</v>
      </c>
      <c r="G99" s="535" t="s">
        <v>1677</v>
      </c>
      <c r="H99" s="518" t="s">
        <v>2170</v>
      </c>
      <c r="I99" s="521">
        <v>2</v>
      </c>
      <c r="J99" s="522">
        <v>1</v>
      </c>
      <c r="K99" s="450" t="s">
        <v>190</v>
      </c>
      <c r="L99" s="450" t="s">
        <v>185</v>
      </c>
      <c r="M99" s="450" t="s">
        <v>1480</v>
      </c>
      <c r="N99" s="523" t="s">
        <v>1481</v>
      </c>
      <c r="O99" s="524" t="s">
        <v>1912</v>
      </c>
      <c r="P99" s="525">
        <v>536</v>
      </c>
      <c r="Q99" s="526">
        <v>34.630000000000003</v>
      </c>
      <c r="R99" s="527">
        <v>1.376865671641791E-2</v>
      </c>
      <c r="S99" s="528">
        <v>1</v>
      </c>
      <c r="T99" s="529" t="s">
        <v>729</v>
      </c>
      <c r="U99" s="530" t="s">
        <v>250</v>
      </c>
      <c r="V99" s="531" t="s">
        <v>444</v>
      </c>
      <c r="W99" s="453" t="s">
        <v>196</v>
      </c>
      <c r="X99" s="455">
        <v>3100000000</v>
      </c>
      <c r="Y99" s="455">
        <v>3100000000</v>
      </c>
      <c r="Z99" s="460" t="s">
        <v>1816</v>
      </c>
      <c r="AA99" s="453"/>
      <c r="AB99" s="453"/>
      <c r="AC99" s="458"/>
      <c r="AD99" s="458"/>
      <c r="AE99" s="532"/>
      <c r="AF99" s="531"/>
      <c r="AG99" s="455"/>
      <c r="AH99" s="461"/>
      <c r="AI99" s="533"/>
    </row>
    <row r="100" spans="2:35" ht="15" customHeight="1">
      <c r="B100" s="366">
        <f t="shared" si="2"/>
        <v>90</v>
      </c>
      <c r="C100" s="289" t="s">
        <v>416</v>
      </c>
      <c r="D100" s="446" t="s">
        <v>270</v>
      </c>
      <c r="E100" s="451" t="s">
        <v>236</v>
      </c>
      <c r="F100" s="520" t="s">
        <v>729</v>
      </c>
      <c r="G100" s="535" t="s">
        <v>1678</v>
      </c>
      <c r="H100" s="518" t="s">
        <v>2171</v>
      </c>
      <c r="I100" s="521">
        <v>3</v>
      </c>
      <c r="J100" s="522">
        <v>1</v>
      </c>
      <c r="K100" s="450" t="s">
        <v>190</v>
      </c>
      <c r="L100" s="450" t="s">
        <v>1483</v>
      </c>
      <c r="M100" s="450" t="s">
        <v>1484</v>
      </c>
      <c r="N100" s="523" t="s">
        <v>1485</v>
      </c>
      <c r="O100" s="524" t="s">
        <v>1913</v>
      </c>
      <c r="P100" s="525">
        <v>7816</v>
      </c>
      <c r="Q100" s="526">
        <v>84.66</v>
      </c>
      <c r="R100" s="527">
        <v>6.127175025588536E-3</v>
      </c>
      <c r="S100" s="528">
        <v>1</v>
      </c>
      <c r="T100" s="529" t="s">
        <v>729</v>
      </c>
      <c r="U100" s="530" t="s">
        <v>250</v>
      </c>
      <c r="V100" s="531" t="s">
        <v>444</v>
      </c>
      <c r="W100" s="453" t="s">
        <v>196</v>
      </c>
      <c r="X100" s="455">
        <v>3100000000</v>
      </c>
      <c r="Y100" s="455">
        <v>3100000000</v>
      </c>
      <c r="Z100" s="460" t="s">
        <v>1816</v>
      </c>
      <c r="AA100" s="453"/>
      <c r="AB100" s="453"/>
      <c r="AC100" s="458"/>
      <c r="AD100" s="458"/>
      <c r="AE100" s="532"/>
      <c r="AF100" s="531"/>
      <c r="AG100" s="455"/>
      <c r="AH100" s="461"/>
      <c r="AI100" s="533"/>
    </row>
    <row r="101" spans="2:35" ht="15" customHeight="1">
      <c r="B101" s="366">
        <f t="shared" si="2"/>
        <v>91</v>
      </c>
      <c r="C101" s="289" t="s">
        <v>416</v>
      </c>
      <c r="D101" s="446" t="s">
        <v>270</v>
      </c>
      <c r="E101" s="451" t="s">
        <v>236</v>
      </c>
      <c r="F101" s="520" t="s">
        <v>729</v>
      </c>
      <c r="G101" s="535" t="s">
        <v>1679</v>
      </c>
      <c r="H101" s="518" t="s">
        <v>2172</v>
      </c>
      <c r="I101" s="521">
        <v>4</v>
      </c>
      <c r="J101" s="522">
        <v>1</v>
      </c>
      <c r="K101" s="450" t="s">
        <v>190</v>
      </c>
      <c r="L101" s="450" t="s">
        <v>1483</v>
      </c>
      <c r="M101" s="450" t="s">
        <v>1484</v>
      </c>
      <c r="N101" s="523" t="s">
        <v>1486</v>
      </c>
      <c r="O101" s="524" t="s">
        <v>1913</v>
      </c>
      <c r="P101" s="525">
        <v>7816</v>
      </c>
      <c r="Q101" s="526">
        <v>84.66</v>
      </c>
      <c r="R101" s="527">
        <v>6.127175025588536E-3</v>
      </c>
      <c r="S101" s="528">
        <v>1</v>
      </c>
      <c r="T101" s="529" t="s">
        <v>729</v>
      </c>
      <c r="U101" s="530" t="s">
        <v>249</v>
      </c>
      <c r="V101" s="531" t="s">
        <v>444</v>
      </c>
      <c r="W101" s="453" t="s">
        <v>196</v>
      </c>
      <c r="X101" s="455">
        <v>3100000000</v>
      </c>
      <c r="Y101" s="455">
        <v>3100000000</v>
      </c>
      <c r="Z101" s="460" t="s">
        <v>1816</v>
      </c>
      <c r="AA101" s="453">
        <v>1</v>
      </c>
      <c r="AB101" s="453" t="s">
        <v>196</v>
      </c>
      <c r="AC101" s="458">
        <v>66000000</v>
      </c>
      <c r="AD101" s="458">
        <v>66000000</v>
      </c>
      <c r="AE101" s="532"/>
      <c r="AF101" s="531"/>
      <c r="AG101" s="455"/>
      <c r="AH101" s="461"/>
      <c r="AI101" s="533"/>
    </row>
    <row r="102" spans="2:35" ht="15" customHeight="1">
      <c r="B102" s="366">
        <f t="shared" ref="B102:B108" si="3">ROW()-10</f>
        <v>92</v>
      </c>
      <c r="C102" s="289" t="s">
        <v>416</v>
      </c>
      <c r="D102" s="446" t="s">
        <v>270</v>
      </c>
      <c r="E102" s="451" t="s">
        <v>237</v>
      </c>
      <c r="F102" s="520" t="s">
        <v>730</v>
      </c>
      <c r="G102" s="535" t="s">
        <v>466</v>
      </c>
      <c r="H102" s="518" t="s">
        <v>554</v>
      </c>
      <c r="I102" s="521">
        <v>1</v>
      </c>
      <c r="J102" s="534">
        <v>1</v>
      </c>
      <c r="K102" s="450" t="s">
        <v>187</v>
      </c>
      <c r="L102" s="450" t="s">
        <v>182</v>
      </c>
      <c r="M102" s="450" t="s">
        <v>1487</v>
      </c>
      <c r="N102" s="523" t="s">
        <v>1914</v>
      </c>
      <c r="O102" s="524" t="s">
        <v>218</v>
      </c>
      <c r="P102" s="525"/>
      <c r="Q102" s="526">
        <v>1458</v>
      </c>
      <c r="R102" s="527"/>
      <c r="S102" s="528">
        <v>1</v>
      </c>
      <c r="T102" s="529" t="s">
        <v>730</v>
      </c>
      <c r="U102" s="530" t="s">
        <v>257</v>
      </c>
      <c r="V102" s="531" t="s">
        <v>447</v>
      </c>
      <c r="W102" s="453" t="s">
        <v>196</v>
      </c>
      <c r="X102" s="455">
        <v>4368000000</v>
      </c>
      <c r="Y102" s="455">
        <v>4368000000</v>
      </c>
      <c r="Z102" s="460" t="s">
        <v>1816</v>
      </c>
      <c r="AA102" s="453"/>
      <c r="AB102" s="453"/>
      <c r="AC102" s="458"/>
      <c r="AD102" s="458"/>
      <c r="AE102" s="532"/>
      <c r="AF102" s="531"/>
      <c r="AG102" s="455"/>
      <c r="AH102" s="461"/>
      <c r="AI102" s="533" t="s">
        <v>1915</v>
      </c>
    </row>
    <row r="103" spans="2:35" ht="15" customHeight="1">
      <c r="B103" s="366">
        <f t="shared" si="3"/>
        <v>93</v>
      </c>
      <c r="C103" s="289" t="s">
        <v>416</v>
      </c>
      <c r="D103" s="446" t="s">
        <v>270</v>
      </c>
      <c r="E103" s="451" t="s">
        <v>237</v>
      </c>
      <c r="F103" s="520" t="s">
        <v>730</v>
      </c>
      <c r="G103" s="535" t="s">
        <v>466</v>
      </c>
      <c r="H103" s="518" t="s">
        <v>555</v>
      </c>
      <c r="I103" s="521">
        <v>1</v>
      </c>
      <c r="J103" s="522">
        <v>2</v>
      </c>
      <c r="K103" s="450" t="s">
        <v>187</v>
      </c>
      <c r="L103" s="450" t="s">
        <v>182</v>
      </c>
      <c r="M103" s="450" t="s">
        <v>1487</v>
      </c>
      <c r="N103" s="523" t="s">
        <v>1916</v>
      </c>
      <c r="O103" s="524" t="s">
        <v>213</v>
      </c>
      <c r="P103" s="525"/>
      <c r="Q103" s="526">
        <v>860.38</v>
      </c>
      <c r="R103" s="527"/>
      <c r="S103" s="528">
        <v>1</v>
      </c>
      <c r="T103" s="529" t="s">
        <v>730</v>
      </c>
      <c r="U103" s="530" t="s">
        <v>257</v>
      </c>
      <c r="V103" s="531" t="s">
        <v>447</v>
      </c>
      <c r="W103" s="453" t="s">
        <v>196</v>
      </c>
      <c r="X103" s="455">
        <v>4368000000</v>
      </c>
      <c r="Y103" s="455">
        <v>4368000000</v>
      </c>
      <c r="Z103" s="460" t="s">
        <v>1816</v>
      </c>
      <c r="AA103" s="453"/>
      <c r="AB103" s="453"/>
      <c r="AC103" s="458"/>
      <c r="AD103" s="458"/>
      <c r="AE103" s="532"/>
      <c r="AF103" s="531"/>
      <c r="AG103" s="455"/>
      <c r="AH103" s="461"/>
      <c r="AI103" s="533" t="s">
        <v>1915</v>
      </c>
    </row>
    <row r="104" spans="2:35" ht="15" customHeight="1">
      <c r="B104" s="366">
        <f t="shared" si="3"/>
        <v>94</v>
      </c>
      <c r="C104" s="289" t="s">
        <v>416</v>
      </c>
      <c r="D104" s="446" t="s">
        <v>270</v>
      </c>
      <c r="E104" s="451" t="s">
        <v>237</v>
      </c>
      <c r="F104" s="520" t="s">
        <v>730</v>
      </c>
      <c r="G104" s="535" t="s">
        <v>466</v>
      </c>
      <c r="H104" s="518" t="s">
        <v>556</v>
      </c>
      <c r="I104" s="521">
        <v>1</v>
      </c>
      <c r="J104" s="522">
        <v>3</v>
      </c>
      <c r="K104" s="450" t="s">
        <v>187</v>
      </c>
      <c r="L104" s="450" t="s">
        <v>182</v>
      </c>
      <c r="M104" s="450" t="s">
        <v>1487</v>
      </c>
      <c r="N104" s="523" t="s">
        <v>1917</v>
      </c>
      <c r="O104" s="524" t="s">
        <v>176</v>
      </c>
      <c r="P104" s="525">
        <v>5056</v>
      </c>
      <c r="Q104" s="526"/>
      <c r="R104" s="527"/>
      <c r="S104" s="528">
        <v>1</v>
      </c>
      <c r="T104" s="529" t="s">
        <v>730</v>
      </c>
      <c r="U104" s="530" t="s">
        <v>257</v>
      </c>
      <c r="V104" s="531" t="s">
        <v>447</v>
      </c>
      <c r="W104" s="453" t="s">
        <v>196</v>
      </c>
      <c r="X104" s="455">
        <v>4368000000</v>
      </c>
      <c r="Y104" s="455">
        <v>4368000000</v>
      </c>
      <c r="Z104" s="460" t="s">
        <v>1816</v>
      </c>
      <c r="AA104" s="453"/>
      <c r="AB104" s="453"/>
      <c r="AC104" s="458"/>
      <c r="AD104" s="458"/>
      <c r="AE104" s="532"/>
      <c r="AF104" s="531"/>
      <c r="AG104" s="455"/>
      <c r="AH104" s="461"/>
      <c r="AI104" s="533"/>
    </row>
    <row r="105" spans="2:35" ht="15" customHeight="1">
      <c r="B105" s="366">
        <f t="shared" si="3"/>
        <v>95</v>
      </c>
      <c r="C105" s="289" t="s">
        <v>416</v>
      </c>
      <c r="D105" s="446" t="s">
        <v>270</v>
      </c>
      <c r="E105" s="451" t="s">
        <v>294</v>
      </c>
      <c r="F105" s="520" t="s">
        <v>731</v>
      </c>
      <c r="G105" s="535" t="s">
        <v>467</v>
      </c>
      <c r="H105" s="518" t="s">
        <v>557</v>
      </c>
      <c r="I105" s="521">
        <v>1</v>
      </c>
      <c r="J105" s="522">
        <v>1</v>
      </c>
      <c r="K105" s="450" t="s">
        <v>186</v>
      </c>
      <c r="L105" s="450" t="s">
        <v>180</v>
      </c>
      <c r="M105" s="450" t="s">
        <v>1489</v>
      </c>
      <c r="N105" s="523" t="s">
        <v>1918</v>
      </c>
      <c r="O105" s="524" t="s">
        <v>218</v>
      </c>
      <c r="P105" s="525"/>
      <c r="Q105" s="526">
        <v>69</v>
      </c>
      <c r="R105" s="527"/>
      <c r="S105" s="528">
        <v>1</v>
      </c>
      <c r="T105" s="529" t="s">
        <v>1919</v>
      </c>
      <c r="U105" s="530" t="s">
        <v>1460</v>
      </c>
      <c r="V105" s="531" t="s">
        <v>1881</v>
      </c>
      <c r="W105" s="453" t="s">
        <v>196</v>
      </c>
      <c r="X105" s="455">
        <v>4953600000</v>
      </c>
      <c r="Y105" s="455">
        <v>4953600000</v>
      </c>
      <c r="Z105" s="460" t="s">
        <v>1816</v>
      </c>
      <c r="AA105" s="453"/>
      <c r="AB105" s="453"/>
      <c r="AC105" s="458"/>
      <c r="AD105" s="458"/>
      <c r="AE105" s="532"/>
      <c r="AF105" s="531"/>
      <c r="AG105" s="455"/>
      <c r="AH105" s="461"/>
      <c r="AI105" s="533"/>
    </row>
    <row r="106" spans="2:35" ht="15" customHeight="1">
      <c r="B106" s="366">
        <f t="shared" si="3"/>
        <v>96</v>
      </c>
      <c r="C106" s="289" t="s">
        <v>416</v>
      </c>
      <c r="D106" s="446" t="s">
        <v>270</v>
      </c>
      <c r="E106" s="451" t="s">
        <v>294</v>
      </c>
      <c r="F106" s="520" t="s">
        <v>731</v>
      </c>
      <c r="G106" s="535" t="s">
        <v>467</v>
      </c>
      <c r="H106" s="518" t="s">
        <v>558</v>
      </c>
      <c r="I106" s="521">
        <v>1</v>
      </c>
      <c r="J106" s="522">
        <v>2</v>
      </c>
      <c r="K106" s="450" t="s">
        <v>186</v>
      </c>
      <c r="L106" s="450" t="s">
        <v>180</v>
      </c>
      <c r="M106" s="450" t="s">
        <v>1489</v>
      </c>
      <c r="N106" s="523" t="s">
        <v>1920</v>
      </c>
      <c r="O106" s="524" t="s">
        <v>217</v>
      </c>
      <c r="P106" s="525"/>
      <c r="Q106" s="526">
        <v>2711.6499999999996</v>
      </c>
      <c r="R106" s="527"/>
      <c r="S106" s="528">
        <v>1</v>
      </c>
      <c r="T106" s="529" t="s">
        <v>1919</v>
      </c>
      <c r="U106" s="530" t="s">
        <v>1460</v>
      </c>
      <c r="V106" s="531" t="s">
        <v>1881</v>
      </c>
      <c r="W106" s="453" t="s">
        <v>196</v>
      </c>
      <c r="X106" s="455">
        <v>4953600000</v>
      </c>
      <c r="Y106" s="455">
        <v>4953600000</v>
      </c>
      <c r="Z106" s="460" t="s">
        <v>1816</v>
      </c>
      <c r="AA106" s="453"/>
      <c r="AB106" s="453"/>
      <c r="AC106" s="458"/>
      <c r="AD106" s="458"/>
      <c r="AE106" s="532"/>
      <c r="AF106" s="531"/>
      <c r="AG106" s="455"/>
      <c r="AH106" s="461"/>
      <c r="AI106" s="533"/>
    </row>
    <row r="107" spans="2:35" ht="15" customHeight="1">
      <c r="B107" s="366">
        <f t="shared" si="3"/>
        <v>97</v>
      </c>
      <c r="C107" s="289" t="s">
        <v>416</v>
      </c>
      <c r="D107" s="446" t="s">
        <v>270</v>
      </c>
      <c r="E107" s="451" t="s">
        <v>294</v>
      </c>
      <c r="F107" s="520" t="s">
        <v>731</v>
      </c>
      <c r="G107" s="535" t="s">
        <v>467</v>
      </c>
      <c r="H107" s="518" t="s">
        <v>681</v>
      </c>
      <c r="I107" s="521">
        <v>1</v>
      </c>
      <c r="J107" s="522">
        <v>3</v>
      </c>
      <c r="K107" s="450" t="s">
        <v>186</v>
      </c>
      <c r="L107" s="450" t="s">
        <v>180</v>
      </c>
      <c r="M107" s="450" t="s">
        <v>1489</v>
      </c>
      <c r="N107" s="523" t="s">
        <v>1921</v>
      </c>
      <c r="O107" s="524" t="s">
        <v>176</v>
      </c>
      <c r="P107" s="525">
        <v>2908</v>
      </c>
      <c r="Q107" s="526"/>
      <c r="R107" s="527"/>
      <c r="S107" s="528">
        <v>1</v>
      </c>
      <c r="T107" s="529" t="s">
        <v>1919</v>
      </c>
      <c r="U107" s="530" t="s">
        <v>1460</v>
      </c>
      <c r="V107" s="531" t="s">
        <v>1881</v>
      </c>
      <c r="W107" s="453" t="s">
        <v>196</v>
      </c>
      <c r="X107" s="455">
        <v>4953600000</v>
      </c>
      <c r="Y107" s="455">
        <v>4953600000</v>
      </c>
      <c r="Z107" s="460" t="s">
        <v>1816</v>
      </c>
      <c r="AA107" s="453"/>
      <c r="AB107" s="453"/>
      <c r="AC107" s="458"/>
      <c r="AD107" s="458"/>
      <c r="AE107" s="532"/>
      <c r="AF107" s="531"/>
      <c r="AG107" s="455"/>
      <c r="AH107" s="461"/>
      <c r="AI107" s="533"/>
    </row>
    <row r="108" spans="2:35" ht="15" customHeight="1">
      <c r="B108" s="366">
        <f t="shared" si="3"/>
        <v>98</v>
      </c>
      <c r="C108" s="289" t="s">
        <v>416</v>
      </c>
      <c r="D108" s="446" t="s">
        <v>270</v>
      </c>
      <c r="E108" s="451" t="s">
        <v>294</v>
      </c>
      <c r="F108" s="520" t="s">
        <v>731</v>
      </c>
      <c r="G108" s="535" t="s">
        <v>467</v>
      </c>
      <c r="H108" s="518" t="s">
        <v>682</v>
      </c>
      <c r="I108" s="521">
        <v>1</v>
      </c>
      <c r="J108" s="522">
        <v>4</v>
      </c>
      <c r="K108" s="450" t="s">
        <v>186</v>
      </c>
      <c r="L108" s="450" t="s">
        <v>180</v>
      </c>
      <c r="M108" s="450" t="s">
        <v>1489</v>
      </c>
      <c r="N108" s="523" t="s">
        <v>1922</v>
      </c>
      <c r="O108" s="524" t="s">
        <v>176</v>
      </c>
      <c r="P108" s="525">
        <v>992</v>
      </c>
      <c r="Q108" s="526"/>
      <c r="R108" s="527"/>
      <c r="S108" s="528">
        <v>1</v>
      </c>
      <c r="T108" s="529" t="s">
        <v>1919</v>
      </c>
      <c r="U108" s="530" t="s">
        <v>1460</v>
      </c>
      <c r="V108" s="531" t="s">
        <v>1881</v>
      </c>
      <c r="W108" s="453" t="s">
        <v>196</v>
      </c>
      <c r="X108" s="455">
        <v>4953600000</v>
      </c>
      <c r="Y108" s="455">
        <v>4953600000</v>
      </c>
      <c r="Z108" s="460" t="s">
        <v>1816</v>
      </c>
      <c r="AA108" s="453"/>
      <c r="AB108" s="453"/>
      <c r="AC108" s="458"/>
      <c r="AD108" s="458"/>
      <c r="AE108" s="532"/>
      <c r="AF108" s="531"/>
      <c r="AG108" s="455"/>
      <c r="AH108" s="461"/>
      <c r="AI108" s="533"/>
    </row>
    <row r="109" spans="2:35" ht="15" customHeight="1">
      <c r="B109" s="366">
        <f t="shared" ref="B109:B123" si="4">ROW()-10</f>
        <v>99</v>
      </c>
      <c r="C109" s="289" t="s">
        <v>416</v>
      </c>
      <c r="D109" s="446" t="s">
        <v>270</v>
      </c>
      <c r="E109" s="451" t="s">
        <v>290</v>
      </c>
      <c r="F109" s="520" t="s">
        <v>732</v>
      </c>
      <c r="G109" s="535" t="s">
        <v>468</v>
      </c>
      <c r="H109" s="518" t="s">
        <v>559</v>
      </c>
      <c r="I109" s="521">
        <v>1</v>
      </c>
      <c r="J109" s="522">
        <v>1</v>
      </c>
      <c r="K109" s="450" t="s">
        <v>186</v>
      </c>
      <c r="L109" s="450" t="s">
        <v>263</v>
      </c>
      <c r="M109" s="450" t="s">
        <v>1494</v>
      </c>
      <c r="N109" s="523" t="s">
        <v>1924</v>
      </c>
      <c r="O109" s="524" t="s">
        <v>219</v>
      </c>
      <c r="P109" s="525"/>
      <c r="Q109" s="526">
        <v>176</v>
      </c>
      <c r="R109" s="527"/>
      <c r="S109" s="528">
        <v>1</v>
      </c>
      <c r="T109" s="529" t="s">
        <v>732</v>
      </c>
      <c r="U109" s="530" t="s">
        <v>257</v>
      </c>
      <c r="V109" s="531" t="s">
        <v>447</v>
      </c>
      <c r="W109" s="453" t="s">
        <v>196</v>
      </c>
      <c r="X109" s="455">
        <v>2844000000</v>
      </c>
      <c r="Y109" s="455">
        <v>2844000000</v>
      </c>
      <c r="Z109" s="460" t="s">
        <v>1816</v>
      </c>
      <c r="AA109" s="453"/>
      <c r="AB109" s="453"/>
      <c r="AC109" s="458"/>
      <c r="AD109" s="458"/>
      <c r="AE109" s="532"/>
      <c r="AF109" s="531"/>
      <c r="AG109" s="455"/>
      <c r="AH109" s="461"/>
      <c r="AI109" s="533"/>
    </row>
    <row r="110" spans="2:35" ht="15" customHeight="1">
      <c r="B110" s="366">
        <f t="shared" si="4"/>
        <v>100</v>
      </c>
      <c r="C110" s="289" t="s">
        <v>416</v>
      </c>
      <c r="D110" s="446" t="s">
        <v>270</v>
      </c>
      <c r="E110" s="451" t="s">
        <v>290</v>
      </c>
      <c r="F110" s="520" t="s">
        <v>732</v>
      </c>
      <c r="G110" s="535" t="s">
        <v>468</v>
      </c>
      <c r="H110" s="518" t="s">
        <v>560</v>
      </c>
      <c r="I110" s="521">
        <v>1</v>
      </c>
      <c r="J110" s="522">
        <v>2</v>
      </c>
      <c r="K110" s="450" t="s">
        <v>186</v>
      </c>
      <c r="L110" s="450" t="s">
        <v>263</v>
      </c>
      <c r="M110" s="450" t="s">
        <v>1494</v>
      </c>
      <c r="N110" s="523" t="s">
        <v>1925</v>
      </c>
      <c r="O110" s="524" t="s">
        <v>1852</v>
      </c>
      <c r="P110" s="525"/>
      <c r="Q110" s="526">
        <v>198</v>
      </c>
      <c r="R110" s="527"/>
      <c r="S110" s="528">
        <v>1</v>
      </c>
      <c r="T110" s="529" t="s">
        <v>732</v>
      </c>
      <c r="U110" s="530" t="s">
        <v>257</v>
      </c>
      <c r="V110" s="531" t="s">
        <v>447</v>
      </c>
      <c r="W110" s="453" t="s">
        <v>196</v>
      </c>
      <c r="X110" s="455">
        <v>2844000000</v>
      </c>
      <c r="Y110" s="455">
        <v>2844000000</v>
      </c>
      <c r="Z110" s="460" t="s">
        <v>1816</v>
      </c>
      <c r="AA110" s="453"/>
      <c r="AB110" s="453"/>
      <c r="AC110" s="458"/>
      <c r="AD110" s="458"/>
      <c r="AE110" s="532"/>
      <c r="AF110" s="531"/>
      <c r="AG110" s="455"/>
      <c r="AH110" s="461"/>
      <c r="AI110" s="533"/>
    </row>
    <row r="111" spans="2:35" ht="15" customHeight="1">
      <c r="B111" s="366">
        <f t="shared" si="4"/>
        <v>101</v>
      </c>
      <c r="C111" s="289" t="s">
        <v>416</v>
      </c>
      <c r="D111" s="446" t="s">
        <v>270</v>
      </c>
      <c r="E111" s="451" t="s">
        <v>290</v>
      </c>
      <c r="F111" s="520" t="s">
        <v>732</v>
      </c>
      <c r="G111" s="535" t="s">
        <v>468</v>
      </c>
      <c r="H111" s="518" t="s">
        <v>561</v>
      </c>
      <c r="I111" s="521">
        <v>1</v>
      </c>
      <c r="J111" s="522">
        <v>3</v>
      </c>
      <c r="K111" s="450" t="s">
        <v>186</v>
      </c>
      <c r="L111" s="450" t="s">
        <v>263</v>
      </c>
      <c r="M111" s="450" t="s">
        <v>1494</v>
      </c>
      <c r="N111" s="523" t="s">
        <v>1926</v>
      </c>
      <c r="O111" s="524" t="s">
        <v>1852</v>
      </c>
      <c r="P111" s="525"/>
      <c r="Q111" s="526">
        <v>198</v>
      </c>
      <c r="R111" s="527"/>
      <c r="S111" s="528">
        <v>1</v>
      </c>
      <c r="T111" s="529" t="s">
        <v>732</v>
      </c>
      <c r="U111" s="530" t="s">
        <v>257</v>
      </c>
      <c r="V111" s="531" t="s">
        <v>447</v>
      </c>
      <c r="W111" s="453" t="s">
        <v>196</v>
      </c>
      <c r="X111" s="455">
        <v>2844000000</v>
      </c>
      <c r="Y111" s="455">
        <v>2844000000</v>
      </c>
      <c r="Z111" s="460" t="s">
        <v>1816</v>
      </c>
      <c r="AA111" s="453"/>
      <c r="AB111" s="453"/>
      <c r="AC111" s="458"/>
      <c r="AD111" s="458"/>
      <c r="AE111" s="532"/>
      <c r="AF111" s="531"/>
      <c r="AG111" s="455"/>
      <c r="AH111" s="461"/>
      <c r="AI111" s="533"/>
    </row>
    <row r="112" spans="2:35" ht="15" customHeight="1">
      <c r="B112" s="366">
        <f t="shared" si="4"/>
        <v>102</v>
      </c>
      <c r="C112" s="289" t="s">
        <v>416</v>
      </c>
      <c r="D112" s="446" t="s">
        <v>270</v>
      </c>
      <c r="E112" s="451" t="s">
        <v>290</v>
      </c>
      <c r="F112" s="520" t="s">
        <v>732</v>
      </c>
      <c r="G112" s="535" t="s">
        <v>468</v>
      </c>
      <c r="H112" s="518" t="s">
        <v>562</v>
      </c>
      <c r="I112" s="521">
        <v>1</v>
      </c>
      <c r="J112" s="522">
        <v>4</v>
      </c>
      <c r="K112" s="450" t="s">
        <v>186</v>
      </c>
      <c r="L112" s="450" t="s">
        <v>263</v>
      </c>
      <c r="M112" s="450" t="s">
        <v>1494</v>
      </c>
      <c r="N112" s="523" t="s">
        <v>1927</v>
      </c>
      <c r="O112" s="524" t="s">
        <v>1852</v>
      </c>
      <c r="P112" s="525"/>
      <c r="Q112" s="526">
        <v>6.45</v>
      </c>
      <c r="R112" s="527"/>
      <c r="S112" s="528">
        <v>1</v>
      </c>
      <c r="T112" s="529" t="s">
        <v>732</v>
      </c>
      <c r="U112" s="530" t="s">
        <v>257</v>
      </c>
      <c r="V112" s="531" t="s">
        <v>447</v>
      </c>
      <c r="W112" s="453" t="s">
        <v>196</v>
      </c>
      <c r="X112" s="455">
        <v>2844000000</v>
      </c>
      <c r="Y112" s="455">
        <v>2844000000</v>
      </c>
      <c r="Z112" s="460" t="s">
        <v>1816</v>
      </c>
      <c r="AA112" s="453"/>
      <c r="AB112" s="453"/>
      <c r="AC112" s="458"/>
      <c r="AD112" s="458"/>
      <c r="AE112" s="532"/>
      <c r="AF112" s="531"/>
      <c r="AG112" s="455"/>
      <c r="AH112" s="461"/>
      <c r="AI112" s="533"/>
    </row>
    <row r="113" spans="2:35" ht="15" customHeight="1">
      <c r="B113" s="366">
        <f t="shared" si="4"/>
        <v>103</v>
      </c>
      <c r="C113" s="289" t="s">
        <v>416</v>
      </c>
      <c r="D113" s="446" t="s">
        <v>270</v>
      </c>
      <c r="E113" s="451" t="s">
        <v>290</v>
      </c>
      <c r="F113" s="520" t="s">
        <v>732</v>
      </c>
      <c r="G113" s="535" t="s">
        <v>468</v>
      </c>
      <c r="H113" s="518" t="s">
        <v>683</v>
      </c>
      <c r="I113" s="521">
        <v>1</v>
      </c>
      <c r="J113" s="522">
        <v>5</v>
      </c>
      <c r="K113" s="450" t="s">
        <v>186</v>
      </c>
      <c r="L113" s="450" t="s">
        <v>263</v>
      </c>
      <c r="M113" s="450" t="s">
        <v>1494</v>
      </c>
      <c r="N113" s="523" t="s">
        <v>1928</v>
      </c>
      <c r="O113" s="524" t="s">
        <v>176</v>
      </c>
      <c r="P113" s="525">
        <v>1603</v>
      </c>
      <c r="Q113" s="526"/>
      <c r="R113" s="527"/>
      <c r="S113" s="528">
        <v>1</v>
      </c>
      <c r="T113" s="529" t="s">
        <v>732</v>
      </c>
      <c r="U113" s="530" t="s">
        <v>257</v>
      </c>
      <c r="V113" s="531" t="s">
        <v>447</v>
      </c>
      <c r="W113" s="453" t="s">
        <v>196</v>
      </c>
      <c r="X113" s="455">
        <v>2844000000</v>
      </c>
      <c r="Y113" s="455">
        <v>2844000000</v>
      </c>
      <c r="Z113" s="460" t="s">
        <v>1816</v>
      </c>
      <c r="AA113" s="453"/>
      <c r="AB113" s="453"/>
      <c r="AC113" s="458"/>
      <c r="AD113" s="458"/>
      <c r="AE113" s="532"/>
      <c r="AF113" s="531"/>
      <c r="AG113" s="455"/>
      <c r="AH113" s="461"/>
      <c r="AI113" s="533"/>
    </row>
    <row r="114" spans="2:35" ht="15" customHeight="1">
      <c r="B114" s="366">
        <f t="shared" si="4"/>
        <v>104</v>
      </c>
      <c r="C114" s="289" t="s">
        <v>416</v>
      </c>
      <c r="D114" s="446" t="s">
        <v>270</v>
      </c>
      <c r="E114" s="451" t="s">
        <v>290</v>
      </c>
      <c r="F114" s="520" t="s">
        <v>732</v>
      </c>
      <c r="G114" s="535" t="s">
        <v>468</v>
      </c>
      <c r="H114" s="518" t="s">
        <v>684</v>
      </c>
      <c r="I114" s="521">
        <v>1</v>
      </c>
      <c r="J114" s="522">
        <v>6</v>
      </c>
      <c r="K114" s="450" t="s">
        <v>186</v>
      </c>
      <c r="L114" s="450" t="s">
        <v>263</v>
      </c>
      <c r="M114" s="450" t="s">
        <v>1494</v>
      </c>
      <c r="N114" s="523" t="s">
        <v>1929</v>
      </c>
      <c r="O114" s="524" t="s">
        <v>214</v>
      </c>
      <c r="P114" s="525">
        <v>402</v>
      </c>
      <c r="Q114" s="526"/>
      <c r="R114" s="527"/>
      <c r="S114" s="528">
        <v>8.2089552238805968E-3</v>
      </c>
      <c r="T114" s="529" t="s">
        <v>732</v>
      </c>
      <c r="U114" s="530" t="s">
        <v>257</v>
      </c>
      <c r="V114" s="531" t="s">
        <v>447</v>
      </c>
      <c r="W114" s="453" t="s">
        <v>196</v>
      </c>
      <c r="X114" s="455">
        <v>2844000000</v>
      </c>
      <c r="Y114" s="455">
        <v>2844000000</v>
      </c>
      <c r="Z114" s="460" t="s">
        <v>1816</v>
      </c>
      <c r="AA114" s="453"/>
      <c r="AB114" s="453"/>
      <c r="AC114" s="458"/>
      <c r="AD114" s="458"/>
      <c r="AE114" s="532"/>
      <c r="AF114" s="531"/>
      <c r="AG114" s="455"/>
      <c r="AH114" s="461"/>
      <c r="AI114" s="533"/>
    </row>
    <row r="115" spans="2:35" ht="15" customHeight="1">
      <c r="B115" s="366">
        <f t="shared" si="4"/>
        <v>105</v>
      </c>
      <c r="C115" s="289" t="s">
        <v>416</v>
      </c>
      <c r="D115" s="446" t="s">
        <v>270</v>
      </c>
      <c r="E115" s="451" t="s">
        <v>290</v>
      </c>
      <c r="F115" s="520" t="s">
        <v>732</v>
      </c>
      <c r="G115" s="535" t="s">
        <v>468</v>
      </c>
      <c r="H115" s="518" t="s">
        <v>685</v>
      </c>
      <c r="I115" s="521">
        <v>1</v>
      </c>
      <c r="J115" s="522">
        <v>7</v>
      </c>
      <c r="K115" s="450" t="s">
        <v>186</v>
      </c>
      <c r="L115" s="450" t="s">
        <v>263</v>
      </c>
      <c r="M115" s="450" t="s">
        <v>1494</v>
      </c>
      <c r="N115" s="523" t="s">
        <v>1930</v>
      </c>
      <c r="O115" s="524" t="s">
        <v>214</v>
      </c>
      <c r="P115" s="525">
        <v>961</v>
      </c>
      <c r="Q115" s="526"/>
      <c r="R115" s="527"/>
      <c r="S115" s="528">
        <v>6.8678459937565033E-3</v>
      </c>
      <c r="T115" s="529" t="s">
        <v>732</v>
      </c>
      <c r="U115" s="530" t="s">
        <v>257</v>
      </c>
      <c r="V115" s="531" t="s">
        <v>447</v>
      </c>
      <c r="W115" s="453" t="s">
        <v>196</v>
      </c>
      <c r="X115" s="455">
        <v>2844000000</v>
      </c>
      <c r="Y115" s="455">
        <v>2844000000</v>
      </c>
      <c r="Z115" s="460" t="s">
        <v>1816</v>
      </c>
      <c r="AA115" s="453"/>
      <c r="AB115" s="453"/>
      <c r="AC115" s="458"/>
      <c r="AD115" s="458"/>
      <c r="AE115" s="532"/>
      <c r="AF115" s="531"/>
      <c r="AG115" s="455"/>
      <c r="AH115" s="461"/>
      <c r="AI115" s="533"/>
    </row>
    <row r="116" spans="2:35" ht="15" customHeight="1">
      <c r="B116" s="366">
        <f t="shared" si="4"/>
        <v>106</v>
      </c>
      <c r="C116" s="289" t="s">
        <v>416</v>
      </c>
      <c r="D116" s="446" t="s">
        <v>270</v>
      </c>
      <c r="E116" s="451" t="s">
        <v>290</v>
      </c>
      <c r="F116" s="520" t="s">
        <v>732</v>
      </c>
      <c r="G116" s="535" t="s">
        <v>468</v>
      </c>
      <c r="H116" s="518" t="s">
        <v>686</v>
      </c>
      <c r="I116" s="521">
        <v>1</v>
      </c>
      <c r="J116" s="522">
        <v>8</v>
      </c>
      <c r="K116" s="450" t="s">
        <v>186</v>
      </c>
      <c r="L116" s="450" t="s">
        <v>263</v>
      </c>
      <c r="M116" s="450" t="s">
        <v>1494</v>
      </c>
      <c r="N116" s="523" t="s">
        <v>1931</v>
      </c>
      <c r="O116" s="524" t="s">
        <v>214</v>
      </c>
      <c r="P116" s="525">
        <v>122</v>
      </c>
      <c r="Q116" s="526"/>
      <c r="R116" s="527"/>
      <c r="S116" s="528">
        <v>2.7049180327868853E-2</v>
      </c>
      <c r="T116" s="529" t="s">
        <v>732</v>
      </c>
      <c r="U116" s="530" t="s">
        <v>257</v>
      </c>
      <c r="V116" s="531" t="s">
        <v>447</v>
      </c>
      <c r="W116" s="453" t="s">
        <v>196</v>
      </c>
      <c r="X116" s="455">
        <v>2844000000</v>
      </c>
      <c r="Y116" s="455">
        <v>2844000000</v>
      </c>
      <c r="Z116" s="460" t="s">
        <v>1816</v>
      </c>
      <c r="AA116" s="453"/>
      <c r="AB116" s="453"/>
      <c r="AC116" s="458"/>
      <c r="AD116" s="458"/>
      <c r="AE116" s="532"/>
      <c r="AF116" s="531"/>
      <c r="AG116" s="455"/>
      <c r="AH116" s="461"/>
      <c r="AI116" s="533"/>
    </row>
    <row r="117" spans="2:35" ht="15" customHeight="1">
      <c r="B117" s="366">
        <f t="shared" si="4"/>
        <v>107</v>
      </c>
      <c r="C117" s="289" t="s">
        <v>416</v>
      </c>
      <c r="D117" s="446" t="s">
        <v>270</v>
      </c>
      <c r="E117" s="451" t="s">
        <v>290</v>
      </c>
      <c r="F117" s="520" t="s">
        <v>732</v>
      </c>
      <c r="G117" s="535" t="s">
        <v>469</v>
      </c>
      <c r="H117" s="518" t="s">
        <v>687</v>
      </c>
      <c r="I117" s="521">
        <v>2</v>
      </c>
      <c r="J117" s="522">
        <v>1</v>
      </c>
      <c r="K117" s="450" t="s">
        <v>186</v>
      </c>
      <c r="L117" s="450" t="s">
        <v>263</v>
      </c>
      <c r="M117" s="450" t="s">
        <v>1496</v>
      </c>
      <c r="N117" s="523" t="s">
        <v>1932</v>
      </c>
      <c r="O117" s="524" t="s">
        <v>280</v>
      </c>
      <c r="P117" s="525">
        <v>2969</v>
      </c>
      <c r="Q117" s="526"/>
      <c r="R117" s="527"/>
      <c r="S117" s="528">
        <v>1</v>
      </c>
      <c r="T117" s="529" t="s">
        <v>712</v>
      </c>
      <c r="U117" s="530">
        <v>1</v>
      </c>
      <c r="V117" s="531" t="s">
        <v>442</v>
      </c>
      <c r="W117" s="453" t="s">
        <v>196</v>
      </c>
      <c r="X117" s="455">
        <v>360000000</v>
      </c>
      <c r="Y117" s="455">
        <v>360000000</v>
      </c>
      <c r="Z117" s="460" t="s">
        <v>1816</v>
      </c>
      <c r="AA117" s="453"/>
      <c r="AB117" s="453"/>
      <c r="AC117" s="458"/>
      <c r="AD117" s="458"/>
      <c r="AE117" s="532"/>
      <c r="AF117" s="531"/>
      <c r="AG117" s="455"/>
      <c r="AH117" s="461"/>
      <c r="AI117" s="533"/>
    </row>
    <row r="118" spans="2:35" ht="15" customHeight="1">
      <c r="B118" s="366">
        <f t="shared" si="4"/>
        <v>108</v>
      </c>
      <c r="C118" s="289" t="s">
        <v>416</v>
      </c>
      <c r="D118" s="446" t="s">
        <v>270</v>
      </c>
      <c r="E118" s="451" t="s">
        <v>290</v>
      </c>
      <c r="F118" s="520" t="s">
        <v>732</v>
      </c>
      <c r="G118" s="535" t="s">
        <v>1680</v>
      </c>
      <c r="H118" s="518" t="s">
        <v>2173</v>
      </c>
      <c r="I118" s="521">
        <v>3</v>
      </c>
      <c r="J118" s="522">
        <v>1</v>
      </c>
      <c r="K118" s="450" t="s">
        <v>186</v>
      </c>
      <c r="L118" s="450" t="s">
        <v>655</v>
      </c>
      <c r="M118" s="450" t="s">
        <v>1498</v>
      </c>
      <c r="N118" s="523" t="s">
        <v>1933</v>
      </c>
      <c r="O118" s="524" t="s">
        <v>1934</v>
      </c>
      <c r="P118" s="525"/>
      <c r="Q118" s="526">
        <v>199.81</v>
      </c>
      <c r="R118" s="527"/>
      <c r="S118" s="528">
        <v>1</v>
      </c>
      <c r="T118" s="529" t="s">
        <v>1935</v>
      </c>
      <c r="U118" s="530">
        <v>3</v>
      </c>
      <c r="V118" s="531" t="s">
        <v>442</v>
      </c>
      <c r="W118" s="453" t="s">
        <v>196</v>
      </c>
      <c r="X118" s="455">
        <v>240000000</v>
      </c>
      <c r="Y118" s="455">
        <v>240000000</v>
      </c>
      <c r="Z118" s="460" t="s">
        <v>1816</v>
      </c>
      <c r="AA118" s="453" t="s">
        <v>250</v>
      </c>
      <c r="AB118" s="453" t="s">
        <v>196</v>
      </c>
      <c r="AC118" s="458">
        <v>220000000</v>
      </c>
      <c r="AD118" s="458">
        <v>220000000</v>
      </c>
      <c r="AE118" s="532"/>
      <c r="AF118" s="531"/>
      <c r="AG118" s="455"/>
      <c r="AH118" s="461"/>
      <c r="AI118" s="533"/>
    </row>
    <row r="119" spans="2:35" ht="15" customHeight="1">
      <c r="B119" s="366">
        <f t="shared" si="4"/>
        <v>109</v>
      </c>
      <c r="C119" s="289" t="s">
        <v>416</v>
      </c>
      <c r="D119" s="446" t="s">
        <v>270</v>
      </c>
      <c r="E119" s="451" t="s">
        <v>290</v>
      </c>
      <c r="F119" s="520" t="s">
        <v>732</v>
      </c>
      <c r="G119" s="535" t="s">
        <v>1680</v>
      </c>
      <c r="H119" s="518" t="s">
        <v>2174</v>
      </c>
      <c r="I119" s="521">
        <v>3</v>
      </c>
      <c r="J119" s="522">
        <v>2</v>
      </c>
      <c r="K119" s="450" t="s">
        <v>186</v>
      </c>
      <c r="L119" s="450" t="s">
        <v>655</v>
      </c>
      <c r="M119" s="450" t="s">
        <v>1498</v>
      </c>
      <c r="N119" s="523" t="s">
        <v>1933</v>
      </c>
      <c r="O119" s="524" t="s">
        <v>215</v>
      </c>
      <c r="P119" s="525">
        <v>490</v>
      </c>
      <c r="Q119" s="526"/>
      <c r="R119" s="527"/>
      <c r="S119" s="528">
        <v>1</v>
      </c>
      <c r="T119" s="529" t="s">
        <v>1935</v>
      </c>
      <c r="U119" s="530">
        <v>3</v>
      </c>
      <c r="V119" s="531" t="s">
        <v>442</v>
      </c>
      <c r="W119" s="453" t="s">
        <v>196</v>
      </c>
      <c r="X119" s="455">
        <v>240000000</v>
      </c>
      <c r="Y119" s="455">
        <v>240000000</v>
      </c>
      <c r="Z119" s="460" t="s">
        <v>1816</v>
      </c>
      <c r="AA119" s="453" t="s">
        <v>250</v>
      </c>
      <c r="AB119" s="453" t="s">
        <v>196</v>
      </c>
      <c r="AC119" s="458">
        <v>220000000</v>
      </c>
      <c r="AD119" s="458">
        <v>220000000</v>
      </c>
      <c r="AE119" s="532"/>
      <c r="AF119" s="531"/>
      <c r="AG119" s="455"/>
      <c r="AH119" s="461"/>
      <c r="AI119" s="533"/>
    </row>
    <row r="120" spans="2:35" ht="15" customHeight="1">
      <c r="B120" s="366">
        <f t="shared" si="4"/>
        <v>110</v>
      </c>
      <c r="C120" s="289" t="s">
        <v>416</v>
      </c>
      <c r="D120" s="446" t="s">
        <v>270</v>
      </c>
      <c r="E120" s="451" t="s">
        <v>290</v>
      </c>
      <c r="F120" s="520" t="s">
        <v>732</v>
      </c>
      <c r="G120" s="535" t="s">
        <v>1681</v>
      </c>
      <c r="H120" s="518" t="s">
        <v>2175</v>
      </c>
      <c r="I120" s="521">
        <v>4</v>
      </c>
      <c r="J120" s="522">
        <v>1</v>
      </c>
      <c r="K120" s="450" t="s">
        <v>186</v>
      </c>
      <c r="L120" s="450" t="s">
        <v>655</v>
      </c>
      <c r="M120" s="450" t="s">
        <v>1498</v>
      </c>
      <c r="N120" s="523" t="s">
        <v>1936</v>
      </c>
      <c r="O120" s="524" t="s">
        <v>214</v>
      </c>
      <c r="P120" s="525">
        <v>170</v>
      </c>
      <c r="Q120" s="526"/>
      <c r="R120" s="527"/>
      <c r="S120" s="528">
        <v>1</v>
      </c>
      <c r="T120" s="529" t="s">
        <v>1935</v>
      </c>
      <c r="U120" s="530">
        <v>1</v>
      </c>
      <c r="V120" s="531" t="s">
        <v>442</v>
      </c>
      <c r="W120" s="453" t="s">
        <v>196</v>
      </c>
      <c r="X120" s="455">
        <v>240000000</v>
      </c>
      <c r="Y120" s="455">
        <v>240000000</v>
      </c>
      <c r="Z120" s="460" t="s">
        <v>1816</v>
      </c>
      <c r="AA120" s="453"/>
      <c r="AB120" s="453"/>
      <c r="AC120" s="458"/>
      <c r="AD120" s="458"/>
      <c r="AE120" s="532"/>
      <c r="AF120" s="531"/>
      <c r="AG120" s="455"/>
      <c r="AH120" s="461"/>
      <c r="AI120" s="533"/>
    </row>
    <row r="121" spans="2:35" ht="15" customHeight="1">
      <c r="B121" s="366">
        <f t="shared" si="4"/>
        <v>111</v>
      </c>
      <c r="C121" s="289" t="s">
        <v>416</v>
      </c>
      <c r="D121" s="446" t="s">
        <v>270</v>
      </c>
      <c r="E121" s="451" t="s">
        <v>290</v>
      </c>
      <c r="F121" s="520" t="s">
        <v>732</v>
      </c>
      <c r="G121" s="535" t="s">
        <v>1681</v>
      </c>
      <c r="H121" s="518" t="s">
        <v>2176</v>
      </c>
      <c r="I121" s="521">
        <v>4</v>
      </c>
      <c r="J121" s="522">
        <v>2</v>
      </c>
      <c r="K121" s="450" t="s">
        <v>186</v>
      </c>
      <c r="L121" s="450" t="s">
        <v>655</v>
      </c>
      <c r="M121" s="450" t="s">
        <v>1498</v>
      </c>
      <c r="N121" s="523" t="s">
        <v>1937</v>
      </c>
      <c r="O121" s="524" t="s">
        <v>280</v>
      </c>
      <c r="P121" s="525">
        <v>974</v>
      </c>
      <c r="Q121" s="526"/>
      <c r="R121" s="527"/>
      <c r="S121" s="528">
        <v>1</v>
      </c>
      <c r="T121" s="529" t="s">
        <v>1935</v>
      </c>
      <c r="U121" s="530">
        <v>1</v>
      </c>
      <c r="V121" s="531" t="s">
        <v>442</v>
      </c>
      <c r="W121" s="453" t="s">
        <v>196</v>
      </c>
      <c r="X121" s="455">
        <v>240000000</v>
      </c>
      <c r="Y121" s="455">
        <v>240000000</v>
      </c>
      <c r="Z121" s="460" t="s">
        <v>1816</v>
      </c>
      <c r="AA121" s="453"/>
      <c r="AB121" s="453"/>
      <c r="AC121" s="458"/>
      <c r="AD121" s="458"/>
      <c r="AE121" s="532"/>
      <c r="AF121" s="531"/>
      <c r="AG121" s="455"/>
      <c r="AH121" s="461"/>
      <c r="AI121" s="533"/>
    </row>
    <row r="122" spans="2:35" ht="15" customHeight="1">
      <c r="B122" s="366">
        <f t="shared" si="4"/>
        <v>112</v>
      </c>
      <c r="C122" s="289" t="s">
        <v>416</v>
      </c>
      <c r="D122" s="446" t="s">
        <v>270</v>
      </c>
      <c r="E122" s="451" t="s">
        <v>290</v>
      </c>
      <c r="F122" s="520" t="s">
        <v>732</v>
      </c>
      <c r="G122" s="535" t="s">
        <v>1681</v>
      </c>
      <c r="H122" s="518" t="s">
        <v>2177</v>
      </c>
      <c r="I122" s="521">
        <v>4</v>
      </c>
      <c r="J122" s="522">
        <v>3</v>
      </c>
      <c r="K122" s="450" t="s">
        <v>186</v>
      </c>
      <c r="L122" s="450" t="s">
        <v>655</v>
      </c>
      <c r="M122" s="450" t="s">
        <v>1498</v>
      </c>
      <c r="N122" s="523" t="s">
        <v>1938</v>
      </c>
      <c r="O122" s="524" t="s">
        <v>280</v>
      </c>
      <c r="P122" s="525">
        <v>128</v>
      </c>
      <c r="Q122" s="526"/>
      <c r="R122" s="527"/>
      <c r="S122" s="528">
        <v>1</v>
      </c>
      <c r="T122" s="529" t="s">
        <v>1935</v>
      </c>
      <c r="U122" s="530">
        <v>1</v>
      </c>
      <c r="V122" s="531" t="s">
        <v>442</v>
      </c>
      <c r="W122" s="453" t="s">
        <v>196</v>
      </c>
      <c r="X122" s="455">
        <v>240000000</v>
      </c>
      <c r="Y122" s="455">
        <v>240000000</v>
      </c>
      <c r="Z122" s="460" t="s">
        <v>1816</v>
      </c>
      <c r="AA122" s="453"/>
      <c r="AB122" s="453"/>
      <c r="AC122" s="458"/>
      <c r="AD122" s="458"/>
      <c r="AE122" s="532"/>
      <c r="AF122" s="531"/>
      <c r="AG122" s="455"/>
      <c r="AH122" s="461"/>
      <c r="AI122" s="533"/>
    </row>
    <row r="123" spans="2:35" ht="15" customHeight="1">
      <c r="B123" s="366">
        <f t="shared" si="4"/>
        <v>113</v>
      </c>
      <c r="C123" s="289" t="s">
        <v>416</v>
      </c>
      <c r="D123" s="446" t="s">
        <v>270</v>
      </c>
      <c r="E123" s="451" t="s">
        <v>632</v>
      </c>
      <c r="F123" s="520" t="s">
        <v>733</v>
      </c>
      <c r="G123" s="535" t="s">
        <v>648</v>
      </c>
      <c r="H123" s="518" t="s">
        <v>688</v>
      </c>
      <c r="I123" s="521">
        <v>1</v>
      </c>
      <c r="J123" s="522">
        <v>1</v>
      </c>
      <c r="K123" s="450" t="s">
        <v>245</v>
      </c>
      <c r="L123" s="450" t="s">
        <v>641</v>
      </c>
      <c r="M123" s="450" t="s">
        <v>1501</v>
      </c>
      <c r="N123" s="523" t="s">
        <v>1939</v>
      </c>
      <c r="O123" s="524" t="s">
        <v>215</v>
      </c>
      <c r="P123" s="525">
        <v>2302.1999999999998</v>
      </c>
      <c r="Q123" s="526"/>
      <c r="R123" s="527"/>
      <c r="S123" s="528">
        <v>1</v>
      </c>
      <c r="T123" s="529" t="s">
        <v>1940</v>
      </c>
      <c r="U123" s="530">
        <v>1</v>
      </c>
      <c r="V123" s="531" t="s">
        <v>442</v>
      </c>
      <c r="W123" s="453" t="s">
        <v>196</v>
      </c>
      <c r="X123" s="455">
        <v>4080000000</v>
      </c>
      <c r="Y123" s="455">
        <v>4080000000</v>
      </c>
      <c r="Z123" s="460" t="s">
        <v>1816</v>
      </c>
      <c r="AA123" s="453"/>
      <c r="AB123" s="453"/>
      <c r="AC123" s="458"/>
      <c r="AD123" s="458"/>
      <c r="AE123" s="532"/>
      <c r="AF123" s="531"/>
      <c r="AG123" s="455"/>
      <c r="AH123" s="461"/>
      <c r="AI123" s="533"/>
    </row>
    <row r="124" spans="2:35" ht="15" customHeight="1">
      <c r="B124" s="366">
        <f t="shared" ref="B124:B137" si="5">ROW()-10</f>
        <v>114</v>
      </c>
      <c r="C124" s="289" t="s">
        <v>416</v>
      </c>
      <c r="D124" s="446" t="s">
        <v>270</v>
      </c>
      <c r="E124" s="451" t="s">
        <v>291</v>
      </c>
      <c r="F124" s="520" t="s">
        <v>734</v>
      </c>
      <c r="G124" s="535" t="s">
        <v>470</v>
      </c>
      <c r="H124" s="518" t="s">
        <v>563</v>
      </c>
      <c r="I124" s="521">
        <v>1</v>
      </c>
      <c r="J124" s="522">
        <v>1</v>
      </c>
      <c r="K124" s="450" t="s">
        <v>186</v>
      </c>
      <c r="L124" s="450" t="s">
        <v>1503</v>
      </c>
      <c r="M124" s="450" t="s">
        <v>1504</v>
      </c>
      <c r="N124" s="523" t="s">
        <v>1505</v>
      </c>
      <c r="O124" s="524" t="s">
        <v>1942</v>
      </c>
      <c r="P124" s="525">
        <v>5289.3</v>
      </c>
      <c r="Q124" s="526">
        <v>266.64</v>
      </c>
      <c r="R124" s="527">
        <v>1.7665853704649008E-2</v>
      </c>
      <c r="S124" s="528">
        <v>1</v>
      </c>
      <c r="T124" s="529" t="s">
        <v>734</v>
      </c>
      <c r="U124" s="530">
        <v>1</v>
      </c>
      <c r="V124" s="531" t="s">
        <v>442</v>
      </c>
      <c r="W124" s="453" t="s">
        <v>196</v>
      </c>
      <c r="X124" s="455">
        <v>400000000</v>
      </c>
      <c r="Y124" s="455">
        <v>400000000</v>
      </c>
      <c r="Z124" s="460" t="s">
        <v>1816</v>
      </c>
      <c r="AA124" s="453"/>
      <c r="AB124" s="453"/>
      <c r="AC124" s="458"/>
      <c r="AD124" s="458"/>
      <c r="AE124" s="532"/>
      <c r="AF124" s="531"/>
      <c r="AG124" s="455"/>
      <c r="AH124" s="461"/>
      <c r="AI124" s="533"/>
    </row>
    <row r="125" spans="2:35" ht="15" customHeight="1">
      <c r="B125" s="366">
        <f t="shared" si="5"/>
        <v>115</v>
      </c>
      <c r="C125" s="289" t="s">
        <v>416</v>
      </c>
      <c r="D125" s="446" t="s">
        <v>270</v>
      </c>
      <c r="E125" s="451" t="s">
        <v>289</v>
      </c>
      <c r="F125" s="520" t="s">
        <v>735</v>
      </c>
      <c r="G125" s="535" t="s">
        <v>471</v>
      </c>
      <c r="H125" s="518" t="s">
        <v>564</v>
      </c>
      <c r="I125" s="521">
        <v>1</v>
      </c>
      <c r="J125" s="522">
        <v>1</v>
      </c>
      <c r="K125" s="450" t="s">
        <v>186</v>
      </c>
      <c r="L125" s="450" t="s">
        <v>263</v>
      </c>
      <c r="M125" s="450" t="s">
        <v>1506</v>
      </c>
      <c r="N125" s="523" t="s">
        <v>1943</v>
      </c>
      <c r="O125" s="524" t="s">
        <v>174</v>
      </c>
      <c r="P125" s="525"/>
      <c r="Q125" s="526">
        <v>336</v>
      </c>
      <c r="R125" s="527"/>
      <c r="S125" s="528">
        <v>1</v>
      </c>
      <c r="T125" s="529" t="s">
        <v>735</v>
      </c>
      <c r="U125" s="530">
        <v>1</v>
      </c>
      <c r="V125" s="531" t="s">
        <v>442</v>
      </c>
      <c r="W125" s="453" t="s">
        <v>196</v>
      </c>
      <c r="X125" s="455">
        <v>3600000000</v>
      </c>
      <c r="Y125" s="455">
        <v>3600000000</v>
      </c>
      <c r="Z125" s="460" t="s">
        <v>1816</v>
      </c>
      <c r="AA125" s="453"/>
      <c r="AB125" s="453"/>
      <c r="AC125" s="458"/>
      <c r="AD125" s="458"/>
      <c r="AE125" s="532"/>
      <c r="AF125" s="531"/>
      <c r="AG125" s="455"/>
      <c r="AH125" s="461"/>
      <c r="AI125" s="533"/>
    </row>
    <row r="126" spans="2:35" ht="15" customHeight="1">
      <c r="B126" s="366">
        <f t="shared" si="5"/>
        <v>116</v>
      </c>
      <c r="C126" s="289" t="s">
        <v>416</v>
      </c>
      <c r="D126" s="446" t="s">
        <v>270</v>
      </c>
      <c r="E126" s="451" t="s">
        <v>289</v>
      </c>
      <c r="F126" s="520" t="s">
        <v>735</v>
      </c>
      <c r="G126" s="535" t="s">
        <v>471</v>
      </c>
      <c r="H126" s="518" t="s">
        <v>565</v>
      </c>
      <c r="I126" s="521">
        <v>1</v>
      </c>
      <c r="J126" s="522">
        <v>2</v>
      </c>
      <c r="K126" s="450" t="s">
        <v>186</v>
      </c>
      <c r="L126" s="450" t="s">
        <v>263</v>
      </c>
      <c r="M126" s="450" t="s">
        <v>1506</v>
      </c>
      <c r="N126" s="523" t="s">
        <v>1944</v>
      </c>
      <c r="O126" s="524" t="s">
        <v>174</v>
      </c>
      <c r="P126" s="525"/>
      <c r="Q126" s="526">
        <v>336</v>
      </c>
      <c r="R126" s="527"/>
      <c r="S126" s="528">
        <v>1</v>
      </c>
      <c r="T126" s="529" t="s">
        <v>735</v>
      </c>
      <c r="U126" s="530">
        <v>1</v>
      </c>
      <c r="V126" s="531" t="s">
        <v>442</v>
      </c>
      <c r="W126" s="453" t="s">
        <v>196</v>
      </c>
      <c r="X126" s="455">
        <v>3600000000</v>
      </c>
      <c r="Y126" s="455">
        <v>3600000000</v>
      </c>
      <c r="Z126" s="460" t="s">
        <v>1816</v>
      </c>
      <c r="AA126" s="453"/>
      <c r="AB126" s="453"/>
      <c r="AC126" s="458"/>
      <c r="AD126" s="458"/>
      <c r="AE126" s="532"/>
      <c r="AF126" s="531"/>
      <c r="AG126" s="455"/>
      <c r="AH126" s="461"/>
      <c r="AI126" s="533"/>
    </row>
    <row r="127" spans="2:35" ht="15" customHeight="1">
      <c r="B127" s="366">
        <f t="shared" si="5"/>
        <v>117</v>
      </c>
      <c r="C127" s="289" t="s">
        <v>416</v>
      </c>
      <c r="D127" s="446" t="s">
        <v>270</v>
      </c>
      <c r="E127" s="451" t="s">
        <v>289</v>
      </c>
      <c r="F127" s="520" t="s">
        <v>735</v>
      </c>
      <c r="G127" s="535" t="s">
        <v>471</v>
      </c>
      <c r="H127" s="518" t="s">
        <v>566</v>
      </c>
      <c r="I127" s="521">
        <v>1</v>
      </c>
      <c r="J127" s="522">
        <v>3</v>
      </c>
      <c r="K127" s="450" t="s">
        <v>186</v>
      </c>
      <c r="L127" s="450" t="s">
        <v>263</v>
      </c>
      <c r="M127" s="450" t="s">
        <v>1506</v>
      </c>
      <c r="N127" s="523" t="s">
        <v>1945</v>
      </c>
      <c r="O127" s="524" t="s">
        <v>174</v>
      </c>
      <c r="P127" s="525"/>
      <c r="Q127" s="526">
        <v>336</v>
      </c>
      <c r="R127" s="527"/>
      <c r="S127" s="528">
        <v>1</v>
      </c>
      <c r="T127" s="529" t="s">
        <v>735</v>
      </c>
      <c r="U127" s="530">
        <v>1</v>
      </c>
      <c r="V127" s="531" t="s">
        <v>442</v>
      </c>
      <c r="W127" s="453" t="s">
        <v>196</v>
      </c>
      <c r="X127" s="455">
        <v>3600000000</v>
      </c>
      <c r="Y127" s="455">
        <v>3600000000</v>
      </c>
      <c r="Z127" s="460" t="s">
        <v>1816</v>
      </c>
      <c r="AA127" s="453"/>
      <c r="AB127" s="453"/>
      <c r="AC127" s="458"/>
      <c r="AD127" s="458"/>
      <c r="AE127" s="532"/>
      <c r="AF127" s="531"/>
      <c r="AG127" s="455"/>
      <c r="AH127" s="461"/>
      <c r="AI127" s="533"/>
    </row>
    <row r="128" spans="2:35" ht="15" customHeight="1">
      <c r="B128" s="366">
        <f t="shared" si="5"/>
        <v>118</v>
      </c>
      <c r="C128" s="289" t="s">
        <v>416</v>
      </c>
      <c r="D128" s="446" t="s">
        <v>270</v>
      </c>
      <c r="E128" s="451" t="s">
        <v>289</v>
      </c>
      <c r="F128" s="520" t="s">
        <v>735</v>
      </c>
      <c r="G128" s="535" t="s">
        <v>471</v>
      </c>
      <c r="H128" s="518" t="s">
        <v>2178</v>
      </c>
      <c r="I128" s="521">
        <v>1</v>
      </c>
      <c r="J128" s="522">
        <v>4</v>
      </c>
      <c r="K128" s="450" t="s">
        <v>186</v>
      </c>
      <c r="L128" s="450" t="s">
        <v>263</v>
      </c>
      <c r="M128" s="450" t="s">
        <v>1506</v>
      </c>
      <c r="N128" s="523" t="s">
        <v>1946</v>
      </c>
      <c r="O128" s="524" t="s">
        <v>174</v>
      </c>
      <c r="P128" s="525"/>
      <c r="Q128" s="526">
        <v>336</v>
      </c>
      <c r="R128" s="527"/>
      <c r="S128" s="528">
        <v>1</v>
      </c>
      <c r="T128" s="529" t="s">
        <v>735</v>
      </c>
      <c r="U128" s="530">
        <v>1</v>
      </c>
      <c r="V128" s="531" t="s">
        <v>442</v>
      </c>
      <c r="W128" s="453" t="s">
        <v>196</v>
      </c>
      <c r="X128" s="455">
        <v>3600000000</v>
      </c>
      <c r="Y128" s="455">
        <v>3600000000</v>
      </c>
      <c r="Z128" s="460" t="s">
        <v>1816</v>
      </c>
      <c r="AA128" s="453"/>
      <c r="AB128" s="453"/>
      <c r="AC128" s="458"/>
      <c r="AD128" s="458"/>
      <c r="AE128" s="532"/>
      <c r="AF128" s="531"/>
      <c r="AG128" s="455"/>
      <c r="AH128" s="461"/>
      <c r="AI128" s="533"/>
    </row>
    <row r="129" spans="2:35" ht="15" customHeight="1">
      <c r="B129" s="366">
        <f t="shared" si="5"/>
        <v>119</v>
      </c>
      <c r="C129" s="289" t="s">
        <v>416</v>
      </c>
      <c r="D129" s="446" t="s">
        <v>270</v>
      </c>
      <c r="E129" s="451" t="s">
        <v>289</v>
      </c>
      <c r="F129" s="520" t="s">
        <v>735</v>
      </c>
      <c r="G129" s="535" t="s">
        <v>471</v>
      </c>
      <c r="H129" s="518" t="s">
        <v>2179</v>
      </c>
      <c r="I129" s="521">
        <v>1</v>
      </c>
      <c r="J129" s="522">
        <v>5</v>
      </c>
      <c r="K129" s="450" t="s">
        <v>186</v>
      </c>
      <c r="L129" s="450" t="s">
        <v>263</v>
      </c>
      <c r="M129" s="450" t="s">
        <v>1506</v>
      </c>
      <c r="N129" s="523" t="s">
        <v>1947</v>
      </c>
      <c r="O129" s="524" t="s">
        <v>266</v>
      </c>
      <c r="P129" s="525"/>
      <c r="Q129" s="526">
        <v>760.36</v>
      </c>
      <c r="R129" s="527"/>
      <c r="S129" s="528">
        <v>1</v>
      </c>
      <c r="T129" s="529" t="s">
        <v>735</v>
      </c>
      <c r="U129" s="530">
        <v>1</v>
      </c>
      <c r="V129" s="531" t="s">
        <v>442</v>
      </c>
      <c r="W129" s="453" t="s">
        <v>196</v>
      </c>
      <c r="X129" s="455">
        <v>3600000000</v>
      </c>
      <c r="Y129" s="455">
        <v>3600000000</v>
      </c>
      <c r="Z129" s="460" t="s">
        <v>1816</v>
      </c>
      <c r="AA129" s="453"/>
      <c r="AB129" s="453"/>
      <c r="AC129" s="458"/>
      <c r="AD129" s="458"/>
      <c r="AE129" s="532"/>
      <c r="AF129" s="531"/>
      <c r="AG129" s="455"/>
      <c r="AH129" s="461"/>
      <c r="AI129" s="533"/>
    </row>
    <row r="130" spans="2:35" ht="15" customHeight="1">
      <c r="B130" s="366">
        <f t="shared" si="5"/>
        <v>120</v>
      </c>
      <c r="C130" s="289" t="s">
        <v>416</v>
      </c>
      <c r="D130" s="446" t="s">
        <v>270</v>
      </c>
      <c r="E130" s="451" t="s">
        <v>289</v>
      </c>
      <c r="F130" s="520" t="s">
        <v>735</v>
      </c>
      <c r="G130" s="535" t="s">
        <v>471</v>
      </c>
      <c r="H130" s="518" t="s">
        <v>2180</v>
      </c>
      <c r="I130" s="521">
        <v>1</v>
      </c>
      <c r="J130" s="522">
        <v>6</v>
      </c>
      <c r="K130" s="450" t="s">
        <v>186</v>
      </c>
      <c r="L130" s="450" t="s">
        <v>263</v>
      </c>
      <c r="M130" s="450" t="s">
        <v>1506</v>
      </c>
      <c r="N130" s="523" t="s">
        <v>1948</v>
      </c>
      <c r="O130" s="524" t="s">
        <v>174</v>
      </c>
      <c r="P130" s="525"/>
      <c r="Q130" s="526">
        <v>32</v>
      </c>
      <c r="R130" s="527"/>
      <c r="S130" s="528">
        <v>1</v>
      </c>
      <c r="T130" s="529" t="s">
        <v>735</v>
      </c>
      <c r="U130" s="530">
        <v>1</v>
      </c>
      <c r="V130" s="531" t="s">
        <v>442</v>
      </c>
      <c r="W130" s="453" t="s">
        <v>196</v>
      </c>
      <c r="X130" s="455">
        <v>3600000000</v>
      </c>
      <c r="Y130" s="455">
        <v>3600000000</v>
      </c>
      <c r="Z130" s="460" t="s">
        <v>1816</v>
      </c>
      <c r="AA130" s="453"/>
      <c r="AB130" s="453"/>
      <c r="AC130" s="458"/>
      <c r="AD130" s="458"/>
      <c r="AE130" s="532"/>
      <c r="AF130" s="531"/>
      <c r="AG130" s="455"/>
      <c r="AH130" s="461"/>
      <c r="AI130" s="533"/>
    </row>
    <row r="131" spans="2:35" ht="15" customHeight="1">
      <c r="B131" s="366">
        <f t="shared" si="5"/>
        <v>121</v>
      </c>
      <c r="C131" s="289" t="s">
        <v>416</v>
      </c>
      <c r="D131" s="446" t="s">
        <v>270</v>
      </c>
      <c r="E131" s="451" t="s">
        <v>289</v>
      </c>
      <c r="F131" s="520" t="s">
        <v>735</v>
      </c>
      <c r="G131" s="535" t="s">
        <v>471</v>
      </c>
      <c r="H131" s="518" t="s">
        <v>2181</v>
      </c>
      <c r="I131" s="521">
        <v>1</v>
      </c>
      <c r="J131" s="522">
        <v>7</v>
      </c>
      <c r="K131" s="450" t="s">
        <v>186</v>
      </c>
      <c r="L131" s="450" t="s">
        <v>263</v>
      </c>
      <c r="M131" s="450" t="s">
        <v>1506</v>
      </c>
      <c r="N131" s="523" t="s">
        <v>1949</v>
      </c>
      <c r="O131" s="524" t="s">
        <v>176</v>
      </c>
      <c r="P131" s="525">
        <v>4894</v>
      </c>
      <c r="Q131" s="526"/>
      <c r="R131" s="527"/>
      <c r="S131" s="528">
        <v>1</v>
      </c>
      <c r="T131" s="529" t="s">
        <v>735</v>
      </c>
      <c r="U131" s="530">
        <v>1</v>
      </c>
      <c r="V131" s="531" t="s">
        <v>442</v>
      </c>
      <c r="W131" s="453" t="s">
        <v>196</v>
      </c>
      <c r="X131" s="455">
        <v>3600000000</v>
      </c>
      <c r="Y131" s="455">
        <v>3600000000</v>
      </c>
      <c r="Z131" s="460" t="s">
        <v>1816</v>
      </c>
      <c r="AA131" s="453"/>
      <c r="AB131" s="453"/>
      <c r="AC131" s="458"/>
      <c r="AD131" s="458"/>
      <c r="AE131" s="532"/>
      <c r="AF131" s="531"/>
      <c r="AG131" s="455"/>
      <c r="AH131" s="461"/>
      <c r="AI131" s="533"/>
    </row>
    <row r="132" spans="2:35" ht="15" customHeight="1">
      <c r="B132" s="366">
        <f t="shared" si="5"/>
        <v>122</v>
      </c>
      <c r="C132" s="289" t="s">
        <v>416</v>
      </c>
      <c r="D132" s="446" t="s">
        <v>270</v>
      </c>
      <c r="E132" s="451" t="s">
        <v>289</v>
      </c>
      <c r="F132" s="520" t="s">
        <v>735</v>
      </c>
      <c r="G132" s="535" t="s">
        <v>1682</v>
      </c>
      <c r="H132" s="518" t="s">
        <v>2182</v>
      </c>
      <c r="I132" s="521">
        <v>2</v>
      </c>
      <c r="J132" s="522">
        <v>1</v>
      </c>
      <c r="K132" s="450" t="s">
        <v>193</v>
      </c>
      <c r="L132" s="450" t="s">
        <v>1508</v>
      </c>
      <c r="M132" s="450" t="s">
        <v>1509</v>
      </c>
      <c r="N132" s="523" t="s">
        <v>1950</v>
      </c>
      <c r="O132" s="524" t="s">
        <v>177</v>
      </c>
      <c r="P132" s="525">
        <v>78078</v>
      </c>
      <c r="Q132" s="526"/>
      <c r="R132" s="527"/>
      <c r="S132" s="528">
        <v>1</v>
      </c>
      <c r="T132" s="529" t="s">
        <v>735</v>
      </c>
      <c r="U132" s="530">
        <v>1</v>
      </c>
      <c r="V132" s="531" t="s">
        <v>442</v>
      </c>
      <c r="W132" s="453" t="s">
        <v>196</v>
      </c>
      <c r="X132" s="455">
        <v>1560000000</v>
      </c>
      <c r="Y132" s="455">
        <v>1560000000</v>
      </c>
      <c r="Z132" s="460" t="s">
        <v>1816</v>
      </c>
      <c r="AA132" s="453"/>
      <c r="AB132" s="453"/>
      <c r="AC132" s="458"/>
      <c r="AD132" s="458"/>
      <c r="AE132" s="532"/>
      <c r="AF132" s="531"/>
      <c r="AG132" s="455"/>
      <c r="AH132" s="461"/>
      <c r="AI132" s="533"/>
    </row>
    <row r="133" spans="2:35" ht="15" customHeight="1">
      <c r="B133" s="366">
        <f t="shared" si="5"/>
        <v>123</v>
      </c>
      <c r="C133" s="289" t="s">
        <v>416</v>
      </c>
      <c r="D133" s="446" t="s">
        <v>270</v>
      </c>
      <c r="E133" s="451" t="s">
        <v>289</v>
      </c>
      <c r="F133" s="520" t="s">
        <v>735</v>
      </c>
      <c r="G133" s="535" t="s">
        <v>1682</v>
      </c>
      <c r="H133" s="518" t="s">
        <v>2183</v>
      </c>
      <c r="I133" s="521">
        <v>2</v>
      </c>
      <c r="J133" s="522">
        <v>2</v>
      </c>
      <c r="K133" s="450" t="s">
        <v>193</v>
      </c>
      <c r="L133" s="450" t="s">
        <v>1508</v>
      </c>
      <c r="M133" s="450" t="s">
        <v>1509</v>
      </c>
      <c r="N133" s="523" t="s">
        <v>1951</v>
      </c>
      <c r="O133" s="524" t="s">
        <v>179</v>
      </c>
      <c r="P133" s="525">
        <v>4078</v>
      </c>
      <c r="Q133" s="526"/>
      <c r="R133" s="527"/>
      <c r="S133" s="528">
        <v>1</v>
      </c>
      <c r="T133" s="529" t="s">
        <v>1952</v>
      </c>
      <c r="U133" s="530">
        <v>1</v>
      </c>
      <c r="V133" s="531" t="s">
        <v>442</v>
      </c>
      <c r="W133" s="453" t="s">
        <v>196</v>
      </c>
      <c r="X133" s="455">
        <v>1560000000</v>
      </c>
      <c r="Y133" s="455">
        <v>1560000000</v>
      </c>
      <c r="Z133" s="460" t="s">
        <v>1816</v>
      </c>
      <c r="AA133" s="453"/>
      <c r="AB133" s="453"/>
      <c r="AC133" s="458"/>
      <c r="AD133" s="458"/>
      <c r="AE133" s="532"/>
      <c r="AF133" s="531"/>
      <c r="AG133" s="455"/>
      <c r="AH133" s="461"/>
      <c r="AI133" s="533"/>
    </row>
    <row r="134" spans="2:35" ht="15" customHeight="1">
      <c r="B134" s="366">
        <f t="shared" si="5"/>
        <v>124</v>
      </c>
      <c r="C134" s="289" t="s">
        <v>416</v>
      </c>
      <c r="D134" s="446" t="s">
        <v>270</v>
      </c>
      <c r="E134" s="451" t="s">
        <v>736</v>
      </c>
      <c r="F134" s="520" t="s">
        <v>737</v>
      </c>
      <c r="G134" s="535" t="s">
        <v>1683</v>
      </c>
      <c r="H134" s="518" t="s">
        <v>2184</v>
      </c>
      <c r="I134" s="521">
        <v>1</v>
      </c>
      <c r="J134" s="522">
        <v>1</v>
      </c>
      <c r="K134" s="450" t="s">
        <v>244</v>
      </c>
      <c r="L134" s="450" t="s">
        <v>318</v>
      </c>
      <c r="M134" s="450" t="s">
        <v>1512</v>
      </c>
      <c r="N134" s="523" t="s">
        <v>1953</v>
      </c>
      <c r="O134" s="524" t="s">
        <v>213</v>
      </c>
      <c r="P134" s="525"/>
      <c r="Q134" s="526">
        <v>1382.7</v>
      </c>
      <c r="R134" s="527"/>
      <c r="S134" s="528">
        <v>1</v>
      </c>
      <c r="T134" s="529" t="s">
        <v>737</v>
      </c>
      <c r="U134" s="530">
        <v>1</v>
      </c>
      <c r="V134" s="531" t="s">
        <v>442</v>
      </c>
      <c r="W134" s="453" t="s">
        <v>196</v>
      </c>
      <c r="X134" s="455">
        <v>3600000000</v>
      </c>
      <c r="Y134" s="455">
        <v>3600000000</v>
      </c>
      <c r="Z134" s="460" t="s">
        <v>1816</v>
      </c>
      <c r="AA134" s="453"/>
      <c r="AB134" s="453"/>
      <c r="AC134" s="458"/>
      <c r="AD134" s="458"/>
      <c r="AE134" s="532"/>
      <c r="AF134" s="531"/>
      <c r="AG134" s="455"/>
      <c r="AH134" s="461"/>
      <c r="AI134" s="533"/>
    </row>
    <row r="135" spans="2:35" ht="15" customHeight="1">
      <c r="B135" s="366">
        <f t="shared" si="5"/>
        <v>125</v>
      </c>
      <c r="C135" s="289" t="s">
        <v>416</v>
      </c>
      <c r="D135" s="446" t="s">
        <v>270</v>
      </c>
      <c r="E135" s="451" t="s">
        <v>736</v>
      </c>
      <c r="F135" s="520" t="s">
        <v>737</v>
      </c>
      <c r="G135" s="535" t="s">
        <v>1683</v>
      </c>
      <c r="H135" s="518" t="s">
        <v>2185</v>
      </c>
      <c r="I135" s="521">
        <v>1</v>
      </c>
      <c r="J135" s="522">
        <v>2</v>
      </c>
      <c r="K135" s="450" t="s">
        <v>244</v>
      </c>
      <c r="L135" s="450" t="s">
        <v>318</v>
      </c>
      <c r="M135" s="450" t="s">
        <v>1512</v>
      </c>
      <c r="N135" s="523" t="s">
        <v>1954</v>
      </c>
      <c r="O135" s="524" t="s">
        <v>217</v>
      </c>
      <c r="P135" s="525"/>
      <c r="Q135" s="526">
        <v>474.78</v>
      </c>
      <c r="R135" s="527"/>
      <c r="S135" s="528">
        <v>1</v>
      </c>
      <c r="T135" s="529" t="s">
        <v>737</v>
      </c>
      <c r="U135" s="530">
        <v>1</v>
      </c>
      <c r="V135" s="531" t="s">
        <v>442</v>
      </c>
      <c r="W135" s="453" t="s">
        <v>196</v>
      </c>
      <c r="X135" s="455">
        <v>3600000000</v>
      </c>
      <c r="Y135" s="455">
        <v>3600000000</v>
      </c>
      <c r="Z135" s="460" t="s">
        <v>1816</v>
      </c>
      <c r="AA135" s="453"/>
      <c r="AB135" s="453"/>
      <c r="AC135" s="458"/>
      <c r="AD135" s="458"/>
      <c r="AE135" s="532"/>
      <c r="AF135" s="531"/>
      <c r="AG135" s="455"/>
      <c r="AH135" s="461"/>
      <c r="AI135" s="533"/>
    </row>
    <row r="136" spans="2:35" ht="15" customHeight="1">
      <c r="B136" s="366">
        <f t="shared" si="5"/>
        <v>126</v>
      </c>
      <c r="C136" s="289" t="s">
        <v>416</v>
      </c>
      <c r="D136" s="446" t="s">
        <v>270</v>
      </c>
      <c r="E136" s="451" t="s">
        <v>736</v>
      </c>
      <c r="F136" s="520" t="s">
        <v>737</v>
      </c>
      <c r="G136" s="535" t="s">
        <v>1683</v>
      </c>
      <c r="H136" s="518" t="s">
        <v>2186</v>
      </c>
      <c r="I136" s="521">
        <v>1</v>
      </c>
      <c r="J136" s="522">
        <v>3</v>
      </c>
      <c r="K136" s="450" t="s">
        <v>244</v>
      </c>
      <c r="L136" s="450" t="s">
        <v>318</v>
      </c>
      <c r="M136" s="450" t="s">
        <v>1512</v>
      </c>
      <c r="N136" s="523" t="s">
        <v>1955</v>
      </c>
      <c r="O136" s="524" t="s">
        <v>176</v>
      </c>
      <c r="P136" s="525">
        <v>3557.5</v>
      </c>
      <c r="Q136" s="526"/>
      <c r="R136" s="527"/>
      <c r="S136" s="528">
        <v>1</v>
      </c>
      <c r="T136" s="529" t="s">
        <v>737</v>
      </c>
      <c r="U136" s="530">
        <v>1</v>
      </c>
      <c r="V136" s="531" t="s">
        <v>442</v>
      </c>
      <c r="W136" s="453" t="s">
        <v>196</v>
      </c>
      <c r="X136" s="455">
        <v>3600000000</v>
      </c>
      <c r="Y136" s="455">
        <v>3600000000</v>
      </c>
      <c r="Z136" s="460" t="s">
        <v>1816</v>
      </c>
      <c r="AA136" s="453"/>
      <c r="AB136" s="453"/>
      <c r="AC136" s="458"/>
      <c r="AD136" s="458"/>
      <c r="AE136" s="532"/>
      <c r="AF136" s="531"/>
      <c r="AG136" s="455"/>
      <c r="AH136" s="461"/>
      <c r="AI136" s="533"/>
    </row>
    <row r="137" spans="2:35" ht="15" customHeight="1">
      <c r="B137" s="366">
        <f t="shared" si="5"/>
        <v>127</v>
      </c>
      <c r="C137" s="289" t="s">
        <v>416</v>
      </c>
      <c r="D137" s="446" t="s">
        <v>270</v>
      </c>
      <c r="E137" s="451" t="s">
        <v>293</v>
      </c>
      <c r="F137" s="520" t="s">
        <v>738</v>
      </c>
      <c r="G137" s="535" t="s">
        <v>472</v>
      </c>
      <c r="H137" s="518" t="s">
        <v>567</v>
      </c>
      <c r="I137" s="521">
        <v>1</v>
      </c>
      <c r="J137" s="522">
        <v>1</v>
      </c>
      <c r="K137" s="450" t="s">
        <v>186</v>
      </c>
      <c r="L137" s="450" t="s">
        <v>180</v>
      </c>
      <c r="M137" s="450" t="s">
        <v>1514</v>
      </c>
      <c r="N137" s="523" t="s">
        <v>1956</v>
      </c>
      <c r="O137" s="524" t="s">
        <v>373</v>
      </c>
      <c r="P137" s="525"/>
      <c r="Q137" s="526">
        <v>60</v>
      </c>
      <c r="R137" s="527"/>
      <c r="S137" s="528">
        <v>1</v>
      </c>
      <c r="T137" s="529" t="s">
        <v>738</v>
      </c>
      <c r="U137" s="530">
        <v>1</v>
      </c>
      <c r="V137" s="531" t="s">
        <v>442</v>
      </c>
      <c r="W137" s="453" t="s">
        <v>196</v>
      </c>
      <c r="X137" s="455">
        <v>3800000000</v>
      </c>
      <c r="Y137" s="455">
        <v>3800000000</v>
      </c>
      <c r="Z137" s="460" t="s">
        <v>1816</v>
      </c>
      <c r="AA137" s="453"/>
      <c r="AB137" s="453"/>
      <c r="AC137" s="458"/>
      <c r="AD137" s="458"/>
      <c r="AE137" s="532"/>
      <c r="AF137" s="531"/>
      <c r="AG137" s="455"/>
      <c r="AH137" s="461"/>
      <c r="AI137" s="533"/>
    </row>
    <row r="138" spans="2:35" ht="15" customHeight="1">
      <c r="B138" s="366">
        <f t="shared" ref="B138:B158" si="6">ROW()-10</f>
        <v>128</v>
      </c>
      <c r="C138" s="289" t="s">
        <v>416</v>
      </c>
      <c r="D138" s="446" t="s">
        <v>270</v>
      </c>
      <c r="E138" s="451" t="s">
        <v>293</v>
      </c>
      <c r="F138" s="520" t="s">
        <v>738</v>
      </c>
      <c r="G138" s="535" t="s">
        <v>472</v>
      </c>
      <c r="H138" s="518" t="s">
        <v>568</v>
      </c>
      <c r="I138" s="521">
        <v>1</v>
      </c>
      <c r="J138" s="522">
        <v>2</v>
      </c>
      <c r="K138" s="450" t="s">
        <v>186</v>
      </c>
      <c r="L138" s="450" t="s">
        <v>180</v>
      </c>
      <c r="M138" s="450" t="s">
        <v>1514</v>
      </c>
      <c r="N138" s="523" t="s">
        <v>1957</v>
      </c>
      <c r="O138" s="524" t="s">
        <v>373</v>
      </c>
      <c r="P138" s="525"/>
      <c r="Q138" s="526">
        <v>108</v>
      </c>
      <c r="R138" s="527"/>
      <c r="S138" s="528">
        <v>1</v>
      </c>
      <c r="T138" s="529" t="s">
        <v>738</v>
      </c>
      <c r="U138" s="530">
        <v>1</v>
      </c>
      <c r="V138" s="531" t="s">
        <v>442</v>
      </c>
      <c r="W138" s="453" t="s">
        <v>196</v>
      </c>
      <c r="X138" s="455">
        <v>3800000000</v>
      </c>
      <c r="Y138" s="455">
        <v>3800000000</v>
      </c>
      <c r="Z138" s="460" t="s">
        <v>1816</v>
      </c>
      <c r="AA138" s="453"/>
      <c r="AB138" s="453"/>
      <c r="AC138" s="458"/>
      <c r="AD138" s="458"/>
      <c r="AE138" s="532"/>
      <c r="AF138" s="531"/>
      <c r="AG138" s="455"/>
      <c r="AH138" s="461"/>
      <c r="AI138" s="533"/>
    </row>
    <row r="139" spans="2:35" ht="15" customHeight="1">
      <c r="B139" s="366">
        <f t="shared" si="6"/>
        <v>129</v>
      </c>
      <c r="C139" s="289" t="s">
        <v>416</v>
      </c>
      <c r="D139" s="446" t="s">
        <v>270</v>
      </c>
      <c r="E139" s="451" t="s">
        <v>293</v>
      </c>
      <c r="F139" s="520" t="s">
        <v>738</v>
      </c>
      <c r="G139" s="535" t="s">
        <v>472</v>
      </c>
      <c r="H139" s="518" t="s">
        <v>569</v>
      </c>
      <c r="I139" s="521">
        <v>1</v>
      </c>
      <c r="J139" s="522">
        <v>3</v>
      </c>
      <c r="K139" s="450" t="s">
        <v>186</v>
      </c>
      <c r="L139" s="450" t="s">
        <v>180</v>
      </c>
      <c r="M139" s="450" t="s">
        <v>1514</v>
      </c>
      <c r="N139" s="523" t="s">
        <v>1958</v>
      </c>
      <c r="O139" s="524" t="s">
        <v>225</v>
      </c>
      <c r="P139" s="525">
        <v>1367</v>
      </c>
      <c r="Q139" s="526"/>
      <c r="R139" s="527"/>
      <c r="S139" s="528">
        <v>1</v>
      </c>
      <c r="T139" s="529" t="s">
        <v>738</v>
      </c>
      <c r="U139" s="530">
        <v>1</v>
      </c>
      <c r="V139" s="531" t="s">
        <v>442</v>
      </c>
      <c r="W139" s="453" t="s">
        <v>196</v>
      </c>
      <c r="X139" s="455">
        <v>3800000000</v>
      </c>
      <c r="Y139" s="455">
        <v>3800000000</v>
      </c>
      <c r="Z139" s="460" t="s">
        <v>1816</v>
      </c>
      <c r="AA139" s="453"/>
      <c r="AB139" s="453"/>
      <c r="AC139" s="458"/>
      <c r="AD139" s="458"/>
      <c r="AE139" s="532"/>
      <c r="AF139" s="531"/>
      <c r="AG139" s="455"/>
      <c r="AH139" s="461"/>
      <c r="AI139" s="533"/>
    </row>
    <row r="140" spans="2:35" ht="15" customHeight="1">
      <c r="B140" s="366">
        <f t="shared" si="6"/>
        <v>130</v>
      </c>
      <c r="C140" s="289" t="s">
        <v>416</v>
      </c>
      <c r="D140" s="446" t="s">
        <v>270</v>
      </c>
      <c r="E140" s="451" t="s">
        <v>293</v>
      </c>
      <c r="F140" s="520" t="s">
        <v>738</v>
      </c>
      <c r="G140" s="535" t="s">
        <v>472</v>
      </c>
      <c r="H140" s="518" t="s">
        <v>570</v>
      </c>
      <c r="I140" s="521">
        <v>1</v>
      </c>
      <c r="J140" s="522">
        <v>4</v>
      </c>
      <c r="K140" s="450" t="s">
        <v>186</v>
      </c>
      <c r="L140" s="450" t="s">
        <v>180</v>
      </c>
      <c r="M140" s="450" t="s">
        <v>1514</v>
      </c>
      <c r="N140" s="523" t="s">
        <v>1959</v>
      </c>
      <c r="O140" s="524" t="s">
        <v>177</v>
      </c>
      <c r="P140" s="525">
        <v>576</v>
      </c>
      <c r="Q140" s="526"/>
      <c r="R140" s="527"/>
      <c r="S140" s="528">
        <v>1</v>
      </c>
      <c r="T140" s="529" t="s">
        <v>738</v>
      </c>
      <c r="U140" s="530">
        <v>1</v>
      </c>
      <c r="V140" s="531" t="s">
        <v>442</v>
      </c>
      <c r="W140" s="453" t="s">
        <v>196</v>
      </c>
      <c r="X140" s="455">
        <v>3800000000</v>
      </c>
      <c r="Y140" s="455">
        <v>3800000000</v>
      </c>
      <c r="Z140" s="460" t="s">
        <v>1816</v>
      </c>
      <c r="AA140" s="453"/>
      <c r="AB140" s="453"/>
      <c r="AC140" s="458"/>
      <c r="AD140" s="458"/>
      <c r="AE140" s="532"/>
      <c r="AF140" s="531"/>
      <c r="AG140" s="455"/>
      <c r="AH140" s="461"/>
      <c r="AI140" s="533"/>
    </row>
    <row r="141" spans="2:35" ht="15" customHeight="1">
      <c r="B141" s="366">
        <f t="shared" si="6"/>
        <v>131</v>
      </c>
      <c r="C141" s="289" t="s">
        <v>416</v>
      </c>
      <c r="D141" s="446" t="s">
        <v>270</v>
      </c>
      <c r="E141" s="451" t="s">
        <v>293</v>
      </c>
      <c r="F141" s="520" t="s">
        <v>738</v>
      </c>
      <c r="G141" s="535" t="s">
        <v>472</v>
      </c>
      <c r="H141" s="518" t="s">
        <v>571</v>
      </c>
      <c r="I141" s="521">
        <v>1</v>
      </c>
      <c r="J141" s="522">
        <v>5</v>
      </c>
      <c r="K141" s="450" t="s">
        <v>186</v>
      </c>
      <c r="L141" s="450" t="s">
        <v>180</v>
      </c>
      <c r="M141" s="450" t="s">
        <v>1514</v>
      </c>
      <c r="N141" s="523" t="s">
        <v>1960</v>
      </c>
      <c r="O141" s="524" t="s">
        <v>214</v>
      </c>
      <c r="P141" s="525">
        <v>232</v>
      </c>
      <c r="Q141" s="526"/>
      <c r="R141" s="527"/>
      <c r="S141" s="528">
        <v>1</v>
      </c>
      <c r="T141" s="529" t="s">
        <v>738</v>
      </c>
      <c r="U141" s="530">
        <v>1</v>
      </c>
      <c r="V141" s="531" t="s">
        <v>442</v>
      </c>
      <c r="W141" s="453" t="s">
        <v>196</v>
      </c>
      <c r="X141" s="455">
        <v>3800000000</v>
      </c>
      <c r="Y141" s="455">
        <v>3800000000</v>
      </c>
      <c r="Z141" s="460" t="s">
        <v>1816</v>
      </c>
      <c r="AA141" s="453"/>
      <c r="AB141" s="453"/>
      <c r="AC141" s="458"/>
      <c r="AD141" s="458"/>
      <c r="AE141" s="532"/>
      <c r="AF141" s="531"/>
      <c r="AG141" s="455"/>
      <c r="AH141" s="461"/>
      <c r="AI141" s="533"/>
    </row>
    <row r="142" spans="2:35" ht="15" customHeight="1">
      <c r="B142" s="366">
        <f t="shared" si="6"/>
        <v>132</v>
      </c>
      <c r="C142" s="289" t="s">
        <v>416</v>
      </c>
      <c r="D142" s="446" t="s">
        <v>270</v>
      </c>
      <c r="E142" s="451" t="s">
        <v>293</v>
      </c>
      <c r="F142" s="520" t="s">
        <v>738</v>
      </c>
      <c r="G142" s="535" t="s">
        <v>472</v>
      </c>
      <c r="H142" s="518" t="s">
        <v>572</v>
      </c>
      <c r="I142" s="521">
        <v>1</v>
      </c>
      <c r="J142" s="522">
        <v>6</v>
      </c>
      <c r="K142" s="450" t="s">
        <v>186</v>
      </c>
      <c r="L142" s="450" t="s">
        <v>180</v>
      </c>
      <c r="M142" s="450" t="s">
        <v>1514</v>
      </c>
      <c r="N142" s="523" t="s">
        <v>1961</v>
      </c>
      <c r="O142" s="524" t="s">
        <v>225</v>
      </c>
      <c r="P142" s="525">
        <v>270</v>
      </c>
      <c r="Q142" s="526"/>
      <c r="R142" s="527"/>
      <c r="S142" s="528">
        <v>1</v>
      </c>
      <c r="T142" s="529" t="s">
        <v>738</v>
      </c>
      <c r="U142" s="530">
        <v>1</v>
      </c>
      <c r="V142" s="531" t="s">
        <v>442</v>
      </c>
      <c r="W142" s="453" t="s">
        <v>196</v>
      </c>
      <c r="X142" s="455">
        <v>3800000000</v>
      </c>
      <c r="Y142" s="455">
        <v>3800000000</v>
      </c>
      <c r="Z142" s="460" t="s">
        <v>1816</v>
      </c>
      <c r="AA142" s="453"/>
      <c r="AB142" s="453"/>
      <c r="AC142" s="458"/>
      <c r="AD142" s="458"/>
      <c r="AE142" s="532"/>
      <c r="AF142" s="531"/>
      <c r="AG142" s="455"/>
      <c r="AH142" s="461"/>
      <c r="AI142" s="533"/>
    </row>
    <row r="143" spans="2:35" ht="15" customHeight="1">
      <c r="B143" s="366">
        <f t="shared" si="6"/>
        <v>133</v>
      </c>
      <c r="C143" s="289" t="s">
        <v>416</v>
      </c>
      <c r="D143" s="446" t="s">
        <v>270</v>
      </c>
      <c r="E143" s="451" t="s">
        <v>293</v>
      </c>
      <c r="F143" s="520" t="s">
        <v>738</v>
      </c>
      <c r="G143" s="535" t="s">
        <v>472</v>
      </c>
      <c r="H143" s="518" t="s">
        <v>573</v>
      </c>
      <c r="I143" s="521">
        <v>1</v>
      </c>
      <c r="J143" s="522">
        <v>7</v>
      </c>
      <c r="K143" s="450" t="s">
        <v>186</v>
      </c>
      <c r="L143" s="450" t="s">
        <v>180</v>
      </c>
      <c r="M143" s="450" t="s">
        <v>1514</v>
      </c>
      <c r="N143" s="523" t="s">
        <v>1962</v>
      </c>
      <c r="O143" s="524" t="s">
        <v>225</v>
      </c>
      <c r="P143" s="525">
        <v>1390</v>
      </c>
      <c r="Q143" s="526"/>
      <c r="R143" s="527"/>
      <c r="S143" s="528">
        <v>1</v>
      </c>
      <c r="T143" s="529" t="s">
        <v>738</v>
      </c>
      <c r="U143" s="530">
        <v>1</v>
      </c>
      <c r="V143" s="531" t="s">
        <v>442</v>
      </c>
      <c r="W143" s="453" t="s">
        <v>196</v>
      </c>
      <c r="X143" s="455">
        <v>3800000000</v>
      </c>
      <c r="Y143" s="455">
        <v>3800000000</v>
      </c>
      <c r="Z143" s="460" t="s">
        <v>1816</v>
      </c>
      <c r="AA143" s="453"/>
      <c r="AB143" s="453"/>
      <c r="AC143" s="458"/>
      <c r="AD143" s="458"/>
      <c r="AE143" s="532"/>
      <c r="AF143" s="531"/>
      <c r="AG143" s="455"/>
      <c r="AH143" s="461"/>
      <c r="AI143" s="533"/>
    </row>
    <row r="144" spans="2:35" ht="15" customHeight="1">
      <c r="B144" s="366">
        <f t="shared" si="6"/>
        <v>134</v>
      </c>
      <c r="C144" s="289" t="s">
        <v>416</v>
      </c>
      <c r="D144" s="446" t="s">
        <v>270</v>
      </c>
      <c r="E144" s="451" t="s">
        <v>293</v>
      </c>
      <c r="F144" s="520" t="s">
        <v>738</v>
      </c>
      <c r="G144" s="535" t="s">
        <v>472</v>
      </c>
      <c r="H144" s="518" t="s">
        <v>574</v>
      </c>
      <c r="I144" s="521">
        <v>1</v>
      </c>
      <c r="J144" s="522">
        <v>8</v>
      </c>
      <c r="K144" s="450" t="s">
        <v>186</v>
      </c>
      <c r="L144" s="450" t="s">
        <v>180</v>
      </c>
      <c r="M144" s="450" t="s">
        <v>1514</v>
      </c>
      <c r="N144" s="523" t="s">
        <v>1963</v>
      </c>
      <c r="O144" s="524" t="s">
        <v>177</v>
      </c>
      <c r="P144" s="525">
        <v>95</v>
      </c>
      <c r="Q144" s="526"/>
      <c r="R144" s="527"/>
      <c r="S144" s="528">
        <v>1</v>
      </c>
      <c r="T144" s="529" t="s">
        <v>738</v>
      </c>
      <c r="U144" s="530">
        <v>1</v>
      </c>
      <c r="V144" s="531" t="s">
        <v>442</v>
      </c>
      <c r="W144" s="453" t="s">
        <v>196</v>
      </c>
      <c r="X144" s="455">
        <v>3800000000</v>
      </c>
      <c r="Y144" s="455">
        <v>3800000000</v>
      </c>
      <c r="Z144" s="460" t="s">
        <v>1816</v>
      </c>
      <c r="AA144" s="453"/>
      <c r="AB144" s="453"/>
      <c r="AC144" s="458"/>
      <c r="AD144" s="458"/>
      <c r="AE144" s="532"/>
      <c r="AF144" s="531"/>
      <c r="AG144" s="455"/>
      <c r="AH144" s="461"/>
      <c r="AI144" s="533"/>
    </row>
    <row r="145" spans="2:35" ht="15" customHeight="1">
      <c r="B145" s="366">
        <f t="shared" si="6"/>
        <v>135</v>
      </c>
      <c r="C145" s="289" t="s">
        <v>416</v>
      </c>
      <c r="D145" s="446" t="s">
        <v>270</v>
      </c>
      <c r="E145" s="451" t="s">
        <v>293</v>
      </c>
      <c r="F145" s="520" t="s">
        <v>738</v>
      </c>
      <c r="G145" s="535" t="s">
        <v>472</v>
      </c>
      <c r="H145" s="518" t="s">
        <v>575</v>
      </c>
      <c r="I145" s="521">
        <v>1</v>
      </c>
      <c r="J145" s="522">
        <v>9</v>
      </c>
      <c r="K145" s="450" t="s">
        <v>186</v>
      </c>
      <c r="L145" s="450" t="s">
        <v>180</v>
      </c>
      <c r="M145" s="450" t="s">
        <v>1514</v>
      </c>
      <c r="N145" s="523" t="s">
        <v>1964</v>
      </c>
      <c r="O145" s="524" t="s">
        <v>177</v>
      </c>
      <c r="P145" s="525">
        <v>19</v>
      </c>
      <c r="Q145" s="526"/>
      <c r="R145" s="527"/>
      <c r="S145" s="528">
        <v>1</v>
      </c>
      <c r="T145" s="529" t="s">
        <v>738</v>
      </c>
      <c r="U145" s="530">
        <v>1</v>
      </c>
      <c r="V145" s="531" t="s">
        <v>442</v>
      </c>
      <c r="W145" s="453" t="s">
        <v>196</v>
      </c>
      <c r="X145" s="455">
        <v>3800000000</v>
      </c>
      <c r="Y145" s="455">
        <v>3800000000</v>
      </c>
      <c r="Z145" s="460" t="s">
        <v>1816</v>
      </c>
      <c r="AA145" s="453"/>
      <c r="AB145" s="453"/>
      <c r="AC145" s="458"/>
      <c r="AD145" s="458"/>
      <c r="AE145" s="532"/>
      <c r="AF145" s="531"/>
      <c r="AG145" s="455"/>
      <c r="AH145" s="461"/>
      <c r="AI145" s="533"/>
    </row>
    <row r="146" spans="2:35" ht="15" customHeight="1">
      <c r="B146" s="366">
        <f t="shared" si="6"/>
        <v>136</v>
      </c>
      <c r="C146" s="289" t="s">
        <v>416</v>
      </c>
      <c r="D146" s="446" t="s">
        <v>270</v>
      </c>
      <c r="E146" s="451" t="s">
        <v>293</v>
      </c>
      <c r="F146" s="520" t="s">
        <v>738</v>
      </c>
      <c r="G146" s="535" t="s">
        <v>472</v>
      </c>
      <c r="H146" s="518" t="s">
        <v>689</v>
      </c>
      <c r="I146" s="521">
        <v>1</v>
      </c>
      <c r="J146" s="522">
        <v>10</v>
      </c>
      <c r="K146" s="450" t="s">
        <v>186</v>
      </c>
      <c r="L146" s="450" t="s">
        <v>180</v>
      </c>
      <c r="M146" s="450" t="s">
        <v>1514</v>
      </c>
      <c r="N146" s="523" t="s">
        <v>1965</v>
      </c>
      <c r="O146" s="524" t="s">
        <v>177</v>
      </c>
      <c r="P146" s="525">
        <v>889</v>
      </c>
      <c r="Q146" s="526"/>
      <c r="R146" s="527"/>
      <c r="S146" s="528">
        <v>1</v>
      </c>
      <c r="T146" s="529" t="s">
        <v>738</v>
      </c>
      <c r="U146" s="530">
        <v>1</v>
      </c>
      <c r="V146" s="531" t="s">
        <v>442</v>
      </c>
      <c r="W146" s="453" t="s">
        <v>196</v>
      </c>
      <c r="X146" s="455">
        <v>3800000000</v>
      </c>
      <c r="Y146" s="455">
        <v>3800000000</v>
      </c>
      <c r="Z146" s="460" t="s">
        <v>1816</v>
      </c>
      <c r="AA146" s="453"/>
      <c r="AB146" s="453"/>
      <c r="AC146" s="458"/>
      <c r="AD146" s="458"/>
      <c r="AE146" s="532"/>
      <c r="AF146" s="531"/>
      <c r="AG146" s="455"/>
      <c r="AH146" s="461"/>
      <c r="AI146" s="533"/>
    </row>
    <row r="147" spans="2:35" ht="15" customHeight="1">
      <c r="B147" s="366">
        <f t="shared" si="6"/>
        <v>137</v>
      </c>
      <c r="C147" s="289" t="s">
        <v>416</v>
      </c>
      <c r="D147" s="446" t="s">
        <v>270</v>
      </c>
      <c r="E147" s="451" t="s">
        <v>293</v>
      </c>
      <c r="F147" s="520" t="s">
        <v>738</v>
      </c>
      <c r="G147" s="535" t="s">
        <v>472</v>
      </c>
      <c r="H147" s="518" t="s">
        <v>690</v>
      </c>
      <c r="I147" s="521">
        <v>1</v>
      </c>
      <c r="J147" s="522">
        <v>11</v>
      </c>
      <c r="K147" s="450" t="s">
        <v>186</v>
      </c>
      <c r="L147" s="450" t="s">
        <v>180</v>
      </c>
      <c r="M147" s="450" t="s">
        <v>1514</v>
      </c>
      <c r="N147" s="523" t="s">
        <v>1966</v>
      </c>
      <c r="O147" s="524" t="s">
        <v>177</v>
      </c>
      <c r="P147" s="525">
        <v>3</v>
      </c>
      <c r="Q147" s="526"/>
      <c r="R147" s="527"/>
      <c r="S147" s="528">
        <v>1</v>
      </c>
      <c r="T147" s="529" t="s">
        <v>738</v>
      </c>
      <c r="U147" s="530">
        <v>1</v>
      </c>
      <c r="V147" s="531" t="s">
        <v>442</v>
      </c>
      <c r="W147" s="453" t="s">
        <v>196</v>
      </c>
      <c r="X147" s="455">
        <v>3800000000</v>
      </c>
      <c r="Y147" s="455">
        <v>3800000000</v>
      </c>
      <c r="Z147" s="460" t="s">
        <v>1816</v>
      </c>
      <c r="AA147" s="453"/>
      <c r="AB147" s="453"/>
      <c r="AC147" s="458"/>
      <c r="AD147" s="458"/>
      <c r="AE147" s="532"/>
      <c r="AF147" s="531"/>
      <c r="AG147" s="455"/>
      <c r="AH147" s="461"/>
      <c r="AI147" s="533"/>
    </row>
    <row r="148" spans="2:35" ht="15" customHeight="1">
      <c r="B148" s="366">
        <f t="shared" si="6"/>
        <v>138</v>
      </c>
      <c r="C148" s="289" t="s">
        <v>416</v>
      </c>
      <c r="D148" s="446" t="s">
        <v>270</v>
      </c>
      <c r="E148" s="451" t="s">
        <v>293</v>
      </c>
      <c r="F148" s="520" t="s">
        <v>738</v>
      </c>
      <c r="G148" s="535" t="s">
        <v>472</v>
      </c>
      <c r="H148" s="518" t="s">
        <v>691</v>
      </c>
      <c r="I148" s="521">
        <v>1</v>
      </c>
      <c r="J148" s="522">
        <v>12</v>
      </c>
      <c r="K148" s="450" t="s">
        <v>186</v>
      </c>
      <c r="L148" s="450" t="s">
        <v>180</v>
      </c>
      <c r="M148" s="450" t="s">
        <v>1514</v>
      </c>
      <c r="N148" s="523" t="s">
        <v>1967</v>
      </c>
      <c r="O148" s="524" t="s">
        <v>177</v>
      </c>
      <c r="P148" s="525">
        <v>1196</v>
      </c>
      <c r="Q148" s="526"/>
      <c r="R148" s="527"/>
      <c r="S148" s="528">
        <v>1</v>
      </c>
      <c r="T148" s="529" t="s">
        <v>738</v>
      </c>
      <c r="U148" s="530">
        <v>1</v>
      </c>
      <c r="V148" s="531" t="s">
        <v>442</v>
      </c>
      <c r="W148" s="453" t="s">
        <v>196</v>
      </c>
      <c r="X148" s="455">
        <v>3800000000</v>
      </c>
      <c r="Y148" s="455">
        <v>3800000000</v>
      </c>
      <c r="Z148" s="460" t="s">
        <v>1816</v>
      </c>
      <c r="AA148" s="453"/>
      <c r="AB148" s="453"/>
      <c r="AC148" s="458"/>
      <c r="AD148" s="458"/>
      <c r="AE148" s="532"/>
      <c r="AF148" s="531"/>
      <c r="AG148" s="455"/>
      <c r="AH148" s="461"/>
      <c r="AI148" s="533"/>
    </row>
    <row r="149" spans="2:35" ht="15" customHeight="1">
      <c r="B149" s="366">
        <f t="shared" si="6"/>
        <v>139</v>
      </c>
      <c r="C149" s="289" t="s">
        <v>416</v>
      </c>
      <c r="D149" s="446" t="s">
        <v>270</v>
      </c>
      <c r="E149" s="451" t="s">
        <v>293</v>
      </c>
      <c r="F149" s="520" t="s">
        <v>738</v>
      </c>
      <c r="G149" s="535" t="s">
        <v>1684</v>
      </c>
      <c r="H149" s="518" t="s">
        <v>2187</v>
      </c>
      <c r="I149" s="521">
        <v>2</v>
      </c>
      <c r="J149" s="522">
        <v>1</v>
      </c>
      <c r="K149" s="450" t="s">
        <v>244</v>
      </c>
      <c r="L149" s="450" t="s">
        <v>315</v>
      </c>
      <c r="M149" s="450" t="s">
        <v>1516</v>
      </c>
      <c r="N149" s="523" t="s">
        <v>1968</v>
      </c>
      <c r="O149" s="524" t="s">
        <v>215</v>
      </c>
      <c r="P149" s="525">
        <v>338</v>
      </c>
      <c r="Q149" s="526"/>
      <c r="R149" s="527"/>
      <c r="S149" s="528">
        <v>1</v>
      </c>
      <c r="T149" s="529" t="s">
        <v>738</v>
      </c>
      <c r="U149" s="530">
        <v>1</v>
      </c>
      <c r="V149" s="531" t="s">
        <v>442</v>
      </c>
      <c r="W149" s="453" t="s">
        <v>196</v>
      </c>
      <c r="X149" s="455">
        <v>120000000</v>
      </c>
      <c r="Y149" s="455">
        <v>120000000</v>
      </c>
      <c r="Z149" s="460" t="s">
        <v>1816</v>
      </c>
      <c r="AA149" s="453"/>
      <c r="AB149" s="453"/>
      <c r="AC149" s="458"/>
      <c r="AD149" s="458"/>
      <c r="AE149" s="532"/>
      <c r="AF149" s="531"/>
      <c r="AG149" s="455"/>
      <c r="AH149" s="461"/>
      <c r="AI149" s="533"/>
    </row>
    <row r="150" spans="2:35" ht="15" customHeight="1">
      <c r="B150" s="366">
        <f t="shared" si="6"/>
        <v>140</v>
      </c>
      <c r="C150" s="289" t="s">
        <v>416</v>
      </c>
      <c r="D150" s="446" t="s">
        <v>270</v>
      </c>
      <c r="E150" s="451" t="s">
        <v>292</v>
      </c>
      <c r="F150" s="520" t="s">
        <v>739</v>
      </c>
      <c r="G150" s="535" t="s">
        <v>473</v>
      </c>
      <c r="H150" s="518" t="s">
        <v>576</v>
      </c>
      <c r="I150" s="521">
        <v>1</v>
      </c>
      <c r="J150" s="522">
        <v>1</v>
      </c>
      <c r="K150" s="450" t="s">
        <v>272</v>
      </c>
      <c r="L150" s="450" t="s">
        <v>273</v>
      </c>
      <c r="M150" s="450" t="s">
        <v>1518</v>
      </c>
      <c r="N150" s="523" t="s">
        <v>1969</v>
      </c>
      <c r="O150" s="524" t="s">
        <v>218</v>
      </c>
      <c r="P150" s="525"/>
      <c r="Q150" s="526">
        <v>917.7</v>
      </c>
      <c r="R150" s="527"/>
      <c r="S150" s="528">
        <v>1</v>
      </c>
      <c r="T150" s="529" t="s">
        <v>739</v>
      </c>
      <c r="U150" s="530" t="s">
        <v>277</v>
      </c>
      <c r="V150" s="531" t="s">
        <v>445</v>
      </c>
      <c r="W150" s="453" t="s">
        <v>196</v>
      </c>
      <c r="X150" s="455">
        <v>2620000000</v>
      </c>
      <c r="Y150" s="455">
        <v>2620000000</v>
      </c>
      <c r="Z150" s="460" t="s">
        <v>1816</v>
      </c>
      <c r="AA150" s="453"/>
      <c r="AB150" s="453"/>
      <c r="AC150" s="458"/>
      <c r="AD150" s="458"/>
      <c r="AE150" s="532"/>
      <c r="AF150" s="531"/>
      <c r="AG150" s="455"/>
      <c r="AH150" s="461"/>
      <c r="AI150" s="533"/>
    </row>
    <row r="151" spans="2:35" ht="15" customHeight="1">
      <c r="B151" s="366">
        <f t="shared" si="6"/>
        <v>141</v>
      </c>
      <c r="C151" s="289" t="s">
        <v>416</v>
      </c>
      <c r="D151" s="446" t="s">
        <v>270</v>
      </c>
      <c r="E151" s="451" t="s">
        <v>292</v>
      </c>
      <c r="F151" s="520" t="s">
        <v>739</v>
      </c>
      <c r="G151" s="535" t="s">
        <v>473</v>
      </c>
      <c r="H151" s="518" t="s">
        <v>2188</v>
      </c>
      <c r="I151" s="521">
        <v>1</v>
      </c>
      <c r="J151" s="522">
        <v>2</v>
      </c>
      <c r="K151" s="450" t="s">
        <v>272</v>
      </c>
      <c r="L151" s="450" t="s">
        <v>273</v>
      </c>
      <c r="M151" s="450" t="s">
        <v>1518</v>
      </c>
      <c r="N151" s="523" t="s">
        <v>1970</v>
      </c>
      <c r="O151" s="524" t="s">
        <v>213</v>
      </c>
      <c r="P151" s="525"/>
      <c r="Q151" s="526">
        <v>372.56</v>
      </c>
      <c r="R151" s="527"/>
      <c r="S151" s="528">
        <v>1</v>
      </c>
      <c r="T151" s="529" t="s">
        <v>739</v>
      </c>
      <c r="U151" s="530" t="s">
        <v>277</v>
      </c>
      <c r="V151" s="531" t="s">
        <v>445</v>
      </c>
      <c r="W151" s="453" t="s">
        <v>196</v>
      </c>
      <c r="X151" s="455">
        <v>2620000000</v>
      </c>
      <c r="Y151" s="455">
        <v>2620000000</v>
      </c>
      <c r="Z151" s="460" t="s">
        <v>1816</v>
      </c>
      <c r="AA151" s="453"/>
      <c r="AB151" s="453"/>
      <c r="AC151" s="458"/>
      <c r="AD151" s="458"/>
      <c r="AE151" s="532"/>
      <c r="AF151" s="531"/>
      <c r="AG151" s="455"/>
      <c r="AH151" s="461"/>
      <c r="AI151" s="533"/>
    </row>
    <row r="152" spans="2:35" ht="15" customHeight="1">
      <c r="B152" s="366">
        <f t="shared" si="6"/>
        <v>142</v>
      </c>
      <c r="C152" s="289" t="s">
        <v>416</v>
      </c>
      <c r="D152" s="446" t="s">
        <v>270</v>
      </c>
      <c r="E152" s="451" t="s">
        <v>292</v>
      </c>
      <c r="F152" s="520" t="s">
        <v>739</v>
      </c>
      <c r="G152" s="535" t="s">
        <v>473</v>
      </c>
      <c r="H152" s="518" t="s">
        <v>2189</v>
      </c>
      <c r="I152" s="521">
        <v>1</v>
      </c>
      <c r="J152" s="522">
        <v>3</v>
      </c>
      <c r="K152" s="450" t="s">
        <v>272</v>
      </c>
      <c r="L152" s="450" t="s">
        <v>273</v>
      </c>
      <c r="M152" s="450" t="s">
        <v>1518</v>
      </c>
      <c r="N152" s="523" t="s">
        <v>1971</v>
      </c>
      <c r="O152" s="524" t="s">
        <v>176</v>
      </c>
      <c r="P152" s="525">
        <v>1660</v>
      </c>
      <c r="Q152" s="526"/>
      <c r="R152" s="527"/>
      <c r="S152" s="528">
        <v>1</v>
      </c>
      <c r="T152" s="529" t="s">
        <v>739</v>
      </c>
      <c r="U152" s="530" t="s">
        <v>277</v>
      </c>
      <c r="V152" s="531" t="s">
        <v>445</v>
      </c>
      <c r="W152" s="453" t="s">
        <v>196</v>
      </c>
      <c r="X152" s="455">
        <v>2620000000</v>
      </c>
      <c r="Y152" s="455">
        <v>2620000000</v>
      </c>
      <c r="Z152" s="460" t="s">
        <v>1816</v>
      </c>
      <c r="AA152" s="453"/>
      <c r="AB152" s="453"/>
      <c r="AC152" s="458"/>
      <c r="AD152" s="458"/>
      <c r="AE152" s="532"/>
      <c r="AF152" s="531"/>
      <c r="AG152" s="455"/>
      <c r="AH152" s="461"/>
      <c r="AI152" s="533"/>
    </row>
    <row r="153" spans="2:35" ht="15" customHeight="1">
      <c r="B153" s="366">
        <f t="shared" si="6"/>
        <v>143</v>
      </c>
      <c r="C153" s="289" t="s">
        <v>416</v>
      </c>
      <c r="D153" s="446" t="s">
        <v>270</v>
      </c>
      <c r="E153" s="451" t="s">
        <v>633</v>
      </c>
      <c r="F153" s="520" t="s">
        <v>740</v>
      </c>
      <c r="G153" s="535" t="s">
        <v>651</v>
      </c>
      <c r="H153" s="518" t="s">
        <v>692</v>
      </c>
      <c r="I153" s="521">
        <v>1</v>
      </c>
      <c r="J153" s="522">
        <v>1</v>
      </c>
      <c r="K153" s="450" t="s">
        <v>191</v>
      </c>
      <c r="L153" s="450" t="s">
        <v>1520</v>
      </c>
      <c r="M153" s="450" t="s">
        <v>1521</v>
      </c>
      <c r="N153" s="523" t="s">
        <v>1973</v>
      </c>
      <c r="O153" s="524" t="s">
        <v>213</v>
      </c>
      <c r="P153" s="525"/>
      <c r="Q153" s="526">
        <v>1211.32</v>
      </c>
      <c r="R153" s="527"/>
      <c r="S153" s="528">
        <v>1</v>
      </c>
      <c r="T153" s="529" t="s">
        <v>740</v>
      </c>
      <c r="U153" s="530" t="s">
        <v>258</v>
      </c>
      <c r="V153" s="531" t="s">
        <v>446</v>
      </c>
      <c r="W153" s="453" t="s">
        <v>196</v>
      </c>
      <c r="X153" s="455">
        <v>2604000000</v>
      </c>
      <c r="Y153" s="455">
        <v>2604000000</v>
      </c>
      <c r="Z153" s="460" t="s">
        <v>1816</v>
      </c>
      <c r="AA153" s="453"/>
      <c r="AB153" s="453"/>
      <c r="AC153" s="458"/>
      <c r="AD153" s="458"/>
      <c r="AE153" s="532"/>
      <c r="AF153" s="531"/>
      <c r="AG153" s="455"/>
      <c r="AH153" s="461"/>
      <c r="AI153" s="533"/>
    </row>
    <row r="154" spans="2:35" ht="15" customHeight="1">
      <c r="B154" s="366">
        <f t="shared" si="6"/>
        <v>144</v>
      </c>
      <c r="C154" s="289" t="s">
        <v>416</v>
      </c>
      <c r="D154" s="446" t="s">
        <v>270</v>
      </c>
      <c r="E154" s="451" t="s">
        <v>633</v>
      </c>
      <c r="F154" s="520" t="s">
        <v>740</v>
      </c>
      <c r="G154" s="535" t="s">
        <v>651</v>
      </c>
      <c r="H154" s="518" t="s">
        <v>693</v>
      </c>
      <c r="I154" s="521">
        <v>1</v>
      </c>
      <c r="J154" s="522">
        <v>2</v>
      </c>
      <c r="K154" s="450" t="s">
        <v>191</v>
      </c>
      <c r="L154" s="450" t="s">
        <v>1520</v>
      </c>
      <c r="M154" s="450" t="s">
        <v>1521</v>
      </c>
      <c r="N154" s="523" t="s">
        <v>1974</v>
      </c>
      <c r="O154" s="524" t="s">
        <v>176</v>
      </c>
      <c r="P154" s="525">
        <v>2980.6</v>
      </c>
      <c r="Q154" s="526"/>
      <c r="R154" s="527"/>
      <c r="S154" s="528">
        <v>1</v>
      </c>
      <c r="T154" s="529" t="s">
        <v>740</v>
      </c>
      <c r="U154" s="530" t="s">
        <v>258</v>
      </c>
      <c r="V154" s="531" t="s">
        <v>446</v>
      </c>
      <c r="W154" s="453" t="s">
        <v>196</v>
      </c>
      <c r="X154" s="455">
        <v>2604000000</v>
      </c>
      <c r="Y154" s="455">
        <v>2604000000</v>
      </c>
      <c r="Z154" s="460" t="s">
        <v>1816</v>
      </c>
      <c r="AA154" s="453"/>
      <c r="AB154" s="453"/>
      <c r="AC154" s="458"/>
      <c r="AD154" s="458"/>
      <c r="AE154" s="532"/>
      <c r="AF154" s="531"/>
      <c r="AG154" s="455"/>
      <c r="AH154" s="461"/>
      <c r="AI154" s="533"/>
    </row>
    <row r="155" spans="2:35" ht="15" customHeight="1">
      <c r="B155" s="366">
        <f t="shared" si="6"/>
        <v>145</v>
      </c>
      <c r="C155" s="289" t="s">
        <v>416</v>
      </c>
      <c r="D155" s="446" t="s">
        <v>270</v>
      </c>
      <c r="E155" s="451" t="s">
        <v>633</v>
      </c>
      <c r="F155" s="520" t="s">
        <v>740</v>
      </c>
      <c r="G155" s="535" t="s">
        <v>1685</v>
      </c>
      <c r="H155" s="518" t="s">
        <v>2190</v>
      </c>
      <c r="I155" s="521">
        <v>2</v>
      </c>
      <c r="J155" s="522">
        <v>1</v>
      </c>
      <c r="K155" s="450" t="s">
        <v>191</v>
      </c>
      <c r="L155" s="450" t="s">
        <v>1520</v>
      </c>
      <c r="M155" s="450" t="s">
        <v>1521</v>
      </c>
      <c r="N155" s="523" t="s">
        <v>1975</v>
      </c>
      <c r="O155" s="524" t="s">
        <v>218</v>
      </c>
      <c r="P155" s="525"/>
      <c r="Q155" s="526">
        <v>418.13</v>
      </c>
      <c r="R155" s="527"/>
      <c r="S155" s="528">
        <v>1</v>
      </c>
      <c r="T155" s="529" t="s">
        <v>740</v>
      </c>
      <c r="U155" s="530">
        <v>1</v>
      </c>
      <c r="V155" s="531" t="s">
        <v>442</v>
      </c>
      <c r="W155" s="453" t="s">
        <v>196</v>
      </c>
      <c r="X155" s="455">
        <v>780000000</v>
      </c>
      <c r="Y155" s="455">
        <v>780000000</v>
      </c>
      <c r="Z155" s="460" t="s">
        <v>1816</v>
      </c>
      <c r="AA155" s="453"/>
      <c r="AB155" s="453"/>
      <c r="AC155" s="458"/>
      <c r="AD155" s="458"/>
      <c r="AE155" s="532"/>
      <c r="AF155" s="531"/>
      <c r="AG155" s="455"/>
      <c r="AH155" s="461"/>
      <c r="AI155" s="533"/>
    </row>
    <row r="156" spans="2:35" ht="15" customHeight="1">
      <c r="B156" s="366">
        <f t="shared" si="6"/>
        <v>146</v>
      </c>
      <c r="C156" s="289" t="s">
        <v>416</v>
      </c>
      <c r="D156" s="446" t="s">
        <v>270</v>
      </c>
      <c r="E156" s="451" t="s">
        <v>309</v>
      </c>
      <c r="F156" s="520" t="s">
        <v>741</v>
      </c>
      <c r="G156" s="535" t="s">
        <v>474</v>
      </c>
      <c r="H156" s="518" t="s">
        <v>577</v>
      </c>
      <c r="I156" s="521">
        <v>1</v>
      </c>
      <c r="J156" s="522">
        <v>1</v>
      </c>
      <c r="K156" s="450" t="s">
        <v>191</v>
      </c>
      <c r="L156" s="450" t="s">
        <v>317</v>
      </c>
      <c r="M156" s="450" t="s">
        <v>1523</v>
      </c>
      <c r="N156" s="523" t="s">
        <v>1976</v>
      </c>
      <c r="O156" s="524" t="s">
        <v>213</v>
      </c>
      <c r="P156" s="525"/>
      <c r="Q156" s="526">
        <v>2472.35</v>
      </c>
      <c r="R156" s="527"/>
      <c r="S156" s="528">
        <v>1</v>
      </c>
      <c r="T156" s="529" t="s">
        <v>741</v>
      </c>
      <c r="U156" s="530" t="s">
        <v>250</v>
      </c>
      <c r="V156" s="531" t="s">
        <v>1977</v>
      </c>
      <c r="W156" s="453" t="s">
        <v>196</v>
      </c>
      <c r="X156" s="455">
        <v>3840000000</v>
      </c>
      <c r="Y156" s="455">
        <v>3840000000</v>
      </c>
      <c r="Z156" s="460" t="s">
        <v>1816</v>
      </c>
      <c r="AA156" s="453"/>
      <c r="AB156" s="453"/>
      <c r="AC156" s="458"/>
      <c r="AD156" s="458"/>
      <c r="AE156" s="532"/>
      <c r="AF156" s="531"/>
      <c r="AG156" s="455"/>
      <c r="AH156" s="461"/>
      <c r="AI156" s="533"/>
    </row>
    <row r="157" spans="2:35" ht="15" customHeight="1">
      <c r="B157" s="366">
        <f t="shared" si="6"/>
        <v>147</v>
      </c>
      <c r="C157" s="289" t="s">
        <v>416</v>
      </c>
      <c r="D157" s="446" t="s">
        <v>270</v>
      </c>
      <c r="E157" s="451" t="s">
        <v>309</v>
      </c>
      <c r="F157" s="520" t="s">
        <v>741</v>
      </c>
      <c r="G157" s="535" t="s">
        <v>474</v>
      </c>
      <c r="H157" s="518" t="s">
        <v>629</v>
      </c>
      <c r="I157" s="521">
        <v>1</v>
      </c>
      <c r="J157" s="522">
        <v>2</v>
      </c>
      <c r="K157" s="450" t="s">
        <v>191</v>
      </c>
      <c r="L157" s="450" t="s">
        <v>317</v>
      </c>
      <c r="M157" s="450" t="s">
        <v>1523</v>
      </c>
      <c r="N157" s="523" t="s">
        <v>1978</v>
      </c>
      <c r="O157" s="524" t="s">
        <v>176</v>
      </c>
      <c r="P157" s="525">
        <v>6496</v>
      </c>
      <c r="Q157" s="526"/>
      <c r="R157" s="527"/>
      <c r="S157" s="528">
        <v>1</v>
      </c>
      <c r="T157" s="529" t="s">
        <v>741</v>
      </c>
      <c r="U157" s="530" t="s">
        <v>250</v>
      </c>
      <c r="V157" s="531" t="s">
        <v>1977</v>
      </c>
      <c r="W157" s="453" t="s">
        <v>196</v>
      </c>
      <c r="X157" s="455">
        <v>3840000000</v>
      </c>
      <c r="Y157" s="455">
        <v>3840000000</v>
      </c>
      <c r="Z157" s="460" t="s">
        <v>1816</v>
      </c>
      <c r="AA157" s="453"/>
      <c r="AB157" s="453"/>
      <c r="AC157" s="458"/>
      <c r="AD157" s="458"/>
      <c r="AE157" s="532"/>
      <c r="AF157" s="531"/>
      <c r="AG157" s="455"/>
      <c r="AH157" s="461"/>
      <c r="AI157" s="533"/>
    </row>
    <row r="158" spans="2:35" ht="15" customHeight="1">
      <c r="B158" s="366">
        <f t="shared" si="6"/>
        <v>148</v>
      </c>
      <c r="C158" s="289" t="s">
        <v>416</v>
      </c>
      <c r="D158" s="446" t="s">
        <v>270</v>
      </c>
      <c r="E158" s="451" t="s">
        <v>309</v>
      </c>
      <c r="F158" s="520" t="s">
        <v>741</v>
      </c>
      <c r="G158" s="535" t="s">
        <v>474</v>
      </c>
      <c r="H158" s="518" t="s">
        <v>694</v>
      </c>
      <c r="I158" s="521">
        <v>1</v>
      </c>
      <c r="J158" s="522">
        <v>3</v>
      </c>
      <c r="K158" s="450" t="s">
        <v>191</v>
      </c>
      <c r="L158" s="450" t="s">
        <v>317</v>
      </c>
      <c r="M158" s="450" t="s">
        <v>1523</v>
      </c>
      <c r="N158" s="523" t="s">
        <v>1979</v>
      </c>
      <c r="O158" s="524" t="s">
        <v>177</v>
      </c>
      <c r="P158" s="525">
        <v>166</v>
      </c>
      <c r="Q158" s="526"/>
      <c r="R158" s="527"/>
      <c r="S158" s="528">
        <v>1</v>
      </c>
      <c r="T158" s="529" t="s">
        <v>741</v>
      </c>
      <c r="U158" s="530" t="s">
        <v>250</v>
      </c>
      <c r="V158" s="531" t="s">
        <v>1977</v>
      </c>
      <c r="W158" s="453" t="s">
        <v>196</v>
      </c>
      <c r="X158" s="455">
        <v>3840000000</v>
      </c>
      <c r="Y158" s="455">
        <v>3840000000</v>
      </c>
      <c r="Z158" s="460" t="s">
        <v>1816</v>
      </c>
      <c r="AA158" s="453"/>
      <c r="AB158" s="453"/>
      <c r="AC158" s="458"/>
      <c r="AD158" s="458"/>
      <c r="AE158" s="532"/>
      <c r="AF158" s="531"/>
      <c r="AG158" s="455"/>
      <c r="AH158" s="461"/>
      <c r="AI158" s="533"/>
    </row>
    <row r="159" spans="2:35" ht="15" customHeight="1">
      <c r="B159" s="366">
        <f t="shared" ref="B159:B186" si="7">ROW()-10</f>
        <v>149</v>
      </c>
      <c r="C159" s="289" t="s">
        <v>416</v>
      </c>
      <c r="D159" s="446" t="s">
        <v>270</v>
      </c>
      <c r="E159" s="451" t="s">
        <v>309</v>
      </c>
      <c r="F159" s="520" t="s">
        <v>741</v>
      </c>
      <c r="G159" s="535" t="s">
        <v>474</v>
      </c>
      <c r="H159" s="518" t="s">
        <v>695</v>
      </c>
      <c r="I159" s="521">
        <v>1</v>
      </c>
      <c r="J159" s="522">
        <v>4</v>
      </c>
      <c r="K159" s="450" t="s">
        <v>191</v>
      </c>
      <c r="L159" s="450" t="s">
        <v>317</v>
      </c>
      <c r="M159" s="450" t="s">
        <v>1523</v>
      </c>
      <c r="N159" s="523" t="s">
        <v>1980</v>
      </c>
      <c r="O159" s="524" t="s">
        <v>177</v>
      </c>
      <c r="P159" s="525">
        <v>35</v>
      </c>
      <c r="Q159" s="526"/>
      <c r="R159" s="527"/>
      <c r="S159" s="528">
        <v>1</v>
      </c>
      <c r="T159" s="529" t="s">
        <v>741</v>
      </c>
      <c r="U159" s="530" t="s">
        <v>250</v>
      </c>
      <c r="V159" s="531" t="s">
        <v>1977</v>
      </c>
      <c r="W159" s="453" t="s">
        <v>196</v>
      </c>
      <c r="X159" s="455">
        <v>3840000000</v>
      </c>
      <c r="Y159" s="455">
        <v>3840000000</v>
      </c>
      <c r="Z159" s="460" t="s">
        <v>1816</v>
      </c>
      <c r="AA159" s="453"/>
      <c r="AB159" s="453"/>
      <c r="AC159" s="458"/>
      <c r="AD159" s="458"/>
      <c r="AE159" s="532"/>
      <c r="AF159" s="531"/>
      <c r="AG159" s="455"/>
      <c r="AH159" s="461"/>
      <c r="AI159" s="533"/>
    </row>
    <row r="160" spans="2:35" ht="15" customHeight="1">
      <c r="B160" s="366">
        <f t="shared" si="7"/>
        <v>150</v>
      </c>
      <c r="C160" s="289" t="s">
        <v>416</v>
      </c>
      <c r="D160" s="446" t="s">
        <v>270</v>
      </c>
      <c r="E160" s="451" t="s">
        <v>309</v>
      </c>
      <c r="F160" s="520" t="s">
        <v>741</v>
      </c>
      <c r="G160" s="535" t="s">
        <v>474</v>
      </c>
      <c r="H160" s="518" t="s">
        <v>2191</v>
      </c>
      <c r="I160" s="521">
        <v>1</v>
      </c>
      <c r="J160" s="522">
        <v>5</v>
      </c>
      <c r="K160" s="450" t="s">
        <v>191</v>
      </c>
      <c r="L160" s="450" t="s">
        <v>317</v>
      </c>
      <c r="M160" s="450" t="s">
        <v>1523</v>
      </c>
      <c r="N160" s="523" t="s">
        <v>1981</v>
      </c>
      <c r="O160" s="524" t="s">
        <v>177</v>
      </c>
      <c r="P160" s="525">
        <v>168</v>
      </c>
      <c r="Q160" s="526"/>
      <c r="R160" s="527"/>
      <c r="S160" s="528">
        <v>1</v>
      </c>
      <c r="T160" s="529" t="s">
        <v>741</v>
      </c>
      <c r="U160" s="530" t="s">
        <v>250</v>
      </c>
      <c r="V160" s="531" t="s">
        <v>1977</v>
      </c>
      <c r="W160" s="453" t="s">
        <v>196</v>
      </c>
      <c r="X160" s="455">
        <v>3840000000</v>
      </c>
      <c r="Y160" s="455">
        <v>3840000000</v>
      </c>
      <c r="Z160" s="460" t="s">
        <v>1816</v>
      </c>
      <c r="AA160" s="453"/>
      <c r="AB160" s="453"/>
      <c r="AC160" s="458"/>
      <c r="AD160" s="458"/>
      <c r="AE160" s="532"/>
      <c r="AF160" s="531"/>
      <c r="AG160" s="455"/>
      <c r="AH160" s="461"/>
      <c r="AI160" s="533"/>
    </row>
    <row r="161" spans="2:35" ht="15" customHeight="1">
      <c r="B161" s="366">
        <f t="shared" si="7"/>
        <v>151</v>
      </c>
      <c r="C161" s="289" t="s">
        <v>416</v>
      </c>
      <c r="D161" s="446" t="s">
        <v>270</v>
      </c>
      <c r="E161" s="451" t="s">
        <v>309</v>
      </c>
      <c r="F161" s="520" t="s">
        <v>741</v>
      </c>
      <c r="G161" s="535" t="s">
        <v>474</v>
      </c>
      <c r="H161" s="518" t="s">
        <v>2192</v>
      </c>
      <c r="I161" s="521">
        <v>1</v>
      </c>
      <c r="J161" s="522">
        <v>6</v>
      </c>
      <c r="K161" s="450" t="s">
        <v>191</v>
      </c>
      <c r="L161" s="450" t="s">
        <v>317</v>
      </c>
      <c r="M161" s="450" t="s">
        <v>1523</v>
      </c>
      <c r="N161" s="523" t="s">
        <v>1982</v>
      </c>
      <c r="O161" s="524" t="s">
        <v>177</v>
      </c>
      <c r="P161" s="525">
        <v>65</v>
      </c>
      <c r="Q161" s="526"/>
      <c r="R161" s="527"/>
      <c r="S161" s="528">
        <v>1</v>
      </c>
      <c r="T161" s="529" t="s">
        <v>741</v>
      </c>
      <c r="U161" s="530" t="s">
        <v>250</v>
      </c>
      <c r="V161" s="531" t="s">
        <v>1977</v>
      </c>
      <c r="W161" s="453" t="s">
        <v>196</v>
      </c>
      <c r="X161" s="455">
        <v>3840000000</v>
      </c>
      <c r="Y161" s="455">
        <v>3840000000</v>
      </c>
      <c r="Z161" s="460" t="s">
        <v>1816</v>
      </c>
      <c r="AA161" s="453"/>
      <c r="AB161" s="453"/>
      <c r="AC161" s="458"/>
      <c r="AD161" s="458"/>
      <c r="AE161" s="532"/>
      <c r="AF161" s="531"/>
      <c r="AG161" s="455"/>
      <c r="AH161" s="461"/>
      <c r="AI161" s="533"/>
    </row>
    <row r="162" spans="2:35" ht="15" customHeight="1">
      <c r="B162" s="366">
        <f t="shared" si="7"/>
        <v>152</v>
      </c>
      <c r="C162" s="289" t="s">
        <v>416</v>
      </c>
      <c r="D162" s="446" t="s">
        <v>270</v>
      </c>
      <c r="E162" s="451" t="s">
        <v>297</v>
      </c>
      <c r="F162" s="520" t="s">
        <v>742</v>
      </c>
      <c r="G162" s="535" t="s">
        <v>475</v>
      </c>
      <c r="H162" s="518" t="s">
        <v>578</v>
      </c>
      <c r="I162" s="521">
        <v>1</v>
      </c>
      <c r="J162" s="522">
        <v>1</v>
      </c>
      <c r="K162" s="450" t="s">
        <v>191</v>
      </c>
      <c r="L162" s="450" t="s">
        <v>181</v>
      </c>
      <c r="M162" s="450" t="s">
        <v>1525</v>
      </c>
      <c r="N162" s="523" t="s">
        <v>1983</v>
      </c>
      <c r="O162" s="524" t="s">
        <v>218</v>
      </c>
      <c r="P162" s="525"/>
      <c r="Q162" s="526">
        <v>442.73</v>
      </c>
      <c r="R162" s="527"/>
      <c r="S162" s="528">
        <v>1</v>
      </c>
      <c r="T162" s="529" t="s">
        <v>742</v>
      </c>
      <c r="U162" s="530" t="s">
        <v>250</v>
      </c>
      <c r="V162" s="531" t="s">
        <v>444</v>
      </c>
      <c r="W162" s="453" t="s">
        <v>196</v>
      </c>
      <c r="X162" s="455">
        <v>1632000000</v>
      </c>
      <c r="Y162" s="455">
        <v>1632000000</v>
      </c>
      <c r="Z162" s="460" t="s">
        <v>1816</v>
      </c>
      <c r="AA162" s="453"/>
      <c r="AB162" s="453"/>
      <c r="AC162" s="458"/>
      <c r="AD162" s="458"/>
      <c r="AE162" s="532"/>
      <c r="AF162" s="531"/>
      <c r="AG162" s="455"/>
      <c r="AH162" s="461"/>
      <c r="AI162" s="533"/>
    </row>
    <row r="163" spans="2:35" ht="15" customHeight="1">
      <c r="B163" s="366">
        <f t="shared" si="7"/>
        <v>153</v>
      </c>
      <c r="C163" s="289" t="s">
        <v>416</v>
      </c>
      <c r="D163" s="446" t="s">
        <v>270</v>
      </c>
      <c r="E163" s="451" t="s">
        <v>297</v>
      </c>
      <c r="F163" s="520" t="s">
        <v>742</v>
      </c>
      <c r="G163" s="535" t="s">
        <v>475</v>
      </c>
      <c r="H163" s="518" t="s">
        <v>579</v>
      </c>
      <c r="I163" s="521">
        <v>1</v>
      </c>
      <c r="J163" s="522">
        <v>2</v>
      </c>
      <c r="K163" s="450" t="s">
        <v>191</v>
      </c>
      <c r="L163" s="450" t="s">
        <v>181</v>
      </c>
      <c r="M163" s="450" t="s">
        <v>1525</v>
      </c>
      <c r="N163" s="523" t="s">
        <v>1984</v>
      </c>
      <c r="O163" s="524" t="s">
        <v>218</v>
      </c>
      <c r="P163" s="525"/>
      <c r="Q163" s="526">
        <v>805.90000000000009</v>
      </c>
      <c r="R163" s="527"/>
      <c r="S163" s="528">
        <v>1</v>
      </c>
      <c r="T163" s="529" t="s">
        <v>742</v>
      </c>
      <c r="U163" s="530" t="s">
        <v>250</v>
      </c>
      <c r="V163" s="531" t="s">
        <v>444</v>
      </c>
      <c r="W163" s="453" t="s">
        <v>196</v>
      </c>
      <c r="X163" s="455">
        <v>1632000000</v>
      </c>
      <c r="Y163" s="455">
        <v>1632000000</v>
      </c>
      <c r="Z163" s="460" t="s">
        <v>1816</v>
      </c>
      <c r="AA163" s="453"/>
      <c r="AB163" s="453"/>
      <c r="AC163" s="458"/>
      <c r="AD163" s="458"/>
      <c r="AE163" s="532"/>
      <c r="AF163" s="531"/>
      <c r="AG163" s="455"/>
      <c r="AH163" s="461"/>
      <c r="AI163" s="533"/>
    </row>
    <row r="164" spans="2:35" ht="15" customHeight="1">
      <c r="B164" s="366">
        <f t="shared" si="7"/>
        <v>154</v>
      </c>
      <c r="C164" s="289" t="s">
        <v>416</v>
      </c>
      <c r="D164" s="446" t="s">
        <v>270</v>
      </c>
      <c r="E164" s="451" t="s">
        <v>297</v>
      </c>
      <c r="F164" s="520" t="s">
        <v>742</v>
      </c>
      <c r="G164" s="535" t="s">
        <v>475</v>
      </c>
      <c r="H164" s="518" t="s">
        <v>580</v>
      </c>
      <c r="I164" s="521">
        <v>1</v>
      </c>
      <c r="J164" s="522">
        <v>3</v>
      </c>
      <c r="K164" s="450" t="s">
        <v>191</v>
      </c>
      <c r="L164" s="450" t="s">
        <v>181</v>
      </c>
      <c r="M164" s="450" t="s">
        <v>1525</v>
      </c>
      <c r="N164" s="523" t="s">
        <v>1985</v>
      </c>
      <c r="O164" s="524" t="s">
        <v>218</v>
      </c>
      <c r="P164" s="525"/>
      <c r="Q164" s="526">
        <v>105.6</v>
      </c>
      <c r="R164" s="527"/>
      <c r="S164" s="528">
        <v>1</v>
      </c>
      <c r="T164" s="529" t="s">
        <v>742</v>
      </c>
      <c r="U164" s="530" t="s">
        <v>250</v>
      </c>
      <c r="V164" s="531" t="s">
        <v>444</v>
      </c>
      <c r="W164" s="453" t="s">
        <v>196</v>
      </c>
      <c r="X164" s="455">
        <v>1632000000</v>
      </c>
      <c r="Y164" s="455">
        <v>1632000000</v>
      </c>
      <c r="Z164" s="460" t="s">
        <v>1816</v>
      </c>
      <c r="AA164" s="453"/>
      <c r="AB164" s="453"/>
      <c r="AC164" s="458"/>
      <c r="AD164" s="458"/>
      <c r="AE164" s="532"/>
      <c r="AF164" s="531"/>
      <c r="AG164" s="455"/>
      <c r="AH164" s="461"/>
      <c r="AI164" s="533"/>
    </row>
    <row r="165" spans="2:35" ht="15" customHeight="1">
      <c r="B165" s="366">
        <f t="shared" si="7"/>
        <v>155</v>
      </c>
      <c r="C165" s="289" t="s">
        <v>416</v>
      </c>
      <c r="D165" s="446" t="s">
        <v>270</v>
      </c>
      <c r="E165" s="451" t="s">
        <v>297</v>
      </c>
      <c r="F165" s="520" t="s">
        <v>742</v>
      </c>
      <c r="G165" s="535" t="s">
        <v>475</v>
      </c>
      <c r="H165" s="518" t="s">
        <v>581</v>
      </c>
      <c r="I165" s="521">
        <v>1</v>
      </c>
      <c r="J165" s="522">
        <v>4</v>
      </c>
      <c r="K165" s="450" t="s">
        <v>191</v>
      </c>
      <c r="L165" s="450" t="s">
        <v>181</v>
      </c>
      <c r="M165" s="450" t="s">
        <v>1525</v>
      </c>
      <c r="N165" s="523" t="s">
        <v>1986</v>
      </c>
      <c r="O165" s="524" t="s">
        <v>176</v>
      </c>
      <c r="P165" s="525">
        <v>3389</v>
      </c>
      <c r="Q165" s="526"/>
      <c r="R165" s="527"/>
      <c r="S165" s="528">
        <v>1</v>
      </c>
      <c r="T165" s="529" t="s">
        <v>742</v>
      </c>
      <c r="U165" s="530" t="s">
        <v>250</v>
      </c>
      <c r="V165" s="531" t="s">
        <v>444</v>
      </c>
      <c r="W165" s="453" t="s">
        <v>196</v>
      </c>
      <c r="X165" s="455">
        <v>1632000000</v>
      </c>
      <c r="Y165" s="455">
        <v>1632000000</v>
      </c>
      <c r="Z165" s="460" t="s">
        <v>1816</v>
      </c>
      <c r="AA165" s="453"/>
      <c r="AB165" s="453"/>
      <c r="AC165" s="458"/>
      <c r="AD165" s="458"/>
      <c r="AE165" s="532"/>
      <c r="AF165" s="531"/>
      <c r="AG165" s="455"/>
      <c r="AH165" s="461"/>
      <c r="AI165" s="533"/>
    </row>
    <row r="166" spans="2:35" ht="15" customHeight="1">
      <c r="B166" s="366">
        <f t="shared" si="7"/>
        <v>156</v>
      </c>
      <c r="C166" s="289" t="s">
        <v>416</v>
      </c>
      <c r="D166" s="446" t="s">
        <v>270</v>
      </c>
      <c r="E166" s="451" t="s">
        <v>297</v>
      </c>
      <c r="F166" s="520" t="s">
        <v>742</v>
      </c>
      <c r="G166" s="535" t="s">
        <v>1686</v>
      </c>
      <c r="H166" s="518" t="s">
        <v>2193</v>
      </c>
      <c r="I166" s="521">
        <v>2</v>
      </c>
      <c r="J166" s="522">
        <v>1</v>
      </c>
      <c r="K166" s="450" t="s">
        <v>191</v>
      </c>
      <c r="L166" s="450" t="s">
        <v>181</v>
      </c>
      <c r="M166" s="450" t="s">
        <v>1527</v>
      </c>
      <c r="N166" s="523" t="s">
        <v>1528</v>
      </c>
      <c r="O166" s="524" t="s">
        <v>265</v>
      </c>
      <c r="P166" s="525">
        <v>6907</v>
      </c>
      <c r="Q166" s="526">
        <v>84.18</v>
      </c>
      <c r="R166" s="527">
        <v>6.7567684957289698E-3</v>
      </c>
      <c r="S166" s="528">
        <v>1</v>
      </c>
      <c r="T166" s="529" t="s">
        <v>1987</v>
      </c>
      <c r="U166" s="530">
        <v>1</v>
      </c>
      <c r="V166" s="531" t="s">
        <v>442</v>
      </c>
      <c r="W166" s="453" t="s">
        <v>196</v>
      </c>
      <c r="X166" s="455">
        <v>360000000</v>
      </c>
      <c r="Y166" s="455">
        <v>360000000</v>
      </c>
      <c r="Z166" s="460" t="s">
        <v>1816</v>
      </c>
      <c r="AA166" s="453"/>
      <c r="AB166" s="453"/>
      <c r="AC166" s="458"/>
      <c r="AD166" s="458"/>
      <c r="AE166" s="532"/>
      <c r="AF166" s="531"/>
      <c r="AG166" s="455"/>
      <c r="AH166" s="461"/>
      <c r="AI166" s="533"/>
    </row>
    <row r="167" spans="2:35" ht="15" customHeight="1">
      <c r="B167" s="366">
        <f t="shared" si="7"/>
        <v>157</v>
      </c>
      <c r="C167" s="289" t="s">
        <v>416</v>
      </c>
      <c r="D167" s="446" t="s">
        <v>270</v>
      </c>
      <c r="E167" s="451" t="s">
        <v>297</v>
      </c>
      <c r="F167" s="520" t="s">
        <v>742</v>
      </c>
      <c r="G167" s="535" t="s">
        <v>1687</v>
      </c>
      <c r="H167" s="518" t="s">
        <v>2194</v>
      </c>
      <c r="I167" s="521">
        <v>3</v>
      </c>
      <c r="J167" s="522">
        <v>1</v>
      </c>
      <c r="K167" s="450" t="s">
        <v>186</v>
      </c>
      <c r="L167" s="450" t="s">
        <v>1529</v>
      </c>
      <c r="M167" s="450" t="s">
        <v>1530</v>
      </c>
      <c r="N167" s="523" t="s">
        <v>1531</v>
      </c>
      <c r="O167" s="524" t="s">
        <v>1988</v>
      </c>
      <c r="P167" s="525">
        <v>109.1</v>
      </c>
      <c r="Q167" s="526">
        <v>43.26</v>
      </c>
      <c r="R167" s="527">
        <v>0.1</v>
      </c>
      <c r="S167" s="528">
        <v>1</v>
      </c>
      <c r="T167" s="529" t="s">
        <v>1989</v>
      </c>
      <c r="U167" s="530">
        <v>1</v>
      </c>
      <c r="V167" s="531" t="s">
        <v>442</v>
      </c>
      <c r="W167" s="453" t="s">
        <v>196</v>
      </c>
      <c r="X167" s="455">
        <v>360000000</v>
      </c>
      <c r="Y167" s="455">
        <v>360000000</v>
      </c>
      <c r="Z167" s="460" t="s">
        <v>1816</v>
      </c>
      <c r="AA167" s="453"/>
      <c r="AB167" s="453"/>
      <c r="AC167" s="458"/>
      <c r="AD167" s="458"/>
      <c r="AE167" s="532"/>
      <c r="AF167" s="531"/>
      <c r="AG167" s="455"/>
      <c r="AH167" s="461"/>
      <c r="AI167" s="533"/>
    </row>
    <row r="168" spans="2:35" ht="15" customHeight="1">
      <c r="B168" s="366">
        <f t="shared" si="7"/>
        <v>158</v>
      </c>
      <c r="C168" s="289" t="s">
        <v>416</v>
      </c>
      <c r="D168" s="446" t="s">
        <v>270</v>
      </c>
      <c r="E168" s="451" t="s">
        <v>310</v>
      </c>
      <c r="F168" s="520" t="s">
        <v>743</v>
      </c>
      <c r="G168" s="535" t="s">
        <v>476</v>
      </c>
      <c r="H168" s="518" t="s">
        <v>582</v>
      </c>
      <c r="I168" s="521">
        <v>1</v>
      </c>
      <c r="J168" s="522">
        <v>1</v>
      </c>
      <c r="K168" s="450" t="s">
        <v>190</v>
      </c>
      <c r="L168" s="450" t="s">
        <v>226</v>
      </c>
      <c r="M168" s="450" t="s">
        <v>649</v>
      </c>
      <c r="N168" s="523" t="s">
        <v>1990</v>
      </c>
      <c r="O168" s="524" t="s">
        <v>1991</v>
      </c>
      <c r="P168" s="525"/>
      <c r="Q168" s="526">
        <v>272.7</v>
      </c>
      <c r="R168" s="527"/>
      <c r="S168" s="528">
        <v>1</v>
      </c>
      <c r="T168" s="529" t="s">
        <v>743</v>
      </c>
      <c r="U168" s="530">
        <v>1</v>
      </c>
      <c r="V168" s="531" t="s">
        <v>442</v>
      </c>
      <c r="W168" s="453" t="s">
        <v>196</v>
      </c>
      <c r="X168" s="455">
        <v>1416000000</v>
      </c>
      <c r="Y168" s="455">
        <v>1416000000</v>
      </c>
      <c r="Z168" s="460" t="s">
        <v>1816</v>
      </c>
      <c r="AA168" s="453"/>
      <c r="AB168" s="453"/>
      <c r="AC168" s="458"/>
      <c r="AD168" s="458"/>
      <c r="AE168" s="532"/>
      <c r="AF168" s="531"/>
      <c r="AG168" s="455"/>
      <c r="AH168" s="461"/>
      <c r="AI168" s="533"/>
    </row>
    <row r="169" spans="2:35" ht="15" customHeight="1">
      <c r="B169" s="366">
        <f t="shared" si="7"/>
        <v>159</v>
      </c>
      <c r="C169" s="289" t="s">
        <v>416</v>
      </c>
      <c r="D169" s="446" t="s">
        <v>270</v>
      </c>
      <c r="E169" s="451" t="s">
        <v>310</v>
      </c>
      <c r="F169" s="520" t="s">
        <v>743</v>
      </c>
      <c r="G169" s="535" t="s">
        <v>476</v>
      </c>
      <c r="H169" s="518" t="s">
        <v>583</v>
      </c>
      <c r="I169" s="521">
        <v>1</v>
      </c>
      <c r="J169" s="522">
        <v>2</v>
      </c>
      <c r="K169" s="450" t="s">
        <v>190</v>
      </c>
      <c r="L169" s="450" t="s">
        <v>226</v>
      </c>
      <c r="M169" s="450" t="s">
        <v>649</v>
      </c>
      <c r="N169" s="523" t="s">
        <v>1992</v>
      </c>
      <c r="O169" s="524" t="s">
        <v>215</v>
      </c>
      <c r="P169" s="525">
        <v>461</v>
      </c>
      <c r="Q169" s="526"/>
      <c r="R169" s="527"/>
      <c r="S169" s="528">
        <v>1</v>
      </c>
      <c r="T169" s="529" t="s">
        <v>743</v>
      </c>
      <c r="U169" s="530">
        <v>1</v>
      </c>
      <c r="V169" s="531" t="s">
        <v>442</v>
      </c>
      <c r="W169" s="453" t="s">
        <v>196</v>
      </c>
      <c r="X169" s="455">
        <v>1416000000</v>
      </c>
      <c r="Y169" s="455">
        <v>1416000000</v>
      </c>
      <c r="Z169" s="460" t="s">
        <v>1816</v>
      </c>
      <c r="AA169" s="453"/>
      <c r="AB169" s="453"/>
      <c r="AC169" s="458"/>
      <c r="AD169" s="458"/>
      <c r="AE169" s="532"/>
      <c r="AF169" s="531"/>
      <c r="AG169" s="455"/>
      <c r="AH169" s="461"/>
      <c r="AI169" s="533"/>
    </row>
    <row r="170" spans="2:35" ht="15" customHeight="1">
      <c r="B170" s="366">
        <f t="shared" si="7"/>
        <v>160</v>
      </c>
      <c r="C170" s="289" t="s">
        <v>416</v>
      </c>
      <c r="D170" s="446" t="s">
        <v>270</v>
      </c>
      <c r="E170" s="451" t="s">
        <v>310</v>
      </c>
      <c r="F170" s="520" t="s">
        <v>743</v>
      </c>
      <c r="G170" s="535" t="s">
        <v>476</v>
      </c>
      <c r="H170" s="518" t="s">
        <v>2195</v>
      </c>
      <c r="I170" s="521">
        <v>1</v>
      </c>
      <c r="J170" s="522">
        <v>3</v>
      </c>
      <c r="K170" s="450" t="s">
        <v>190</v>
      </c>
      <c r="L170" s="450" t="s">
        <v>226</v>
      </c>
      <c r="M170" s="450" t="s">
        <v>649</v>
      </c>
      <c r="N170" s="523" t="s">
        <v>1993</v>
      </c>
      <c r="O170" s="524" t="s">
        <v>179</v>
      </c>
      <c r="P170" s="525">
        <v>104</v>
      </c>
      <c r="Q170" s="526"/>
      <c r="R170" s="527"/>
      <c r="S170" s="528">
        <v>4.851104707012488E-2</v>
      </c>
      <c r="T170" s="529" t="s">
        <v>743</v>
      </c>
      <c r="U170" s="530">
        <v>1</v>
      </c>
      <c r="V170" s="531" t="s">
        <v>442</v>
      </c>
      <c r="W170" s="453" t="s">
        <v>196</v>
      </c>
      <c r="X170" s="455">
        <v>1416000000</v>
      </c>
      <c r="Y170" s="455">
        <v>1416000000</v>
      </c>
      <c r="Z170" s="460" t="s">
        <v>1816</v>
      </c>
      <c r="AA170" s="453"/>
      <c r="AB170" s="453"/>
      <c r="AC170" s="458"/>
      <c r="AD170" s="458"/>
      <c r="AE170" s="532"/>
      <c r="AF170" s="531"/>
      <c r="AG170" s="455"/>
      <c r="AH170" s="461"/>
      <c r="AI170" s="533"/>
    </row>
    <row r="171" spans="2:35" ht="15" customHeight="1">
      <c r="B171" s="366">
        <f t="shared" si="7"/>
        <v>161</v>
      </c>
      <c r="C171" s="289" t="s">
        <v>416</v>
      </c>
      <c r="D171" s="446" t="s">
        <v>270</v>
      </c>
      <c r="E171" s="451" t="s">
        <v>310</v>
      </c>
      <c r="F171" s="520" t="s">
        <v>743</v>
      </c>
      <c r="G171" s="535" t="s">
        <v>476</v>
      </c>
      <c r="H171" s="518" t="s">
        <v>2196</v>
      </c>
      <c r="I171" s="521">
        <v>1</v>
      </c>
      <c r="J171" s="522">
        <v>4</v>
      </c>
      <c r="K171" s="450" t="s">
        <v>190</v>
      </c>
      <c r="L171" s="450" t="s">
        <v>226</v>
      </c>
      <c r="M171" s="450" t="s">
        <v>649</v>
      </c>
      <c r="N171" s="523" t="s">
        <v>1994</v>
      </c>
      <c r="O171" s="524" t="s">
        <v>214</v>
      </c>
      <c r="P171" s="525">
        <v>381</v>
      </c>
      <c r="Q171" s="526"/>
      <c r="R171" s="527"/>
      <c r="S171" s="528">
        <v>0.1730744336569579</v>
      </c>
      <c r="T171" s="529" t="s">
        <v>743</v>
      </c>
      <c r="U171" s="530">
        <v>1</v>
      </c>
      <c r="V171" s="531" t="s">
        <v>442</v>
      </c>
      <c r="W171" s="453" t="s">
        <v>196</v>
      </c>
      <c r="X171" s="455">
        <v>1416000000</v>
      </c>
      <c r="Y171" s="455">
        <v>1416000000</v>
      </c>
      <c r="Z171" s="460" t="s">
        <v>1816</v>
      </c>
      <c r="AA171" s="453"/>
      <c r="AB171" s="453"/>
      <c r="AC171" s="458"/>
      <c r="AD171" s="458"/>
      <c r="AE171" s="532"/>
      <c r="AF171" s="531"/>
      <c r="AG171" s="455"/>
      <c r="AH171" s="461"/>
      <c r="AI171" s="533"/>
    </row>
    <row r="172" spans="2:35" ht="15" customHeight="1">
      <c r="B172" s="366">
        <f t="shared" si="7"/>
        <v>162</v>
      </c>
      <c r="C172" s="289" t="s">
        <v>416</v>
      </c>
      <c r="D172" s="446" t="s">
        <v>270</v>
      </c>
      <c r="E172" s="451" t="s">
        <v>310</v>
      </c>
      <c r="F172" s="520" t="s">
        <v>743</v>
      </c>
      <c r="G172" s="535" t="s">
        <v>476</v>
      </c>
      <c r="H172" s="518" t="s">
        <v>2197</v>
      </c>
      <c r="I172" s="521">
        <v>1</v>
      </c>
      <c r="J172" s="522">
        <v>5</v>
      </c>
      <c r="K172" s="450" t="s">
        <v>190</v>
      </c>
      <c r="L172" s="450" t="s">
        <v>226</v>
      </c>
      <c r="M172" s="450" t="s">
        <v>649</v>
      </c>
      <c r="N172" s="523" t="s">
        <v>1995</v>
      </c>
      <c r="O172" s="524" t="s">
        <v>179</v>
      </c>
      <c r="P172" s="525">
        <v>98</v>
      </c>
      <c r="Q172" s="526"/>
      <c r="R172" s="527"/>
      <c r="S172" s="528">
        <v>0.17346278317152103</v>
      </c>
      <c r="T172" s="529" t="s">
        <v>743</v>
      </c>
      <c r="U172" s="530">
        <v>1</v>
      </c>
      <c r="V172" s="531" t="s">
        <v>442</v>
      </c>
      <c r="W172" s="453" t="s">
        <v>196</v>
      </c>
      <c r="X172" s="455">
        <v>1416000000</v>
      </c>
      <c r="Y172" s="455">
        <v>1416000000</v>
      </c>
      <c r="Z172" s="460" t="s">
        <v>1816</v>
      </c>
      <c r="AA172" s="453"/>
      <c r="AB172" s="453"/>
      <c r="AC172" s="458"/>
      <c r="AD172" s="458"/>
      <c r="AE172" s="532"/>
      <c r="AF172" s="531"/>
      <c r="AG172" s="455"/>
      <c r="AH172" s="461"/>
      <c r="AI172" s="533"/>
    </row>
    <row r="173" spans="2:35" ht="15" customHeight="1">
      <c r="B173" s="366">
        <f t="shared" si="7"/>
        <v>163</v>
      </c>
      <c r="C173" s="289" t="s">
        <v>416</v>
      </c>
      <c r="D173" s="446" t="s">
        <v>270</v>
      </c>
      <c r="E173" s="451" t="s">
        <v>310</v>
      </c>
      <c r="F173" s="520" t="s">
        <v>743</v>
      </c>
      <c r="G173" s="535" t="s">
        <v>1688</v>
      </c>
      <c r="H173" s="518" t="s">
        <v>2198</v>
      </c>
      <c r="I173" s="521">
        <v>2</v>
      </c>
      <c r="J173" s="522">
        <v>1</v>
      </c>
      <c r="K173" s="450" t="s">
        <v>190</v>
      </c>
      <c r="L173" s="450" t="s">
        <v>226</v>
      </c>
      <c r="M173" s="450" t="s">
        <v>649</v>
      </c>
      <c r="N173" s="523" t="s">
        <v>1765</v>
      </c>
      <c r="O173" s="524" t="s">
        <v>1923</v>
      </c>
      <c r="P173" s="525"/>
      <c r="Q173" s="526"/>
      <c r="R173" s="527"/>
      <c r="S173" s="528">
        <v>1</v>
      </c>
      <c r="T173" s="529" t="s">
        <v>743</v>
      </c>
      <c r="U173" s="530">
        <v>1</v>
      </c>
      <c r="V173" s="531" t="s">
        <v>443</v>
      </c>
      <c r="W173" s="453" t="s">
        <v>196</v>
      </c>
      <c r="X173" s="455">
        <v>180000000</v>
      </c>
      <c r="Y173" s="455">
        <v>180000000</v>
      </c>
      <c r="Z173" s="460" t="s">
        <v>1816</v>
      </c>
      <c r="AA173" s="453"/>
      <c r="AB173" s="453"/>
      <c r="AC173" s="458"/>
      <c r="AD173" s="458"/>
      <c r="AE173" s="532"/>
      <c r="AF173" s="531"/>
      <c r="AG173" s="455"/>
      <c r="AH173" s="461"/>
      <c r="AI173" s="533"/>
    </row>
    <row r="174" spans="2:35" ht="15" customHeight="1">
      <c r="B174" s="366">
        <f t="shared" si="7"/>
        <v>164</v>
      </c>
      <c r="C174" s="289" t="s">
        <v>416</v>
      </c>
      <c r="D174" s="446" t="s">
        <v>270</v>
      </c>
      <c r="E174" s="451" t="s">
        <v>305</v>
      </c>
      <c r="F174" s="520" t="s">
        <v>744</v>
      </c>
      <c r="G174" s="535" t="s">
        <v>477</v>
      </c>
      <c r="H174" s="518" t="s">
        <v>584</v>
      </c>
      <c r="I174" s="521">
        <v>1</v>
      </c>
      <c r="J174" s="522">
        <v>1</v>
      </c>
      <c r="K174" s="450" t="s">
        <v>188</v>
      </c>
      <c r="L174" s="450" t="s">
        <v>274</v>
      </c>
      <c r="M174" s="450" t="s">
        <v>1535</v>
      </c>
      <c r="N174" s="523" t="s">
        <v>1996</v>
      </c>
      <c r="O174" s="524" t="s">
        <v>1972</v>
      </c>
      <c r="P174" s="525"/>
      <c r="Q174" s="526">
        <v>591.48</v>
      </c>
      <c r="R174" s="527"/>
      <c r="S174" s="528">
        <v>1</v>
      </c>
      <c r="T174" s="529" t="s">
        <v>712</v>
      </c>
      <c r="U174" s="530" t="s">
        <v>277</v>
      </c>
      <c r="V174" s="531" t="s">
        <v>445</v>
      </c>
      <c r="W174" s="453" t="s">
        <v>1537</v>
      </c>
      <c r="X174" s="455" t="s">
        <v>1538</v>
      </c>
      <c r="Y174" s="455">
        <v>1817600000</v>
      </c>
      <c r="Z174" s="460" t="s">
        <v>1816</v>
      </c>
      <c r="AA174" s="453"/>
      <c r="AB174" s="453"/>
      <c r="AC174" s="458"/>
      <c r="AD174" s="458"/>
      <c r="AE174" s="532"/>
      <c r="AF174" s="531"/>
      <c r="AG174" s="455"/>
      <c r="AH174" s="461"/>
      <c r="AI174" s="533"/>
    </row>
    <row r="175" spans="2:35" ht="15" customHeight="1">
      <c r="B175" s="366">
        <f t="shared" si="7"/>
        <v>165</v>
      </c>
      <c r="C175" s="289" t="s">
        <v>416</v>
      </c>
      <c r="D175" s="446" t="s">
        <v>270</v>
      </c>
      <c r="E175" s="451" t="s">
        <v>305</v>
      </c>
      <c r="F175" s="520" t="s">
        <v>744</v>
      </c>
      <c r="G175" s="535" t="s">
        <v>477</v>
      </c>
      <c r="H175" s="518" t="s">
        <v>585</v>
      </c>
      <c r="I175" s="521">
        <v>1</v>
      </c>
      <c r="J175" s="522">
        <v>2</v>
      </c>
      <c r="K175" s="450" t="s">
        <v>188</v>
      </c>
      <c r="L175" s="450" t="s">
        <v>274</v>
      </c>
      <c r="M175" s="450" t="s">
        <v>1535</v>
      </c>
      <c r="N175" s="523" t="s">
        <v>1996</v>
      </c>
      <c r="O175" s="524" t="s">
        <v>215</v>
      </c>
      <c r="P175" s="525">
        <v>657.2</v>
      </c>
      <c r="Q175" s="526"/>
      <c r="R175" s="527"/>
      <c r="S175" s="528">
        <v>1</v>
      </c>
      <c r="T175" s="529" t="s">
        <v>712</v>
      </c>
      <c r="U175" s="530" t="s">
        <v>277</v>
      </c>
      <c r="V175" s="531" t="s">
        <v>445</v>
      </c>
      <c r="W175" s="453" t="s">
        <v>1537</v>
      </c>
      <c r="X175" s="455" t="s">
        <v>1538</v>
      </c>
      <c r="Y175" s="455">
        <v>1817600000</v>
      </c>
      <c r="Z175" s="460" t="s">
        <v>1816</v>
      </c>
      <c r="AA175" s="453"/>
      <c r="AB175" s="453"/>
      <c r="AC175" s="458"/>
      <c r="AD175" s="458"/>
      <c r="AE175" s="532"/>
      <c r="AF175" s="531"/>
      <c r="AG175" s="455"/>
      <c r="AH175" s="461"/>
      <c r="AI175" s="533"/>
    </row>
    <row r="176" spans="2:35" ht="15" customHeight="1">
      <c r="B176" s="366">
        <f t="shared" si="7"/>
        <v>166</v>
      </c>
      <c r="C176" s="289" t="s">
        <v>416</v>
      </c>
      <c r="D176" s="446" t="s">
        <v>270</v>
      </c>
      <c r="E176" s="451" t="s">
        <v>307</v>
      </c>
      <c r="F176" s="520" t="s">
        <v>745</v>
      </c>
      <c r="G176" s="535" t="s">
        <v>478</v>
      </c>
      <c r="H176" s="518" t="s">
        <v>586</v>
      </c>
      <c r="I176" s="521">
        <v>1</v>
      </c>
      <c r="J176" s="522">
        <v>1</v>
      </c>
      <c r="K176" s="450" t="s">
        <v>1493</v>
      </c>
      <c r="L176" s="450" t="s">
        <v>1539</v>
      </c>
      <c r="M176" s="450" t="s">
        <v>1540</v>
      </c>
      <c r="N176" s="523" t="s">
        <v>1997</v>
      </c>
      <c r="O176" s="524" t="s">
        <v>1998</v>
      </c>
      <c r="P176" s="525"/>
      <c r="Q176" s="526">
        <v>366.46</v>
      </c>
      <c r="R176" s="527"/>
      <c r="S176" s="528">
        <v>1</v>
      </c>
      <c r="T176" s="529" t="s">
        <v>745</v>
      </c>
      <c r="U176" s="530" t="s">
        <v>1440</v>
      </c>
      <c r="V176" s="531" t="s">
        <v>448</v>
      </c>
      <c r="W176" s="453" t="s">
        <v>196</v>
      </c>
      <c r="X176" s="455">
        <v>1636000000</v>
      </c>
      <c r="Y176" s="455">
        <v>1636000000</v>
      </c>
      <c r="Z176" s="460" t="s">
        <v>1816</v>
      </c>
      <c r="AA176" s="453"/>
      <c r="AB176" s="453"/>
      <c r="AC176" s="458"/>
      <c r="AD176" s="458"/>
      <c r="AE176" s="532"/>
      <c r="AF176" s="531"/>
      <c r="AG176" s="455"/>
      <c r="AH176" s="461"/>
      <c r="AI176" s="533"/>
    </row>
    <row r="177" spans="2:35" ht="15" customHeight="1">
      <c r="B177" s="366">
        <f t="shared" si="7"/>
        <v>167</v>
      </c>
      <c r="C177" s="289" t="s">
        <v>416</v>
      </c>
      <c r="D177" s="446" t="s">
        <v>270</v>
      </c>
      <c r="E177" s="451" t="s">
        <v>307</v>
      </c>
      <c r="F177" s="520" t="s">
        <v>745</v>
      </c>
      <c r="G177" s="535" t="s">
        <v>478</v>
      </c>
      <c r="H177" s="518" t="s">
        <v>630</v>
      </c>
      <c r="I177" s="521">
        <v>1</v>
      </c>
      <c r="J177" s="522">
        <v>2</v>
      </c>
      <c r="K177" s="450" t="s">
        <v>1493</v>
      </c>
      <c r="L177" s="450" t="s">
        <v>1539</v>
      </c>
      <c r="M177" s="450" t="s">
        <v>1540</v>
      </c>
      <c r="N177" s="523" t="s">
        <v>1997</v>
      </c>
      <c r="O177" s="524" t="s">
        <v>176</v>
      </c>
      <c r="P177" s="525">
        <v>2000</v>
      </c>
      <c r="Q177" s="526"/>
      <c r="R177" s="527"/>
      <c r="S177" s="528">
        <v>1</v>
      </c>
      <c r="T177" s="529" t="s">
        <v>745</v>
      </c>
      <c r="U177" s="530" t="s">
        <v>1440</v>
      </c>
      <c r="V177" s="531" t="s">
        <v>448</v>
      </c>
      <c r="W177" s="453" t="s">
        <v>196</v>
      </c>
      <c r="X177" s="455">
        <v>1636000000</v>
      </c>
      <c r="Y177" s="455">
        <v>1636000000</v>
      </c>
      <c r="Z177" s="460" t="s">
        <v>1816</v>
      </c>
      <c r="AA177" s="453"/>
      <c r="AB177" s="453"/>
      <c r="AC177" s="458"/>
      <c r="AD177" s="458"/>
      <c r="AE177" s="532"/>
      <c r="AF177" s="531"/>
      <c r="AG177" s="455"/>
      <c r="AH177" s="461"/>
      <c r="AI177" s="533"/>
    </row>
    <row r="178" spans="2:35" ht="15" customHeight="1">
      <c r="B178" s="366">
        <f t="shared" si="7"/>
        <v>168</v>
      </c>
      <c r="C178" s="289" t="s">
        <v>416</v>
      </c>
      <c r="D178" s="446" t="s">
        <v>270</v>
      </c>
      <c r="E178" s="451" t="s">
        <v>306</v>
      </c>
      <c r="F178" s="520" t="s">
        <v>746</v>
      </c>
      <c r="G178" s="535" t="s">
        <v>479</v>
      </c>
      <c r="H178" s="518" t="s">
        <v>587</v>
      </c>
      <c r="I178" s="521">
        <v>1</v>
      </c>
      <c r="J178" s="522">
        <v>1</v>
      </c>
      <c r="K178" s="450" t="s">
        <v>191</v>
      </c>
      <c r="L178" s="450" t="s">
        <v>319</v>
      </c>
      <c r="M178" s="450" t="s">
        <v>1542</v>
      </c>
      <c r="N178" s="523" t="s">
        <v>1999</v>
      </c>
      <c r="O178" s="524" t="s">
        <v>2000</v>
      </c>
      <c r="P178" s="525"/>
      <c r="Q178" s="526">
        <v>1148.3</v>
      </c>
      <c r="R178" s="527"/>
      <c r="S178" s="528">
        <v>1</v>
      </c>
      <c r="T178" s="529" t="s">
        <v>746</v>
      </c>
      <c r="U178" s="530">
        <v>1</v>
      </c>
      <c r="V178" s="531" t="s">
        <v>442</v>
      </c>
      <c r="W178" s="453" t="s">
        <v>196</v>
      </c>
      <c r="X178" s="455">
        <v>1014000000</v>
      </c>
      <c r="Y178" s="455">
        <v>1014000000</v>
      </c>
      <c r="Z178" s="460" t="s">
        <v>1816</v>
      </c>
      <c r="AA178" s="453"/>
      <c r="AB178" s="453"/>
      <c r="AC178" s="458"/>
      <c r="AD178" s="458"/>
      <c r="AE178" s="532"/>
      <c r="AF178" s="531"/>
      <c r="AG178" s="455"/>
      <c r="AH178" s="461"/>
      <c r="AI178" s="533"/>
    </row>
    <row r="179" spans="2:35" ht="15" customHeight="1">
      <c r="B179" s="366">
        <f t="shared" si="7"/>
        <v>169</v>
      </c>
      <c r="C179" s="289" t="s">
        <v>416</v>
      </c>
      <c r="D179" s="446" t="s">
        <v>270</v>
      </c>
      <c r="E179" s="451" t="s">
        <v>306</v>
      </c>
      <c r="F179" s="520" t="s">
        <v>746</v>
      </c>
      <c r="G179" s="535" t="s">
        <v>479</v>
      </c>
      <c r="H179" s="518" t="s">
        <v>631</v>
      </c>
      <c r="I179" s="521">
        <v>1</v>
      </c>
      <c r="J179" s="522">
        <v>2</v>
      </c>
      <c r="K179" s="450" t="s">
        <v>191</v>
      </c>
      <c r="L179" s="450" t="s">
        <v>319</v>
      </c>
      <c r="M179" s="450" t="s">
        <v>1542</v>
      </c>
      <c r="N179" s="523" t="s">
        <v>2001</v>
      </c>
      <c r="O179" s="524" t="s">
        <v>176</v>
      </c>
      <c r="P179" s="525">
        <v>989</v>
      </c>
      <c r="Q179" s="526"/>
      <c r="R179" s="527"/>
      <c r="S179" s="528">
        <v>1</v>
      </c>
      <c r="T179" s="529" t="s">
        <v>746</v>
      </c>
      <c r="U179" s="530">
        <v>1</v>
      </c>
      <c r="V179" s="531" t="s">
        <v>442</v>
      </c>
      <c r="W179" s="453" t="s">
        <v>196</v>
      </c>
      <c r="X179" s="455">
        <v>1014000000</v>
      </c>
      <c r="Y179" s="455">
        <v>1014000000</v>
      </c>
      <c r="Z179" s="460" t="s">
        <v>1816</v>
      </c>
      <c r="AA179" s="453"/>
      <c r="AB179" s="453"/>
      <c r="AC179" s="458"/>
      <c r="AD179" s="458"/>
      <c r="AE179" s="532"/>
      <c r="AF179" s="531"/>
      <c r="AG179" s="455"/>
      <c r="AH179" s="461"/>
      <c r="AI179" s="533"/>
    </row>
    <row r="180" spans="2:35" ht="15" customHeight="1">
      <c r="B180" s="366">
        <f t="shared" si="7"/>
        <v>170</v>
      </c>
      <c r="C180" s="289" t="s">
        <v>416</v>
      </c>
      <c r="D180" s="446" t="s">
        <v>270</v>
      </c>
      <c r="E180" s="451" t="s">
        <v>306</v>
      </c>
      <c r="F180" s="520" t="s">
        <v>746</v>
      </c>
      <c r="G180" s="535" t="s">
        <v>479</v>
      </c>
      <c r="H180" s="518" t="s">
        <v>696</v>
      </c>
      <c r="I180" s="521">
        <v>1</v>
      </c>
      <c r="J180" s="522">
        <v>3</v>
      </c>
      <c r="K180" s="450" t="s">
        <v>191</v>
      </c>
      <c r="L180" s="450" t="s">
        <v>319</v>
      </c>
      <c r="M180" s="450" t="s">
        <v>1542</v>
      </c>
      <c r="N180" s="523" t="s">
        <v>2002</v>
      </c>
      <c r="O180" s="524" t="s">
        <v>176</v>
      </c>
      <c r="P180" s="525">
        <v>148</v>
      </c>
      <c r="Q180" s="526"/>
      <c r="R180" s="527"/>
      <c r="S180" s="528">
        <v>1</v>
      </c>
      <c r="T180" s="529" t="s">
        <v>746</v>
      </c>
      <c r="U180" s="530">
        <v>1</v>
      </c>
      <c r="V180" s="531" t="s">
        <v>442</v>
      </c>
      <c r="W180" s="453" t="s">
        <v>196</v>
      </c>
      <c r="X180" s="455">
        <v>1014000000</v>
      </c>
      <c r="Y180" s="455">
        <v>1014000000</v>
      </c>
      <c r="Z180" s="460" t="s">
        <v>1816</v>
      </c>
      <c r="AA180" s="453"/>
      <c r="AB180" s="453"/>
      <c r="AC180" s="458"/>
      <c r="AD180" s="458"/>
      <c r="AE180" s="532"/>
      <c r="AF180" s="531"/>
      <c r="AG180" s="455"/>
      <c r="AH180" s="461"/>
      <c r="AI180" s="533"/>
    </row>
    <row r="181" spans="2:35" ht="15" customHeight="1">
      <c r="B181" s="366">
        <f t="shared" si="7"/>
        <v>171</v>
      </c>
      <c r="C181" s="289" t="s">
        <v>416</v>
      </c>
      <c r="D181" s="446" t="s">
        <v>270</v>
      </c>
      <c r="E181" s="451" t="s">
        <v>306</v>
      </c>
      <c r="F181" s="520" t="s">
        <v>746</v>
      </c>
      <c r="G181" s="535" t="s">
        <v>479</v>
      </c>
      <c r="H181" s="518" t="s">
        <v>697</v>
      </c>
      <c r="I181" s="521">
        <v>1</v>
      </c>
      <c r="J181" s="522">
        <v>4</v>
      </c>
      <c r="K181" s="450" t="s">
        <v>191</v>
      </c>
      <c r="L181" s="450" t="s">
        <v>319</v>
      </c>
      <c r="M181" s="450" t="s">
        <v>1542</v>
      </c>
      <c r="N181" s="523" t="s">
        <v>2003</v>
      </c>
      <c r="O181" s="524" t="s">
        <v>176</v>
      </c>
      <c r="P181" s="525">
        <v>288</v>
      </c>
      <c r="Q181" s="526"/>
      <c r="R181" s="527"/>
      <c r="S181" s="528">
        <v>1</v>
      </c>
      <c r="T181" s="529" t="s">
        <v>746</v>
      </c>
      <c r="U181" s="530">
        <v>1</v>
      </c>
      <c r="V181" s="531" t="s">
        <v>442</v>
      </c>
      <c r="W181" s="453" t="s">
        <v>196</v>
      </c>
      <c r="X181" s="455">
        <v>1014000000</v>
      </c>
      <c r="Y181" s="455">
        <v>1014000000</v>
      </c>
      <c r="Z181" s="460" t="s">
        <v>1816</v>
      </c>
      <c r="AA181" s="453"/>
      <c r="AB181" s="453"/>
      <c r="AC181" s="458"/>
      <c r="AD181" s="458"/>
      <c r="AE181" s="532"/>
      <c r="AF181" s="531"/>
      <c r="AG181" s="455"/>
      <c r="AH181" s="461"/>
      <c r="AI181" s="533"/>
    </row>
    <row r="182" spans="2:35" ht="15" customHeight="1">
      <c r="B182" s="366">
        <f t="shared" si="7"/>
        <v>172</v>
      </c>
      <c r="C182" s="289" t="s">
        <v>416</v>
      </c>
      <c r="D182" s="446" t="s">
        <v>270</v>
      </c>
      <c r="E182" s="451" t="s">
        <v>306</v>
      </c>
      <c r="F182" s="520" t="s">
        <v>746</v>
      </c>
      <c r="G182" s="535" t="s">
        <v>479</v>
      </c>
      <c r="H182" s="518" t="s">
        <v>698</v>
      </c>
      <c r="I182" s="521">
        <v>1</v>
      </c>
      <c r="J182" s="522">
        <v>5</v>
      </c>
      <c r="K182" s="450" t="s">
        <v>191</v>
      </c>
      <c r="L182" s="450" t="s">
        <v>319</v>
      </c>
      <c r="M182" s="450" t="s">
        <v>1542</v>
      </c>
      <c r="N182" s="523" t="s">
        <v>2004</v>
      </c>
      <c r="O182" s="524" t="s">
        <v>176</v>
      </c>
      <c r="P182" s="525">
        <v>558</v>
      </c>
      <c r="Q182" s="526"/>
      <c r="R182" s="527"/>
      <c r="S182" s="528">
        <v>1</v>
      </c>
      <c r="T182" s="529" t="s">
        <v>746</v>
      </c>
      <c r="U182" s="530">
        <v>1</v>
      </c>
      <c r="V182" s="531" t="s">
        <v>442</v>
      </c>
      <c r="W182" s="453" t="s">
        <v>196</v>
      </c>
      <c r="X182" s="455">
        <v>1014000000</v>
      </c>
      <c r="Y182" s="455">
        <v>1014000000</v>
      </c>
      <c r="Z182" s="460" t="s">
        <v>1816</v>
      </c>
      <c r="AA182" s="453"/>
      <c r="AB182" s="453"/>
      <c r="AC182" s="458"/>
      <c r="AD182" s="458"/>
      <c r="AE182" s="532"/>
      <c r="AF182" s="531"/>
      <c r="AG182" s="455"/>
      <c r="AH182" s="461"/>
      <c r="AI182" s="533"/>
    </row>
    <row r="183" spans="2:35" ht="15" customHeight="1">
      <c r="B183" s="366">
        <f t="shared" si="7"/>
        <v>173</v>
      </c>
      <c r="C183" s="289" t="s">
        <v>416</v>
      </c>
      <c r="D183" s="446" t="s">
        <v>270</v>
      </c>
      <c r="E183" s="451" t="s">
        <v>306</v>
      </c>
      <c r="F183" s="520" t="s">
        <v>746</v>
      </c>
      <c r="G183" s="535" t="s">
        <v>1689</v>
      </c>
      <c r="H183" s="518" t="s">
        <v>2199</v>
      </c>
      <c r="I183" s="521">
        <v>2</v>
      </c>
      <c r="J183" s="522">
        <v>1</v>
      </c>
      <c r="K183" s="450" t="s">
        <v>186</v>
      </c>
      <c r="L183" s="450" t="s">
        <v>287</v>
      </c>
      <c r="M183" s="450" t="s">
        <v>1543</v>
      </c>
      <c r="N183" s="523" t="s">
        <v>1544</v>
      </c>
      <c r="O183" s="524" t="s">
        <v>2005</v>
      </c>
      <c r="P183" s="525">
        <v>6569</v>
      </c>
      <c r="Q183" s="526">
        <v>222.97749999999999</v>
      </c>
      <c r="R183" s="527">
        <v>1.0632333688537068E-2</v>
      </c>
      <c r="S183" s="528">
        <v>1</v>
      </c>
      <c r="T183" s="529" t="s">
        <v>746</v>
      </c>
      <c r="U183" s="530">
        <v>1</v>
      </c>
      <c r="V183" s="531" t="s">
        <v>442</v>
      </c>
      <c r="W183" s="453" t="s">
        <v>196</v>
      </c>
      <c r="X183" s="455">
        <v>804000000</v>
      </c>
      <c r="Y183" s="455">
        <v>804000000</v>
      </c>
      <c r="Z183" s="460" t="s">
        <v>1816</v>
      </c>
      <c r="AA183" s="453"/>
      <c r="AB183" s="453"/>
      <c r="AC183" s="458"/>
      <c r="AD183" s="458"/>
      <c r="AE183" s="532"/>
      <c r="AF183" s="531"/>
      <c r="AG183" s="455"/>
      <c r="AH183" s="461"/>
      <c r="AI183" s="533"/>
    </row>
    <row r="184" spans="2:35" ht="15" customHeight="1">
      <c r="B184" s="366">
        <f t="shared" si="7"/>
        <v>174</v>
      </c>
      <c r="C184" s="289" t="s">
        <v>416</v>
      </c>
      <c r="D184" s="446" t="s">
        <v>270</v>
      </c>
      <c r="E184" s="451" t="s">
        <v>301</v>
      </c>
      <c r="F184" s="520" t="s">
        <v>747</v>
      </c>
      <c r="G184" s="535" t="s">
        <v>480</v>
      </c>
      <c r="H184" s="518" t="s">
        <v>588</v>
      </c>
      <c r="I184" s="521">
        <v>1</v>
      </c>
      <c r="J184" s="522">
        <v>1</v>
      </c>
      <c r="K184" s="450" t="s">
        <v>189</v>
      </c>
      <c r="L184" s="450" t="s">
        <v>226</v>
      </c>
      <c r="M184" s="450" t="s">
        <v>1545</v>
      </c>
      <c r="N184" s="523" t="s">
        <v>1546</v>
      </c>
      <c r="O184" s="524" t="s">
        <v>2006</v>
      </c>
      <c r="P184" s="525">
        <v>150567</v>
      </c>
      <c r="Q184" s="526">
        <v>144.12299999999999</v>
      </c>
      <c r="R184" s="527">
        <v>5.3643892752063861E-4</v>
      </c>
      <c r="S184" s="528">
        <v>1</v>
      </c>
      <c r="T184" s="529" t="s">
        <v>2007</v>
      </c>
      <c r="U184" s="530">
        <v>2</v>
      </c>
      <c r="V184" s="531" t="s">
        <v>442</v>
      </c>
      <c r="W184" s="453" t="s">
        <v>196</v>
      </c>
      <c r="X184" s="455">
        <v>600000000</v>
      </c>
      <c r="Y184" s="455">
        <v>600000000</v>
      </c>
      <c r="Z184" s="460" t="s">
        <v>1816</v>
      </c>
      <c r="AA184" s="453">
        <v>1</v>
      </c>
      <c r="AB184" s="453" t="s">
        <v>196</v>
      </c>
      <c r="AC184" s="458">
        <v>800000000</v>
      </c>
      <c r="AD184" s="458">
        <v>800000000</v>
      </c>
      <c r="AE184" s="532"/>
      <c r="AF184" s="531"/>
      <c r="AG184" s="455"/>
      <c r="AH184" s="461"/>
      <c r="AI184" s="533"/>
    </row>
    <row r="185" spans="2:35" ht="15" customHeight="1">
      <c r="B185" s="366">
        <f t="shared" si="7"/>
        <v>175</v>
      </c>
      <c r="C185" s="289" t="s">
        <v>416</v>
      </c>
      <c r="D185" s="446" t="s">
        <v>270</v>
      </c>
      <c r="E185" s="451" t="s">
        <v>298</v>
      </c>
      <c r="F185" s="520" t="s">
        <v>748</v>
      </c>
      <c r="G185" s="535" t="s">
        <v>481</v>
      </c>
      <c r="H185" s="518" t="s">
        <v>589</v>
      </c>
      <c r="I185" s="521">
        <v>1</v>
      </c>
      <c r="J185" s="522">
        <v>1</v>
      </c>
      <c r="K185" s="450" t="s">
        <v>245</v>
      </c>
      <c r="L185" s="450" t="s">
        <v>653</v>
      </c>
      <c r="M185" s="450" t="s">
        <v>1547</v>
      </c>
      <c r="N185" s="523" t="s">
        <v>2008</v>
      </c>
      <c r="O185" s="524" t="s">
        <v>2009</v>
      </c>
      <c r="P185" s="525"/>
      <c r="Q185" s="526">
        <v>1692.98</v>
      </c>
      <c r="R185" s="527"/>
      <c r="S185" s="528">
        <v>1</v>
      </c>
      <c r="T185" s="529" t="s">
        <v>748</v>
      </c>
      <c r="U185" s="530" t="s">
        <v>257</v>
      </c>
      <c r="V185" s="531" t="s">
        <v>447</v>
      </c>
      <c r="W185" s="453" t="s">
        <v>196</v>
      </c>
      <c r="X185" s="455">
        <v>2076000000</v>
      </c>
      <c r="Y185" s="455">
        <v>2076000000</v>
      </c>
      <c r="Z185" s="460" t="s">
        <v>1816</v>
      </c>
      <c r="AA185" s="453"/>
      <c r="AB185" s="453"/>
      <c r="AC185" s="458"/>
      <c r="AD185" s="458"/>
      <c r="AE185" s="532"/>
      <c r="AF185" s="531"/>
      <c r="AG185" s="455"/>
      <c r="AH185" s="461"/>
      <c r="AI185" s="533"/>
    </row>
    <row r="186" spans="2:35" ht="15" customHeight="1">
      <c r="B186" s="366">
        <f t="shared" si="7"/>
        <v>176</v>
      </c>
      <c r="C186" s="289" t="s">
        <v>416</v>
      </c>
      <c r="D186" s="446" t="s">
        <v>270</v>
      </c>
      <c r="E186" s="451" t="s">
        <v>298</v>
      </c>
      <c r="F186" s="520" t="s">
        <v>748</v>
      </c>
      <c r="G186" s="535" t="s">
        <v>481</v>
      </c>
      <c r="H186" s="518" t="s">
        <v>590</v>
      </c>
      <c r="I186" s="521">
        <v>1</v>
      </c>
      <c r="J186" s="522">
        <v>2</v>
      </c>
      <c r="K186" s="450" t="s">
        <v>245</v>
      </c>
      <c r="L186" s="450" t="s">
        <v>653</v>
      </c>
      <c r="M186" s="450" t="s">
        <v>1547</v>
      </c>
      <c r="N186" s="523" t="s">
        <v>2010</v>
      </c>
      <c r="O186" s="524" t="s">
        <v>176</v>
      </c>
      <c r="P186" s="525">
        <v>5514</v>
      </c>
      <c r="Q186" s="526"/>
      <c r="R186" s="527"/>
      <c r="S186" s="528">
        <v>1</v>
      </c>
      <c r="T186" s="529" t="s">
        <v>748</v>
      </c>
      <c r="U186" s="530" t="s">
        <v>257</v>
      </c>
      <c r="V186" s="531" t="s">
        <v>447</v>
      </c>
      <c r="W186" s="453" t="s">
        <v>196</v>
      </c>
      <c r="X186" s="455">
        <v>2076000000</v>
      </c>
      <c r="Y186" s="455">
        <v>2076000000</v>
      </c>
      <c r="Z186" s="460" t="s">
        <v>1816</v>
      </c>
      <c r="AA186" s="453"/>
      <c r="AB186" s="453"/>
      <c r="AC186" s="458"/>
      <c r="AD186" s="458"/>
      <c r="AE186" s="532"/>
      <c r="AF186" s="531"/>
      <c r="AG186" s="455"/>
      <c r="AH186" s="461"/>
      <c r="AI186" s="533"/>
    </row>
    <row r="187" spans="2:35" ht="15" customHeight="1">
      <c r="B187" s="366">
        <f t="shared" ref="B187:B219" si="8">ROW()-10</f>
        <v>177</v>
      </c>
      <c r="C187" s="289" t="s">
        <v>416</v>
      </c>
      <c r="D187" s="446" t="s">
        <v>270</v>
      </c>
      <c r="E187" s="451" t="s">
        <v>298</v>
      </c>
      <c r="F187" s="520" t="s">
        <v>748</v>
      </c>
      <c r="G187" s="535" t="s">
        <v>481</v>
      </c>
      <c r="H187" s="518" t="s">
        <v>699</v>
      </c>
      <c r="I187" s="521">
        <v>1</v>
      </c>
      <c r="J187" s="522">
        <v>3</v>
      </c>
      <c r="K187" s="450" t="s">
        <v>245</v>
      </c>
      <c r="L187" s="450" t="s">
        <v>653</v>
      </c>
      <c r="M187" s="450" t="s">
        <v>1547</v>
      </c>
      <c r="N187" s="523" t="s">
        <v>2011</v>
      </c>
      <c r="O187" s="524" t="s">
        <v>214</v>
      </c>
      <c r="P187" s="525">
        <v>465</v>
      </c>
      <c r="Q187" s="526"/>
      <c r="R187" s="527"/>
      <c r="S187" s="528">
        <v>0.01</v>
      </c>
      <c r="T187" s="529" t="s">
        <v>748</v>
      </c>
      <c r="U187" s="530" t="s">
        <v>257</v>
      </c>
      <c r="V187" s="531" t="s">
        <v>447</v>
      </c>
      <c r="W187" s="453" t="s">
        <v>196</v>
      </c>
      <c r="X187" s="455">
        <v>2076000000</v>
      </c>
      <c r="Y187" s="455">
        <v>2076000000</v>
      </c>
      <c r="Z187" s="460" t="s">
        <v>1816</v>
      </c>
      <c r="AA187" s="453"/>
      <c r="AB187" s="453"/>
      <c r="AC187" s="458"/>
      <c r="AD187" s="458"/>
      <c r="AE187" s="532"/>
      <c r="AF187" s="531"/>
      <c r="AG187" s="455"/>
      <c r="AH187" s="461"/>
      <c r="AI187" s="533"/>
    </row>
    <row r="188" spans="2:35" ht="15" customHeight="1">
      <c r="B188" s="366">
        <f t="shared" si="8"/>
        <v>178</v>
      </c>
      <c r="C188" s="289" t="s">
        <v>416</v>
      </c>
      <c r="D188" s="446" t="s">
        <v>270</v>
      </c>
      <c r="E188" s="451" t="s">
        <v>298</v>
      </c>
      <c r="F188" s="520" t="s">
        <v>748</v>
      </c>
      <c r="G188" s="535" t="s">
        <v>481</v>
      </c>
      <c r="H188" s="518" t="s">
        <v>2200</v>
      </c>
      <c r="I188" s="521">
        <v>1</v>
      </c>
      <c r="J188" s="522">
        <v>4</v>
      </c>
      <c r="K188" s="450" t="s">
        <v>245</v>
      </c>
      <c r="L188" s="450" t="s">
        <v>653</v>
      </c>
      <c r="M188" s="450" t="s">
        <v>1547</v>
      </c>
      <c r="N188" s="523" t="s">
        <v>2012</v>
      </c>
      <c r="O188" s="524" t="s">
        <v>214</v>
      </c>
      <c r="P188" s="525">
        <v>466</v>
      </c>
      <c r="Q188" s="526"/>
      <c r="R188" s="527"/>
      <c r="S188" s="528">
        <v>0.01</v>
      </c>
      <c r="T188" s="529" t="s">
        <v>748</v>
      </c>
      <c r="U188" s="530" t="s">
        <v>257</v>
      </c>
      <c r="V188" s="531" t="s">
        <v>447</v>
      </c>
      <c r="W188" s="453" t="s">
        <v>196</v>
      </c>
      <c r="X188" s="455">
        <v>2076000000</v>
      </c>
      <c r="Y188" s="455">
        <v>2076000000</v>
      </c>
      <c r="Z188" s="460" t="s">
        <v>1816</v>
      </c>
      <c r="AA188" s="453"/>
      <c r="AB188" s="453"/>
      <c r="AC188" s="458"/>
      <c r="AD188" s="458"/>
      <c r="AE188" s="532"/>
      <c r="AF188" s="531"/>
      <c r="AG188" s="455"/>
      <c r="AH188" s="461"/>
      <c r="AI188" s="533"/>
    </row>
    <row r="189" spans="2:35" ht="15" customHeight="1">
      <c r="B189" s="366">
        <f t="shared" si="8"/>
        <v>179</v>
      </c>
      <c r="C189" s="289" t="s">
        <v>416</v>
      </c>
      <c r="D189" s="446" t="s">
        <v>270</v>
      </c>
      <c r="E189" s="451" t="s">
        <v>298</v>
      </c>
      <c r="F189" s="520" t="s">
        <v>748</v>
      </c>
      <c r="G189" s="535" t="s">
        <v>481</v>
      </c>
      <c r="H189" s="518" t="s">
        <v>2201</v>
      </c>
      <c r="I189" s="521">
        <v>1</v>
      </c>
      <c r="J189" s="522">
        <v>5</v>
      </c>
      <c r="K189" s="450" t="s">
        <v>245</v>
      </c>
      <c r="L189" s="450" t="s">
        <v>653</v>
      </c>
      <c r="M189" s="450" t="s">
        <v>1547</v>
      </c>
      <c r="N189" s="523" t="s">
        <v>2013</v>
      </c>
      <c r="O189" s="524" t="s">
        <v>177</v>
      </c>
      <c r="P189" s="525">
        <v>85</v>
      </c>
      <c r="Q189" s="526"/>
      <c r="R189" s="527"/>
      <c r="S189" s="528">
        <v>1</v>
      </c>
      <c r="T189" s="529" t="s">
        <v>748</v>
      </c>
      <c r="U189" s="530" t="s">
        <v>257</v>
      </c>
      <c r="V189" s="531" t="s">
        <v>447</v>
      </c>
      <c r="W189" s="453" t="s">
        <v>196</v>
      </c>
      <c r="X189" s="455">
        <v>2076000000</v>
      </c>
      <c r="Y189" s="455">
        <v>2076000000</v>
      </c>
      <c r="Z189" s="460" t="s">
        <v>1816</v>
      </c>
      <c r="AA189" s="453"/>
      <c r="AB189" s="453"/>
      <c r="AC189" s="458"/>
      <c r="AD189" s="458"/>
      <c r="AE189" s="532"/>
      <c r="AF189" s="531"/>
      <c r="AG189" s="455"/>
      <c r="AH189" s="461"/>
      <c r="AI189" s="533"/>
    </row>
    <row r="190" spans="2:35" ht="15" customHeight="1">
      <c r="B190" s="366">
        <f t="shared" si="8"/>
        <v>180</v>
      </c>
      <c r="C190" s="289" t="s">
        <v>416</v>
      </c>
      <c r="D190" s="446" t="s">
        <v>270</v>
      </c>
      <c r="E190" s="451" t="s">
        <v>298</v>
      </c>
      <c r="F190" s="520" t="s">
        <v>748</v>
      </c>
      <c r="G190" s="535" t="s">
        <v>481</v>
      </c>
      <c r="H190" s="518" t="s">
        <v>2202</v>
      </c>
      <c r="I190" s="521">
        <v>1</v>
      </c>
      <c r="J190" s="522">
        <v>6</v>
      </c>
      <c r="K190" s="450" t="s">
        <v>245</v>
      </c>
      <c r="L190" s="450" t="s">
        <v>653</v>
      </c>
      <c r="M190" s="450" t="s">
        <v>1547</v>
      </c>
      <c r="N190" s="523" t="s">
        <v>2014</v>
      </c>
      <c r="O190" s="524" t="s">
        <v>177</v>
      </c>
      <c r="P190" s="525">
        <v>2900</v>
      </c>
      <c r="Q190" s="526"/>
      <c r="R190" s="527"/>
      <c r="S190" s="528">
        <v>1</v>
      </c>
      <c r="T190" s="529" t="s">
        <v>748</v>
      </c>
      <c r="U190" s="530" t="s">
        <v>257</v>
      </c>
      <c r="V190" s="531" t="s">
        <v>447</v>
      </c>
      <c r="W190" s="453" t="s">
        <v>196</v>
      </c>
      <c r="X190" s="455">
        <v>2076000000</v>
      </c>
      <c r="Y190" s="455">
        <v>2076000000</v>
      </c>
      <c r="Z190" s="460" t="s">
        <v>1816</v>
      </c>
      <c r="AA190" s="453"/>
      <c r="AB190" s="453"/>
      <c r="AC190" s="458"/>
      <c r="AD190" s="458"/>
      <c r="AE190" s="532"/>
      <c r="AF190" s="531"/>
      <c r="AG190" s="455"/>
      <c r="AH190" s="461"/>
      <c r="AI190" s="533"/>
    </row>
    <row r="191" spans="2:35" ht="15" customHeight="1">
      <c r="B191" s="366">
        <f t="shared" si="8"/>
        <v>181</v>
      </c>
      <c r="C191" s="289" t="s">
        <v>416</v>
      </c>
      <c r="D191" s="446" t="s">
        <v>270</v>
      </c>
      <c r="E191" s="451" t="s">
        <v>298</v>
      </c>
      <c r="F191" s="520" t="s">
        <v>748</v>
      </c>
      <c r="G191" s="535" t="s">
        <v>481</v>
      </c>
      <c r="H191" s="518" t="s">
        <v>2203</v>
      </c>
      <c r="I191" s="521">
        <v>1</v>
      </c>
      <c r="J191" s="522">
        <v>7</v>
      </c>
      <c r="K191" s="450" t="s">
        <v>245</v>
      </c>
      <c r="L191" s="450" t="s">
        <v>653</v>
      </c>
      <c r="M191" s="450" t="s">
        <v>1547</v>
      </c>
      <c r="N191" s="523" t="s">
        <v>2015</v>
      </c>
      <c r="O191" s="524" t="s">
        <v>177</v>
      </c>
      <c r="P191" s="525">
        <v>550</v>
      </c>
      <c r="Q191" s="526"/>
      <c r="R191" s="527"/>
      <c r="S191" s="528">
        <v>0.01</v>
      </c>
      <c r="T191" s="529" t="s">
        <v>748</v>
      </c>
      <c r="U191" s="530" t="s">
        <v>257</v>
      </c>
      <c r="V191" s="531" t="s">
        <v>447</v>
      </c>
      <c r="W191" s="453" t="s">
        <v>196</v>
      </c>
      <c r="X191" s="455">
        <v>2076000000</v>
      </c>
      <c r="Y191" s="455">
        <v>2076000000</v>
      </c>
      <c r="Z191" s="460" t="s">
        <v>1816</v>
      </c>
      <c r="AA191" s="453"/>
      <c r="AB191" s="453"/>
      <c r="AC191" s="458"/>
      <c r="AD191" s="458"/>
      <c r="AE191" s="532"/>
      <c r="AF191" s="531"/>
      <c r="AG191" s="455"/>
      <c r="AH191" s="461"/>
      <c r="AI191" s="533"/>
    </row>
    <row r="192" spans="2:35" ht="15" customHeight="1">
      <c r="B192" s="366">
        <f t="shared" si="8"/>
        <v>182</v>
      </c>
      <c r="C192" s="289" t="s">
        <v>416</v>
      </c>
      <c r="D192" s="446" t="s">
        <v>270</v>
      </c>
      <c r="E192" s="451" t="s">
        <v>296</v>
      </c>
      <c r="F192" s="520" t="s">
        <v>749</v>
      </c>
      <c r="G192" s="535" t="s">
        <v>482</v>
      </c>
      <c r="H192" s="518" t="s">
        <v>591</v>
      </c>
      <c r="I192" s="521">
        <v>1</v>
      </c>
      <c r="J192" s="522">
        <v>1</v>
      </c>
      <c r="K192" s="450" t="s">
        <v>190</v>
      </c>
      <c r="L192" s="450" t="s">
        <v>226</v>
      </c>
      <c r="M192" s="450" t="s">
        <v>1551</v>
      </c>
      <c r="N192" s="523" t="s">
        <v>2016</v>
      </c>
      <c r="O192" s="524" t="s">
        <v>2017</v>
      </c>
      <c r="P192" s="525"/>
      <c r="Q192" s="526">
        <v>444.65</v>
      </c>
      <c r="R192" s="527"/>
      <c r="S192" s="528">
        <v>1</v>
      </c>
      <c r="T192" s="529" t="s">
        <v>749</v>
      </c>
      <c r="U192" s="530">
        <v>1</v>
      </c>
      <c r="V192" s="531" t="s">
        <v>442</v>
      </c>
      <c r="W192" s="453" t="s">
        <v>196</v>
      </c>
      <c r="X192" s="455">
        <v>1680000000</v>
      </c>
      <c r="Y192" s="455">
        <v>1680000000</v>
      </c>
      <c r="Z192" s="460" t="s">
        <v>1816</v>
      </c>
      <c r="AA192" s="453"/>
      <c r="AB192" s="453"/>
      <c r="AC192" s="458"/>
      <c r="AD192" s="458"/>
      <c r="AE192" s="532"/>
      <c r="AF192" s="531"/>
      <c r="AG192" s="455"/>
      <c r="AH192" s="461"/>
      <c r="AI192" s="533"/>
    </row>
    <row r="193" spans="2:35" ht="15" customHeight="1">
      <c r="B193" s="366">
        <f t="shared" si="8"/>
        <v>183</v>
      </c>
      <c r="C193" s="289" t="s">
        <v>416</v>
      </c>
      <c r="D193" s="446" t="s">
        <v>270</v>
      </c>
      <c r="E193" s="451" t="s">
        <v>296</v>
      </c>
      <c r="F193" s="520" t="s">
        <v>749</v>
      </c>
      <c r="G193" s="535" t="s">
        <v>482</v>
      </c>
      <c r="H193" s="518" t="s">
        <v>2204</v>
      </c>
      <c r="I193" s="521">
        <v>1</v>
      </c>
      <c r="J193" s="522">
        <v>2</v>
      </c>
      <c r="K193" s="450" t="s">
        <v>190</v>
      </c>
      <c r="L193" s="450" t="s">
        <v>226</v>
      </c>
      <c r="M193" s="450" t="s">
        <v>1551</v>
      </c>
      <c r="N193" s="523" t="s">
        <v>2016</v>
      </c>
      <c r="O193" s="524" t="s">
        <v>215</v>
      </c>
      <c r="P193" s="525">
        <v>783</v>
      </c>
      <c r="Q193" s="526"/>
      <c r="R193" s="527"/>
      <c r="S193" s="528">
        <v>1</v>
      </c>
      <c r="T193" s="529" t="s">
        <v>749</v>
      </c>
      <c r="U193" s="530">
        <v>1</v>
      </c>
      <c r="V193" s="531" t="s">
        <v>442</v>
      </c>
      <c r="W193" s="453" t="s">
        <v>196</v>
      </c>
      <c r="X193" s="455">
        <v>1680000000</v>
      </c>
      <c r="Y193" s="455">
        <v>1680000000</v>
      </c>
      <c r="Z193" s="460" t="s">
        <v>1816</v>
      </c>
      <c r="AA193" s="453"/>
      <c r="AB193" s="453"/>
      <c r="AC193" s="458"/>
      <c r="AD193" s="458"/>
      <c r="AE193" s="532"/>
      <c r="AF193" s="531"/>
      <c r="AG193" s="455"/>
      <c r="AH193" s="461"/>
      <c r="AI193" s="533"/>
    </row>
    <row r="194" spans="2:35" ht="15" customHeight="1">
      <c r="B194" s="366">
        <f t="shared" si="8"/>
        <v>184</v>
      </c>
      <c r="C194" s="289" t="s">
        <v>416</v>
      </c>
      <c r="D194" s="446" t="s">
        <v>270</v>
      </c>
      <c r="E194" s="451" t="s">
        <v>296</v>
      </c>
      <c r="F194" s="520" t="s">
        <v>749</v>
      </c>
      <c r="G194" s="535" t="s">
        <v>482</v>
      </c>
      <c r="H194" s="518" t="s">
        <v>2205</v>
      </c>
      <c r="I194" s="521">
        <v>1</v>
      </c>
      <c r="J194" s="522">
        <v>3</v>
      </c>
      <c r="K194" s="450" t="s">
        <v>190</v>
      </c>
      <c r="L194" s="450" t="s">
        <v>226</v>
      </c>
      <c r="M194" s="450" t="s">
        <v>1551</v>
      </c>
      <c r="N194" s="523" t="s">
        <v>2018</v>
      </c>
      <c r="O194" s="524" t="s">
        <v>280</v>
      </c>
      <c r="P194" s="525">
        <v>66</v>
      </c>
      <c r="Q194" s="526"/>
      <c r="R194" s="527"/>
      <c r="S194" s="528">
        <v>0.5</v>
      </c>
      <c r="T194" s="529" t="s">
        <v>749</v>
      </c>
      <c r="U194" s="530">
        <v>1</v>
      </c>
      <c r="V194" s="531" t="s">
        <v>442</v>
      </c>
      <c r="W194" s="453" t="s">
        <v>196</v>
      </c>
      <c r="X194" s="455">
        <v>1680000000</v>
      </c>
      <c r="Y194" s="455">
        <v>1680000000</v>
      </c>
      <c r="Z194" s="460" t="s">
        <v>1816</v>
      </c>
      <c r="AA194" s="453"/>
      <c r="AB194" s="453"/>
      <c r="AC194" s="458"/>
      <c r="AD194" s="458"/>
      <c r="AE194" s="532"/>
      <c r="AF194" s="531"/>
      <c r="AG194" s="455"/>
      <c r="AH194" s="461"/>
      <c r="AI194" s="533"/>
    </row>
    <row r="195" spans="2:35" ht="15" customHeight="1">
      <c r="B195" s="366">
        <f t="shared" si="8"/>
        <v>185</v>
      </c>
      <c r="C195" s="289" t="s">
        <v>416</v>
      </c>
      <c r="D195" s="446" t="s">
        <v>270</v>
      </c>
      <c r="E195" s="451" t="s">
        <v>304</v>
      </c>
      <c r="F195" s="520" t="s">
        <v>750</v>
      </c>
      <c r="G195" s="535" t="s">
        <v>483</v>
      </c>
      <c r="H195" s="518" t="s">
        <v>592</v>
      </c>
      <c r="I195" s="521">
        <v>1</v>
      </c>
      <c r="J195" s="522">
        <v>1</v>
      </c>
      <c r="K195" s="450" t="s">
        <v>187</v>
      </c>
      <c r="L195" s="450" t="s">
        <v>316</v>
      </c>
      <c r="M195" s="450" t="s">
        <v>1553</v>
      </c>
      <c r="N195" s="523" t="s">
        <v>2019</v>
      </c>
      <c r="O195" s="524" t="s">
        <v>2020</v>
      </c>
      <c r="P195" s="525"/>
      <c r="Q195" s="526">
        <v>1260.5999999999999</v>
      </c>
      <c r="R195" s="527"/>
      <c r="S195" s="528">
        <v>1</v>
      </c>
      <c r="T195" s="529" t="s">
        <v>2021</v>
      </c>
      <c r="U195" s="530" t="s">
        <v>257</v>
      </c>
      <c r="V195" s="531" t="s">
        <v>447</v>
      </c>
      <c r="W195" s="453" t="s">
        <v>196</v>
      </c>
      <c r="X195" s="455">
        <v>1000000000</v>
      </c>
      <c r="Y195" s="455">
        <v>1000000000</v>
      </c>
      <c r="Z195" s="460" t="s">
        <v>1816</v>
      </c>
      <c r="AA195" s="453"/>
      <c r="AB195" s="453"/>
      <c r="AC195" s="458"/>
      <c r="AD195" s="458"/>
      <c r="AE195" s="532"/>
      <c r="AF195" s="531"/>
      <c r="AG195" s="455"/>
      <c r="AH195" s="461"/>
      <c r="AI195" s="533"/>
    </row>
    <row r="196" spans="2:35" ht="15" customHeight="1">
      <c r="B196" s="366">
        <f t="shared" si="8"/>
        <v>186</v>
      </c>
      <c r="C196" s="289" t="s">
        <v>416</v>
      </c>
      <c r="D196" s="446" t="s">
        <v>270</v>
      </c>
      <c r="E196" s="451" t="s">
        <v>304</v>
      </c>
      <c r="F196" s="520" t="s">
        <v>750</v>
      </c>
      <c r="G196" s="535" t="s">
        <v>483</v>
      </c>
      <c r="H196" s="518" t="s">
        <v>593</v>
      </c>
      <c r="I196" s="521">
        <v>1</v>
      </c>
      <c r="J196" s="522">
        <v>2</v>
      </c>
      <c r="K196" s="450" t="s">
        <v>187</v>
      </c>
      <c r="L196" s="450" t="s">
        <v>316</v>
      </c>
      <c r="M196" s="450" t="s">
        <v>1553</v>
      </c>
      <c r="N196" s="523" t="s">
        <v>2019</v>
      </c>
      <c r="O196" s="524" t="s">
        <v>176</v>
      </c>
      <c r="P196" s="525">
        <v>3423</v>
      </c>
      <c r="Q196" s="526"/>
      <c r="R196" s="527"/>
      <c r="S196" s="528">
        <v>1</v>
      </c>
      <c r="T196" s="529" t="s">
        <v>2021</v>
      </c>
      <c r="U196" s="530" t="s">
        <v>257</v>
      </c>
      <c r="V196" s="531" t="s">
        <v>447</v>
      </c>
      <c r="W196" s="453" t="s">
        <v>196</v>
      </c>
      <c r="X196" s="455">
        <v>1000000000</v>
      </c>
      <c r="Y196" s="455">
        <v>1000000000</v>
      </c>
      <c r="Z196" s="460" t="s">
        <v>1816</v>
      </c>
      <c r="AA196" s="453"/>
      <c r="AB196" s="453"/>
      <c r="AC196" s="458"/>
      <c r="AD196" s="458"/>
      <c r="AE196" s="532"/>
      <c r="AF196" s="531"/>
      <c r="AG196" s="455"/>
      <c r="AH196" s="461"/>
      <c r="AI196" s="533"/>
    </row>
    <row r="197" spans="2:35" ht="15" customHeight="1">
      <c r="B197" s="366">
        <f t="shared" si="8"/>
        <v>187</v>
      </c>
      <c r="C197" s="289" t="s">
        <v>416</v>
      </c>
      <c r="D197" s="446" t="s">
        <v>270</v>
      </c>
      <c r="E197" s="451" t="s">
        <v>304</v>
      </c>
      <c r="F197" s="520" t="s">
        <v>750</v>
      </c>
      <c r="G197" s="535" t="s">
        <v>1690</v>
      </c>
      <c r="H197" s="518" t="s">
        <v>2206</v>
      </c>
      <c r="I197" s="521">
        <v>2</v>
      </c>
      <c r="J197" s="522">
        <v>1</v>
      </c>
      <c r="K197" s="450" t="s">
        <v>187</v>
      </c>
      <c r="L197" s="450" t="s">
        <v>367</v>
      </c>
      <c r="M197" s="450" t="s">
        <v>1555</v>
      </c>
      <c r="N197" s="523" t="s">
        <v>1556</v>
      </c>
      <c r="O197" s="524" t="s">
        <v>2022</v>
      </c>
      <c r="P197" s="525">
        <v>8528.0999999999985</v>
      </c>
      <c r="Q197" s="526">
        <v>132.43</v>
      </c>
      <c r="R197" s="527">
        <v>2.5292855383965947E-3</v>
      </c>
      <c r="S197" s="528">
        <v>1</v>
      </c>
      <c r="T197" s="529" t="s">
        <v>761</v>
      </c>
      <c r="U197" s="530">
        <v>2</v>
      </c>
      <c r="V197" s="531" t="s">
        <v>442</v>
      </c>
      <c r="W197" s="453" t="s">
        <v>196</v>
      </c>
      <c r="X197" s="455">
        <v>200000000</v>
      </c>
      <c r="Y197" s="455">
        <v>200000000</v>
      </c>
      <c r="Z197" s="460" t="s">
        <v>1816</v>
      </c>
      <c r="AA197" s="453">
        <v>1</v>
      </c>
      <c r="AB197" s="453" t="s">
        <v>196</v>
      </c>
      <c r="AC197" s="458">
        <v>266400000</v>
      </c>
      <c r="AD197" s="458">
        <v>266400000</v>
      </c>
      <c r="AE197" s="532"/>
      <c r="AF197" s="531"/>
      <c r="AG197" s="455"/>
      <c r="AH197" s="461"/>
      <c r="AI197" s="533"/>
    </row>
    <row r="198" spans="2:35" ht="15" customHeight="1">
      <c r="B198" s="366">
        <f t="shared" si="8"/>
        <v>188</v>
      </c>
      <c r="C198" s="289" t="s">
        <v>416</v>
      </c>
      <c r="D198" s="446" t="s">
        <v>270</v>
      </c>
      <c r="E198" s="451" t="s">
        <v>311</v>
      </c>
      <c r="F198" s="520" t="s">
        <v>751</v>
      </c>
      <c r="G198" s="535" t="s">
        <v>484</v>
      </c>
      <c r="H198" s="518" t="s">
        <v>594</v>
      </c>
      <c r="I198" s="521">
        <v>1</v>
      </c>
      <c r="J198" s="522">
        <v>1</v>
      </c>
      <c r="K198" s="450" t="s">
        <v>191</v>
      </c>
      <c r="L198" s="450" t="s">
        <v>1557</v>
      </c>
      <c r="M198" s="450" t="s">
        <v>1558</v>
      </c>
      <c r="N198" s="523" t="s">
        <v>2023</v>
      </c>
      <c r="O198" s="524" t="s">
        <v>219</v>
      </c>
      <c r="P198" s="525"/>
      <c r="Q198" s="526">
        <v>123.2</v>
      </c>
      <c r="R198" s="527"/>
      <c r="S198" s="528">
        <v>1</v>
      </c>
      <c r="T198" s="529" t="s">
        <v>751</v>
      </c>
      <c r="U198" s="530" t="s">
        <v>257</v>
      </c>
      <c r="V198" s="531" t="s">
        <v>447</v>
      </c>
      <c r="W198" s="453" t="s">
        <v>196</v>
      </c>
      <c r="X198" s="455">
        <v>1380000000</v>
      </c>
      <c r="Y198" s="455">
        <v>1380000000</v>
      </c>
      <c r="Z198" s="460" t="s">
        <v>1816</v>
      </c>
      <c r="AA198" s="453"/>
      <c r="AB198" s="453"/>
      <c r="AC198" s="458"/>
      <c r="AD198" s="458"/>
      <c r="AE198" s="532"/>
      <c r="AF198" s="531"/>
      <c r="AG198" s="455"/>
      <c r="AH198" s="461"/>
      <c r="AI198" s="533"/>
    </row>
    <row r="199" spans="2:35" ht="15" customHeight="1">
      <c r="B199" s="366">
        <f t="shared" si="8"/>
        <v>189</v>
      </c>
      <c r="C199" s="289" t="s">
        <v>416</v>
      </c>
      <c r="D199" s="446" t="s">
        <v>270</v>
      </c>
      <c r="E199" s="451" t="s">
        <v>311</v>
      </c>
      <c r="F199" s="520" t="s">
        <v>751</v>
      </c>
      <c r="G199" s="535" t="s">
        <v>484</v>
      </c>
      <c r="H199" s="518" t="s">
        <v>2207</v>
      </c>
      <c r="I199" s="521">
        <v>1</v>
      </c>
      <c r="J199" s="522">
        <v>2</v>
      </c>
      <c r="K199" s="450" t="s">
        <v>191</v>
      </c>
      <c r="L199" s="450" t="s">
        <v>1557</v>
      </c>
      <c r="M199" s="450" t="s">
        <v>1558</v>
      </c>
      <c r="N199" s="523" t="s">
        <v>2024</v>
      </c>
      <c r="O199" s="524" t="s">
        <v>219</v>
      </c>
      <c r="P199" s="525"/>
      <c r="Q199" s="526">
        <v>123.2</v>
      </c>
      <c r="R199" s="527"/>
      <c r="S199" s="528">
        <v>1</v>
      </c>
      <c r="T199" s="529" t="s">
        <v>751</v>
      </c>
      <c r="U199" s="530" t="s">
        <v>257</v>
      </c>
      <c r="V199" s="531" t="s">
        <v>447</v>
      </c>
      <c r="W199" s="453" t="s">
        <v>196</v>
      </c>
      <c r="X199" s="455">
        <v>1380000000</v>
      </c>
      <c r="Y199" s="455">
        <v>1380000000</v>
      </c>
      <c r="Z199" s="460" t="s">
        <v>1816</v>
      </c>
      <c r="AA199" s="453"/>
      <c r="AB199" s="453"/>
      <c r="AC199" s="458"/>
      <c r="AD199" s="458"/>
      <c r="AE199" s="532"/>
      <c r="AF199" s="531"/>
      <c r="AG199" s="455"/>
      <c r="AH199" s="461"/>
      <c r="AI199" s="533"/>
    </row>
    <row r="200" spans="2:35" ht="15" customHeight="1">
      <c r="B200" s="366">
        <f t="shared" si="8"/>
        <v>190</v>
      </c>
      <c r="C200" s="289" t="s">
        <v>416</v>
      </c>
      <c r="D200" s="446" t="s">
        <v>270</v>
      </c>
      <c r="E200" s="451" t="s">
        <v>311</v>
      </c>
      <c r="F200" s="520" t="s">
        <v>751</v>
      </c>
      <c r="G200" s="535" t="s">
        <v>484</v>
      </c>
      <c r="H200" s="518" t="s">
        <v>2208</v>
      </c>
      <c r="I200" s="521">
        <v>1</v>
      </c>
      <c r="J200" s="522">
        <v>3</v>
      </c>
      <c r="K200" s="450" t="s">
        <v>191</v>
      </c>
      <c r="L200" s="450" t="s">
        <v>1557</v>
      </c>
      <c r="M200" s="450" t="s">
        <v>1558</v>
      </c>
      <c r="N200" s="523" t="s">
        <v>2025</v>
      </c>
      <c r="O200" s="524" t="s">
        <v>176</v>
      </c>
      <c r="P200" s="525">
        <v>2433</v>
      </c>
      <c r="Q200" s="526"/>
      <c r="R200" s="527"/>
      <c r="S200" s="528">
        <v>1</v>
      </c>
      <c r="T200" s="529" t="s">
        <v>751</v>
      </c>
      <c r="U200" s="530" t="s">
        <v>257</v>
      </c>
      <c r="V200" s="531" t="s">
        <v>447</v>
      </c>
      <c r="W200" s="453" t="s">
        <v>196</v>
      </c>
      <c r="X200" s="455">
        <v>1380000000</v>
      </c>
      <c r="Y200" s="455">
        <v>1380000000</v>
      </c>
      <c r="Z200" s="460" t="s">
        <v>1816</v>
      </c>
      <c r="AA200" s="453"/>
      <c r="AB200" s="453"/>
      <c r="AC200" s="458"/>
      <c r="AD200" s="458"/>
      <c r="AE200" s="532"/>
      <c r="AF200" s="531"/>
      <c r="AG200" s="455"/>
      <c r="AH200" s="461"/>
      <c r="AI200" s="533"/>
    </row>
    <row r="201" spans="2:35" ht="15" customHeight="1">
      <c r="B201" s="366">
        <f t="shared" si="8"/>
        <v>191</v>
      </c>
      <c r="C201" s="289" t="s">
        <v>416</v>
      </c>
      <c r="D201" s="446" t="s">
        <v>270</v>
      </c>
      <c r="E201" s="451" t="s">
        <v>311</v>
      </c>
      <c r="F201" s="520" t="s">
        <v>751</v>
      </c>
      <c r="G201" s="535" t="s">
        <v>1691</v>
      </c>
      <c r="H201" s="518" t="s">
        <v>2209</v>
      </c>
      <c r="I201" s="521">
        <v>2</v>
      </c>
      <c r="J201" s="522">
        <v>1</v>
      </c>
      <c r="K201" s="450" t="s">
        <v>191</v>
      </c>
      <c r="L201" s="450" t="s">
        <v>1557</v>
      </c>
      <c r="M201" s="450" t="s">
        <v>1558</v>
      </c>
      <c r="N201" s="523" t="s">
        <v>2026</v>
      </c>
      <c r="O201" s="524" t="s">
        <v>218</v>
      </c>
      <c r="P201" s="525"/>
      <c r="Q201" s="526">
        <v>654.71</v>
      </c>
      <c r="R201" s="527"/>
      <c r="S201" s="528">
        <v>1</v>
      </c>
      <c r="T201" s="529" t="s">
        <v>751</v>
      </c>
      <c r="U201" s="530" t="s">
        <v>250</v>
      </c>
      <c r="V201" s="531" t="s">
        <v>444</v>
      </c>
      <c r="W201" s="453" t="s">
        <v>196</v>
      </c>
      <c r="X201" s="455">
        <v>1128000000</v>
      </c>
      <c r="Y201" s="455">
        <v>1128000000</v>
      </c>
      <c r="Z201" s="460" t="s">
        <v>1816</v>
      </c>
      <c r="AA201" s="453"/>
      <c r="AB201" s="453"/>
      <c r="AC201" s="458"/>
      <c r="AD201" s="458"/>
      <c r="AE201" s="532"/>
      <c r="AF201" s="531"/>
      <c r="AG201" s="455"/>
      <c r="AH201" s="461"/>
      <c r="AI201" s="533"/>
    </row>
    <row r="202" spans="2:35" ht="15" customHeight="1">
      <c r="B202" s="366">
        <f t="shared" si="8"/>
        <v>192</v>
      </c>
      <c r="C202" s="289" t="s">
        <v>416</v>
      </c>
      <c r="D202" s="446" t="s">
        <v>270</v>
      </c>
      <c r="E202" s="451" t="s">
        <v>312</v>
      </c>
      <c r="F202" s="520" t="s">
        <v>752</v>
      </c>
      <c r="G202" s="535" t="s">
        <v>485</v>
      </c>
      <c r="H202" s="518" t="s">
        <v>595</v>
      </c>
      <c r="I202" s="521">
        <v>1</v>
      </c>
      <c r="J202" s="522">
        <v>1</v>
      </c>
      <c r="K202" s="450" t="s">
        <v>186</v>
      </c>
      <c r="L202" s="450" t="s">
        <v>655</v>
      </c>
      <c r="M202" s="450" t="s">
        <v>1563</v>
      </c>
      <c r="N202" s="523" t="s">
        <v>2027</v>
      </c>
      <c r="O202" s="524" t="s">
        <v>213</v>
      </c>
      <c r="P202" s="525"/>
      <c r="Q202" s="526">
        <v>878.71</v>
      </c>
      <c r="R202" s="527"/>
      <c r="S202" s="528">
        <v>1</v>
      </c>
      <c r="T202" s="529" t="s">
        <v>2028</v>
      </c>
      <c r="U202" s="530">
        <v>1</v>
      </c>
      <c r="V202" s="531" t="s">
        <v>442</v>
      </c>
      <c r="W202" s="453" t="s">
        <v>196</v>
      </c>
      <c r="X202" s="455">
        <v>660000000</v>
      </c>
      <c r="Y202" s="455">
        <v>660000000</v>
      </c>
      <c r="Z202" s="460" t="s">
        <v>1816</v>
      </c>
      <c r="AA202" s="453"/>
      <c r="AB202" s="453"/>
      <c r="AC202" s="458"/>
      <c r="AD202" s="458"/>
      <c r="AE202" s="532"/>
      <c r="AF202" s="531"/>
      <c r="AG202" s="455"/>
      <c r="AH202" s="461"/>
      <c r="AI202" s="533"/>
    </row>
    <row r="203" spans="2:35" ht="15" customHeight="1">
      <c r="B203" s="366">
        <f t="shared" si="8"/>
        <v>193</v>
      </c>
      <c r="C203" s="289" t="s">
        <v>416</v>
      </c>
      <c r="D203" s="446" t="s">
        <v>270</v>
      </c>
      <c r="E203" s="451" t="s">
        <v>312</v>
      </c>
      <c r="F203" s="520" t="s">
        <v>752</v>
      </c>
      <c r="G203" s="535" t="s">
        <v>485</v>
      </c>
      <c r="H203" s="518" t="s">
        <v>2210</v>
      </c>
      <c r="I203" s="521">
        <v>1</v>
      </c>
      <c r="J203" s="522">
        <v>2</v>
      </c>
      <c r="K203" s="450" t="s">
        <v>186</v>
      </c>
      <c r="L203" s="450" t="s">
        <v>655</v>
      </c>
      <c r="M203" s="450" t="s">
        <v>1563</v>
      </c>
      <c r="N203" s="523" t="s">
        <v>2027</v>
      </c>
      <c r="O203" s="524" t="s">
        <v>176</v>
      </c>
      <c r="P203" s="525">
        <v>2284</v>
      </c>
      <c r="Q203" s="526"/>
      <c r="R203" s="527"/>
      <c r="S203" s="528">
        <v>1</v>
      </c>
      <c r="T203" s="529" t="s">
        <v>2028</v>
      </c>
      <c r="U203" s="530">
        <v>1</v>
      </c>
      <c r="V203" s="531" t="s">
        <v>442</v>
      </c>
      <c r="W203" s="453" t="s">
        <v>196</v>
      </c>
      <c r="X203" s="455">
        <v>660000000</v>
      </c>
      <c r="Y203" s="455">
        <v>660000000</v>
      </c>
      <c r="Z203" s="460" t="s">
        <v>1816</v>
      </c>
      <c r="AA203" s="453"/>
      <c r="AB203" s="453"/>
      <c r="AC203" s="458"/>
      <c r="AD203" s="458"/>
      <c r="AE203" s="532"/>
      <c r="AF203" s="531"/>
      <c r="AG203" s="455"/>
      <c r="AH203" s="461"/>
      <c r="AI203" s="533"/>
    </row>
    <row r="204" spans="2:35" ht="15" customHeight="1">
      <c r="B204" s="366">
        <f t="shared" si="8"/>
        <v>194</v>
      </c>
      <c r="C204" s="289" t="s">
        <v>416</v>
      </c>
      <c r="D204" s="446" t="s">
        <v>270</v>
      </c>
      <c r="E204" s="451" t="s">
        <v>312</v>
      </c>
      <c r="F204" s="520" t="s">
        <v>752</v>
      </c>
      <c r="G204" s="535" t="s">
        <v>485</v>
      </c>
      <c r="H204" s="518" t="s">
        <v>2211</v>
      </c>
      <c r="I204" s="521">
        <v>1</v>
      </c>
      <c r="J204" s="522">
        <v>3</v>
      </c>
      <c r="K204" s="450" t="s">
        <v>186</v>
      </c>
      <c r="L204" s="450" t="s">
        <v>655</v>
      </c>
      <c r="M204" s="450" t="s">
        <v>1563</v>
      </c>
      <c r="N204" s="523" t="s">
        <v>2029</v>
      </c>
      <c r="O204" s="524" t="s">
        <v>225</v>
      </c>
      <c r="P204" s="525">
        <v>421</v>
      </c>
      <c r="Q204" s="526"/>
      <c r="R204" s="527"/>
      <c r="S204" s="528">
        <v>1</v>
      </c>
      <c r="T204" s="529" t="s">
        <v>2028</v>
      </c>
      <c r="U204" s="530">
        <v>1</v>
      </c>
      <c r="V204" s="531" t="s">
        <v>442</v>
      </c>
      <c r="W204" s="453" t="s">
        <v>196</v>
      </c>
      <c r="X204" s="455">
        <v>660000000</v>
      </c>
      <c r="Y204" s="455">
        <v>660000000</v>
      </c>
      <c r="Z204" s="460" t="s">
        <v>1816</v>
      </c>
      <c r="AA204" s="453"/>
      <c r="AB204" s="453"/>
      <c r="AC204" s="458"/>
      <c r="AD204" s="458"/>
      <c r="AE204" s="532"/>
      <c r="AF204" s="531"/>
      <c r="AG204" s="455"/>
      <c r="AH204" s="461"/>
      <c r="AI204" s="533" t="s">
        <v>2030</v>
      </c>
    </row>
    <row r="205" spans="2:35" ht="15" customHeight="1">
      <c r="B205" s="366">
        <f t="shared" si="8"/>
        <v>195</v>
      </c>
      <c r="C205" s="289" t="s">
        <v>416</v>
      </c>
      <c r="D205" s="446" t="s">
        <v>270</v>
      </c>
      <c r="E205" s="451" t="s">
        <v>312</v>
      </c>
      <c r="F205" s="520" t="s">
        <v>752</v>
      </c>
      <c r="G205" s="535" t="s">
        <v>1692</v>
      </c>
      <c r="H205" s="518" t="s">
        <v>2212</v>
      </c>
      <c r="I205" s="521">
        <v>2</v>
      </c>
      <c r="J205" s="522">
        <v>1</v>
      </c>
      <c r="K205" s="450" t="s">
        <v>186</v>
      </c>
      <c r="L205" s="450" t="s">
        <v>1427</v>
      </c>
      <c r="M205" s="450" t="s">
        <v>1565</v>
      </c>
      <c r="N205" s="523" t="s">
        <v>2031</v>
      </c>
      <c r="O205" s="524" t="s">
        <v>217</v>
      </c>
      <c r="P205" s="525"/>
      <c r="Q205" s="526">
        <v>1487.6999999999998</v>
      </c>
      <c r="R205" s="527"/>
      <c r="S205" s="528">
        <v>1</v>
      </c>
      <c r="T205" s="529" t="s">
        <v>2028</v>
      </c>
      <c r="U205" s="530">
        <v>1</v>
      </c>
      <c r="V205" s="531" t="s">
        <v>442</v>
      </c>
      <c r="W205" s="453" t="s">
        <v>196</v>
      </c>
      <c r="X205" s="455">
        <v>516000000</v>
      </c>
      <c r="Y205" s="455">
        <v>516000000</v>
      </c>
      <c r="Z205" s="460" t="s">
        <v>1816</v>
      </c>
      <c r="AA205" s="453"/>
      <c r="AB205" s="453"/>
      <c r="AC205" s="458"/>
      <c r="AD205" s="458"/>
      <c r="AE205" s="532"/>
      <c r="AF205" s="531"/>
      <c r="AG205" s="455"/>
      <c r="AH205" s="461"/>
      <c r="AI205" s="533"/>
    </row>
    <row r="206" spans="2:35" ht="15" customHeight="1">
      <c r="B206" s="366">
        <f t="shared" si="8"/>
        <v>196</v>
      </c>
      <c r="C206" s="289" t="s">
        <v>416</v>
      </c>
      <c r="D206" s="446" t="s">
        <v>270</v>
      </c>
      <c r="E206" s="451" t="s">
        <v>312</v>
      </c>
      <c r="F206" s="520" t="s">
        <v>752</v>
      </c>
      <c r="G206" s="535" t="s">
        <v>1692</v>
      </c>
      <c r="H206" s="518" t="s">
        <v>2213</v>
      </c>
      <c r="I206" s="521">
        <v>2</v>
      </c>
      <c r="J206" s="522">
        <v>2</v>
      </c>
      <c r="K206" s="450" t="s">
        <v>186</v>
      </c>
      <c r="L206" s="450" t="s">
        <v>2032</v>
      </c>
      <c r="M206" s="450" t="s">
        <v>1565</v>
      </c>
      <c r="N206" s="523" t="s">
        <v>2033</v>
      </c>
      <c r="O206" s="524" t="s">
        <v>247</v>
      </c>
      <c r="P206" s="525"/>
      <c r="Q206" s="526">
        <v>430</v>
      </c>
      <c r="R206" s="527"/>
      <c r="S206" s="528">
        <v>1</v>
      </c>
      <c r="T206" s="529" t="s">
        <v>2028</v>
      </c>
      <c r="U206" s="530">
        <v>1</v>
      </c>
      <c r="V206" s="531" t="s">
        <v>442</v>
      </c>
      <c r="W206" s="453" t="s">
        <v>196</v>
      </c>
      <c r="X206" s="455">
        <v>516000000</v>
      </c>
      <c r="Y206" s="455">
        <v>516000000</v>
      </c>
      <c r="Z206" s="460" t="s">
        <v>1816</v>
      </c>
      <c r="AA206" s="453"/>
      <c r="AB206" s="453"/>
      <c r="AC206" s="458"/>
      <c r="AD206" s="458"/>
      <c r="AE206" s="532"/>
      <c r="AF206" s="531"/>
      <c r="AG206" s="455"/>
      <c r="AH206" s="461"/>
      <c r="AI206" s="533"/>
    </row>
    <row r="207" spans="2:35" ht="15" customHeight="1">
      <c r="B207" s="366">
        <f t="shared" si="8"/>
        <v>197</v>
      </c>
      <c r="C207" s="289" t="s">
        <v>416</v>
      </c>
      <c r="D207" s="446" t="s">
        <v>270</v>
      </c>
      <c r="E207" s="451" t="s">
        <v>312</v>
      </c>
      <c r="F207" s="520" t="s">
        <v>752</v>
      </c>
      <c r="G207" s="535" t="s">
        <v>1692</v>
      </c>
      <c r="H207" s="518" t="s">
        <v>2214</v>
      </c>
      <c r="I207" s="521">
        <v>2</v>
      </c>
      <c r="J207" s="522">
        <v>3</v>
      </c>
      <c r="K207" s="450" t="s">
        <v>186</v>
      </c>
      <c r="L207" s="450" t="s">
        <v>1427</v>
      </c>
      <c r="M207" s="450" t="s">
        <v>1565</v>
      </c>
      <c r="N207" s="523" t="s">
        <v>2034</v>
      </c>
      <c r="O207" s="524" t="s">
        <v>2035</v>
      </c>
      <c r="P207" s="525"/>
      <c r="Q207" s="526">
        <v>195</v>
      </c>
      <c r="R207" s="527"/>
      <c r="S207" s="528">
        <v>1</v>
      </c>
      <c r="T207" s="529" t="s">
        <v>2028</v>
      </c>
      <c r="U207" s="530">
        <v>1</v>
      </c>
      <c r="V207" s="531" t="s">
        <v>442</v>
      </c>
      <c r="W207" s="453" t="s">
        <v>196</v>
      </c>
      <c r="X207" s="455">
        <v>516000000</v>
      </c>
      <c r="Y207" s="455">
        <v>516000000</v>
      </c>
      <c r="Z207" s="460" t="s">
        <v>1816</v>
      </c>
      <c r="AA207" s="453"/>
      <c r="AB207" s="453"/>
      <c r="AC207" s="458"/>
      <c r="AD207" s="458"/>
      <c r="AE207" s="532"/>
      <c r="AF207" s="531"/>
      <c r="AG207" s="455"/>
      <c r="AH207" s="461"/>
      <c r="AI207" s="533"/>
    </row>
    <row r="208" spans="2:35" ht="15" customHeight="1">
      <c r="B208" s="366">
        <f t="shared" si="8"/>
        <v>198</v>
      </c>
      <c r="C208" s="289" t="s">
        <v>416</v>
      </c>
      <c r="D208" s="446" t="s">
        <v>270</v>
      </c>
      <c r="E208" s="451" t="s">
        <v>312</v>
      </c>
      <c r="F208" s="520" t="s">
        <v>752</v>
      </c>
      <c r="G208" s="535" t="s">
        <v>1692</v>
      </c>
      <c r="H208" s="518" t="s">
        <v>2215</v>
      </c>
      <c r="I208" s="521">
        <v>2</v>
      </c>
      <c r="J208" s="522">
        <v>4</v>
      </c>
      <c r="K208" s="450" t="s">
        <v>186</v>
      </c>
      <c r="L208" s="450" t="s">
        <v>1427</v>
      </c>
      <c r="M208" s="450" t="s">
        <v>1565</v>
      </c>
      <c r="N208" s="523" t="s">
        <v>2036</v>
      </c>
      <c r="O208" s="524" t="s">
        <v>176</v>
      </c>
      <c r="P208" s="525">
        <v>2010</v>
      </c>
      <c r="Q208" s="526"/>
      <c r="R208" s="527"/>
      <c r="S208" s="528">
        <v>1</v>
      </c>
      <c r="T208" s="529" t="s">
        <v>2028</v>
      </c>
      <c r="U208" s="530">
        <v>1</v>
      </c>
      <c r="V208" s="531" t="s">
        <v>442</v>
      </c>
      <c r="W208" s="453" t="s">
        <v>196</v>
      </c>
      <c r="X208" s="455">
        <v>516000000</v>
      </c>
      <c r="Y208" s="455">
        <v>516000000</v>
      </c>
      <c r="Z208" s="460" t="s">
        <v>1816</v>
      </c>
      <c r="AA208" s="453"/>
      <c r="AB208" s="453"/>
      <c r="AC208" s="458"/>
      <c r="AD208" s="458"/>
      <c r="AE208" s="532"/>
      <c r="AF208" s="531"/>
      <c r="AG208" s="455"/>
      <c r="AH208" s="461"/>
      <c r="AI208" s="533"/>
    </row>
    <row r="209" spans="2:35" ht="15" customHeight="1">
      <c r="B209" s="366">
        <f t="shared" si="8"/>
        <v>199</v>
      </c>
      <c r="C209" s="289" t="s">
        <v>416</v>
      </c>
      <c r="D209" s="446" t="s">
        <v>270</v>
      </c>
      <c r="E209" s="451" t="s">
        <v>312</v>
      </c>
      <c r="F209" s="520" t="s">
        <v>752</v>
      </c>
      <c r="G209" s="535" t="s">
        <v>1692</v>
      </c>
      <c r="H209" s="518" t="s">
        <v>2216</v>
      </c>
      <c r="I209" s="521">
        <v>2</v>
      </c>
      <c r="J209" s="522">
        <v>5</v>
      </c>
      <c r="K209" s="450" t="s">
        <v>186</v>
      </c>
      <c r="L209" s="450" t="s">
        <v>1427</v>
      </c>
      <c r="M209" s="450" t="s">
        <v>1565</v>
      </c>
      <c r="N209" s="523" t="s">
        <v>2037</v>
      </c>
      <c r="O209" s="524" t="s">
        <v>176</v>
      </c>
      <c r="P209" s="525">
        <v>113</v>
      </c>
      <c r="Q209" s="526"/>
      <c r="R209" s="527"/>
      <c r="S209" s="528">
        <v>1</v>
      </c>
      <c r="T209" s="529" t="s">
        <v>2028</v>
      </c>
      <c r="U209" s="530">
        <v>1</v>
      </c>
      <c r="V209" s="531" t="s">
        <v>442</v>
      </c>
      <c r="W209" s="453" t="s">
        <v>196</v>
      </c>
      <c r="X209" s="455">
        <v>516000000</v>
      </c>
      <c r="Y209" s="455">
        <v>516000000</v>
      </c>
      <c r="Z209" s="460" t="s">
        <v>1816</v>
      </c>
      <c r="AA209" s="453"/>
      <c r="AB209" s="453"/>
      <c r="AC209" s="458"/>
      <c r="AD209" s="458"/>
      <c r="AE209" s="532"/>
      <c r="AF209" s="531"/>
      <c r="AG209" s="455"/>
      <c r="AH209" s="461"/>
      <c r="AI209" s="533"/>
    </row>
    <row r="210" spans="2:35" ht="15" customHeight="1">
      <c r="B210" s="366">
        <f t="shared" si="8"/>
        <v>200</v>
      </c>
      <c r="C210" s="289" t="s">
        <v>416</v>
      </c>
      <c r="D210" s="446" t="s">
        <v>270</v>
      </c>
      <c r="E210" s="451" t="s">
        <v>312</v>
      </c>
      <c r="F210" s="520" t="s">
        <v>752</v>
      </c>
      <c r="G210" s="535" t="s">
        <v>1692</v>
      </c>
      <c r="H210" s="518" t="s">
        <v>2217</v>
      </c>
      <c r="I210" s="521">
        <v>2</v>
      </c>
      <c r="J210" s="522">
        <v>6</v>
      </c>
      <c r="K210" s="450" t="s">
        <v>186</v>
      </c>
      <c r="L210" s="450" t="s">
        <v>1427</v>
      </c>
      <c r="M210" s="450" t="s">
        <v>1565</v>
      </c>
      <c r="N210" s="523" t="s">
        <v>2038</v>
      </c>
      <c r="O210" s="524" t="s">
        <v>176</v>
      </c>
      <c r="P210" s="525">
        <v>1022</v>
      </c>
      <c r="Q210" s="526"/>
      <c r="R210" s="527"/>
      <c r="S210" s="528">
        <v>1</v>
      </c>
      <c r="T210" s="529" t="s">
        <v>2028</v>
      </c>
      <c r="U210" s="530">
        <v>1</v>
      </c>
      <c r="V210" s="531" t="s">
        <v>442</v>
      </c>
      <c r="W210" s="453" t="s">
        <v>196</v>
      </c>
      <c r="X210" s="455">
        <v>516000000</v>
      </c>
      <c r="Y210" s="455">
        <v>516000000</v>
      </c>
      <c r="Z210" s="460" t="s">
        <v>1816</v>
      </c>
      <c r="AA210" s="453"/>
      <c r="AB210" s="453"/>
      <c r="AC210" s="458"/>
      <c r="AD210" s="458"/>
      <c r="AE210" s="532"/>
      <c r="AF210" s="531"/>
      <c r="AG210" s="455"/>
      <c r="AH210" s="461"/>
      <c r="AI210" s="533"/>
    </row>
    <row r="211" spans="2:35" ht="15" customHeight="1">
      <c r="B211" s="366">
        <f t="shared" si="8"/>
        <v>201</v>
      </c>
      <c r="C211" s="289" t="s">
        <v>416</v>
      </c>
      <c r="D211" s="446" t="s">
        <v>270</v>
      </c>
      <c r="E211" s="451" t="s">
        <v>312</v>
      </c>
      <c r="F211" s="520" t="s">
        <v>752</v>
      </c>
      <c r="G211" s="535" t="s">
        <v>1692</v>
      </c>
      <c r="H211" s="518" t="s">
        <v>2218</v>
      </c>
      <c r="I211" s="521">
        <v>2</v>
      </c>
      <c r="J211" s="522">
        <v>7</v>
      </c>
      <c r="K211" s="450" t="s">
        <v>186</v>
      </c>
      <c r="L211" s="450" t="s">
        <v>1427</v>
      </c>
      <c r="M211" s="450" t="s">
        <v>1565</v>
      </c>
      <c r="N211" s="523" t="s">
        <v>2039</v>
      </c>
      <c r="O211" s="524" t="s">
        <v>213</v>
      </c>
      <c r="P211" s="525"/>
      <c r="Q211" s="526">
        <v>926.4</v>
      </c>
      <c r="R211" s="527"/>
      <c r="S211" s="528">
        <v>1</v>
      </c>
      <c r="T211" s="529" t="s">
        <v>2028</v>
      </c>
      <c r="U211" s="530">
        <v>1</v>
      </c>
      <c r="V211" s="531" t="s">
        <v>442</v>
      </c>
      <c r="W211" s="453" t="s">
        <v>196</v>
      </c>
      <c r="X211" s="455">
        <v>516000000</v>
      </c>
      <c r="Y211" s="455">
        <v>516000000</v>
      </c>
      <c r="Z211" s="460" t="s">
        <v>1816</v>
      </c>
      <c r="AA211" s="453"/>
      <c r="AB211" s="453"/>
      <c r="AC211" s="458"/>
      <c r="AD211" s="458"/>
      <c r="AE211" s="532"/>
      <c r="AF211" s="531"/>
      <c r="AG211" s="455"/>
      <c r="AH211" s="461"/>
      <c r="AI211" s="533"/>
    </row>
    <row r="212" spans="2:35" ht="15" customHeight="1">
      <c r="B212" s="366">
        <f t="shared" si="8"/>
        <v>202</v>
      </c>
      <c r="C212" s="289" t="s">
        <v>416</v>
      </c>
      <c r="D212" s="446" t="s">
        <v>270</v>
      </c>
      <c r="E212" s="451" t="s">
        <v>312</v>
      </c>
      <c r="F212" s="520" t="s">
        <v>752</v>
      </c>
      <c r="G212" s="535" t="s">
        <v>1692</v>
      </c>
      <c r="H212" s="518" t="s">
        <v>2219</v>
      </c>
      <c r="I212" s="521">
        <v>2</v>
      </c>
      <c r="J212" s="522">
        <v>8</v>
      </c>
      <c r="K212" s="450" t="s">
        <v>186</v>
      </c>
      <c r="L212" s="450" t="s">
        <v>1427</v>
      </c>
      <c r="M212" s="450" t="s">
        <v>1565</v>
      </c>
      <c r="N212" s="523" t="s">
        <v>2039</v>
      </c>
      <c r="O212" s="524" t="s">
        <v>176</v>
      </c>
      <c r="P212" s="525">
        <v>2249</v>
      </c>
      <c r="Q212" s="526"/>
      <c r="R212" s="527"/>
      <c r="S212" s="528">
        <v>1</v>
      </c>
      <c r="T212" s="529" t="s">
        <v>2028</v>
      </c>
      <c r="U212" s="530">
        <v>1</v>
      </c>
      <c r="V212" s="531" t="s">
        <v>442</v>
      </c>
      <c r="W212" s="453" t="s">
        <v>196</v>
      </c>
      <c r="X212" s="455">
        <v>516000000</v>
      </c>
      <c r="Y212" s="455">
        <v>516000000</v>
      </c>
      <c r="Z212" s="460" t="s">
        <v>1816</v>
      </c>
      <c r="AA212" s="453"/>
      <c r="AB212" s="453"/>
      <c r="AC212" s="458"/>
      <c r="AD212" s="458"/>
      <c r="AE212" s="532"/>
      <c r="AF212" s="531"/>
      <c r="AG212" s="455"/>
      <c r="AH212" s="461"/>
      <c r="AI212" s="533"/>
    </row>
    <row r="213" spans="2:35" ht="15" customHeight="1">
      <c r="B213" s="366">
        <f t="shared" si="8"/>
        <v>203</v>
      </c>
      <c r="C213" s="289" t="s">
        <v>416</v>
      </c>
      <c r="D213" s="446" t="s">
        <v>270</v>
      </c>
      <c r="E213" s="451" t="s">
        <v>312</v>
      </c>
      <c r="F213" s="520" t="s">
        <v>752</v>
      </c>
      <c r="G213" s="535" t="s">
        <v>1692</v>
      </c>
      <c r="H213" s="518" t="s">
        <v>2220</v>
      </c>
      <c r="I213" s="521">
        <v>2</v>
      </c>
      <c r="J213" s="522">
        <v>9</v>
      </c>
      <c r="K213" s="450" t="s">
        <v>186</v>
      </c>
      <c r="L213" s="450" t="s">
        <v>1427</v>
      </c>
      <c r="M213" s="450" t="s">
        <v>1565</v>
      </c>
      <c r="N213" s="523" t="s">
        <v>2040</v>
      </c>
      <c r="O213" s="524" t="s">
        <v>1655</v>
      </c>
      <c r="P213" s="525">
        <v>30</v>
      </c>
      <c r="Q213" s="526"/>
      <c r="R213" s="527"/>
      <c r="S213" s="528">
        <v>1</v>
      </c>
      <c r="T213" s="529" t="s">
        <v>2028</v>
      </c>
      <c r="U213" s="530">
        <v>1</v>
      </c>
      <c r="V213" s="531" t="s">
        <v>442</v>
      </c>
      <c r="W213" s="453" t="s">
        <v>196</v>
      </c>
      <c r="X213" s="455">
        <v>516000000</v>
      </c>
      <c r="Y213" s="455">
        <v>516000000</v>
      </c>
      <c r="Z213" s="460" t="s">
        <v>1816</v>
      </c>
      <c r="AA213" s="453"/>
      <c r="AB213" s="453"/>
      <c r="AC213" s="458"/>
      <c r="AD213" s="458"/>
      <c r="AE213" s="532"/>
      <c r="AF213" s="531"/>
      <c r="AG213" s="455"/>
      <c r="AH213" s="461"/>
      <c r="AI213" s="533"/>
    </row>
    <row r="214" spans="2:35" ht="15" customHeight="1">
      <c r="B214" s="366">
        <f t="shared" si="8"/>
        <v>204</v>
      </c>
      <c r="C214" s="289" t="s">
        <v>416</v>
      </c>
      <c r="D214" s="446" t="s">
        <v>270</v>
      </c>
      <c r="E214" s="451" t="s">
        <v>312</v>
      </c>
      <c r="F214" s="520" t="s">
        <v>752</v>
      </c>
      <c r="G214" s="535" t="s">
        <v>1692</v>
      </c>
      <c r="H214" s="518" t="s">
        <v>2221</v>
      </c>
      <c r="I214" s="521">
        <v>2</v>
      </c>
      <c r="J214" s="522">
        <v>10</v>
      </c>
      <c r="K214" s="450" t="s">
        <v>186</v>
      </c>
      <c r="L214" s="450" t="s">
        <v>1427</v>
      </c>
      <c r="M214" s="450" t="s">
        <v>1565</v>
      </c>
      <c r="N214" s="523" t="s">
        <v>2041</v>
      </c>
      <c r="O214" s="524" t="s">
        <v>214</v>
      </c>
      <c r="P214" s="525">
        <v>275</v>
      </c>
      <c r="Q214" s="526"/>
      <c r="R214" s="527"/>
      <c r="S214" s="528">
        <v>1</v>
      </c>
      <c r="T214" s="529" t="s">
        <v>2028</v>
      </c>
      <c r="U214" s="530">
        <v>1</v>
      </c>
      <c r="V214" s="531" t="s">
        <v>442</v>
      </c>
      <c r="W214" s="453" t="s">
        <v>196</v>
      </c>
      <c r="X214" s="455">
        <v>516000000</v>
      </c>
      <c r="Y214" s="455">
        <v>516000000</v>
      </c>
      <c r="Z214" s="460" t="s">
        <v>1816</v>
      </c>
      <c r="AA214" s="453"/>
      <c r="AB214" s="453"/>
      <c r="AC214" s="458"/>
      <c r="AD214" s="458"/>
      <c r="AE214" s="532"/>
      <c r="AF214" s="531"/>
      <c r="AG214" s="455"/>
      <c r="AH214" s="461"/>
      <c r="AI214" s="533"/>
    </row>
    <row r="215" spans="2:35" ht="15" customHeight="1">
      <c r="B215" s="366">
        <f t="shared" si="8"/>
        <v>205</v>
      </c>
      <c r="C215" s="289" t="s">
        <v>416</v>
      </c>
      <c r="D215" s="446" t="s">
        <v>270</v>
      </c>
      <c r="E215" s="451" t="s">
        <v>312</v>
      </c>
      <c r="F215" s="520" t="s">
        <v>752</v>
      </c>
      <c r="G215" s="535" t="s">
        <v>1692</v>
      </c>
      <c r="H215" s="518" t="s">
        <v>2222</v>
      </c>
      <c r="I215" s="521">
        <v>2</v>
      </c>
      <c r="J215" s="522">
        <v>11</v>
      </c>
      <c r="K215" s="450" t="s">
        <v>186</v>
      </c>
      <c r="L215" s="450" t="s">
        <v>1427</v>
      </c>
      <c r="M215" s="450" t="s">
        <v>1565</v>
      </c>
      <c r="N215" s="523" t="s">
        <v>2042</v>
      </c>
      <c r="O215" s="524" t="s">
        <v>1655</v>
      </c>
      <c r="P215" s="525">
        <v>83</v>
      </c>
      <c r="Q215" s="526"/>
      <c r="R215" s="527"/>
      <c r="S215" s="528">
        <v>1</v>
      </c>
      <c r="T215" s="529" t="s">
        <v>2028</v>
      </c>
      <c r="U215" s="530">
        <v>1</v>
      </c>
      <c r="V215" s="531" t="s">
        <v>442</v>
      </c>
      <c r="W215" s="453" t="s">
        <v>196</v>
      </c>
      <c r="X215" s="455">
        <v>516000000</v>
      </c>
      <c r="Y215" s="455">
        <v>516000000</v>
      </c>
      <c r="Z215" s="460" t="s">
        <v>1816</v>
      </c>
      <c r="AA215" s="453"/>
      <c r="AB215" s="453"/>
      <c r="AC215" s="458"/>
      <c r="AD215" s="458"/>
      <c r="AE215" s="532"/>
      <c r="AF215" s="531"/>
      <c r="AG215" s="455"/>
      <c r="AH215" s="461"/>
      <c r="AI215" s="533"/>
    </row>
    <row r="216" spans="2:35" ht="15" customHeight="1">
      <c r="B216" s="366">
        <f t="shared" si="8"/>
        <v>206</v>
      </c>
      <c r="C216" s="289" t="s">
        <v>416</v>
      </c>
      <c r="D216" s="446" t="s">
        <v>270</v>
      </c>
      <c r="E216" s="451" t="s">
        <v>312</v>
      </c>
      <c r="F216" s="520" t="s">
        <v>752</v>
      </c>
      <c r="G216" s="535" t="s">
        <v>1692</v>
      </c>
      <c r="H216" s="518" t="s">
        <v>2223</v>
      </c>
      <c r="I216" s="521">
        <v>2</v>
      </c>
      <c r="J216" s="522">
        <v>12</v>
      </c>
      <c r="K216" s="450" t="s">
        <v>186</v>
      </c>
      <c r="L216" s="450" t="s">
        <v>1427</v>
      </c>
      <c r="M216" s="450" t="s">
        <v>1565</v>
      </c>
      <c r="N216" s="523" t="s">
        <v>2043</v>
      </c>
      <c r="O216" s="524" t="s">
        <v>177</v>
      </c>
      <c r="P216" s="525">
        <v>5265</v>
      </c>
      <c r="Q216" s="526"/>
      <c r="R216" s="527"/>
      <c r="S216" s="528">
        <v>1</v>
      </c>
      <c r="T216" s="529" t="s">
        <v>2028</v>
      </c>
      <c r="U216" s="530">
        <v>1</v>
      </c>
      <c r="V216" s="531" t="s">
        <v>442</v>
      </c>
      <c r="W216" s="453" t="s">
        <v>196</v>
      </c>
      <c r="X216" s="455">
        <v>516000000</v>
      </c>
      <c r="Y216" s="455">
        <v>516000000</v>
      </c>
      <c r="Z216" s="460" t="s">
        <v>1816</v>
      </c>
      <c r="AA216" s="453"/>
      <c r="AB216" s="453"/>
      <c r="AC216" s="458"/>
      <c r="AD216" s="458"/>
      <c r="AE216" s="532"/>
      <c r="AF216" s="531"/>
      <c r="AG216" s="455"/>
      <c r="AH216" s="461"/>
      <c r="AI216" s="533"/>
    </row>
    <row r="217" spans="2:35" ht="15" customHeight="1">
      <c r="B217" s="366">
        <f t="shared" si="8"/>
        <v>207</v>
      </c>
      <c r="C217" s="289" t="s">
        <v>416</v>
      </c>
      <c r="D217" s="446" t="s">
        <v>270</v>
      </c>
      <c r="E217" s="451" t="s">
        <v>299</v>
      </c>
      <c r="F217" s="520" t="s">
        <v>753</v>
      </c>
      <c r="G217" s="535" t="s">
        <v>486</v>
      </c>
      <c r="H217" s="518" t="s">
        <v>596</v>
      </c>
      <c r="I217" s="521">
        <v>1</v>
      </c>
      <c r="J217" s="522">
        <v>1</v>
      </c>
      <c r="K217" s="450" t="s">
        <v>244</v>
      </c>
      <c r="L217" s="450" t="s">
        <v>275</v>
      </c>
      <c r="M217" s="450" t="s">
        <v>1568</v>
      </c>
      <c r="N217" s="523" t="s">
        <v>2044</v>
      </c>
      <c r="O217" s="524" t="s">
        <v>710</v>
      </c>
      <c r="P217" s="525"/>
      <c r="Q217" s="526">
        <v>212.91</v>
      </c>
      <c r="R217" s="527"/>
      <c r="S217" s="528">
        <v>1</v>
      </c>
      <c r="T217" s="529" t="s">
        <v>2045</v>
      </c>
      <c r="U217" s="530">
        <v>1</v>
      </c>
      <c r="V217" s="531" t="s">
        <v>442</v>
      </c>
      <c r="W217" s="453" t="s">
        <v>196</v>
      </c>
      <c r="X217" s="455">
        <v>1080000000</v>
      </c>
      <c r="Y217" s="455">
        <v>1080000000</v>
      </c>
      <c r="Z217" s="460" t="s">
        <v>1816</v>
      </c>
      <c r="AA217" s="453"/>
      <c r="AB217" s="453"/>
      <c r="AC217" s="458"/>
      <c r="AD217" s="458"/>
      <c r="AE217" s="532"/>
      <c r="AF217" s="531"/>
      <c r="AG217" s="455"/>
      <c r="AH217" s="461"/>
      <c r="AI217" s="533"/>
    </row>
    <row r="218" spans="2:35" ht="15" customHeight="1">
      <c r="B218" s="366">
        <f t="shared" si="8"/>
        <v>208</v>
      </c>
      <c r="C218" s="289" t="s">
        <v>416</v>
      </c>
      <c r="D218" s="446" t="s">
        <v>270</v>
      </c>
      <c r="E218" s="451" t="s">
        <v>299</v>
      </c>
      <c r="F218" s="520" t="s">
        <v>753</v>
      </c>
      <c r="G218" s="535" t="s">
        <v>486</v>
      </c>
      <c r="H218" s="518" t="s">
        <v>597</v>
      </c>
      <c r="I218" s="521">
        <v>1</v>
      </c>
      <c r="J218" s="522">
        <v>2</v>
      </c>
      <c r="K218" s="450" t="s">
        <v>244</v>
      </c>
      <c r="L218" s="450" t="s">
        <v>275</v>
      </c>
      <c r="M218" s="450" t="s">
        <v>1568</v>
      </c>
      <c r="N218" s="523" t="s">
        <v>2044</v>
      </c>
      <c r="O218" s="524" t="s">
        <v>401</v>
      </c>
      <c r="P218" s="525">
        <v>1157</v>
      </c>
      <c r="Q218" s="526"/>
      <c r="R218" s="527"/>
      <c r="S218" s="528">
        <v>1</v>
      </c>
      <c r="T218" s="529" t="s">
        <v>2045</v>
      </c>
      <c r="U218" s="530">
        <v>1</v>
      </c>
      <c r="V218" s="531" t="s">
        <v>442</v>
      </c>
      <c r="W218" s="453" t="s">
        <v>196</v>
      </c>
      <c r="X218" s="455">
        <v>1080000000</v>
      </c>
      <c r="Y218" s="455">
        <v>1080000000</v>
      </c>
      <c r="Z218" s="460" t="s">
        <v>1816</v>
      </c>
      <c r="AA218" s="453"/>
      <c r="AB218" s="453"/>
      <c r="AC218" s="458"/>
      <c r="AD218" s="458"/>
      <c r="AE218" s="532"/>
      <c r="AF218" s="531"/>
      <c r="AG218" s="455"/>
      <c r="AH218" s="461"/>
      <c r="AI218" s="533"/>
    </row>
    <row r="219" spans="2:35" ht="15" customHeight="1">
      <c r="B219" s="366">
        <f t="shared" si="8"/>
        <v>209</v>
      </c>
      <c r="C219" s="289" t="s">
        <v>416</v>
      </c>
      <c r="D219" s="446" t="s">
        <v>270</v>
      </c>
      <c r="E219" s="451" t="s">
        <v>299</v>
      </c>
      <c r="F219" s="520" t="s">
        <v>753</v>
      </c>
      <c r="G219" s="535" t="s">
        <v>1694</v>
      </c>
      <c r="H219" s="518" t="s">
        <v>2224</v>
      </c>
      <c r="I219" s="521">
        <v>2</v>
      </c>
      <c r="J219" s="522">
        <v>1</v>
      </c>
      <c r="K219" s="450" t="s">
        <v>244</v>
      </c>
      <c r="L219" s="450" t="s">
        <v>275</v>
      </c>
      <c r="M219" s="450" t="s">
        <v>1571</v>
      </c>
      <c r="N219" s="523" t="s">
        <v>1572</v>
      </c>
      <c r="O219" s="524" t="s">
        <v>2046</v>
      </c>
      <c r="P219" s="525">
        <v>20165</v>
      </c>
      <c r="Q219" s="526">
        <v>134.96799999999999</v>
      </c>
      <c r="R219" s="527">
        <v>2.6924373915199603E-3</v>
      </c>
      <c r="S219" s="528">
        <v>1</v>
      </c>
      <c r="T219" s="529" t="s">
        <v>2045</v>
      </c>
      <c r="U219" s="530">
        <v>2</v>
      </c>
      <c r="V219" s="531" t="s">
        <v>442</v>
      </c>
      <c r="W219" s="453" t="s">
        <v>196</v>
      </c>
      <c r="X219" s="455">
        <v>37200000</v>
      </c>
      <c r="Y219" s="455">
        <v>37200000</v>
      </c>
      <c r="Z219" s="460" t="s">
        <v>1816</v>
      </c>
      <c r="AA219" s="453">
        <v>1</v>
      </c>
      <c r="AB219" s="453" t="s">
        <v>196</v>
      </c>
      <c r="AC219" s="458">
        <v>138700000</v>
      </c>
      <c r="AD219" s="458">
        <v>138700000</v>
      </c>
      <c r="AE219" s="532"/>
      <c r="AF219" s="531"/>
      <c r="AG219" s="455"/>
      <c r="AH219" s="461"/>
      <c r="AI219" s="533"/>
    </row>
    <row r="220" spans="2:35" ht="15" customHeight="1">
      <c r="B220" s="366">
        <f t="shared" ref="B220:B238" si="9">ROW()-10</f>
        <v>210</v>
      </c>
      <c r="C220" s="289" t="s">
        <v>416</v>
      </c>
      <c r="D220" s="446" t="s">
        <v>270</v>
      </c>
      <c r="E220" s="451" t="s">
        <v>303</v>
      </c>
      <c r="F220" s="520" t="s">
        <v>754</v>
      </c>
      <c r="G220" s="535" t="s">
        <v>487</v>
      </c>
      <c r="H220" s="518" t="s">
        <v>598</v>
      </c>
      <c r="I220" s="521">
        <v>1</v>
      </c>
      <c r="J220" s="522">
        <v>1</v>
      </c>
      <c r="K220" s="450" t="s">
        <v>189</v>
      </c>
      <c r="L220" s="450" t="s">
        <v>1573</v>
      </c>
      <c r="M220" s="450" t="s">
        <v>1574</v>
      </c>
      <c r="N220" s="523" t="s">
        <v>1575</v>
      </c>
      <c r="O220" s="524" t="s">
        <v>2047</v>
      </c>
      <c r="P220" s="525">
        <v>6258.9</v>
      </c>
      <c r="Q220" s="526">
        <v>89.61</v>
      </c>
      <c r="R220" s="527">
        <v>1.7127610282957071E-3</v>
      </c>
      <c r="S220" s="528">
        <v>1</v>
      </c>
      <c r="T220" s="529" t="s">
        <v>2048</v>
      </c>
      <c r="U220" s="530">
        <v>2</v>
      </c>
      <c r="V220" s="531" t="s">
        <v>443</v>
      </c>
      <c r="W220" s="453" t="s">
        <v>196</v>
      </c>
      <c r="X220" s="455">
        <v>573600000</v>
      </c>
      <c r="Y220" s="455">
        <v>573600000</v>
      </c>
      <c r="Z220" s="460" t="s">
        <v>1816</v>
      </c>
      <c r="AA220" s="453">
        <v>1</v>
      </c>
      <c r="AB220" s="453" t="s">
        <v>196</v>
      </c>
      <c r="AC220" s="458">
        <v>480000000</v>
      </c>
      <c r="AD220" s="458">
        <v>480000000</v>
      </c>
      <c r="AE220" s="532"/>
      <c r="AF220" s="531"/>
      <c r="AG220" s="455"/>
      <c r="AH220" s="461"/>
      <c r="AI220" s="533"/>
    </row>
    <row r="221" spans="2:35" ht="15" customHeight="1">
      <c r="B221" s="366">
        <f t="shared" si="9"/>
        <v>211</v>
      </c>
      <c r="C221" s="289" t="s">
        <v>416</v>
      </c>
      <c r="D221" s="446" t="s">
        <v>270</v>
      </c>
      <c r="E221" s="451" t="s">
        <v>295</v>
      </c>
      <c r="F221" s="520" t="s">
        <v>755</v>
      </c>
      <c r="G221" s="535" t="s">
        <v>488</v>
      </c>
      <c r="H221" s="518" t="s">
        <v>599</v>
      </c>
      <c r="I221" s="521">
        <v>1</v>
      </c>
      <c r="J221" s="522">
        <v>1</v>
      </c>
      <c r="K221" s="450" t="s">
        <v>186</v>
      </c>
      <c r="L221" s="450" t="s">
        <v>320</v>
      </c>
      <c r="M221" s="450" t="s">
        <v>1576</v>
      </c>
      <c r="N221" s="523" t="s">
        <v>1577</v>
      </c>
      <c r="O221" s="524" t="s">
        <v>2049</v>
      </c>
      <c r="P221" s="525">
        <v>24139.9</v>
      </c>
      <c r="Q221" s="526">
        <v>170.97</v>
      </c>
      <c r="R221" s="527">
        <v>2.7336484409628868E-3</v>
      </c>
      <c r="S221" s="528">
        <v>1</v>
      </c>
      <c r="T221" s="529" t="s">
        <v>755</v>
      </c>
      <c r="U221" s="530">
        <v>1</v>
      </c>
      <c r="V221" s="531" t="s">
        <v>442</v>
      </c>
      <c r="W221" s="453" t="s">
        <v>196</v>
      </c>
      <c r="X221" s="455">
        <v>669600000</v>
      </c>
      <c r="Y221" s="455">
        <v>669600000</v>
      </c>
      <c r="Z221" s="460" t="s">
        <v>1816</v>
      </c>
      <c r="AA221" s="453"/>
      <c r="AB221" s="453"/>
      <c r="AC221" s="458"/>
      <c r="AD221" s="458"/>
      <c r="AE221" s="532"/>
      <c r="AF221" s="531"/>
      <c r="AG221" s="455"/>
      <c r="AH221" s="461"/>
      <c r="AI221" s="533"/>
    </row>
    <row r="222" spans="2:35" ht="15" customHeight="1">
      <c r="B222" s="366">
        <f t="shared" si="9"/>
        <v>212</v>
      </c>
      <c r="C222" s="289" t="s">
        <v>416</v>
      </c>
      <c r="D222" s="446" t="s">
        <v>270</v>
      </c>
      <c r="E222" s="451" t="s">
        <v>308</v>
      </c>
      <c r="F222" s="520" t="s">
        <v>756</v>
      </c>
      <c r="G222" s="535" t="s">
        <v>489</v>
      </c>
      <c r="H222" s="518" t="s">
        <v>600</v>
      </c>
      <c r="I222" s="521">
        <v>1</v>
      </c>
      <c r="J222" s="522">
        <v>1</v>
      </c>
      <c r="K222" s="450" t="s">
        <v>369</v>
      </c>
      <c r="L222" s="450" t="s">
        <v>1578</v>
      </c>
      <c r="M222" s="450" t="s">
        <v>1579</v>
      </c>
      <c r="N222" s="523" t="s">
        <v>2050</v>
      </c>
      <c r="O222" s="524" t="s">
        <v>213</v>
      </c>
      <c r="P222" s="525"/>
      <c r="Q222" s="526">
        <v>2318.73</v>
      </c>
      <c r="R222" s="527"/>
      <c r="S222" s="528">
        <v>1</v>
      </c>
      <c r="T222" s="529" t="s">
        <v>756</v>
      </c>
      <c r="U222" s="530" t="s">
        <v>250</v>
      </c>
      <c r="V222" s="531" t="s">
        <v>444</v>
      </c>
      <c r="W222" s="453" t="s">
        <v>196</v>
      </c>
      <c r="X222" s="455">
        <v>1332000000</v>
      </c>
      <c r="Y222" s="455">
        <v>1332000000</v>
      </c>
      <c r="Z222" s="460" t="s">
        <v>1816</v>
      </c>
      <c r="AA222" s="453"/>
      <c r="AB222" s="453"/>
      <c r="AC222" s="458"/>
      <c r="AD222" s="458"/>
      <c r="AE222" s="532"/>
      <c r="AF222" s="531"/>
      <c r="AG222" s="455"/>
      <c r="AH222" s="461"/>
      <c r="AI222" s="533"/>
    </row>
    <row r="223" spans="2:35" ht="15" customHeight="1">
      <c r="B223" s="366">
        <f t="shared" si="9"/>
        <v>213</v>
      </c>
      <c r="C223" s="289" t="s">
        <v>416</v>
      </c>
      <c r="D223" s="446" t="s">
        <v>270</v>
      </c>
      <c r="E223" s="451" t="s">
        <v>308</v>
      </c>
      <c r="F223" s="520" t="s">
        <v>756</v>
      </c>
      <c r="G223" s="535" t="s">
        <v>489</v>
      </c>
      <c r="H223" s="518" t="s">
        <v>2225</v>
      </c>
      <c r="I223" s="521">
        <v>1</v>
      </c>
      <c r="J223" s="522">
        <v>2</v>
      </c>
      <c r="K223" s="450" t="s">
        <v>369</v>
      </c>
      <c r="L223" s="450" t="s">
        <v>1578</v>
      </c>
      <c r="M223" s="450" t="s">
        <v>1579</v>
      </c>
      <c r="N223" s="523" t="s">
        <v>2050</v>
      </c>
      <c r="O223" s="524" t="s">
        <v>176</v>
      </c>
      <c r="P223" s="525">
        <v>4199.5</v>
      </c>
      <c r="Q223" s="526"/>
      <c r="R223" s="527"/>
      <c r="S223" s="528">
        <v>1</v>
      </c>
      <c r="T223" s="529" t="s">
        <v>756</v>
      </c>
      <c r="U223" s="530" t="s">
        <v>250</v>
      </c>
      <c r="V223" s="531" t="s">
        <v>444</v>
      </c>
      <c r="W223" s="453" t="s">
        <v>196</v>
      </c>
      <c r="X223" s="455">
        <v>1332000000</v>
      </c>
      <c r="Y223" s="455">
        <v>1332000000</v>
      </c>
      <c r="Z223" s="460" t="s">
        <v>1816</v>
      </c>
      <c r="AA223" s="453"/>
      <c r="AB223" s="453"/>
      <c r="AC223" s="458"/>
      <c r="AD223" s="458"/>
      <c r="AE223" s="532"/>
      <c r="AF223" s="531"/>
      <c r="AG223" s="455"/>
      <c r="AH223" s="461"/>
      <c r="AI223" s="533"/>
    </row>
    <row r="224" spans="2:35" ht="15" customHeight="1">
      <c r="B224" s="366">
        <f t="shared" si="9"/>
        <v>214</v>
      </c>
      <c r="C224" s="289" t="s">
        <v>416</v>
      </c>
      <c r="D224" s="446" t="s">
        <v>270</v>
      </c>
      <c r="E224" s="451" t="s">
        <v>308</v>
      </c>
      <c r="F224" s="520" t="s">
        <v>756</v>
      </c>
      <c r="G224" s="535" t="s">
        <v>1695</v>
      </c>
      <c r="H224" s="518" t="s">
        <v>2226</v>
      </c>
      <c r="I224" s="521">
        <v>2</v>
      </c>
      <c r="J224" s="522">
        <v>1</v>
      </c>
      <c r="K224" s="450" t="s">
        <v>369</v>
      </c>
      <c r="L224" s="450" t="s">
        <v>656</v>
      </c>
      <c r="M224" s="450" t="s">
        <v>1581</v>
      </c>
      <c r="N224" s="523" t="s">
        <v>1582</v>
      </c>
      <c r="O224" s="524" t="s">
        <v>265</v>
      </c>
      <c r="P224" s="525">
        <v>20190.2</v>
      </c>
      <c r="Q224" s="526">
        <v>84.976299999999995</v>
      </c>
      <c r="R224" s="527">
        <v>2.6136442432467236E-3</v>
      </c>
      <c r="S224" s="528">
        <v>1</v>
      </c>
      <c r="T224" s="529" t="s">
        <v>2051</v>
      </c>
      <c r="U224" s="530" t="s">
        <v>249</v>
      </c>
      <c r="V224" s="531" t="s">
        <v>444</v>
      </c>
      <c r="W224" s="453" t="s">
        <v>196</v>
      </c>
      <c r="X224" s="455">
        <v>240000000</v>
      </c>
      <c r="Y224" s="455">
        <v>240000000</v>
      </c>
      <c r="Z224" s="460" t="s">
        <v>1816</v>
      </c>
      <c r="AA224" s="453">
        <v>1</v>
      </c>
      <c r="AB224" s="453" t="s">
        <v>196</v>
      </c>
      <c r="AC224" s="458">
        <v>100000000</v>
      </c>
      <c r="AD224" s="458">
        <v>100000000</v>
      </c>
      <c r="AE224" s="532"/>
      <c r="AF224" s="531"/>
      <c r="AG224" s="455"/>
      <c r="AH224" s="461"/>
      <c r="AI224" s="533"/>
    </row>
    <row r="225" spans="2:35" ht="15" customHeight="1">
      <c r="B225" s="366">
        <f t="shared" si="9"/>
        <v>215</v>
      </c>
      <c r="C225" s="289" t="s">
        <v>416</v>
      </c>
      <c r="D225" s="446" t="s">
        <v>270</v>
      </c>
      <c r="E225" s="451" t="s">
        <v>300</v>
      </c>
      <c r="F225" s="520" t="s">
        <v>757</v>
      </c>
      <c r="G225" s="535" t="s">
        <v>490</v>
      </c>
      <c r="H225" s="518" t="s">
        <v>601</v>
      </c>
      <c r="I225" s="521">
        <v>1</v>
      </c>
      <c r="J225" s="522">
        <v>1</v>
      </c>
      <c r="K225" s="450" t="s">
        <v>186</v>
      </c>
      <c r="L225" s="450" t="s">
        <v>321</v>
      </c>
      <c r="M225" s="450" t="s">
        <v>1583</v>
      </c>
      <c r="N225" s="523" t="s">
        <v>1584</v>
      </c>
      <c r="O225" s="524" t="s">
        <v>2053</v>
      </c>
      <c r="P225" s="525">
        <v>21776.1</v>
      </c>
      <c r="Q225" s="526">
        <v>47.04</v>
      </c>
      <c r="R225" s="527">
        <v>6.5760168257860687E-4</v>
      </c>
      <c r="S225" s="528">
        <v>1</v>
      </c>
      <c r="T225" s="529" t="s">
        <v>757</v>
      </c>
      <c r="U225" s="530">
        <v>1</v>
      </c>
      <c r="V225" s="531" t="s">
        <v>442</v>
      </c>
      <c r="W225" s="453" t="s">
        <v>196</v>
      </c>
      <c r="X225" s="455">
        <v>220800000</v>
      </c>
      <c r="Y225" s="455">
        <v>220800000</v>
      </c>
      <c r="Z225" s="460" t="s">
        <v>1816</v>
      </c>
      <c r="AA225" s="453"/>
      <c r="AB225" s="453"/>
      <c r="AC225" s="458"/>
      <c r="AD225" s="458"/>
      <c r="AE225" s="532"/>
      <c r="AF225" s="531"/>
      <c r="AG225" s="455"/>
      <c r="AH225" s="461"/>
      <c r="AI225" s="533"/>
    </row>
    <row r="226" spans="2:35" ht="15" customHeight="1">
      <c r="B226" s="366">
        <f t="shared" si="9"/>
        <v>216</v>
      </c>
      <c r="C226" s="289" t="s">
        <v>416</v>
      </c>
      <c r="D226" s="446" t="s">
        <v>270</v>
      </c>
      <c r="E226" s="451" t="s">
        <v>300</v>
      </c>
      <c r="F226" s="520" t="s">
        <v>757</v>
      </c>
      <c r="G226" s="535" t="s">
        <v>1696</v>
      </c>
      <c r="H226" s="518" t="s">
        <v>2227</v>
      </c>
      <c r="I226" s="521">
        <v>2</v>
      </c>
      <c r="J226" s="522">
        <v>1</v>
      </c>
      <c r="K226" s="450" t="s">
        <v>186</v>
      </c>
      <c r="L226" s="450" t="s">
        <v>321</v>
      </c>
      <c r="M226" s="450" t="s">
        <v>1583</v>
      </c>
      <c r="N226" s="523" t="s">
        <v>1585</v>
      </c>
      <c r="O226" s="524" t="s">
        <v>2053</v>
      </c>
      <c r="P226" s="525">
        <v>21776.1</v>
      </c>
      <c r="Q226" s="526">
        <v>36.96</v>
      </c>
      <c r="R226" s="527">
        <v>5.097331478088363E-4</v>
      </c>
      <c r="S226" s="528">
        <v>1</v>
      </c>
      <c r="T226" s="529" t="s">
        <v>757</v>
      </c>
      <c r="U226" s="530">
        <v>1</v>
      </c>
      <c r="V226" s="531" t="s">
        <v>442</v>
      </c>
      <c r="W226" s="453" t="s">
        <v>196</v>
      </c>
      <c r="X226" s="455">
        <v>182000000</v>
      </c>
      <c r="Y226" s="455">
        <v>182000000</v>
      </c>
      <c r="Z226" s="460" t="s">
        <v>1816</v>
      </c>
      <c r="AA226" s="453"/>
      <c r="AB226" s="453"/>
      <c r="AC226" s="458"/>
      <c r="AD226" s="458"/>
      <c r="AE226" s="532"/>
      <c r="AF226" s="531"/>
      <c r="AG226" s="455"/>
      <c r="AH226" s="461"/>
      <c r="AI226" s="533"/>
    </row>
    <row r="227" spans="2:35" ht="15" customHeight="1">
      <c r="B227" s="366">
        <f t="shared" si="9"/>
        <v>217</v>
      </c>
      <c r="C227" s="289" t="s">
        <v>416</v>
      </c>
      <c r="D227" s="446" t="s">
        <v>270</v>
      </c>
      <c r="E227" s="451" t="s">
        <v>302</v>
      </c>
      <c r="F227" s="520" t="s">
        <v>758</v>
      </c>
      <c r="G227" s="535" t="s">
        <v>491</v>
      </c>
      <c r="H227" s="518" t="s">
        <v>602</v>
      </c>
      <c r="I227" s="521">
        <v>1</v>
      </c>
      <c r="J227" s="522">
        <v>1</v>
      </c>
      <c r="K227" s="450" t="s">
        <v>244</v>
      </c>
      <c r="L227" s="450" t="s">
        <v>368</v>
      </c>
      <c r="M227" s="450" t="s">
        <v>1586</v>
      </c>
      <c r="N227" s="523" t="s">
        <v>2054</v>
      </c>
      <c r="O227" s="524" t="s">
        <v>2055</v>
      </c>
      <c r="P227" s="525"/>
      <c r="Q227" s="526">
        <v>922.16</v>
      </c>
      <c r="R227" s="527"/>
      <c r="S227" s="528">
        <v>1</v>
      </c>
      <c r="T227" s="529" t="s">
        <v>758</v>
      </c>
      <c r="U227" s="530">
        <v>1</v>
      </c>
      <c r="V227" s="531" t="s">
        <v>442</v>
      </c>
      <c r="W227" s="453" t="s">
        <v>196</v>
      </c>
      <c r="X227" s="455">
        <v>960000000</v>
      </c>
      <c r="Y227" s="455">
        <v>960000000</v>
      </c>
      <c r="Z227" s="460" t="s">
        <v>1816</v>
      </c>
      <c r="AA227" s="453"/>
      <c r="AB227" s="453"/>
      <c r="AC227" s="458"/>
      <c r="AD227" s="458"/>
      <c r="AE227" s="532"/>
      <c r="AF227" s="531"/>
      <c r="AG227" s="455"/>
      <c r="AH227" s="461"/>
      <c r="AI227" s="533"/>
    </row>
    <row r="228" spans="2:35" ht="15" customHeight="1">
      <c r="B228" s="366">
        <f t="shared" si="9"/>
        <v>218</v>
      </c>
      <c r="C228" s="289" t="s">
        <v>416</v>
      </c>
      <c r="D228" s="446" t="s">
        <v>270</v>
      </c>
      <c r="E228" s="451" t="s">
        <v>302</v>
      </c>
      <c r="F228" s="520" t="s">
        <v>758</v>
      </c>
      <c r="G228" s="535" t="s">
        <v>491</v>
      </c>
      <c r="H228" s="518" t="s">
        <v>2228</v>
      </c>
      <c r="I228" s="521">
        <v>1</v>
      </c>
      <c r="J228" s="522">
        <v>2</v>
      </c>
      <c r="K228" s="450" t="s">
        <v>244</v>
      </c>
      <c r="L228" s="450" t="s">
        <v>368</v>
      </c>
      <c r="M228" s="450" t="s">
        <v>1586</v>
      </c>
      <c r="N228" s="523" t="s">
        <v>2056</v>
      </c>
      <c r="O228" s="524" t="s">
        <v>176</v>
      </c>
      <c r="P228" s="525">
        <v>317</v>
      </c>
      <c r="Q228" s="526"/>
      <c r="R228" s="527"/>
      <c r="S228" s="528">
        <v>1</v>
      </c>
      <c r="T228" s="529" t="s">
        <v>758</v>
      </c>
      <c r="U228" s="530">
        <v>1</v>
      </c>
      <c r="V228" s="531" t="s">
        <v>442</v>
      </c>
      <c r="W228" s="453" t="s">
        <v>196</v>
      </c>
      <c r="X228" s="455">
        <v>960000000</v>
      </c>
      <c r="Y228" s="455">
        <v>960000000</v>
      </c>
      <c r="Z228" s="460" t="s">
        <v>1816</v>
      </c>
      <c r="AA228" s="453"/>
      <c r="AB228" s="453"/>
      <c r="AC228" s="458"/>
      <c r="AD228" s="458"/>
      <c r="AE228" s="532"/>
      <c r="AF228" s="531"/>
      <c r="AG228" s="455"/>
      <c r="AH228" s="461"/>
      <c r="AI228" s="533"/>
    </row>
    <row r="229" spans="2:35" ht="15" customHeight="1">
      <c r="B229" s="366">
        <f t="shared" si="9"/>
        <v>219</v>
      </c>
      <c r="C229" s="289" t="s">
        <v>416</v>
      </c>
      <c r="D229" s="446" t="s">
        <v>270</v>
      </c>
      <c r="E229" s="451" t="s">
        <v>302</v>
      </c>
      <c r="F229" s="520" t="s">
        <v>758</v>
      </c>
      <c r="G229" s="535" t="s">
        <v>491</v>
      </c>
      <c r="H229" s="518" t="s">
        <v>2229</v>
      </c>
      <c r="I229" s="521">
        <v>1</v>
      </c>
      <c r="J229" s="522">
        <v>3</v>
      </c>
      <c r="K229" s="450" t="s">
        <v>244</v>
      </c>
      <c r="L229" s="450" t="s">
        <v>368</v>
      </c>
      <c r="M229" s="450" t="s">
        <v>1586</v>
      </c>
      <c r="N229" s="523" t="s">
        <v>2057</v>
      </c>
      <c r="O229" s="524" t="s">
        <v>176</v>
      </c>
      <c r="P229" s="525">
        <v>1205</v>
      </c>
      <c r="Q229" s="526"/>
      <c r="R229" s="527"/>
      <c r="S229" s="528">
        <v>1</v>
      </c>
      <c r="T229" s="529" t="s">
        <v>758</v>
      </c>
      <c r="U229" s="530">
        <v>1</v>
      </c>
      <c r="V229" s="531" t="s">
        <v>442</v>
      </c>
      <c r="W229" s="453" t="s">
        <v>196</v>
      </c>
      <c r="X229" s="455">
        <v>960000000</v>
      </c>
      <c r="Y229" s="455">
        <v>960000000</v>
      </c>
      <c r="Z229" s="460" t="s">
        <v>1816</v>
      </c>
      <c r="AA229" s="453"/>
      <c r="AB229" s="453"/>
      <c r="AC229" s="458"/>
      <c r="AD229" s="458"/>
      <c r="AE229" s="532"/>
      <c r="AF229" s="531"/>
      <c r="AG229" s="455"/>
      <c r="AH229" s="461"/>
      <c r="AI229" s="533"/>
    </row>
    <row r="230" spans="2:35" ht="15" customHeight="1">
      <c r="B230" s="366">
        <f t="shared" si="9"/>
        <v>220</v>
      </c>
      <c r="C230" s="289" t="s">
        <v>416</v>
      </c>
      <c r="D230" s="446" t="s">
        <v>270</v>
      </c>
      <c r="E230" s="451" t="s">
        <v>302</v>
      </c>
      <c r="F230" s="520" t="s">
        <v>758</v>
      </c>
      <c r="G230" s="535" t="s">
        <v>491</v>
      </c>
      <c r="H230" s="518" t="s">
        <v>2230</v>
      </c>
      <c r="I230" s="521">
        <v>1</v>
      </c>
      <c r="J230" s="522">
        <v>4</v>
      </c>
      <c r="K230" s="450" t="s">
        <v>244</v>
      </c>
      <c r="L230" s="450" t="s">
        <v>368</v>
      </c>
      <c r="M230" s="450" t="s">
        <v>1586</v>
      </c>
      <c r="N230" s="523" t="s">
        <v>708</v>
      </c>
      <c r="O230" s="524" t="s">
        <v>176</v>
      </c>
      <c r="P230" s="525">
        <v>914</v>
      </c>
      <c r="Q230" s="526"/>
      <c r="R230" s="527"/>
      <c r="S230" s="528">
        <v>1</v>
      </c>
      <c r="T230" s="529" t="s">
        <v>758</v>
      </c>
      <c r="U230" s="530">
        <v>1</v>
      </c>
      <c r="V230" s="531" t="s">
        <v>442</v>
      </c>
      <c r="W230" s="453" t="s">
        <v>196</v>
      </c>
      <c r="X230" s="455">
        <v>960000000</v>
      </c>
      <c r="Y230" s="455">
        <v>960000000</v>
      </c>
      <c r="Z230" s="460" t="s">
        <v>1816</v>
      </c>
      <c r="AA230" s="453"/>
      <c r="AB230" s="453"/>
      <c r="AC230" s="458"/>
      <c r="AD230" s="458"/>
      <c r="AE230" s="532"/>
      <c r="AF230" s="531"/>
      <c r="AG230" s="455"/>
      <c r="AH230" s="461"/>
      <c r="AI230" s="533"/>
    </row>
    <row r="231" spans="2:35" ht="15" customHeight="1">
      <c r="B231" s="366">
        <f t="shared" si="9"/>
        <v>221</v>
      </c>
      <c r="C231" s="289" t="s">
        <v>416</v>
      </c>
      <c r="D231" s="446" t="s">
        <v>270</v>
      </c>
      <c r="E231" s="451" t="s">
        <v>302</v>
      </c>
      <c r="F231" s="520" t="s">
        <v>758</v>
      </c>
      <c r="G231" s="535" t="s">
        <v>491</v>
      </c>
      <c r="H231" s="518" t="s">
        <v>2231</v>
      </c>
      <c r="I231" s="521">
        <v>1</v>
      </c>
      <c r="J231" s="522">
        <v>5</v>
      </c>
      <c r="K231" s="450" t="s">
        <v>244</v>
      </c>
      <c r="L231" s="450" t="s">
        <v>368</v>
      </c>
      <c r="M231" s="450" t="s">
        <v>1586</v>
      </c>
      <c r="N231" s="523" t="s">
        <v>2058</v>
      </c>
      <c r="O231" s="524" t="s">
        <v>179</v>
      </c>
      <c r="P231" s="525">
        <v>222</v>
      </c>
      <c r="Q231" s="526"/>
      <c r="R231" s="527"/>
      <c r="S231" s="528">
        <v>1</v>
      </c>
      <c r="T231" s="529" t="s">
        <v>758</v>
      </c>
      <c r="U231" s="530">
        <v>1</v>
      </c>
      <c r="V231" s="531" t="s">
        <v>442</v>
      </c>
      <c r="W231" s="453" t="s">
        <v>196</v>
      </c>
      <c r="X231" s="455">
        <v>960000000</v>
      </c>
      <c r="Y231" s="455">
        <v>960000000</v>
      </c>
      <c r="Z231" s="460" t="s">
        <v>1816</v>
      </c>
      <c r="AA231" s="453"/>
      <c r="AB231" s="453"/>
      <c r="AC231" s="458"/>
      <c r="AD231" s="458"/>
      <c r="AE231" s="532"/>
      <c r="AF231" s="531"/>
      <c r="AG231" s="455"/>
      <c r="AH231" s="461"/>
      <c r="AI231" s="533"/>
    </row>
    <row r="232" spans="2:35" ht="15" customHeight="1">
      <c r="B232" s="366">
        <f t="shared" si="9"/>
        <v>222</v>
      </c>
      <c r="C232" s="289" t="s">
        <v>416</v>
      </c>
      <c r="D232" s="446" t="s">
        <v>270</v>
      </c>
      <c r="E232" s="451" t="s">
        <v>362</v>
      </c>
      <c r="F232" s="520" t="s">
        <v>637</v>
      </c>
      <c r="G232" s="535" t="s">
        <v>492</v>
      </c>
      <c r="H232" s="518" t="s">
        <v>603</v>
      </c>
      <c r="I232" s="521">
        <v>1</v>
      </c>
      <c r="J232" s="522">
        <v>1</v>
      </c>
      <c r="K232" s="450" t="s">
        <v>1493</v>
      </c>
      <c r="L232" s="450" t="s">
        <v>185</v>
      </c>
      <c r="M232" s="450" t="s">
        <v>1588</v>
      </c>
      <c r="N232" s="523" t="s">
        <v>1589</v>
      </c>
      <c r="O232" s="524" t="s">
        <v>265</v>
      </c>
      <c r="P232" s="525">
        <v>33041</v>
      </c>
      <c r="Q232" s="526">
        <v>184.45500000000001</v>
      </c>
      <c r="R232" s="527">
        <v>2.9411942737810602E-3</v>
      </c>
      <c r="S232" s="528">
        <v>1</v>
      </c>
      <c r="T232" s="529" t="s">
        <v>2059</v>
      </c>
      <c r="U232" s="530">
        <v>1</v>
      </c>
      <c r="V232" s="531" t="s">
        <v>442</v>
      </c>
      <c r="W232" s="453" t="s">
        <v>196</v>
      </c>
      <c r="X232" s="455">
        <v>420000000</v>
      </c>
      <c r="Y232" s="455">
        <v>420000000</v>
      </c>
      <c r="Z232" s="460" t="s">
        <v>1816</v>
      </c>
      <c r="AA232" s="453"/>
      <c r="AB232" s="453"/>
      <c r="AC232" s="458"/>
      <c r="AD232" s="458"/>
      <c r="AE232" s="532"/>
      <c r="AF232" s="531"/>
      <c r="AG232" s="455"/>
      <c r="AH232" s="461"/>
      <c r="AI232" s="533"/>
    </row>
    <row r="233" spans="2:35" ht="15" customHeight="1">
      <c r="B233" s="366">
        <f t="shared" si="9"/>
        <v>223</v>
      </c>
      <c r="C233" s="289" t="s">
        <v>416</v>
      </c>
      <c r="D233" s="446" t="s">
        <v>270</v>
      </c>
      <c r="E233" s="451" t="s">
        <v>363</v>
      </c>
      <c r="F233" s="520" t="s">
        <v>759</v>
      </c>
      <c r="G233" s="535" t="s">
        <v>493</v>
      </c>
      <c r="H233" s="518" t="s">
        <v>604</v>
      </c>
      <c r="I233" s="521">
        <v>1</v>
      </c>
      <c r="J233" s="522">
        <v>1</v>
      </c>
      <c r="K233" s="450" t="s">
        <v>186</v>
      </c>
      <c r="L233" s="450" t="s">
        <v>194</v>
      </c>
      <c r="M233" s="450" t="s">
        <v>1590</v>
      </c>
      <c r="N233" s="523" t="s">
        <v>2060</v>
      </c>
      <c r="O233" s="524" t="s">
        <v>177</v>
      </c>
      <c r="P233" s="525">
        <v>2593</v>
      </c>
      <c r="Q233" s="526"/>
      <c r="R233" s="527"/>
      <c r="S233" s="528">
        <v>1</v>
      </c>
      <c r="T233" s="529" t="s">
        <v>759</v>
      </c>
      <c r="U233" s="530">
        <v>1</v>
      </c>
      <c r="V233" s="531" t="s">
        <v>442</v>
      </c>
      <c r="W233" s="453" t="s">
        <v>196</v>
      </c>
      <c r="X233" s="455">
        <v>3000000000</v>
      </c>
      <c r="Y233" s="455">
        <v>3000000000</v>
      </c>
      <c r="Z233" s="460" t="s">
        <v>1816</v>
      </c>
      <c r="AA233" s="453"/>
      <c r="AB233" s="453"/>
      <c r="AC233" s="458"/>
      <c r="AD233" s="458"/>
      <c r="AE233" s="532"/>
      <c r="AF233" s="531"/>
      <c r="AG233" s="455"/>
      <c r="AH233" s="461"/>
      <c r="AI233" s="533"/>
    </row>
    <row r="234" spans="2:35" ht="15" customHeight="1">
      <c r="B234" s="366">
        <f t="shared" si="9"/>
        <v>224</v>
      </c>
      <c r="C234" s="289" t="s">
        <v>416</v>
      </c>
      <c r="D234" s="446" t="s">
        <v>270</v>
      </c>
      <c r="E234" s="451" t="s">
        <v>363</v>
      </c>
      <c r="F234" s="520" t="s">
        <v>759</v>
      </c>
      <c r="G234" s="535" t="s">
        <v>1697</v>
      </c>
      <c r="H234" s="518" t="s">
        <v>2232</v>
      </c>
      <c r="I234" s="521">
        <v>2</v>
      </c>
      <c r="J234" s="522">
        <v>1</v>
      </c>
      <c r="K234" s="450" t="s">
        <v>186</v>
      </c>
      <c r="L234" s="450" t="s">
        <v>194</v>
      </c>
      <c r="M234" s="450" t="s">
        <v>1590</v>
      </c>
      <c r="N234" s="523" t="s">
        <v>2061</v>
      </c>
      <c r="O234" s="524" t="s">
        <v>177</v>
      </c>
      <c r="P234" s="525">
        <v>3731</v>
      </c>
      <c r="Q234" s="526"/>
      <c r="R234" s="527"/>
      <c r="S234" s="528">
        <v>1</v>
      </c>
      <c r="T234" s="524" t="s">
        <v>2062</v>
      </c>
      <c r="U234" s="530">
        <v>2</v>
      </c>
      <c r="V234" s="531" t="s">
        <v>442</v>
      </c>
      <c r="W234" s="453" t="s">
        <v>196</v>
      </c>
      <c r="X234" s="455">
        <v>3000000000</v>
      </c>
      <c r="Y234" s="455">
        <v>3000000000</v>
      </c>
      <c r="Z234" s="460" t="s">
        <v>1816</v>
      </c>
      <c r="AA234" s="453">
        <v>1</v>
      </c>
      <c r="AB234" s="453" t="s">
        <v>196</v>
      </c>
      <c r="AC234" s="458">
        <v>780000000</v>
      </c>
      <c r="AD234" s="458">
        <v>780000000</v>
      </c>
      <c r="AE234" s="532"/>
      <c r="AF234" s="531"/>
      <c r="AG234" s="455"/>
      <c r="AH234" s="461"/>
      <c r="AI234" s="533"/>
    </row>
    <row r="235" spans="2:35" ht="15" customHeight="1">
      <c r="B235" s="366">
        <f t="shared" si="9"/>
        <v>225</v>
      </c>
      <c r="C235" s="289" t="s">
        <v>416</v>
      </c>
      <c r="D235" s="446" t="s">
        <v>270</v>
      </c>
      <c r="E235" s="451" t="s">
        <v>364</v>
      </c>
      <c r="F235" s="520" t="s">
        <v>634</v>
      </c>
      <c r="G235" s="535" t="s">
        <v>1698</v>
      </c>
      <c r="H235" s="518" t="s">
        <v>2233</v>
      </c>
      <c r="I235" s="521">
        <v>1</v>
      </c>
      <c r="J235" s="522">
        <v>1</v>
      </c>
      <c r="K235" s="450" t="s">
        <v>272</v>
      </c>
      <c r="L235" s="450" t="s">
        <v>641</v>
      </c>
      <c r="M235" s="450" t="s">
        <v>1593</v>
      </c>
      <c r="N235" s="523" t="s">
        <v>1594</v>
      </c>
      <c r="O235" s="524" t="s">
        <v>2052</v>
      </c>
      <c r="P235" s="525">
        <v>21939</v>
      </c>
      <c r="Q235" s="526">
        <v>167.31</v>
      </c>
      <c r="R235" s="527">
        <v>3.6493459136697206E-3</v>
      </c>
      <c r="S235" s="528">
        <v>1</v>
      </c>
      <c r="T235" s="529" t="s">
        <v>634</v>
      </c>
      <c r="U235" s="530" t="s">
        <v>250</v>
      </c>
      <c r="V235" s="531" t="s">
        <v>1977</v>
      </c>
      <c r="W235" s="453" t="s">
        <v>196</v>
      </c>
      <c r="X235" s="455">
        <v>276000000</v>
      </c>
      <c r="Y235" s="455">
        <v>276000000</v>
      </c>
      <c r="Z235" s="460" t="s">
        <v>1816</v>
      </c>
      <c r="AA235" s="453"/>
      <c r="AB235" s="453"/>
      <c r="AC235" s="458"/>
      <c r="AD235" s="458"/>
      <c r="AE235" s="532"/>
      <c r="AF235" s="531"/>
      <c r="AG235" s="455"/>
      <c r="AH235" s="461"/>
      <c r="AI235" s="533"/>
    </row>
    <row r="236" spans="2:35" ht="15" customHeight="1">
      <c r="B236" s="366">
        <f t="shared" si="9"/>
        <v>226</v>
      </c>
      <c r="C236" s="289" t="s">
        <v>416</v>
      </c>
      <c r="D236" s="446" t="s">
        <v>270</v>
      </c>
      <c r="E236" s="451" t="s">
        <v>364</v>
      </c>
      <c r="F236" s="520" t="s">
        <v>634</v>
      </c>
      <c r="G236" s="535" t="s">
        <v>1699</v>
      </c>
      <c r="H236" s="518" t="s">
        <v>2234</v>
      </c>
      <c r="I236" s="521">
        <v>2</v>
      </c>
      <c r="J236" s="522">
        <v>1</v>
      </c>
      <c r="K236" s="450" t="s">
        <v>186</v>
      </c>
      <c r="L236" s="450" t="s">
        <v>366</v>
      </c>
      <c r="M236" s="450" t="s">
        <v>1595</v>
      </c>
      <c r="N236" s="523" t="s">
        <v>2063</v>
      </c>
      <c r="O236" s="524" t="s">
        <v>2064</v>
      </c>
      <c r="P236" s="525"/>
      <c r="Q236" s="526">
        <v>362</v>
      </c>
      <c r="R236" s="527"/>
      <c r="S236" s="528">
        <v>1</v>
      </c>
      <c r="T236" s="529" t="s">
        <v>634</v>
      </c>
      <c r="U236" s="530">
        <v>1</v>
      </c>
      <c r="V236" s="531" t="s">
        <v>442</v>
      </c>
      <c r="W236" s="453" t="s">
        <v>196</v>
      </c>
      <c r="X236" s="455">
        <v>120000000</v>
      </c>
      <c r="Y236" s="455">
        <v>120000000</v>
      </c>
      <c r="Z236" s="460" t="s">
        <v>1816</v>
      </c>
      <c r="AA236" s="453"/>
      <c r="AB236" s="453"/>
      <c r="AC236" s="458"/>
      <c r="AD236" s="458"/>
      <c r="AE236" s="532"/>
      <c r="AF236" s="531"/>
      <c r="AG236" s="455"/>
      <c r="AH236" s="461"/>
      <c r="AI236" s="533"/>
    </row>
    <row r="237" spans="2:35" ht="15" customHeight="1">
      <c r="B237" s="366">
        <f t="shared" si="9"/>
        <v>227</v>
      </c>
      <c r="C237" s="289" t="s">
        <v>416</v>
      </c>
      <c r="D237" s="446" t="s">
        <v>270</v>
      </c>
      <c r="E237" s="451" t="s">
        <v>364</v>
      </c>
      <c r="F237" s="520" t="s">
        <v>634</v>
      </c>
      <c r="G237" s="535" t="s">
        <v>1699</v>
      </c>
      <c r="H237" s="518" t="s">
        <v>2235</v>
      </c>
      <c r="I237" s="521">
        <v>2</v>
      </c>
      <c r="J237" s="522">
        <v>2</v>
      </c>
      <c r="K237" s="450" t="s">
        <v>186</v>
      </c>
      <c r="L237" s="450" t="s">
        <v>366</v>
      </c>
      <c r="M237" s="450" t="s">
        <v>1595</v>
      </c>
      <c r="N237" s="523" t="s">
        <v>2063</v>
      </c>
      <c r="O237" s="524" t="s">
        <v>176</v>
      </c>
      <c r="P237" s="525">
        <v>1084</v>
      </c>
      <c r="Q237" s="526"/>
      <c r="R237" s="527"/>
      <c r="S237" s="528">
        <v>1</v>
      </c>
      <c r="T237" s="529" t="s">
        <v>634</v>
      </c>
      <c r="U237" s="530">
        <v>1</v>
      </c>
      <c r="V237" s="531" t="s">
        <v>442</v>
      </c>
      <c r="W237" s="453" t="s">
        <v>196</v>
      </c>
      <c r="X237" s="455">
        <v>120000000</v>
      </c>
      <c r="Y237" s="455">
        <v>120000000</v>
      </c>
      <c r="Z237" s="460" t="s">
        <v>1816</v>
      </c>
      <c r="AA237" s="453"/>
      <c r="AB237" s="453"/>
      <c r="AC237" s="458"/>
      <c r="AD237" s="458"/>
      <c r="AE237" s="532"/>
      <c r="AF237" s="531"/>
      <c r="AG237" s="455"/>
      <c r="AH237" s="461"/>
      <c r="AI237" s="533"/>
    </row>
    <row r="238" spans="2:35" ht="15" customHeight="1">
      <c r="B238" s="366">
        <f t="shared" si="9"/>
        <v>228</v>
      </c>
      <c r="C238" s="289" t="s">
        <v>416</v>
      </c>
      <c r="D238" s="446" t="s">
        <v>270</v>
      </c>
      <c r="E238" s="451" t="s">
        <v>364</v>
      </c>
      <c r="F238" s="520" t="s">
        <v>634</v>
      </c>
      <c r="G238" s="535" t="s">
        <v>1699</v>
      </c>
      <c r="H238" s="518" t="s">
        <v>2236</v>
      </c>
      <c r="I238" s="521">
        <v>2</v>
      </c>
      <c r="J238" s="522">
        <v>3</v>
      </c>
      <c r="K238" s="450" t="s">
        <v>186</v>
      </c>
      <c r="L238" s="450" t="s">
        <v>366</v>
      </c>
      <c r="M238" s="450" t="s">
        <v>1595</v>
      </c>
      <c r="N238" s="523" t="s">
        <v>2065</v>
      </c>
      <c r="O238" s="524" t="s">
        <v>176</v>
      </c>
      <c r="P238" s="525">
        <v>251</v>
      </c>
      <c r="Q238" s="526"/>
      <c r="R238" s="527"/>
      <c r="S238" s="528">
        <v>1</v>
      </c>
      <c r="T238" s="529" t="s">
        <v>634</v>
      </c>
      <c r="U238" s="530">
        <v>1</v>
      </c>
      <c r="V238" s="531" t="s">
        <v>442</v>
      </c>
      <c r="W238" s="453" t="s">
        <v>196</v>
      </c>
      <c r="X238" s="455">
        <v>120000000</v>
      </c>
      <c r="Y238" s="455">
        <v>120000000</v>
      </c>
      <c r="Z238" s="460" t="s">
        <v>1816</v>
      </c>
      <c r="AA238" s="453"/>
      <c r="AB238" s="453"/>
      <c r="AC238" s="458"/>
      <c r="AD238" s="458"/>
      <c r="AE238" s="532"/>
      <c r="AF238" s="531"/>
      <c r="AG238" s="455"/>
      <c r="AH238" s="461"/>
      <c r="AI238" s="533"/>
    </row>
    <row r="239" spans="2:35" ht="15" customHeight="1">
      <c r="B239" s="366">
        <f t="shared" ref="B239:B280" si="10">ROW()-10</f>
        <v>229</v>
      </c>
      <c r="C239" s="289" t="s">
        <v>416</v>
      </c>
      <c r="D239" s="446" t="s">
        <v>270</v>
      </c>
      <c r="E239" s="451" t="s">
        <v>365</v>
      </c>
      <c r="F239" s="520" t="s">
        <v>761</v>
      </c>
      <c r="G239" s="535" t="s">
        <v>494</v>
      </c>
      <c r="H239" s="518" t="s">
        <v>605</v>
      </c>
      <c r="I239" s="521">
        <v>1</v>
      </c>
      <c r="J239" s="522">
        <v>1</v>
      </c>
      <c r="K239" s="450" t="s">
        <v>187</v>
      </c>
      <c r="L239" s="450" t="s">
        <v>367</v>
      </c>
      <c r="M239" s="450" t="s">
        <v>1555</v>
      </c>
      <c r="N239" s="523" t="s">
        <v>1556</v>
      </c>
      <c r="O239" s="524" t="s">
        <v>2022</v>
      </c>
      <c r="P239" s="525">
        <v>8528.0999999999985</v>
      </c>
      <c r="Q239" s="526">
        <v>132.43</v>
      </c>
      <c r="R239" s="527">
        <v>2.5292855383965947E-3</v>
      </c>
      <c r="S239" s="528">
        <v>1</v>
      </c>
      <c r="T239" s="529" t="s">
        <v>761</v>
      </c>
      <c r="U239" s="530">
        <v>1</v>
      </c>
      <c r="V239" s="531" t="s">
        <v>1835</v>
      </c>
      <c r="W239" s="453" t="s">
        <v>196</v>
      </c>
      <c r="X239" s="455">
        <v>266400000</v>
      </c>
      <c r="Y239" s="455">
        <v>266400000</v>
      </c>
      <c r="Z239" s="460" t="s">
        <v>1816</v>
      </c>
      <c r="AA239" s="453"/>
      <c r="AB239" s="453"/>
      <c r="AC239" s="458"/>
      <c r="AD239" s="458"/>
      <c r="AE239" s="532"/>
      <c r="AF239" s="531"/>
      <c r="AG239" s="455"/>
      <c r="AH239" s="461"/>
      <c r="AI239" s="533"/>
    </row>
    <row r="240" spans="2:35" ht="15" customHeight="1">
      <c r="B240" s="366">
        <f t="shared" si="10"/>
        <v>230</v>
      </c>
      <c r="C240" s="289" t="s">
        <v>416</v>
      </c>
      <c r="D240" s="446" t="s">
        <v>270</v>
      </c>
      <c r="E240" s="451" t="s">
        <v>376</v>
      </c>
      <c r="F240" s="520" t="s">
        <v>762</v>
      </c>
      <c r="G240" s="535" t="s">
        <v>495</v>
      </c>
      <c r="H240" s="518" t="s">
        <v>606</v>
      </c>
      <c r="I240" s="521">
        <v>1</v>
      </c>
      <c r="J240" s="522">
        <v>1</v>
      </c>
      <c r="K240" s="450" t="s">
        <v>189</v>
      </c>
      <c r="L240" s="450" t="s">
        <v>1598</v>
      </c>
      <c r="M240" s="450" t="s">
        <v>1599</v>
      </c>
      <c r="N240" s="523" t="s">
        <v>1600</v>
      </c>
      <c r="O240" s="524" t="s">
        <v>2066</v>
      </c>
      <c r="P240" s="525">
        <v>357</v>
      </c>
      <c r="Q240" s="526">
        <v>45.12</v>
      </c>
      <c r="R240" s="527">
        <v>7.4081232492997195E-2</v>
      </c>
      <c r="S240" s="528">
        <v>1</v>
      </c>
      <c r="T240" s="529" t="s">
        <v>762</v>
      </c>
      <c r="U240" s="530" t="s">
        <v>250</v>
      </c>
      <c r="V240" s="531" t="s">
        <v>444</v>
      </c>
      <c r="W240" s="453" t="s">
        <v>196</v>
      </c>
      <c r="X240" s="455">
        <v>240000000</v>
      </c>
      <c r="Y240" s="455">
        <v>240000000</v>
      </c>
      <c r="Z240" s="460" t="s">
        <v>1816</v>
      </c>
      <c r="AA240" s="453"/>
      <c r="AB240" s="453"/>
      <c r="AC240" s="458"/>
      <c r="AD240" s="458"/>
      <c r="AE240" s="532"/>
      <c r="AF240" s="531"/>
      <c r="AG240" s="455"/>
      <c r="AH240" s="461"/>
      <c r="AI240" s="533"/>
    </row>
    <row r="241" spans="2:35" ht="15" customHeight="1">
      <c r="B241" s="366">
        <f t="shared" si="10"/>
        <v>231</v>
      </c>
      <c r="C241" s="289" t="s">
        <v>416</v>
      </c>
      <c r="D241" s="446" t="s">
        <v>270</v>
      </c>
      <c r="E241" s="451" t="s">
        <v>377</v>
      </c>
      <c r="F241" s="520" t="s">
        <v>763</v>
      </c>
      <c r="G241" s="535" t="s">
        <v>496</v>
      </c>
      <c r="H241" s="518" t="s">
        <v>607</v>
      </c>
      <c r="I241" s="521">
        <v>1</v>
      </c>
      <c r="J241" s="522">
        <v>1</v>
      </c>
      <c r="K241" s="450" t="s">
        <v>188</v>
      </c>
      <c r="L241" s="450" t="s">
        <v>389</v>
      </c>
      <c r="M241" s="450" t="s">
        <v>1601</v>
      </c>
      <c r="N241" s="523" t="s">
        <v>2067</v>
      </c>
      <c r="O241" s="524" t="s">
        <v>225</v>
      </c>
      <c r="P241" s="525">
        <v>680</v>
      </c>
      <c r="Q241" s="526"/>
      <c r="R241" s="527"/>
      <c r="S241" s="528">
        <v>1</v>
      </c>
      <c r="T241" s="529" t="s">
        <v>763</v>
      </c>
      <c r="U241" s="530">
        <v>1</v>
      </c>
      <c r="V241" s="531" t="s">
        <v>442</v>
      </c>
      <c r="W241" s="453" t="s">
        <v>196</v>
      </c>
      <c r="X241" s="455">
        <v>154800000</v>
      </c>
      <c r="Y241" s="455">
        <v>154800000</v>
      </c>
      <c r="Z241" s="460" t="s">
        <v>1816</v>
      </c>
      <c r="AA241" s="453"/>
      <c r="AB241" s="453"/>
      <c r="AC241" s="458"/>
      <c r="AD241" s="458"/>
      <c r="AE241" s="532"/>
      <c r="AF241" s="531"/>
      <c r="AG241" s="455"/>
      <c r="AH241" s="461"/>
      <c r="AI241" s="533"/>
    </row>
    <row r="242" spans="2:35" ht="15" customHeight="1">
      <c r="B242" s="366">
        <f t="shared" si="10"/>
        <v>232</v>
      </c>
      <c r="C242" s="289" t="s">
        <v>416</v>
      </c>
      <c r="D242" s="446" t="s">
        <v>270</v>
      </c>
      <c r="E242" s="451" t="s">
        <v>377</v>
      </c>
      <c r="F242" s="520" t="s">
        <v>763</v>
      </c>
      <c r="G242" s="535" t="s">
        <v>496</v>
      </c>
      <c r="H242" s="518" t="s">
        <v>2237</v>
      </c>
      <c r="I242" s="521">
        <v>1</v>
      </c>
      <c r="J242" s="522">
        <v>2</v>
      </c>
      <c r="K242" s="450" t="s">
        <v>188</v>
      </c>
      <c r="L242" s="450" t="s">
        <v>389</v>
      </c>
      <c r="M242" s="450" t="s">
        <v>1601</v>
      </c>
      <c r="N242" s="523" t="s">
        <v>2068</v>
      </c>
      <c r="O242" s="524" t="s">
        <v>214</v>
      </c>
      <c r="P242" s="525">
        <v>1259</v>
      </c>
      <c r="Q242" s="526"/>
      <c r="R242" s="527"/>
      <c r="S242" s="528">
        <v>0.13609213661636219</v>
      </c>
      <c r="T242" s="529" t="s">
        <v>763</v>
      </c>
      <c r="U242" s="530">
        <v>1</v>
      </c>
      <c r="V242" s="531" t="s">
        <v>442</v>
      </c>
      <c r="W242" s="453" t="s">
        <v>196</v>
      </c>
      <c r="X242" s="455">
        <v>154800000</v>
      </c>
      <c r="Y242" s="455">
        <v>154800000</v>
      </c>
      <c r="Z242" s="460" t="s">
        <v>1816</v>
      </c>
      <c r="AA242" s="453"/>
      <c r="AB242" s="453"/>
      <c r="AC242" s="458"/>
      <c r="AD242" s="458"/>
      <c r="AE242" s="532"/>
      <c r="AF242" s="531"/>
      <c r="AG242" s="455"/>
      <c r="AH242" s="461"/>
      <c r="AI242" s="533"/>
    </row>
    <row r="243" spans="2:35" ht="15" customHeight="1">
      <c r="B243" s="366">
        <f t="shared" si="10"/>
        <v>233</v>
      </c>
      <c r="C243" s="289" t="s">
        <v>416</v>
      </c>
      <c r="D243" s="446" t="s">
        <v>270</v>
      </c>
      <c r="E243" s="451" t="s">
        <v>377</v>
      </c>
      <c r="F243" s="520" t="s">
        <v>763</v>
      </c>
      <c r="G243" s="535" t="s">
        <v>496</v>
      </c>
      <c r="H243" s="518" t="s">
        <v>2238</v>
      </c>
      <c r="I243" s="521">
        <v>1</v>
      </c>
      <c r="J243" s="522">
        <v>3</v>
      </c>
      <c r="K243" s="450" t="s">
        <v>188</v>
      </c>
      <c r="L243" s="450" t="s">
        <v>389</v>
      </c>
      <c r="M243" s="450" t="s">
        <v>1601</v>
      </c>
      <c r="N243" s="523" t="s">
        <v>2069</v>
      </c>
      <c r="O243" s="524" t="s">
        <v>177</v>
      </c>
      <c r="P243" s="525">
        <v>546</v>
      </c>
      <c r="Q243" s="526"/>
      <c r="R243" s="527"/>
      <c r="S243" s="528">
        <v>1</v>
      </c>
      <c r="T243" s="529" t="s">
        <v>763</v>
      </c>
      <c r="U243" s="530">
        <v>1</v>
      </c>
      <c r="V243" s="531" t="s">
        <v>442</v>
      </c>
      <c r="W243" s="453" t="s">
        <v>196</v>
      </c>
      <c r="X243" s="455">
        <v>154800000</v>
      </c>
      <c r="Y243" s="455">
        <v>154800000</v>
      </c>
      <c r="Z243" s="460" t="s">
        <v>1816</v>
      </c>
      <c r="AA243" s="453"/>
      <c r="AB243" s="453"/>
      <c r="AC243" s="458"/>
      <c r="AD243" s="458"/>
      <c r="AE243" s="532"/>
      <c r="AF243" s="531"/>
      <c r="AG243" s="455"/>
      <c r="AH243" s="461"/>
      <c r="AI243" s="533"/>
    </row>
    <row r="244" spans="2:35" ht="15" customHeight="1">
      <c r="B244" s="366">
        <f t="shared" si="10"/>
        <v>234</v>
      </c>
      <c r="C244" s="289" t="s">
        <v>416</v>
      </c>
      <c r="D244" s="446" t="s">
        <v>270</v>
      </c>
      <c r="E244" s="451" t="s">
        <v>377</v>
      </c>
      <c r="F244" s="520" t="s">
        <v>763</v>
      </c>
      <c r="G244" s="535" t="s">
        <v>496</v>
      </c>
      <c r="H244" s="518" t="s">
        <v>2239</v>
      </c>
      <c r="I244" s="521">
        <v>1</v>
      </c>
      <c r="J244" s="522">
        <v>4</v>
      </c>
      <c r="K244" s="450" t="s">
        <v>188</v>
      </c>
      <c r="L244" s="450" t="s">
        <v>389</v>
      </c>
      <c r="M244" s="450" t="s">
        <v>1601</v>
      </c>
      <c r="N244" s="523" t="s">
        <v>2070</v>
      </c>
      <c r="O244" s="524" t="s">
        <v>214</v>
      </c>
      <c r="P244" s="525">
        <v>233</v>
      </c>
      <c r="Q244" s="526"/>
      <c r="R244" s="527"/>
      <c r="S244" s="528">
        <v>0.13609442060085838</v>
      </c>
      <c r="T244" s="529" t="s">
        <v>763</v>
      </c>
      <c r="U244" s="530">
        <v>1</v>
      </c>
      <c r="V244" s="531" t="s">
        <v>442</v>
      </c>
      <c r="W244" s="453" t="s">
        <v>196</v>
      </c>
      <c r="X244" s="455">
        <v>154800000</v>
      </c>
      <c r="Y244" s="455">
        <v>154800000</v>
      </c>
      <c r="Z244" s="460" t="s">
        <v>1816</v>
      </c>
      <c r="AA244" s="453"/>
      <c r="AB244" s="453"/>
      <c r="AC244" s="458"/>
      <c r="AD244" s="458"/>
      <c r="AE244" s="532"/>
      <c r="AF244" s="531"/>
      <c r="AG244" s="455"/>
      <c r="AH244" s="461"/>
      <c r="AI244" s="533"/>
    </row>
    <row r="245" spans="2:35" ht="15" customHeight="1">
      <c r="B245" s="366">
        <f t="shared" si="10"/>
        <v>235</v>
      </c>
      <c r="C245" s="289" t="s">
        <v>416</v>
      </c>
      <c r="D245" s="446" t="s">
        <v>270</v>
      </c>
      <c r="E245" s="451" t="s">
        <v>377</v>
      </c>
      <c r="F245" s="520" t="s">
        <v>763</v>
      </c>
      <c r="G245" s="535" t="s">
        <v>496</v>
      </c>
      <c r="H245" s="518" t="s">
        <v>2240</v>
      </c>
      <c r="I245" s="521">
        <v>1</v>
      </c>
      <c r="J245" s="522">
        <v>5</v>
      </c>
      <c r="K245" s="450" t="s">
        <v>188</v>
      </c>
      <c r="L245" s="450" t="s">
        <v>389</v>
      </c>
      <c r="M245" s="450" t="s">
        <v>1601</v>
      </c>
      <c r="N245" s="523" t="s">
        <v>2071</v>
      </c>
      <c r="O245" s="524" t="s">
        <v>225</v>
      </c>
      <c r="P245" s="525">
        <v>59</v>
      </c>
      <c r="Q245" s="526"/>
      <c r="R245" s="527"/>
      <c r="S245" s="528">
        <v>1</v>
      </c>
      <c r="T245" s="529" t="s">
        <v>763</v>
      </c>
      <c r="U245" s="530">
        <v>1</v>
      </c>
      <c r="V245" s="531" t="s">
        <v>442</v>
      </c>
      <c r="W245" s="453" t="s">
        <v>196</v>
      </c>
      <c r="X245" s="455">
        <v>154800000</v>
      </c>
      <c r="Y245" s="455">
        <v>154800000</v>
      </c>
      <c r="Z245" s="460" t="s">
        <v>1816</v>
      </c>
      <c r="AA245" s="453"/>
      <c r="AB245" s="453"/>
      <c r="AC245" s="458"/>
      <c r="AD245" s="458"/>
      <c r="AE245" s="532"/>
      <c r="AF245" s="531"/>
      <c r="AG245" s="455"/>
      <c r="AH245" s="461"/>
      <c r="AI245" s="533"/>
    </row>
    <row r="246" spans="2:35" ht="15" customHeight="1">
      <c r="B246" s="366">
        <f t="shared" si="10"/>
        <v>236</v>
      </c>
      <c r="C246" s="289" t="s">
        <v>416</v>
      </c>
      <c r="D246" s="446" t="s">
        <v>270</v>
      </c>
      <c r="E246" s="451" t="s">
        <v>377</v>
      </c>
      <c r="F246" s="520" t="s">
        <v>763</v>
      </c>
      <c r="G246" s="535" t="s">
        <v>496</v>
      </c>
      <c r="H246" s="518" t="s">
        <v>2241</v>
      </c>
      <c r="I246" s="521">
        <v>1</v>
      </c>
      <c r="J246" s="522">
        <v>6</v>
      </c>
      <c r="K246" s="450" t="s">
        <v>188</v>
      </c>
      <c r="L246" s="450" t="s">
        <v>389</v>
      </c>
      <c r="M246" s="450" t="s">
        <v>1601</v>
      </c>
      <c r="N246" s="523" t="s">
        <v>2072</v>
      </c>
      <c r="O246" s="524" t="s">
        <v>225</v>
      </c>
      <c r="P246" s="525">
        <v>405</v>
      </c>
      <c r="Q246" s="526"/>
      <c r="R246" s="527"/>
      <c r="S246" s="528">
        <v>0.13609876543209878</v>
      </c>
      <c r="T246" s="529" t="s">
        <v>763</v>
      </c>
      <c r="U246" s="530">
        <v>1</v>
      </c>
      <c r="V246" s="531" t="s">
        <v>442</v>
      </c>
      <c r="W246" s="453" t="s">
        <v>196</v>
      </c>
      <c r="X246" s="455">
        <v>154800000</v>
      </c>
      <c r="Y246" s="455">
        <v>154800000</v>
      </c>
      <c r="Z246" s="460" t="s">
        <v>1816</v>
      </c>
      <c r="AA246" s="453"/>
      <c r="AB246" s="453"/>
      <c r="AC246" s="458"/>
      <c r="AD246" s="458"/>
      <c r="AE246" s="532"/>
      <c r="AF246" s="531"/>
      <c r="AG246" s="455"/>
      <c r="AH246" s="461"/>
      <c r="AI246" s="533"/>
    </row>
    <row r="247" spans="2:35" ht="15" customHeight="1">
      <c r="B247" s="366">
        <f t="shared" si="10"/>
        <v>237</v>
      </c>
      <c r="C247" s="289" t="s">
        <v>416</v>
      </c>
      <c r="D247" s="446" t="s">
        <v>270</v>
      </c>
      <c r="E247" s="451" t="s">
        <v>377</v>
      </c>
      <c r="F247" s="520" t="s">
        <v>763</v>
      </c>
      <c r="G247" s="535" t="s">
        <v>496</v>
      </c>
      <c r="H247" s="518" t="s">
        <v>2242</v>
      </c>
      <c r="I247" s="521">
        <v>1</v>
      </c>
      <c r="J247" s="522">
        <v>7</v>
      </c>
      <c r="K247" s="450" t="s">
        <v>188</v>
      </c>
      <c r="L247" s="450" t="s">
        <v>389</v>
      </c>
      <c r="M247" s="450" t="s">
        <v>1601</v>
      </c>
      <c r="N247" s="523" t="s">
        <v>2073</v>
      </c>
      <c r="O247" s="524" t="s">
        <v>177</v>
      </c>
      <c r="P247" s="525">
        <v>252</v>
      </c>
      <c r="Q247" s="526"/>
      <c r="R247" s="527"/>
      <c r="S247" s="528">
        <v>0.1361111111111111</v>
      </c>
      <c r="T247" s="529" t="s">
        <v>763</v>
      </c>
      <c r="U247" s="530">
        <v>1</v>
      </c>
      <c r="V247" s="531" t="s">
        <v>442</v>
      </c>
      <c r="W247" s="453" t="s">
        <v>196</v>
      </c>
      <c r="X247" s="455">
        <v>154800000</v>
      </c>
      <c r="Y247" s="455">
        <v>154800000</v>
      </c>
      <c r="Z247" s="460" t="s">
        <v>1816</v>
      </c>
      <c r="AA247" s="453"/>
      <c r="AB247" s="453"/>
      <c r="AC247" s="458"/>
      <c r="AD247" s="458"/>
      <c r="AE247" s="532"/>
      <c r="AF247" s="531"/>
      <c r="AG247" s="455"/>
      <c r="AH247" s="461"/>
      <c r="AI247" s="533"/>
    </row>
    <row r="248" spans="2:35" ht="15" customHeight="1">
      <c r="B248" s="366">
        <f t="shared" si="10"/>
        <v>238</v>
      </c>
      <c r="C248" s="289" t="s">
        <v>416</v>
      </c>
      <c r="D248" s="446" t="s">
        <v>270</v>
      </c>
      <c r="E248" s="451" t="s">
        <v>378</v>
      </c>
      <c r="F248" s="520" t="s">
        <v>764</v>
      </c>
      <c r="G248" s="535" t="s">
        <v>497</v>
      </c>
      <c r="H248" s="518" t="s">
        <v>608</v>
      </c>
      <c r="I248" s="521">
        <v>1</v>
      </c>
      <c r="J248" s="522">
        <v>1</v>
      </c>
      <c r="K248" s="450" t="s">
        <v>186</v>
      </c>
      <c r="L248" s="450" t="s">
        <v>388</v>
      </c>
      <c r="M248" s="450" t="s">
        <v>1603</v>
      </c>
      <c r="N248" s="523" t="s">
        <v>704</v>
      </c>
      <c r="O248" s="524" t="s">
        <v>215</v>
      </c>
      <c r="P248" s="525">
        <v>259</v>
      </c>
      <c r="Q248" s="526"/>
      <c r="R248" s="527"/>
      <c r="S248" s="528">
        <v>1</v>
      </c>
      <c r="T248" s="529" t="s">
        <v>764</v>
      </c>
      <c r="U248" s="530" t="s">
        <v>250</v>
      </c>
      <c r="V248" s="531" t="s">
        <v>713</v>
      </c>
      <c r="W248" s="453" t="s">
        <v>196</v>
      </c>
      <c r="X248" s="455">
        <v>168000000</v>
      </c>
      <c r="Y248" s="455">
        <v>168000000</v>
      </c>
      <c r="Z248" s="460" t="s">
        <v>1816</v>
      </c>
      <c r="AA248" s="453"/>
      <c r="AB248" s="453"/>
      <c r="AC248" s="458"/>
      <c r="AD248" s="458"/>
      <c r="AE248" s="532"/>
      <c r="AF248" s="531"/>
      <c r="AG248" s="455"/>
      <c r="AH248" s="461"/>
      <c r="AI248" s="533"/>
    </row>
    <row r="249" spans="2:35" ht="15" customHeight="1">
      <c r="B249" s="366">
        <f t="shared" si="10"/>
        <v>239</v>
      </c>
      <c r="C249" s="289" t="s">
        <v>416</v>
      </c>
      <c r="D249" s="446" t="s">
        <v>270</v>
      </c>
      <c r="E249" s="451" t="s">
        <v>378</v>
      </c>
      <c r="F249" s="520" t="s">
        <v>764</v>
      </c>
      <c r="G249" s="535" t="s">
        <v>1700</v>
      </c>
      <c r="H249" s="518" t="s">
        <v>2243</v>
      </c>
      <c r="I249" s="521">
        <v>2</v>
      </c>
      <c r="J249" s="522">
        <v>1</v>
      </c>
      <c r="K249" s="450" t="s">
        <v>186</v>
      </c>
      <c r="L249" s="450" t="s">
        <v>388</v>
      </c>
      <c r="M249" s="450" t="s">
        <v>1603</v>
      </c>
      <c r="N249" s="523" t="s">
        <v>2074</v>
      </c>
      <c r="O249" s="524" t="s">
        <v>215</v>
      </c>
      <c r="P249" s="525">
        <v>282</v>
      </c>
      <c r="Q249" s="526"/>
      <c r="R249" s="527"/>
      <c r="S249" s="528">
        <v>1</v>
      </c>
      <c r="T249" s="529" t="s">
        <v>764</v>
      </c>
      <c r="U249" s="530" t="s">
        <v>250</v>
      </c>
      <c r="V249" s="531" t="s">
        <v>713</v>
      </c>
      <c r="W249" s="453" t="s">
        <v>196</v>
      </c>
      <c r="X249" s="455">
        <v>132000000</v>
      </c>
      <c r="Y249" s="455">
        <v>132000000</v>
      </c>
      <c r="Z249" s="460" t="s">
        <v>1816</v>
      </c>
      <c r="AA249" s="453"/>
      <c r="AB249" s="453"/>
      <c r="AC249" s="458"/>
      <c r="AD249" s="458"/>
      <c r="AE249" s="532"/>
      <c r="AF249" s="531"/>
      <c r="AG249" s="455"/>
      <c r="AH249" s="461"/>
      <c r="AI249" s="533"/>
    </row>
    <row r="250" spans="2:35" ht="15" customHeight="1">
      <c r="B250" s="366">
        <f t="shared" si="10"/>
        <v>240</v>
      </c>
      <c r="C250" s="289" t="s">
        <v>416</v>
      </c>
      <c r="D250" s="446" t="s">
        <v>270</v>
      </c>
      <c r="E250" s="451" t="s">
        <v>379</v>
      </c>
      <c r="F250" s="520" t="s">
        <v>765</v>
      </c>
      <c r="G250" s="535" t="s">
        <v>498</v>
      </c>
      <c r="H250" s="518" t="s">
        <v>609</v>
      </c>
      <c r="I250" s="521">
        <v>1</v>
      </c>
      <c r="J250" s="522">
        <v>1</v>
      </c>
      <c r="K250" s="450" t="s">
        <v>186</v>
      </c>
      <c r="L250" s="450" t="s">
        <v>320</v>
      </c>
      <c r="M250" s="450" t="s">
        <v>643</v>
      </c>
      <c r="N250" s="523" t="s">
        <v>1606</v>
      </c>
      <c r="O250" s="524" t="s">
        <v>2075</v>
      </c>
      <c r="P250" s="525">
        <v>25486</v>
      </c>
      <c r="Q250" s="526">
        <v>43.04</v>
      </c>
      <c r="R250" s="527">
        <v>6.4427528839362791E-4</v>
      </c>
      <c r="S250" s="528">
        <v>1</v>
      </c>
      <c r="T250" s="529" t="s">
        <v>765</v>
      </c>
      <c r="U250" s="530">
        <v>1</v>
      </c>
      <c r="V250" s="531" t="s">
        <v>442</v>
      </c>
      <c r="W250" s="453" t="s">
        <v>196</v>
      </c>
      <c r="X250" s="455">
        <v>158400000</v>
      </c>
      <c r="Y250" s="455">
        <v>158400000</v>
      </c>
      <c r="Z250" s="460" t="s">
        <v>1816</v>
      </c>
      <c r="AA250" s="453"/>
      <c r="AB250" s="453"/>
      <c r="AC250" s="458"/>
      <c r="AD250" s="458"/>
      <c r="AE250" s="532"/>
      <c r="AF250" s="531"/>
      <c r="AG250" s="455"/>
      <c r="AH250" s="461"/>
      <c r="AI250" s="533"/>
    </row>
    <row r="251" spans="2:35" ht="15" customHeight="1">
      <c r="B251" s="366">
        <f t="shared" si="10"/>
        <v>241</v>
      </c>
      <c r="C251" s="289" t="s">
        <v>416</v>
      </c>
      <c r="D251" s="446" t="s">
        <v>270</v>
      </c>
      <c r="E251" s="451" t="s">
        <v>380</v>
      </c>
      <c r="F251" s="520" t="s">
        <v>766</v>
      </c>
      <c r="G251" s="535" t="s">
        <v>499</v>
      </c>
      <c r="H251" s="518" t="s">
        <v>610</v>
      </c>
      <c r="I251" s="521">
        <v>1</v>
      </c>
      <c r="J251" s="522">
        <v>1</v>
      </c>
      <c r="K251" s="450" t="s">
        <v>369</v>
      </c>
      <c r="L251" s="450" t="s">
        <v>656</v>
      </c>
      <c r="M251" s="450" t="s">
        <v>1581</v>
      </c>
      <c r="N251" s="523" t="s">
        <v>1582</v>
      </c>
      <c r="O251" s="524" t="s">
        <v>265</v>
      </c>
      <c r="P251" s="525">
        <v>20190.2</v>
      </c>
      <c r="Q251" s="526">
        <v>84.976299999999995</v>
      </c>
      <c r="R251" s="527">
        <v>2.6136442432467236E-3</v>
      </c>
      <c r="S251" s="528">
        <v>1</v>
      </c>
      <c r="T251" s="529" t="s">
        <v>2051</v>
      </c>
      <c r="U251" s="530">
        <v>1</v>
      </c>
      <c r="V251" s="531" t="s">
        <v>442</v>
      </c>
      <c r="W251" s="453" t="s">
        <v>196</v>
      </c>
      <c r="X251" s="455">
        <v>100000000</v>
      </c>
      <c r="Y251" s="455">
        <v>100000000</v>
      </c>
      <c r="Z251" s="460" t="s">
        <v>1816</v>
      </c>
      <c r="AA251" s="453"/>
      <c r="AB251" s="453"/>
      <c r="AC251" s="458"/>
      <c r="AD251" s="458"/>
      <c r="AE251" s="532"/>
      <c r="AF251" s="531"/>
      <c r="AG251" s="455"/>
      <c r="AH251" s="461"/>
      <c r="AI251" s="533"/>
    </row>
    <row r="252" spans="2:35" ht="15" customHeight="1">
      <c r="B252" s="366">
        <f t="shared" si="10"/>
        <v>242</v>
      </c>
      <c r="C252" s="289" t="s">
        <v>416</v>
      </c>
      <c r="D252" s="446" t="s">
        <v>270</v>
      </c>
      <c r="E252" s="451" t="s">
        <v>635</v>
      </c>
      <c r="F252" s="520" t="s">
        <v>767</v>
      </c>
      <c r="G252" s="535" t="s">
        <v>654</v>
      </c>
      <c r="H252" s="518" t="s">
        <v>700</v>
      </c>
      <c r="I252" s="521">
        <v>1</v>
      </c>
      <c r="J252" s="522">
        <v>1</v>
      </c>
      <c r="K252" s="450" t="s">
        <v>186</v>
      </c>
      <c r="L252" s="450" t="s">
        <v>341</v>
      </c>
      <c r="M252" s="450" t="s">
        <v>1607</v>
      </c>
      <c r="N252" s="523" t="s">
        <v>1608</v>
      </c>
      <c r="O252" s="524" t="s">
        <v>2076</v>
      </c>
      <c r="P252" s="525">
        <v>440</v>
      </c>
      <c r="Q252" s="526">
        <v>48.44</v>
      </c>
      <c r="R252" s="527">
        <v>0.12363636363636363</v>
      </c>
      <c r="S252" s="528">
        <v>1</v>
      </c>
      <c r="T252" s="529" t="s">
        <v>767</v>
      </c>
      <c r="U252" s="530">
        <v>1</v>
      </c>
      <c r="V252" s="531" t="s">
        <v>442</v>
      </c>
      <c r="W252" s="453" t="s">
        <v>196</v>
      </c>
      <c r="X252" s="455">
        <v>90000000</v>
      </c>
      <c r="Y252" s="455">
        <v>90000000</v>
      </c>
      <c r="Z252" s="460" t="s">
        <v>1816</v>
      </c>
      <c r="AA252" s="453"/>
      <c r="AB252" s="453"/>
      <c r="AC252" s="458"/>
      <c r="AD252" s="458"/>
      <c r="AE252" s="532"/>
      <c r="AF252" s="531"/>
      <c r="AG252" s="455"/>
      <c r="AH252" s="461"/>
      <c r="AI252" s="533"/>
    </row>
    <row r="253" spans="2:35" ht="15" customHeight="1">
      <c r="B253" s="366">
        <f t="shared" si="10"/>
        <v>243</v>
      </c>
      <c r="C253" s="289" t="s">
        <v>416</v>
      </c>
      <c r="D253" s="446" t="s">
        <v>270</v>
      </c>
      <c r="E253" s="451" t="s">
        <v>381</v>
      </c>
      <c r="F253" s="520" t="s">
        <v>768</v>
      </c>
      <c r="G253" s="535" t="s">
        <v>500</v>
      </c>
      <c r="H253" s="518" t="s">
        <v>611</v>
      </c>
      <c r="I253" s="521">
        <v>1</v>
      </c>
      <c r="J253" s="522">
        <v>1</v>
      </c>
      <c r="K253" s="450" t="s">
        <v>188</v>
      </c>
      <c r="L253" s="450" t="s">
        <v>1609</v>
      </c>
      <c r="M253" s="450" t="s">
        <v>1610</v>
      </c>
      <c r="N253" s="523" t="s">
        <v>1611</v>
      </c>
      <c r="O253" s="524" t="s">
        <v>404</v>
      </c>
      <c r="P253" s="525">
        <v>292.60000000000002</v>
      </c>
      <c r="Q253" s="526">
        <v>40.869999999999997</v>
      </c>
      <c r="R253" s="527">
        <v>0.1396103896103896</v>
      </c>
      <c r="S253" s="528">
        <v>1</v>
      </c>
      <c r="T253" s="529" t="s">
        <v>768</v>
      </c>
      <c r="U253" s="530">
        <v>1</v>
      </c>
      <c r="V253" s="531" t="s">
        <v>442</v>
      </c>
      <c r="W253" s="453" t="s">
        <v>196</v>
      </c>
      <c r="X253" s="455">
        <v>64800000</v>
      </c>
      <c r="Y253" s="455">
        <v>64800000</v>
      </c>
      <c r="Z253" s="460" t="s">
        <v>1816</v>
      </c>
      <c r="AA253" s="453"/>
      <c r="AB253" s="453"/>
      <c r="AC253" s="458"/>
      <c r="AD253" s="458"/>
      <c r="AE253" s="532"/>
      <c r="AF253" s="531"/>
      <c r="AG253" s="455"/>
      <c r="AH253" s="461"/>
      <c r="AI253" s="533"/>
    </row>
    <row r="254" spans="2:35" ht="15" customHeight="1">
      <c r="B254" s="366">
        <f t="shared" si="10"/>
        <v>244</v>
      </c>
      <c r="C254" s="289" t="s">
        <v>416</v>
      </c>
      <c r="D254" s="446" t="s">
        <v>270</v>
      </c>
      <c r="E254" s="451" t="s">
        <v>382</v>
      </c>
      <c r="F254" s="520" t="s">
        <v>769</v>
      </c>
      <c r="G254" s="535" t="s">
        <v>501</v>
      </c>
      <c r="H254" s="518" t="s">
        <v>612</v>
      </c>
      <c r="I254" s="521">
        <v>1</v>
      </c>
      <c r="J254" s="522">
        <v>1</v>
      </c>
      <c r="K254" s="450" t="s">
        <v>186</v>
      </c>
      <c r="L254" s="450" t="s">
        <v>1612</v>
      </c>
      <c r="M254" s="450" t="s">
        <v>1613</v>
      </c>
      <c r="N254" s="523" t="s">
        <v>1614</v>
      </c>
      <c r="O254" s="524" t="s">
        <v>2077</v>
      </c>
      <c r="P254" s="525">
        <v>84307.5</v>
      </c>
      <c r="Q254" s="526">
        <v>84.92</v>
      </c>
      <c r="R254" s="527">
        <v>5.9520208759600269E-4</v>
      </c>
      <c r="S254" s="528">
        <v>1</v>
      </c>
      <c r="T254" s="529" t="s">
        <v>769</v>
      </c>
      <c r="U254" s="530">
        <v>1</v>
      </c>
      <c r="V254" s="531" t="s">
        <v>442</v>
      </c>
      <c r="W254" s="453" t="s">
        <v>196</v>
      </c>
      <c r="X254" s="455">
        <v>120000000</v>
      </c>
      <c r="Y254" s="455">
        <v>120000000</v>
      </c>
      <c r="Z254" s="460" t="s">
        <v>1816</v>
      </c>
      <c r="AA254" s="453"/>
      <c r="AB254" s="453"/>
      <c r="AC254" s="458"/>
      <c r="AD254" s="458"/>
      <c r="AE254" s="532"/>
      <c r="AF254" s="531"/>
      <c r="AG254" s="455"/>
      <c r="AH254" s="461"/>
      <c r="AI254" s="533"/>
    </row>
    <row r="255" spans="2:35" ht="15" customHeight="1">
      <c r="B255" s="366">
        <f t="shared" si="10"/>
        <v>245</v>
      </c>
      <c r="C255" s="289" t="s">
        <v>416</v>
      </c>
      <c r="D255" s="446" t="s">
        <v>270</v>
      </c>
      <c r="E255" s="451" t="s">
        <v>383</v>
      </c>
      <c r="F255" s="520" t="s">
        <v>770</v>
      </c>
      <c r="G255" s="535" t="s">
        <v>502</v>
      </c>
      <c r="H255" s="518" t="s">
        <v>613</v>
      </c>
      <c r="I255" s="521">
        <v>1</v>
      </c>
      <c r="J255" s="522">
        <v>1</v>
      </c>
      <c r="K255" s="450" t="s">
        <v>188</v>
      </c>
      <c r="L255" s="450" t="s">
        <v>1615</v>
      </c>
      <c r="M255" s="450" t="s">
        <v>1616</v>
      </c>
      <c r="N255" s="523" t="s">
        <v>2078</v>
      </c>
      <c r="O255" s="524" t="s">
        <v>2079</v>
      </c>
      <c r="P255" s="525" t="s">
        <v>2080</v>
      </c>
      <c r="Q255" s="526">
        <v>43.28</v>
      </c>
      <c r="R255" s="527" t="s">
        <v>2080</v>
      </c>
      <c r="S255" s="528">
        <v>1</v>
      </c>
      <c r="T255" s="529" t="s">
        <v>770</v>
      </c>
      <c r="U255" s="530">
        <v>1</v>
      </c>
      <c r="V255" s="531" t="s">
        <v>442</v>
      </c>
      <c r="W255" s="453" t="s">
        <v>196</v>
      </c>
      <c r="X255" s="455">
        <v>38400000</v>
      </c>
      <c r="Y255" s="455">
        <v>38400000</v>
      </c>
      <c r="Z255" s="460" t="s">
        <v>1816</v>
      </c>
      <c r="AA255" s="453"/>
      <c r="AB255" s="453"/>
      <c r="AC255" s="458"/>
      <c r="AD255" s="458"/>
      <c r="AE255" s="532"/>
      <c r="AF255" s="531"/>
      <c r="AG255" s="455"/>
      <c r="AH255" s="461"/>
      <c r="AI255" s="533"/>
    </row>
    <row r="256" spans="2:35" ht="15" customHeight="1">
      <c r="B256" s="366">
        <f t="shared" si="10"/>
        <v>246</v>
      </c>
      <c r="C256" s="289" t="s">
        <v>416</v>
      </c>
      <c r="D256" s="446" t="s">
        <v>270</v>
      </c>
      <c r="E256" s="451" t="s">
        <v>383</v>
      </c>
      <c r="F256" s="520" t="s">
        <v>770</v>
      </c>
      <c r="G256" s="535" t="s">
        <v>502</v>
      </c>
      <c r="H256" s="518" t="s">
        <v>2244</v>
      </c>
      <c r="I256" s="521">
        <v>1</v>
      </c>
      <c r="J256" s="522">
        <v>2</v>
      </c>
      <c r="K256" s="450" t="s">
        <v>188</v>
      </c>
      <c r="L256" s="450" t="s">
        <v>1615</v>
      </c>
      <c r="M256" s="450" t="s">
        <v>1616</v>
      </c>
      <c r="N256" s="523" t="s">
        <v>2081</v>
      </c>
      <c r="O256" s="524" t="s">
        <v>215</v>
      </c>
      <c r="P256" s="525">
        <v>142</v>
      </c>
      <c r="Q256" s="526"/>
      <c r="R256" s="527"/>
      <c r="S256" s="528">
        <v>0.1</v>
      </c>
      <c r="T256" s="529" t="s">
        <v>770</v>
      </c>
      <c r="U256" s="530">
        <v>1</v>
      </c>
      <c r="V256" s="531" t="s">
        <v>442</v>
      </c>
      <c r="W256" s="453" t="s">
        <v>196</v>
      </c>
      <c r="X256" s="455">
        <v>38400000</v>
      </c>
      <c r="Y256" s="455">
        <v>38400000</v>
      </c>
      <c r="Z256" s="460" t="s">
        <v>1816</v>
      </c>
      <c r="AA256" s="453"/>
      <c r="AB256" s="453"/>
      <c r="AC256" s="458"/>
      <c r="AD256" s="458"/>
      <c r="AE256" s="532"/>
      <c r="AF256" s="531"/>
      <c r="AG256" s="455"/>
      <c r="AH256" s="461"/>
      <c r="AI256" s="533"/>
    </row>
    <row r="257" spans="2:35" ht="15" customHeight="1">
      <c r="B257" s="366">
        <f t="shared" si="10"/>
        <v>247</v>
      </c>
      <c r="C257" s="289" t="s">
        <v>416</v>
      </c>
      <c r="D257" s="446" t="s">
        <v>270</v>
      </c>
      <c r="E257" s="451" t="s">
        <v>383</v>
      </c>
      <c r="F257" s="520" t="s">
        <v>770</v>
      </c>
      <c r="G257" s="535" t="s">
        <v>502</v>
      </c>
      <c r="H257" s="518" t="s">
        <v>2245</v>
      </c>
      <c r="I257" s="521">
        <v>1</v>
      </c>
      <c r="J257" s="522">
        <v>3</v>
      </c>
      <c r="K257" s="450" t="s">
        <v>188</v>
      </c>
      <c r="L257" s="450" t="s">
        <v>1615</v>
      </c>
      <c r="M257" s="450" t="s">
        <v>1616</v>
      </c>
      <c r="N257" s="523" t="s">
        <v>2082</v>
      </c>
      <c r="O257" s="524" t="s">
        <v>215</v>
      </c>
      <c r="P257" s="525">
        <v>22</v>
      </c>
      <c r="Q257" s="526"/>
      <c r="R257" s="527"/>
      <c r="S257" s="528">
        <v>0.1</v>
      </c>
      <c r="T257" s="529" t="s">
        <v>770</v>
      </c>
      <c r="U257" s="530">
        <v>1</v>
      </c>
      <c r="V257" s="531" t="s">
        <v>442</v>
      </c>
      <c r="W257" s="453" t="s">
        <v>196</v>
      </c>
      <c r="X257" s="455">
        <v>38400000</v>
      </c>
      <c r="Y257" s="455">
        <v>38400000</v>
      </c>
      <c r="Z257" s="460" t="s">
        <v>1816</v>
      </c>
      <c r="AA257" s="453"/>
      <c r="AB257" s="453"/>
      <c r="AC257" s="458"/>
      <c r="AD257" s="458"/>
      <c r="AE257" s="532"/>
      <c r="AF257" s="531"/>
      <c r="AG257" s="455"/>
      <c r="AH257" s="461"/>
      <c r="AI257" s="533"/>
    </row>
    <row r="258" spans="2:35" ht="15" customHeight="1">
      <c r="B258" s="366">
        <f t="shared" si="10"/>
        <v>248</v>
      </c>
      <c r="C258" s="289" t="s">
        <v>416</v>
      </c>
      <c r="D258" s="446" t="s">
        <v>270</v>
      </c>
      <c r="E258" s="451" t="s">
        <v>384</v>
      </c>
      <c r="F258" s="520" t="s">
        <v>771</v>
      </c>
      <c r="G258" s="535" t="s">
        <v>1701</v>
      </c>
      <c r="H258" s="518" t="s">
        <v>2246</v>
      </c>
      <c r="I258" s="521">
        <v>1</v>
      </c>
      <c r="J258" s="522">
        <v>1</v>
      </c>
      <c r="K258" s="450" t="s">
        <v>190</v>
      </c>
      <c r="L258" s="450" t="s">
        <v>1618</v>
      </c>
      <c r="M258" s="450" t="s">
        <v>1619</v>
      </c>
      <c r="N258" s="523" t="s">
        <v>1620</v>
      </c>
      <c r="O258" s="524" t="s">
        <v>711</v>
      </c>
      <c r="P258" s="525">
        <v>20168</v>
      </c>
      <c r="Q258" s="526">
        <v>74.760000000000005</v>
      </c>
      <c r="R258" s="527">
        <v>1.9860284350863384E-3</v>
      </c>
      <c r="S258" s="528">
        <v>1</v>
      </c>
      <c r="T258" s="529" t="s">
        <v>771</v>
      </c>
      <c r="U258" s="530">
        <v>1</v>
      </c>
      <c r="V258" s="531" t="s">
        <v>1835</v>
      </c>
      <c r="W258" s="453" t="s">
        <v>196</v>
      </c>
      <c r="X258" s="455">
        <v>12600000</v>
      </c>
      <c r="Y258" s="455">
        <v>12600000</v>
      </c>
      <c r="Z258" s="460" t="s">
        <v>1816</v>
      </c>
      <c r="AA258" s="453"/>
      <c r="AB258" s="453"/>
      <c r="AC258" s="458"/>
      <c r="AD258" s="458"/>
      <c r="AE258" s="532"/>
      <c r="AF258" s="531"/>
      <c r="AG258" s="455"/>
      <c r="AH258" s="461"/>
      <c r="AI258" s="533"/>
    </row>
    <row r="259" spans="2:35" ht="15" customHeight="1">
      <c r="B259" s="366">
        <f t="shared" si="10"/>
        <v>249</v>
      </c>
      <c r="C259" s="289" t="s">
        <v>416</v>
      </c>
      <c r="D259" s="446" t="s">
        <v>270</v>
      </c>
      <c r="E259" s="451" t="s">
        <v>385</v>
      </c>
      <c r="F259" s="520" t="s">
        <v>772</v>
      </c>
      <c r="G259" s="535" t="s">
        <v>503</v>
      </c>
      <c r="H259" s="518" t="s">
        <v>614</v>
      </c>
      <c r="I259" s="521">
        <v>1</v>
      </c>
      <c r="J259" s="522">
        <v>1</v>
      </c>
      <c r="K259" s="450" t="s">
        <v>186</v>
      </c>
      <c r="L259" s="450" t="s">
        <v>1622</v>
      </c>
      <c r="M259" s="450" t="s">
        <v>1623</v>
      </c>
      <c r="N259" s="523" t="s">
        <v>1624</v>
      </c>
      <c r="O259" s="524" t="s">
        <v>2083</v>
      </c>
      <c r="P259" s="525">
        <v>36921.5</v>
      </c>
      <c r="Q259" s="526">
        <v>121.164</v>
      </c>
      <c r="R259" s="527">
        <v>1.9252248689787792E-3</v>
      </c>
      <c r="S259" s="528">
        <v>1</v>
      </c>
      <c r="T259" s="529" t="s">
        <v>772</v>
      </c>
      <c r="U259" s="530">
        <v>2</v>
      </c>
      <c r="V259" s="531" t="s">
        <v>442</v>
      </c>
      <c r="W259" s="453" t="s">
        <v>196</v>
      </c>
      <c r="X259" s="455">
        <v>95300000</v>
      </c>
      <c r="Y259" s="455">
        <v>95300000</v>
      </c>
      <c r="Z259" s="460" t="s">
        <v>1816</v>
      </c>
      <c r="AA259" s="453">
        <v>1</v>
      </c>
      <c r="AB259" s="453" t="s">
        <v>196</v>
      </c>
      <c r="AC259" s="458">
        <v>63000000</v>
      </c>
      <c r="AD259" s="458">
        <v>63000000</v>
      </c>
      <c r="AE259" s="532"/>
      <c r="AF259" s="531"/>
      <c r="AG259" s="455"/>
      <c r="AH259" s="461"/>
      <c r="AI259" s="533"/>
    </row>
    <row r="260" spans="2:35" ht="15" customHeight="1">
      <c r="B260" s="366">
        <f t="shared" si="10"/>
        <v>250</v>
      </c>
      <c r="C260" s="289" t="s">
        <v>416</v>
      </c>
      <c r="D260" s="446" t="s">
        <v>270</v>
      </c>
      <c r="E260" s="451" t="s">
        <v>386</v>
      </c>
      <c r="F260" s="520" t="s">
        <v>773</v>
      </c>
      <c r="G260" s="535" t="s">
        <v>504</v>
      </c>
      <c r="H260" s="518" t="s">
        <v>615</v>
      </c>
      <c r="I260" s="521">
        <v>1</v>
      </c>
      <c r="J260" s="522">
        <v>1</v>
      </c>
      <c r="K260" s="450" t="s">
        <v>186</v>
      </c>
      <c r="L260" s="450" t="s">
        <v>1426</v>
      </c>
      <c r="M260" s="450" t="s">
        <v>1625</v>
      </c>
      <c r="N260" s="523" t="s">
        <v>1626</v>
      </c>
      <c r="O260" s="524" t="s">
        <v>2079</v>
      </c>
      <c r="P260" s="525">
        <v>258</v>
      </c>
      <c r="Q260" s="526">
        <v>39.81</v>
      </c>
      <c r="R260" s="527">
        <v>7.9844961240310083E-2</v>
      </c>
      <c r="S260" s="528">
        <v>1</v>
      </c>
      <c r="T260" s="529" t="s">
        <v>773</v>
      </c>
      <c r="U260" s="530">
        <v>1</v>
      </c>
      <c r="V260" s="531" t="s">
        <v>442</v>
      </c>
      <c r="W260" s="453" t="s">
        <v>196</v>
      </c>
      <c r="X260" s="455">
        <v>18000000</v>
      </c>
      <c r="Y260" s="455">
        <v>18000000</v>
      </c>
      <c r="Z260" s="460" t="s">
        <v>1816</v>
      </c>
      <c r="AA260" s="453"/>
      <c r="AB260" s="453"/>
      <c r="AC260" s="458"/>
      <c r="AD260" s="458"/>
      <c r="AE260" s="532"/>
      <c r="AF260" s="531"/>
      <c r="AG260" s="455"/>
      <c r="AH260" s="461"/>
      <c r="AI260" s="533"/>
    </row>
    <row r="261" spans="2:35" ht="15" customHeight="1">
      <c r="B261" s="366">
        <f t="shared" si="10"/>
        <v>251</v>
      </c>
      <c r="C261" s="289" t="s">
        <v>416</v>
      </c>
      <c r="D261" s="446" t="s">
        <v>270</v>
      </c>
      <c r="E261" s="451" t="s">
        <v>636</v>
      </c>
      <c r="F261" s="520" t="s">
        <v>774</v>
      </c>
      <c r="G261" s="535" t="s">
        <v>1702</v>
      </c>
      <c r="H261" s="518" t="s">
        <v>2247</v>
      </c>
      <c r="I261" s="521">
        <v>1</v>
      </c>
      <c r="J261" s="522">
        <v>1</v>
      </c>
      <c r="K261" s="450" t="s">
        <v>186</v>
      </c>
      <c r="L261" s="450" t="s">
        <v>1426</v>
      </c>
      <c r="M261" s="450" t="s">
        <v>1627</v>
      </c>
      <c r="N261" s="523" t="s">
        <v>1628</v>
      </c>
      <c r="O261" s="524" t="s">
        <v>313</v>
      </c>
      <c r="P261" s="525">
        <v>227</v>
      </c>
      <c r="Q261" s="526">
        <v>46.35</v>
      </c>
      <c r="R261" s="527">
        <v>0.14750000000000002</v>
      </c>
      <c r="S261" s="528">
        <v>1</v>
      </c>
      <c r="T261" s="529" t="s">
        <v>774</v>
      </c>
      <c r="U261" s="530">
        <v>1</v>
      </c>
      <c r="V261" s="531" t="s">
        <v>1941</v>
      </c>
      <c r="W261" s="453" t="s">
        <v>196</v>
      </c>
      <c r="X261" s="455">
        <v>31200000</v>
      </c>
      <c r="Y261" s="455">
        <v>31200000</v>
      </c>
      <c r="Z261" s="460" t="s">
        <v>1816</v>
      </c>
      <c r="AA261" s="453"/>
      <c r="AB261" s="453"/>
      <c r="AC261" s="458"/>
      <c r="AD261" s="458"/>
      <c r="AE261" s="532"/>
      <c r="AF261" s="531"/>
      <c r="AG261" s="455"/>
      <c r="AH261" s="461"/>
      <c r="AI261" s="533"/>
    </row>
    <row r="262" spans="2:35" ht="15" customHeight="1">
      <c r="B262" s="366">
        <f t="shared" si="10"/>
        <v>252</v>
      </c>
      <c r="C262" s="289" t="s">
        <v>416</v>
      </c>
      <c r="D262" s="446" t="s">
        <v>271</v>
      </c>
      <c r="E262" s="451" t="s">
        <v>238</v>
      </c>
      <c r="F262" s="520" t="s">
        <v>775</v>
      </c>
      <c r="G262" s="535" t="s">
        <v>505</v>
      </c>
      <c r="H262" s="518" t="s">
        <v>616</v>
      </c>
      <c r="I262" s="521">
        <v>1</v>
      </c>
      <c r="J262" s="522">
        <v>1</v>
      </c>
      <c r="K262" s="450" t="s">
        <v>186</v>
      </c>
      <c r="L262" s="450" t="s">
        <v>263</v>
      </c>
      <c r="M262" s="450" t="s">
        <v>1629</v>
      </c>
      <c r="N262" s="523" t="s">
        <v>2084</v>
      </c>
      <c r="O262" s="524" t="s">
        <v>213</v>
      </c>
      <c r="P262" s="525"/>
      <c r="Q262" s="526">
        <v>1716.4</v>
      </c>
      <c r="R262" s="527"/>
      <c r="S262" s="528">
        <v>1</v>
      </c>
      <c r="T262" s="529" t="s">
        <v>775</v>
      </c>
      <c r="U262" s="530" t="s">
        <v>250</v>
      </c>
      <c r="V262" s="531" t="s">
        <v>444</v>
      </c>
      <c r="W262" s="453" t="s">
        <v>196</v>
      </c>
      <c r="X262" s="455">
        <v>4300000000</v>
      </c>
      <c r="Y262" s="455">
        <v>4300000000</v>
      </c>
      <c r="Z262" s="460" t="s">
        <v>1816</v>
      </c>
      <c r="AA262" s="453"/>
      <c r="AB262" s="453"/>
      <c r="AC262" s="458"/>
      <c r="AD262" s="458"/>
      <c r="AE262" s="532"/>
      <c r="AF262" s="531"/>
      <c r="AG262" s="455"/>
      <c r="AH262" s="461"/>
      <c r="AI262" s="533"/>
    </row>
    <row r="263" spans="2:35" ht="15" customHeight="1">
      <c r="B263" s="366">
        <f t="shared" si="10"/>
        <v>253</v>
      </c>
      <c r="C263" s="289" t="s">
        <v>416</v>
      </c>
      <c r="D263" s="446" t="s">
        <v>271</v>
      </c>
      <c r="E263" s="451" t="s">
        <v>238</v>
      </c>
      <c r="F263" s="520" t="s">
        <v>775</v>
      </c>
      <c r="G263" s="535" t="s">
        <v>505</v>
      </c>
      <c r="H263" s="518" t="s">
        <v>617</v>
      </c>
      <c r="I263" s="521">
        <v>1</v>
      </c>
      <c r="J263" s="522">
        <v>2</v>
      </c>
      <c r="K263" s="450" t="s">
        <v>186</v>
      </c>
      <c r="L263" s="450" t="s">
        <v>263</v>
      </c>
      <c r="M263" s="450" t="s">
        <v>1629</v>
      </c>
      <c r="N263" s="523" t="s">
        <v>2085</v>
      </c>
      <c r="O263" s="524" t="s">
        <v>218</v>
      </c>
      <c r="P263" s="525"/>
      <c r="Q263" s="526">
        <v>1225.6500000000001</v>
      </c>
      <c r="R263" s="527"/>
      <c r="S263" s="528">
        <v>1</v>
      </c>
      <c r="T263" s="529" t="s">
        <v>775</v>
      </c>
      <c r="U263" s="530" t="s">
        <v>250</v>
      </c>
      <c r="V263" s="531" t="s">
        <v>444</v>
      </c>
      <c r="W263" s="453" t="s">
        <v>196</v>
      </c>
      <c r="X263" s="455">
        <v>4300000000</v>
      </c>
      <c r="Y263" s="455">
        <v>4300000000</v>
      </c>
      <c r="Z263" s="460" t="s">
        <v>1816</v>
      </c>
      <c r="AA263" s="453"/>
      <c r="AB263" s="453"/>
      <c r="AC263" s="458"/>
      <c r="AD263" s="458"/>
      <c r="AE263" s="532"/>
      <c r="AF263" s="531"/>
      <c r="AG263" s="455"/>
      <c r="AH263" s="461"/>
      <c r="AI263" s="533"/>
    </row>
    <row r="264" spans="2:35" ht="15" customHeight="1">
      <c r="B264" s="366">
        <f t="shared" si="10"/>
        <v>254</v>
      </c>
      <c r="C264" s="289" t="s">
        <v>416</v>
      </c>
      <c r="D264" s="446" t="s">
        <v>271</v>
      </c>
      <c r="E264" s="451" t="s">
        <v>238</v>
      </c>
      <c r="F264" s="520" t="s">
        <v>775</v>
      </c>
      <c r="G264" s="535" t="s">
        <v>505</v>
      </c>
      <c r="H264" s="518" t="s">
        <v>618</v>
      </c>
      <c r="I264" s="521">
        <v>1</v>
      </c>
      <c r="J264" s="522">
        <v>3</v>
      </c>
      <c r="K264" s="450" t="s">
        <v>186</v>
      </c>
      <c r="L264" s="450" t="s">
        <v>263</v>
      </c>
      <c r="M264" s="450" t="s">
        <v>1629</v>
      </c>
      <c r="N264" s="523" t="s">
        <v>2086</v>
      </c>
      <c r="O264" s="524" t="s">
        <v>176</v>
      </c>
      <c r="P264" s="525">
        <v>6198</v>
      </c>
      <c r="Q264" s="526"/>
      <c r="R264" s="527"/>
      <c r="S264" s="528">
        <v>1</v>
      </c>
      <c r="T264" s="529" t="s">
        <v>775</v>
      </c>
      <c r="U264" s="530" t="s">
        <v>250</v>
      </c>
      <c r="V264" s="531" t="s">
        <v>444</v>
      </c>
      <c r="W264" s="453" t="s">
        <v>196</v>
      </c>
      <c r="X264" s="455">
        <v>4300000000</v>
      </c>
      <c r="Y264" s="455">
        <v>4300000000</v>
      </c>
      <c r="Z264" s="460" t="s">
        <v>1816</v>
      </c>
      <c r="AA264" s="453"/>
      <c r="AB264" s="453"/>
      <c r="AC264" s="458"/>
      <c r="AD264" s="458"/>
      <c r="AE264" s="532"/>
      <c r="AF264" s="531"/>
      <c r="AG264" s="455"/>
      <c r="AH264" s="461"/>
      <c r="AI264" s="533" t="s">
        <v>2087</v>
      </c>
    </row>
    <row r="265" spans="2:35" ht="15" customHeight="1">
      <c r="B265" s="366">
        <f t="shared" si="10"/>
        <v>255</v>
      </c>
      <c r="C265" s="289" t="s">
        <v>416</v>
      </c>
      <c r="D265" s="446" t="s">
        <v>271</v>
      </c>
      <c r="E265" s="451" t="s">
        <v>238</v>
      </c>
      <c r="F265" s="520" t="s">
        <v>775</v>
      </c>
      <c r="G265" s="535" t="s">
        <v>506</v>
      </c>
      <c r="H265" s="518" t="s">
        <v>619</v>
      </c>
      <c r="I265" s="521">
        <v>2</v>
      </c>
      <c r="J265" s="522">
        <v>1</v>
      </c>
      <c r="K265" s="450" t="s">
        <v>186</v>
      </c>
      <c r="L265" s="450" t="s">
        <v>341</v>
      </c>
      <c r="M265" s="450" t="s">
        <v>1631</v>
      </c>
      <c r="N265" s="523" t="s">
        <v>2088</v>
      </c>
      <c r="O265" s="524" t="s">
        <v>227</v>
      </c>
      <c r="P265" s="525"/>
      <c r="Q265" s="526">
        <v>310.01</v>
      </c>
      <c r="R265" s="527"/>
      <c r="S265" s="528">
        <v>1</v>
      </c>
      <c r="T265" s="529" t="s">
        <v>775</v>
      </c>
      <c r="U265" s="530" t="s">
        <v>257</v>
      </c>
      <c r="V265" s="531" t="s">
        <v>447</v>
      </c>
      <c r="W265" s="453" t="s">
        <v>1537</v>
      </c>
      <c r="X265" s="455" t="s">
        <v>1633</v>
      </c>
      <c r="Y265" s="455">
        <v>2487537576</v>
      </c>
      <c r="Z265" s="460" t="s">
        <v>1816</v>
      </c>
      <c r="AA265" s="453"/>
      <c r="AB265" s="453"/>
      <c r="AC265" s="458"/>
      <c r="AD265" s="458"/>
      <c r="AE265" s="532"/>
      <c r="AF265" s="531"/>
      <c r="AG265" s="455"/>
      <c r="AH265" s="461"/>
      <c r="AI265" s="533"/>
    </row>
    <row r="266" spans="2:35" ht="15" customHeight="1">
      <c r="B266" s="366">
        <f t="shared" si="10"/>
        <v>256</v>
      </c>
      <c r="C266" s="289" t="s">
        <v>416</v>
      </c>
      <c r="D266" s="446" t="s">
        <v>271</v>
      </c>
      <c r="E266" s="451" t="s">
        <v>238</v>
      </c>
      <c r="F266" s="520" t="s">
        <v>775</v>
      </c>
      <c r="G266" s="535" t="s">
        <v>506</v>
      </c>
      <c r="H266" s="518" t="s">
        <v>701</v>
      </c>
      <c r="I266" s="521">
        <v>2</v>
      </c>
      <c r="J266" s="522">
        <v>2</v>
      </c>
      <c r="K266" s="450" t="s">
        <v>186</v>
      </c>
      <c r="L266" s="450" t="s">
        <v>341</v>
      </c>
      <c r="M266" s="450" t="s">
        <v>1631</v>
      </c>
      <c r="N266" s="523" t="s">
        <v>2088</v>
      </c>
      <c r="O266" s="524" t="s">
        <v>215</v>
      </c>
      <c r="P266" s="525">
        <v>248.7</v>
      </c>
      <c r="Q266" s="526"/>
      <c r="R266" s="527"/>
      <c r="S266" s="528">
        <v>1</v>
      </c>
      <c r="T266" s="529" t="s">
        <v>775</v>
      </c>
      <c r="U266" s="530" t="s">
        <v>257</v>
      </c>
      <c r="V266" s="531" t="s">
        <v>447</v>
      </c>
      <c r="W266" s="453" t="s">
        <v>1537</v>
      </c>
      <c r="X266" s="455" t="s">
        <v>1633</v>
      </c>
      <c r="Y266" s="455">
        <v>2487537576</v>
      </c>
      <c r="Z266" s="460" t="s">
        <v>1816</v>
      </c>
      <c r="AA266" s="453"/>
      <c r="AB266" s="453"/>
      <c r="AC266" s="458"/>
      <c r="AD266" s="458"/>
      <c r="AE266" s="532"/>
      <c r="AF266" s="531"/>
      <c r="AG266" s="455"/>
      <c r="AH266" s="461"/>
      <c r="AI266" s="533"/>
    </row>
    <row r="267" spans="2:35" ht="15" customHeight="1">
      <c r="B267" s="366">
        <f t="shared" si="10"/>
        <v>257</v>
      </c>
      <c r="C267" s="289" t="s">
        <v>416</v>
      </c>
      <c r="D267" s="446" t="s">
        <v>271</v>
      </c>
      <c r="E267" s="451" t="s">
        <v>238</v>
      </c>
      <c r="F267" s="520" t="s">
        <v>775</v>
      </c>
      <c r="G267" s="535" t="s">
        <v>507</v>
      </c>
      <c r="H267" s="518" t="s">
        <v>2248</v>
      </c>
      <c r="I267" s="521">
        <v>3</v>
      </c>
      <c r="J267" s="522">
        <v>1</v>
      </c>
      <c r="K267" s="450" t="s">
        <v>186</v>
      </c>
      <c r="L267" s="450" t="s">
        <v>341</v>
      </c>
      <c r="M267" s="450" t="s">
        <v>1631</v>
      </c>
      <c r="N267" s="523" t="s">
        <v>2089</v>
      </c>
      <c r="O267" s="524" t="s">
        <v>2090</v>
      </c>
      <c r="P267" s="525"/>
      <c r="Q267" s="526">
        <v>240.41000000000003</v>
      </c>
      <c r="R267" s="527"/>
      <c r="S267" s="528">
        <v>1</v>
      </c>
      <c r="T267" s="529" t="s">
        <v>775</v>
      </c>
      <c r="U267" s="530">
        <v>1</v>
      </c>
      <c r="V267" s="531" t="s">
        <v>442</v>
      </c>
      <c r="W267" s="453" t="s">
        <v>196</v>
      </c>
      <c r="X267" s="455">
        <v>1600000000</v>
      </c>
      <c r="Y267" s="455">
        <v>1600000000</v>
      </c>
      <c r="Z267" s="460" t="s">
        <v>1816</v>
      </c>
      <c r="AA267" s="453"/>
      <c r="AB267" s="453"/>
      <c r="AC267" s="458"/>
      <c r="AD267" s="458"/>
      <c r="AE267" s="532"/>
      <c r="AF267" s="531"/>
      <c r="AG267" s="455"/>
      <c r="AH267" s="461"/>
      <c r="AI267" s="533"/>
    </row>
    <row r="268" spans="2:35" ht="15" customHeight="1">
      <c r="B268" s="366">
        <f t="shared" si="10"/>
        <v>258</v>
      </c>
      <c r="C268" s="289" t="s">
        <v>416</v>
      </c>
      <c r="D268" s="446" t="s">
        <v>271</v>
      </c>
      <c r="E268" s="451" t="s">
        <v>238</v>
      </c>
      <c r="F268" s="520" t="s">
        <v>775</v>
      </c>
      <c r="G268" s="535" t="s">
        <v>507</v>
      </c>
      <c r="H268" s="518" t="s">
        <v>2249</v>
      </c>
      <c r="I268" s="521">
        <v>3</v>
      </c>
      <c r="J268" s="522">
        <v>2</v>
      </c>
      <c r="K268" s="450" t="s">
        <v>186</v>
      </c>
      <c r="L268" s="450" t="s">
        <v>341</v>
      </c>
      <c r="M268" s="450" t="s">
        <v>1631</v>
      </c>
      <c r="N268" s="523" t="s">
        <v>2089</v>
      </c>
      <c r="O268" s="524" t="s">
        <v>215</v>
      </c>
      <c r="P268" s="525">
        <v>225.4</v>
      </c>
      <c r="Q268" s="526"/>
      <c r="R268" s="527"/>
      <c r="S268" s="528">
        <v>1</v>
      </c>
      <c r="T268" s="529" t="s">
        <v>775</v>
      </c>
      <c r="U268" s="530">
        <v>1</v>
      </c>
      <c r="V268" s="531" t="s">
        <v>442</v>
      </c>
      <c r="W268" s="453" t="s">
        <v>196</v>
      </c>
      <c r="X268" s="455">
        <v>1600000000</v>
      </c>
      <c r="Y268" s="455">
        <v>1600000000</v>
      </c>
      <c r="Z268" s="460" t="s">
        <v>1816</v>
      </c>
      <c r="AA268" s="453"/>
      <c r="AB268" s="453"/>
      <c r="AC268" s="458"/>
      <c r="AD268" s="458"/>
      <c r="AE268" s="532"/>
      <c r="AF268" s="531"/>
      <c r="AG268" s="455"/>
      <c r="AH268" s="461"/>
      <c r="AI268" s="533"/>
    </row>
    <row r="269" spans="2:35" ht="15" customHeight="1">
      <c r="B269" s="366">
        <f t="shared" si="10"/>
        <v>259</v>
      </c>
      <c r="C269" s="289" t="s">
        <v>416</v>
      </c>
      <c r="D269" s="446" t="s">
        <v>271</v>
      </c>
      <c r="E269" s="451" t="s">
        <v>238</v>
      </c>
      <c r="F269" s="520" t="s">
        <v>775</v>
      </c>
      <c r="G269" s="535" t="s">
        <v>508</v>
      </c>
      <c r="H269" s="518" t="s">
        <v>2250</v>
      </c>
      <c r="I269" s="521">
        <v>4</v>
      </c>
      <c r="J269" s="522">
        <v>1</v>
      </c>
      <c r="K269" s="450" t="s">
        <v>186</v>
      </c>
      <c r="L269" s="450" t="s">
        <v>263</v>
      </c>
      <c r="M269" s="450" t="s">
        <v>1451</v>
      </c>
      <c r="N269" s="523" t="s">
        <v>1636</v>
      </c>
      <c r="O269" s="524" t="s">
        <v>265</v>
      </c>
      <c r="P269" s="525">
        <v>63529.1</v>
      </c>
      <c r="Q269" s="526">
        <v>84.881</v>
      </c>
      <c r="R269" s="527">
        <v>9.4460648742072527E-4</v>
      </c>
      <c r="S269" s="528">
        <v>1</v>
      </c>
      <c r="T269" s="529" t="s">
        <v>775</v>
      </c>
      <c r="U269" s="530" t="s">
        <v>250</v>
      </c>
      <c r="V269" s="531" t="s">
        <v>444</v>
      </c>
      <c r="W269" s="453" t="s">
        <v>196</v>
      </c>
      <c r="X269" s="455">
        <v>1388000000</v>
      </c>
      <c r="Y269" s="455">
        <v>1388000000</v>
      </c>
      <c r="Z269" s="460" t="s">
        <v>1816</v>
      </c>
      <c r="AA269" s="453"/>
      <c r="AB269" s="453"/>
      <c r="AC269" s="458"/>
      <c r="AD269" s="458"/>
      <c r="AE269" s="532"/>
      <c r="AF269" s="531"/>
      <c r="AG269" s="455"/>
      <c r="AH269" s="461"/>
      <c r="AI269" s="533"/>
    </row>
    <row r="270" spans="2:35" ht="15" customHeight="1">
      <c r="B270" s="366">
        <f t="shared" si="10"/>
        <v>260</v>
      </c>
      <c r="C270" s="289" t="s">
        <v>416</v>
      </c>
      <c r="D270" s="446" t="s">
        <v>271</v>
      </c>
      <c r="E270" s="451" t="s">
        <v>238</v>
      </c>
      <c r="F270" s="520" t="s">
        <v>775</v>
      </c>
      <c r="G270" s="535" t="s">
        <v>1703</v>
      </c>
      <c r="H270" s="518" t="s">
        <v>2251</v>
      </c>
      <c r="I270" s="521">
        <v>5</v>
      </c>
      <c r="J270" s="522">
        <v>1</v>
      </c>
      <c r="K270" s="450" t="s">
        <v>186</v>
      </c>
      <c r="L270" s="450" t="s">
        <v>341</v>
      </c>
      <c r="M270" s="450" t="s">
        <v>1631</v>
      </c>
      <c r="N270" s="523" t="s">
        <v>1638</v>
      </c>
      <c r="O270" s="524" t="s">
        <v>402</v>
      </c>
      <c r="P270" s="525">
        <v>53224.3</v>
      </c>
      <c r="Q270" s="526">
        <v>134.88</v>
      </c>
      <c r="R270" s="527">
        <v>1.5301093673378511E-3</v>
      </c>
      <c r="S270" s="528">
        <v>1</v>
      </c>
      <c r="T270" s="529" t="s">
        <v>2091</v>
      </c>
      <c r="U270" s="530">
        <v>1</v>
      </c>
      <c r="V270" s="531" t="s">
        <v>442</v>
      </c>
      <c r="W270" s="453" t="s">
        <v>196</v>
      </c>
      <c r="X270" s="455">
        <v>1200000000</v>
      </c>
      <c r="Y270" s="455">
        <v>1200000000</v>
      </c>
      <c r="Z270" s="460" t="s">
        <v>1816</v>
      </c>
      <c r="AA270" s="453"/>
      <c r="AB270" s="453"/>
      <c r="AC270" s="458"/>
      <c r="AD270" s="458"/>
      <c r="AE270" s="532"/>
      <c r="AF270" s="531"/>
      <c r="AG270" s="455"/>
      <c r="AH270" s="461"/>
      <c r="AI270" s="533"/>
    </row>
    <row r="271" spans="2:35" ht="15" customHeight="1">
      <c r="B271" s="366">
        <f t="shared" si="10"/>
        <v>261</v>
      </c>
      <c r="C271" s="289" t="s">
        <v>416</v>
      </c>
      <c r="D271" s="446" t="s">
        <v>271</v>
      </c>
      <c r="E271" s="451" t="s">
        <v>238</v>
      </c>
      <c r="F271" s="520" t="s">
        <v>775</v>
      </c>
      <c r="G271" s="535" t="s">
        <v>1704</v>
      </c>
      <c r="H271" s="518" t="s">
        <v>2252</v>
      </c>
      <c r="I271" s="521">
        <v>6</v>
      </c>
      <c r="J271" s="522">
        <v>1</v>
      </c>
      <c r="K271" s="450" t="s">
        <v>186</v>
      </c>
      <c r="L271" s="450" t="s">
        <v>341</v>
      </c>
      <c r="M271" s="450" t="s">
        <v>1631</v>
      </c>
      <c r="N271" s="523" t="s">
        <v>1639</v>
      </c>
      <c r="O271" s="524" t="s">
        <v>265</v>
      </c>
      <c r="P271" s="525">
        <v>53224.3</v>
      </c>
      <c r="Q271" s="526">
        <v>101.76</v>
      </c>
      <c r="R271" s="527">
        <v>1.1543975214328792E-3</v>
      </c>
      <c r="S271" s="528">
        <v>1</v>
      </c>
      <c r="T271" s="529" t="s">
        <v>2092</v>
      </c>
      <c r="U271" s="530">
        <v>1</v>
      </c>
      <c r="V271" s="531" t="s">
        <v>442</v>
      </c>
      <c r="W271" s="453" t="s">
        <v>196</v>
      </c>
      <c r="X271" s="455">
        <v>769200000</v>
      </c>
      <c r="Y271" s="455">
        <v>769200000</v>
      </c>
      <c r="Z271" s="460" t="s">
        <v>1816</v>
      </c>
      <c r="AA271" s="453"/>
      <c r="AB271" s="453"/>
      <c r="AC271" s="458"/>
      <c r="AD271" s="458"/>
      <c r="AE271" s="532"/>
      <c r="AF271" s="531"/>
      <c r="AG271" s="455"/>
      <c r="AH271" s="461"/>
      <c r="AI271" s="533"/>
    </row>
    <row r="272" spans="2:35" ht="15" customHeight="1">
      <c r="B272" s="366">
        <f t="shared" si="10"/>
        <v>262</v>
      </c>
      <c r="C272" s="289" t="s">
        <v>416</v>
      </c>
      <c r="D272" s="446" t="s">
        <v>271</v>
      </c>
      <c r="E272" s="451" t="s">
        <v>238</v>
      </c>
      <c r="F272" s="520" t="s">
        <v>775</v>
      </c>
      <c r="G272" s="535" t="s">
        <v>1705</v>
      </c>
      <c r="H272" s="518" t="s">
        <v>2253</v>
      </c>
      <c r="I272" s="521">
        <v>7</v>
      </c>
      <c r="J272" s="522">
        <v>1</v>
      </c>
      <c r="K272" s="450" t="s">
        <v>186</v>
      </c>
      <c r="L272" s="450" t="s">
        <v>321</v>
      </c>
      <c r="M272" s="450" t="s">
        <v>1597</v>
      </c>
      <c r="N272" s="523" t="s">
        <v>1640</v>
      </c>
      <c r="O272" s="524" t="s">
        <v>265</v>
      </c>
      <c r="P272" s="525">
        <v>57882.400000000001</v>
      </c>
      <c r="Q272" s="526">
        <v>84.96</v>
      </c>
      <c r="R272" s="527">
        <v>9.3353074509695507E-4</v>
      </c>
      <c r="S272" s="528">
        <v>1</v>
      </c>
      <c r="T272" s="529" t="s">
        <v>2093</v>
      </c>
      <c r="U272" s="530">
        <v>3</v>
      </c>
      <c r="V272" s="531" t="s">
        <v>442</v>
      </c>
      <c r="W272" s="453" t="s">
        <v>196</v>
      </c>
      <c r="X272" s="455">
        <v>564000000</v>
      </c>
      <c r="Y272" s="455">
        <v>564000000</v>
      </c>
      <c r="Z272" s="460" t="s">
        <v>1816</v>
      </c>
      <c r="AA272" s="453" t="s">
        <v>250</v>
      </c>
      <c r="AB272" s="453" t="s">
        <v>196</v>
      </c>
      <c r="AC272" s="458">
        <v>72000000</v>
      </c>
      <c r="AD272" s="458">
        <v>72000000</v>
      </c>
      <c r="AE272" s="532"/>
      <c r="AF272" s="531"/>
      <c r="AG272" s="455"/>
      <c r="AH272" s="461"/>
      <c r="AI272" s="533"/>
    </row>
    <row r="273" spans="2:35" ht="15" customHeight="1">
      <c r="B273" s="366">
        <f t="shared" si="10"/>
        <v>263</v>
      </c>
      <c r="C273" s="289" t="s">
        <v>416</v>
      </c>
      <c r="D273" s="446" t="s">
        <v>271</v>
      </c>
      <c r="E273" s="451" t="s">
        <v>239</v>
      </c>
      <c r="F273" s="520" t="s">
        <v>777</v>
      </c>
      <c r="G273" s="535" t="s">
        <v>509</v>
      </c>
      <c r="H273" s="518" t="s">
        <v>620</v>
      </c>
      <c r="I273" s="521">
        <v>1</v>
      </c>
      <c r="J273" s="522">
        <v>1</v>
      </c>
      <c r="K273" s="450" t="s">
        <v>187</v>
      </c>
      <c r="L273" s="450" t="s">
        <v>182</v>
      </c>
      <c r="M273" s="450" t="s">
        <v>1642</v>
      </c>
      <c r="N273" s="523" t="s">
        <v>2094</v>
      </c>
      <c r="O273" s="524" t="s">
        <v>2095</v>
      </c>
      <c r="P273" s="525"/>
      <c r="Q273" s="526">
        <v>1990.94</v>
      </c>
      <c r="R273" s="527"/>
      <c r="S273" s="528">
        <v>1</v>
      </c>
      <c r="T273" s="529" t="s">
        <v>777</v>
      </c>
      <c r="U273" s="530" t="s">
        <v>257</v>
      </c>
      <c r="V273" s="531" t="s">
        <v>447</v>
      </c>
      <c r="W273" s="453" t="s">
        <v>196</v>
      </c>
      <c r="X273" s="455">
        <v>6100000000</v>
      </c>
      <c r="Y273" s="455">
        <v>6100000000</v>
      </c>
      <c r="Z273" s="460" t="s">
        <v>1816</v>
      </c>
      <c r="AA273" s="453"/>
      <c r="AB273" s="453"/>
      <c r="AC273" s="458"/>
      <c r="AD273" s="458"/>
      <c r="AE273" s="532"/>
      <c r="AF273" s="531"/>
      <c r="AG273" s="455"/>
      <c r="AH273" s="461"/>
      <c r="AI273" s="533"/>
    </row>
    <row r="274" spans="2:35" ht="15" customHeight="1">
      <c r="B274" s="366">
        <f t="shared" si="10"/>
        <v>264</v>
      </c>
      <c r="C274" s="289" t="s">
        <v>416</v>
      </c>
      <c r="D274" s="446" t="s">
        <v>271</v>
      </c>
      <c r="E274" s="451" t="s">
        <v>239</v>
      </c>
      <c r="F274" s="520" t="s">
        <v>777</v>
      </c>
      <c r="G274" s="535" t="s">
        <v>509</v>
      </c>
      <c r="H274" s="518" t="s">
        <v>621</v>
      </c>
      <c r="I274" s="521">
        <v>1</v>
      </c>
      <c r="J274" s="522">
        <v>2</v>
      </c>
      <c r="K274" s="450" t="s">
        <v>187</v>
      </c>
      <c r="L274" s="450" t="s">
        <v>182</v>
      </c>
      <c r="M274" s="450" t="s">
        <v>1642</v>
      </c>
      <c r="N274" s="523" t="s">
        <v>2096</v>
      </c>
      <c r="O274" s="524" t="s">
        <v>213</v>
      </c>
      <c r="P274" s="525"/>
      <c r="Q274" s="526">
        <v>1412.52</v>
      </c>
      <c r="R274" s="527"/>
      <c r="S274" s="528">
        <v>1</v>
      </c>
      <c r="T274" s="529" t="s">
        <v>777</v>
      </c>
      <c r="U274" s="530" t="s">
        <v>257</v>
      </c>
      <c r="V274" s="531" t="s">
        <v>447</v>
      </c>
      <c r="W274" s="453" t="s">
        <v>196</v>
      </c>
      <c r="X274" s="455">
        <v>6100000000</v>
      </c>
      <c r="Y274" s="455">
        <v>6100000000</v>
      </c>
      <c r="Z274" s="460" t="s">
        <v>1816</v>
      </c>
      <c r="AA274" s="453"/>
      <c r="AB274" s="453"/>
      <c r="AC274" s="458"/>
      <c r="AD274" s="458"/>
      <c r="AE274" s="532"/>
      <c r="AF274" s="531"/>
      <c r="AG274" s="455"/>
      <c r="AH274" s="461"/>
      <c r="AI274" s="533"/>
    </row>
    <row r="275" spans="2:35" ht="15" customHeight="1">
      <c r="B275" s="366">
        <f t="shared" si="10"/>
        <v>265</v>
      </c>
      <c r="C275" s="289" t="s">
        <v>416</v>
      </c>
      <c r="D275" s="446" t="s">
        <v>271</v>
      </c>
      <c r="E275" s="451" t="s">
        <v>239</v>
      </c>
      <c r="F275" s="520" t="s">
        <v>777</v>
      </c>
      <c r="G275" s="535" t="s">
        <v>509</v>
      </c>
      <c r="H275" s="518" t="s">
        <v>2254</v>
      </c>
      <c r="I275" s="521">
        <v>1</v>
      </c>
      <c r="J275" s="522">
        <v>3</v>
      </c>
      <c r="K275" s="450" t="s">
        <v>187</v>
      </c>
      <c r="L275" s="450" t="s">
        <v>182</v>
      </c>
      <c r="M275" s="450" t="s">
        <v>1642</v>
      </c>
      <c r="N275" s="523" t="s">
        <v>2097</v>
      </c>
      <c r="O275" s="524" t="s">
        <v>176</v>
      </c>
      <c r="P275" s="525">
        <v>4714</v>
      </c>
      <c r="Q275" s="526"/>
      <c r="R275" s="527"/>
      <c r="S275" s="528">
        <v>1</v>
      </c>
      <c r="T275" s="529" t="s">
        <v>777</v>
      </c>
      <c r="U275" s="530" t="s">
        <v>257</v>
      </c>
      <c r="V275" s="531" t="s">
        <v>447</v>
      </c>
      <c r="W275" s="453" t="s">
        <v>196</v>
      </c>
      <c r="X275" s="455">
        <v>6100000000</v>
      </c>
      <c r="Y275" s="455">
        <v>6100000000</v>
      </c>
      <c r="Z275" s="460" t="s">
        <v>1816</v>
      </c>
      <c r="AA275" s="453"/>
      <c r="AB275" s="453"/>
      <c r="AC275" s="458"/>
      <c r="AD275" s="458"/>
      <c r="AE275" s="532"/>
      <c r="AF275" s="531"/>
      <c r="AG275" s="455"/>
      <c r="AH275" s="461"/>
      <c r="AI275" s="533"/>
    </row>
    <row r="276" spans="2:35" ht="15" customHeight="1">
      <c r="B276" s="366">
        <f t="shared" si="10"/>
        <v>266</v>
      </c>
      <c r="C276" s="289" t="s">
        <v>416</v>
      </c>
      <c r="D276" s="446" t="s">
        <v>271</v>
      </c>
      <c r="E276" s="451" t="s">
        <v>239</v>
      </c>
      <c r="F276" s="520" t="s">
        <v>777</v>
      </c>
      <c r="G276" s="535" t="s">
        <v>509</v>
      </c>
      <c r="H276" s="518" t="s">
        <v>2255</v>
      </c>
      <c r="I276" s="521">
        <v>1</v>
      </c>
      <c r="J276" s="522">
        <v>4</v>
      </c>
      <c r="K276" s="450" t="s">
        <v>187</v>
      </c>
      <c r="L276" s="450" t="s">
        <v>182</v>
      </c>
      <c r="M276" s="450" t="s">
        <v>1642</v>
      </c>
      <c r="N276" s="523" t="s">
        <v>2098</v>
      </c>
      <c r="O276" s="524" t="s">
        <v>176</v>
      </c>
      <c r="P276" s="525">
        <v>341</v>
      </c>
      <c r="Q276" s="526"/>
      <c r="R276" s="527"/>
      <c r="S276" s="528">
        <v>0.92668621700879761</v>
      </c>
      <c r="T276" s="529" t="s">
        <v>777</v>
      </c>
      <c r="U276" s="530" t="s">
        <v>257</v>
      </c>
      <c r="V276" s="531" t="s">
        <v>447</v>
      </c>
      <c r="W276" s="453" t="s">
        <v>196</v>
      </c>
      <c r="X276" s="455">
        <v>6100000000</v>
      </c>
      <c r="Y276" s="455">
        <v>6100000000</v>
      </c>
      <c r="Z276" s="460" t="s">
        <v>1816</v>
      </c>
      <c r="AA276" s="453"/>
      <c r="AB276" s="453"/>
      <c r="AC276" s="458"/>
      <c r="AD276" s="458"/>
      <c r="AE276" s="532"/>
      <c r="AF276" s="531"/>
      <c r="AG276" s="455"/>
      <c r="AH276" s="461"/>
      <c r="AI276" s="533"/>
    </row>
    <row r="277" spans="2:35" ht="15" customHeight="1">
      <c r="B277" s="366">
        <f t="shared" si="10"/>
        <v>267</v>
      </c>
      <c r="C277" s="289" t="s">
        <v>416</v>
      </c>
      <c r="D277" s="446" t="s">
        <v>271</v>
      </c>
      <c r="E277" s="451" t="s">
        <v>239</v>
      </c>
      <c r="F277" s="520" t="s">
        <v>777</v>
      </c>
      <c r="G277" s="535" t="s">
        <v>510</v>
      </c>
      <c r="H277" s="518" t="s">
        <v>702</v>
      </c>
      <c r="I277" s="521">
        <v>2</v>
      </c>
      <c r="J277" s="522">
        <v>1</v>
      </c>
      <c r="K277" s="450" t="s">
        <v>187</v>
      </c>
      <c r="L277" s="450" t="s">
        <v>182</v>
      </c>
      <c r="M277" s="450" t="s">
        <v>1644</v>
      </c>
      <c r="N277" s="523" t="s">
        <v>2099</v>
      </c>
      <c r="O277" s="524" t="s">
        <v>179</v>
      </c>
      <c r="P277" s="525">
        <v>1223</v>
      </c>
      <c r="Q277" s="526"/>
      <c r="R277" s="527"/>
      <c r="S277" s="528">
        <v>1</v>
      </c>
      <c r="T277" s="529" t="s">
        <v>2100</v>
      </c>
      <c r="U277" s="530">
        <v>1</v>
      </c>
      <c r="V277" s="531" t="s">
        <v>442</v>
      </c>
      <c r="W277" s="453" t="s">
        <v>196</v>
      </c>
      <c r="X277" s="455">
        <v>360000000</v>
      </c>
      <c r="Y277" s="455">
        <v>360000000</v>
      </c>
      <c r="Z277" s="460" t="s">
        <v>1816</v>
      </c>
      <c r="AA277" s="453"/>
      <c r="AB277" s="453"/>
      <c r="AC277" s="458"/>
      <c r="AD277" s="458"/>
      <c r="AE277" s="532"/>
      <c r="AF277" s="531"/>
      <c r="AG277" s="455"/>
      <c r="AH277" s="461"/>
      <c r="AI277" s="533"/>
    </row>
    <row r="278" spans="2:35" ht="15" customHeight="1">
      <c r="B278" s="366">
        <f t="shared" si="10"/>
        <v>268</v>
      </c>
      <c r="C278" s="289" t="s">
        <v>416</v>
      </c>
      <c r="D278" s="446" t="s">
        <v>271</v>
      </c>
      <c r="E278" s="451" t="s">
        <v>239</v>
      </c>
      <c r="F278" s="520" t="s">
        <v>777</v>
      </c>
      <c r="G278" s="535" t="s">
        <v>511</v>
      </c>
      <c r="H278" s="518" t="s">
        <v>2256</v>
      </c>
      <c r="I278" s="521">
        <v>3</v>
      </c>
      <c r="J278" s="522">
        <v>1</v>
      </c>
      <c r="K278" s="450" t="s">
        <v>187</v>
      </c>
      <c r="L278" s="450" t="s">
        <v>182</v>
      </c>
      <c r="M278" s="450" t="s">
        <v>1646</v>
      </c>
      <c r="N278" s="523" t="s">
        <v>2101</v>
      </c>
      <c r="O278" s="524" t="s">
        <v>280</v>
      </c>
      <c r="P278" s="525">
        <v>616</v>
      </c>
      <c r="Q278" s="526"/>
      <c r="R278" s="527"/>
      <c r="S278" s="528">
        <v>1</v>
      </c>
      <c r="T278" s="529" t="s">
        <v>2100</v>
      </c>
      <c r="U278" s="530">
        <v>2</v>
      </c>
      <c r="V278" s="531" t="s">
        <v>442</v>
      </c>
      <c r="W278" s="453" t="s">
        <v>196</v>
      </c>
      <c r="X278" s="455">
        <v>360000000</v>
      </c>
      <c r="Y278" s="455">
        <v>360000000</v>
      </c>
      <c r="Z278" s="460" t="s">
        <v>1816</v>
      </c>
      <c r="AA278" s="453">
        <v>1</v>
      </c>
      <c r="AB278" s="453" t="s">
        <v>196</v>
      </c>
      <c r="AC278" s="458">
        <v>240000000</v>
      </c>
      <c r="AD278" s="458">
        <v>240000000</v>
      </c>
      <c r="AE278" s="532"/>
      <c r="AF278" s="531"/>
      <c r="AG278" s="455"/>
      <c r="AH278" s="461"/>
      <c r="AI278" s="533"/>
    </row>
    <row r="279" spans="2:35" ht="15" customHeight="1">
      <c r="B279" s="366">
        <f t="shared" si="10"/>
        <v>269</v>
      </c>
      <c r="C279" s="289" t="s">
        <v>416</v>
      </c>
      <c r="D279" s="446" t="s">
        <v>271</v>
      </c>
      <c r="E279" s="451" t="s">
        <v>239</v>
      </c>
      <c r="F279" s="520" t="s">
        <v>777</v>
      </c>
      <c r="G279" s="535" t="s">
        <v>512</v>
      </c>
      <c r="H279" s="518" t="s">
        <v>2257</v>
      </c>
      <c r="I279" s="521">
        <v>4</v>
      </c>
      <c r="J279" s="522">
        <v>1</v>
      </c>
      <c r="K279" s="450" t="s">
        <v>244</v>
      </c>
      <c r="L279" s="450" t="s">
        <v>275</v>
      </c>
      <c r="M279" s="450" t="s">
        <v>1648</v>
      </c>
      <c r="N279" s="523" t="s">
        <v>2102</v>
      </c>
      <c r="O279" s="524" t="s">
        <v>179</v>
      </c>
      <c r="P279" s="525">
        <v>292</v>
      </c>
      <c r="Q279" s="526"/>
      <c r="R279" s="527"/>
      <c r="S279" s="528">
        <v>1</v>
      </c>
      <c r="T279" s="529" t="s">
        <v>2100</v>
      </c>
      <c r="U279" s="530">
        <v>1</v>
      </c>
      <c r="V279" s="531" t="s">
        <v>442</v>
      </c>
      <c r="W279" s="453" t="s">
        <v>196</v>
      </c>
      <c r="X279" s="455">
        <v>360000000</v>
      </c>
      <c r="Y279" s="455">
        <v>360000000</v>
      </c>
      <c r="Z279" s="460" t="s">
        <v>1816</v>
      </c>
      <c r="AA279" s="453"/>
      <c r="AB279" s="453"/>
      <c r="AC279" s="458"/>
      <c r="AD279" s="458"/>
      <c r="AE279" s="532"/>
      <c r="AF279" s="531"/>
      <c r="AG279" s="455"/>
      <c r="AH279" s="461"/>
      <c r="AI279" s="533"/>
    </row>
    <row r="280" spans="2:35" ht="15" customHeight="1">
      <c r="B280" s="366">
        <f t="shared" si="10"/>
        <v>270</v>
      </c>
      <c r="C280" s="289" t="s">
        <v>416</v>
      </c>
      <c r="D280" s="446" t="s">
        <v>271</v>
      </c>
      <c r="E280" s="451" t="s">
        <v>240</v>
      </c>
      <c r="F280" s="520" t="s">
        <v>779</v>
      </c>
      <c r="G280" s="535" t="s">
        <v>513</v>
      </c>
      <c r="H280" s="518" t="s">
        <v>622</v>
      </c>
      <c r="I280" s="521">
        <v>1</v>
      </c>
      <c r="J280" s="522">
        <v>1</v>
      </c>
      <c r="K280" s="450" t="s">
        <v>186</v>
      </c>
      <c r="L280" s="450" t="s">
        <v>343</v>
      </c>
      <c r="M280" s="450" t="s">
        <v>1443</v>
      </c>
      <c r="N280" s="523" t="s">
        <v>2103</v>
      </c>
      <c r="O280" s="524" t="s">
        <v>1972</v>
      </c>
      <c r="P280" s="525"/>
      <c r="Q280" s="526">
        <v>658.27</v>
      </c>
      <c r="R280" s="527"/>
      <c r="S280" s="528">
        <v>1</v>
      </c>
      <c r="T280" s="529" t="s">
        <v>779</v>
      </c>
      <c r="U280" s="530" t="s">
        <v>250</v>
      </c>
      <c r="V280" s="531" t="s">
        <v>444</v>
      </c>
      <c r="W280" s="453" t="s">
        <v>196</v>
      </c>
      <c r="X280" s="455">
        <v>3960000000</v>
      </c>
      <c r="Y280" s="455">
        <v>3960000000</v>
      </c>
      <c r="Z280" s="460" t="s">
        <v>1816</v>
      </c>
      <c r="AA280" s="453"/>
      <c r="AB280" s="453"/>
      <c r="AC280" s="458"/>
      <c r="AD280" s="458"/>
      <c r="AE280" s="532"/>
      <c r="AF280" s="531"/>
      <c r="AG280" s="455"/>
      <c r="AH280" s="461"/>
      <c r="AI280" s="533"/>
    </row>
    <row r="281" spans="2:35" ht="15" customHeight="1">
      <c r="B281" s="366">
        <f t="shared" ref="B281:B301" si="11">ROW()-10</f>
        <v>271</v>
      </c>
      <c r="C281" s="289" t="s">
        <v>416</v>
      </c>
      <c r="D281" s="446" t="s">
        <v>271</v>
      </c>
      <c r="E281" s="451" t="s">
        <v>240</v>
      </c>
      <c r="F281" s="520" t="s">
        <v>779</v>
      </c>
      <c r="G281" s="535" t="s">
        <v>513</v>
      </c>
      <c r="H281" s="518" t="s">
        <v>2258</v>
      </c>
      <c r="I281" s="521">
        <v>1</v>
      </c>
      <c r="J281" s="522">
        <v>2</v>
      </c>
      <c r="K281" s="450" t="s">
        <v>186</v>
      </c>
      <c r="L281" s="450" t="s">
        <v>343</v>
      </c>
      <c r="M281" s="450" t="s">
        <v>1443</v>
      </c>
      <c r="N281" s="523" t="s">
        <v>2103</v>
      </c>
      <c r="O281" s="524" t="s">
        <v>215</v>
      </c>
      <c r="P281" s="525">
        <v>674.6</v>
      </c>
      <c r="Q281" s="526"/>
      <c r="R281" s="527"/>
      <c r="S281" s="528">
        <v>1</v>
      </c>
      <c r="T281" s="529" t="s">
        <v>779</v>
      </c>
      <c r="U281" s="530" t="s">
        <v>250</v>
      </c>
      <c r="V281" s="531" t="s">
        <v>2104</v>
      </c>
      <c r="W281" s="453" t="s">
        <v>196</v>
      </c>
      <c r="X281" s="455">
        <v>3960000000</v>
      </c>
      <c r="Y281" s="455">
        <v>3960000000</v>
      </c>
      <c r="Z281" s="460" t="s">
        <v>1816</v>
      </c>
      <c r="AA281" s="453"/>
      <c r="AB281" s="453"/>
      <c r="AC281" s="458"/>
      <c r="AD281" s="458"/>
      <c r="AE281" s="532"/>
      <c r="AF281" s="531"/>
      <c r="AG281" s="455"/>
      <c r="AH281" s="461"/>
      <c r="AI281" s="533"/>
    </row>
    <row r="282" spans="2:35" ht="15" customHeight="1">
      <c r="B282" s="366">
        <f t="shared" si="11"/>
        <v>272</v>
      </c>
      <c r="C282" s="289" t="s">
        <v>416</v>
      </c>
      <c r="D282" s="446" t="s">
        <v>271</v>
      </c>
      <c r="E282" s="451" t="s">
        <v>241</v>
      </c>
      <c r="F282" s="520" t="s">
        <v>781</v>
      </c>
      <c r="G282" s="535" t="s">
        <v>514</v>
      </c>
      <c r="H282" s="518" t="s">
        <v>623</v>
      </c>
      <c r="I282" s="521">
        <v>1</v>
      </c>
      <c r="J282" s="522">
        <v>1</v>
      </c>
      <c r="K282" s="450" t="s">
        <v>193</v>
      </c>
      <c r="L282" s="450" t="s">
        <v>184</v>
      </c>
      <c r="M282" s="450" t="s">
        <v>1652</v>
      </c>
      <c r="N282" s="523" t="s">
        <v>2105</v>
      </c>
      <c r="O282" s="524" t="s">
        <v>218</v>
      </c>
      <c r="P282" s="525"/>
      <c r="Q282" s="526">
        <v>2945.52</v>
      </c>
      <c r="R282" s="527"/>
      <c r="S282" s="528">
        <v>1</v>
      </c>
      <c r="T282" s="529" t="s">
        <v>781</v>
      </c>
      <c r="U282" s="530" t="s">
        <v>257</v>
      </c>
      <c r="V282" s="531" t="s">
        <v>447</v>
      </c>
      <c r="W282" s="453" t="s">
        <v>196</v>
      </c>
      <c r="X282" s="455">
        <v>4584000000</v>
      </c>
      <c r="Y282" s="455">
        <v>4584000000</v>
      </c>
      <c r="Z282" s="460" t="s">
        <v>1816</v>
      </c>
      <c r="AA282" s="453"/>
      <c r="AB282" s="453"/>
      <c r="AC282" s="458"/>
      <c r="AD282" s="458"/>
      <c r="AE282" s="532"/>
      <c r="AF282" s="531"/>
      <c r="AG282" s="455"/>
      <c r="AH282" s="461"/>
      <c r="AI282" s="533"/>
    </row>
    <row r="283" spans="2:35" ht="15" customHeight="1">
      <c r="B283" s="366">
        <f t="shared" si="11"/>
        <v>273</v>
      </c>
      <c r="C283" s="289" t="s">
        <v>416</v>
      </c>
      <c r="D283" s="446" t="s">
        <v>271</v>
      </c>
      <c r="E283" s="451" t="s">
        <v>241</v>
      </c>
      <c r="F283" s="520" t="s">
        <v>781</v>
      </c>
      <c r="G283" s="535" t="s">
        <v>514</v>
      </c>
      <c r="H283" s="518" t="s">
        <v>624</v>
      </c>
      <c r="I283" s="521">
        <v>1</v>
      </c>
      <c r="J283" s="522">
        <v>2</v>
      </c>
      <c r="K283" s="450" t="s">
        <v>193</v>
      </c>
      <c r="L283" s="450" t="s">
        <v>184</v>
      </c>
      <c r="M283" s="450" t="s">
        <v>1652</v>
      </c>
      <c r="N283" s="523" t="s">
        <v>2106</v>
      </c>
      <c r="O283" s="524" t="s">
        <v>218</v>
      </c>
      <c r="P283" s="525"/>
      <c r="Q283" s="526">
        <v>1729.49</v>
      </c>
      <c r="R283" s="527"/>
      <c r="S283" s="528">
        <v>1</v>
      </c>
      <c r="T283" s="529" t="s">
        <v>781</v>
      </c>
      <c r="U283" s="530" t="s">
        <v>257</v>
      </c>
      <c r="V283" s="531" t="s">
        <v>447</v>
      </c>
      <c r="W283" s="453" t="s">
        <v>196</v>
      </c>
      <c r="X283" s="455">
        <v>4584000000</v>
      </c>
      <c r="Y283" s="455">
        <v>4584000000</v>
      </c>
      <c r="Z283" s="460" t="s">
        <v>1816</v>
      </c>
      <c r="AA283" s="453"/>
      <c r="AB283" s="453"/>
      <c r="AC283" s="458"/>
      <c r="AD283" s="458"/>
      <c r="AE283" s="532"/>
      <c r="AF283" s="531"/>
      <c r="AG283" s="455"/>
      <c r="AH283" s="461"/>
      <c r="AI283" s="533"/>
    </row>
    <row r="284" spans="2:35" ht="15" customHeight="1">
      <c r="B284" s="366">
        <f t="shared" si="11"/>
        <v>274</v>
      </c>
      <c r="C284" s="289" t="s">
        <v>416</v>
      </c>
      <c r="D284" s="446" t="s">
        <v>271</v>
      </c>
      <c r="E284" s="451" t="s">
        <v>241</v>
      </c>
      <c r="F284" s="520" t="s">
        <v>781</v>
      </c>
      <c r="G284" s="535" t="s">
        <v>514</v>
      </c>
      <c r="H284" s="518" t="s">
        <v>2259</v>
      </c>
      <c r="I284" s="521">
        <v>1</v>
      </c>
      <c r="J284" s="522">
        <v>3</v>
      </c>
      <c r="K284" s="450" t="s">
        <v>193</v>
      </c>
      <c r="L284" s="450" t="s">
        <v>184</v>
      </c>
      <c r="M284" s="450" t="s">
        <v>1652</v>
      </c>
      <c r="N284" s="523" t="s">
        <v>705</v>
      </c>
      <c r="O284" s="524" t="s">
        <v>176</v>
      </c>
      <c r="P284" s="525">
        <v>7847</v>
      </c>
      <c r="Q284" s="526"/>
      <c r="R284" s="527"/>
      <c r="S284" s="528">
        <v>1</v>
      </c>
      <c r="T284" s="529" t="s">
        <v>781</v>
      </c>
      <c r="U284" s="530" t="s">
        <v>257</v>
      </c>
      <c r="V284" s="531" t="s">
        <v>447</v>
      </c>
      <c r="W284" s="453" t="s">
        <v>196</v>
      </c>
      <c r="X284" s="455">
        <v>4584000000</v>
      </c>
      <c r="Y284" s="455">
        <v>4584000000</v>
      </c>
      <c r="Z284" s="460" t="s">
        <v>1816</v>
      </c>
      <c r="AA284" s="453"/>
      <c r="AB284" s="453"/>
      <c r="AC284" s="458"/>
      <c r="AD284" s="458"/>
      <c r="AE284" s="532"/>
      <c r="AF284" s="531"/>
      <c r="AG284" s="455"/>
      <c r="AH284" s="461"/>
      <c r="AI284" s="533"/>
    </row>
    <row r="285" spans="2:35" ht="15" customHeight="1">
      <c r="B285" s="366">
        <f t="shared" si="11"/>
        <v>275</v>
      </c>
      <c r="C285" s="289" t="s">
        <v>416</v>
      </c>
      <c r="D285" s="446" t="s">
        <v>271</v>
      </c>
      <c r="E285" s="451" t="s">
        <v>241</v>
      </c>
      <c r="F285" s="520" t="s">
        <v>781</v>
      </c>
      <c r="G285" s="535" t="s">
        <v>514</v>
      </c>
      <c r="H285" s="518" t="s">
        <v>2260</v>
      </c>
      <c r="I285" s="521">
        <v>1</v>
      </c>
      <c r="J285" s="522">
        <v>4</v>
      </c>
      <c r="K285" s="450" t="s">
        <v>193</v>
      </c>
      <c r="L285" s="450" t="s">
        <v>184</v>
      </c>
      <c r="M285" s="450" t="s">
        <v>1652</v>
      </c>
      <c r="N285" s="523" t="s">
        <v>2107</v>
      </c>
      <c r="O285" s="524" t="s">
        <v>176</v>
      </c>
      <c r="P285" s="525">
        <v>6369</v>
      </c>
      <c r="Q285" s="526"/>
      <c r="R285" s="527"/>
      <c r="S285" s="528">
        <v>1</v>
      </c>
      <c r="T285" s="529" t="s">
        <v>781</v>
      </c>
      <c r="U285" s="530" t="s">
        <v>257</v>
      </c>
      <c r="V285" s="531" t="s">
        <v>447</v>
      </c>
      <c r="W285" s="453" t="s">
        <v>196</v>
      </c>
      <c r="X285" s="455">
        <v>4584000000</v>
      </c>
      <c r="Y285" s="455">
        <v>4584000000</v>
      </c>
      <c r="Z285" s="460" t="s">
        <v>1816</v>
      </c>
      <c r="AA285" s="453"/>
      <c r="AB285" s="453"/>
      <c r="AC285" s="458"/>
      <c r="AD285" s="458"/>
      <c r="AE285" s="532"/>
      <c r="AF285" s="531"/>
      <c r="AG285" s="455"/>
      <c r="AH285" s="461"/>
      <c r="AI285" s="533"/>
    </row>
    <row r="286" spans="2:35" ht="15" customHeight="1">
      <c r="B286" s="366">
        <f t="shared" si="11"/>
        <v>276</v>
      </c>
      <c r="C286" s="289" t="s">
        <v>416</v>
      </c>
      <c r="D286" s="446" t="s">
        <v>271</v>
      </c>
      <c r="E286" s="451" t="s">
        <v>241</v>
      </c>
      <c r="F286" s="520" t="s">
        <v>781</v>
      </c>
      <c r="G286" s="535" t="s">
        <v>1706</v>
      </c>
      <c r="H286" s="518" t="s">
        <v>2261</v>
      </c>
      <c r="I286" s="521">
        <v>2</v>
      </c>
      <c r="J286" s="522">
        <v>1</v>
      </c>
      <c r="K286" s="450" t="s">
        <v>193</v>
      </c>
      <c r="L286" s="450" t="s">
        <v>184</v>
      </c>
      <c r="M286" s="450" t="s">
        <v>1652</v>
      </c>
      <c r="N286" s="523" t="s">
        <v>2108</v>
      </c>
      <c r="O286" s="524" t="s">
        <v>1655</v>
      </c>
      <c r="P286" s="525">
        <v>181</v>
      </c>
      <c r="Q286" s="526"/>
      <c r="R286" s="527"/>
      <c r="S286" s="528">
        <v>1</v>
      </c>
      <c r="T286" s="529" t="s">
        <v>781</v>
      </c>
      <c r="U286" s="530" t="s">
        <v>250</v>
      </c>
      <c r="V286" s="531" t="s">
        <v>444</v>
      </c>
      <c r="W286" s="453" t="s">
        <v>196</v>
      </c>
      <c r="X286" s="455">
        <v>3084000000</v>
      </c>
      <c r="Y286" s="455">
        <v>3084000000</v>
      </c>
      <c r="Z286" s="460" t="s">
        <v>1816</v>
      </c>
      <c r="AA286" s="453"/>
      <c r="AB286" s="453"/>
      <c r="AC286" s="458"/>
      <c r="AD286" s="458"/>
      <c r="AE286" s="532"/>
      <c r="AF286" s="531"/>
      <c r="AG286" s="455"/>
      <c r="AH286" s="461"/>
      <c r="AI286" s="533"/>
    </row>
    <row r="287" spans="2:35" ht="15" customHeight="1">
      <c r="B287" s="366">
        <f t="shared" si="11"/>
        <v>277</v>
      </c>
      <c r="C287" s="289" t="s">
        <v>416</v>
      </c>
      <c r="D287" s="446" t="s">
        <v>271</v>
      </c>
      <c r="E287" s="451" t="s">
        <v>241</v>
      </c>
      <c r="F287" s="520" t="s">
        <v>781</v>
      </c>
      <c r="G287" s="535" t="s">
        <v>1706</v>
      </c>
      <c r="H287" s="518" t="s">
        <v>2262</v>
      </c>
      <c r="I287" s="521">
        <v>2</v>
      </c>
      <c r="J287" s="522">
        <v>2</v>
      </c>
      <c r="K287" s="450" t="s">
        <v>193</v>
      </c>
      <c r="L287" s="450" t="s">
        <v>184</v>
      </c>
      <c r="M287" s="450" t="s">
        <v>1652</v>
      </c>
      <c r="N287" s="523" t="s">
        <v>2109</v>
      </c>
      <c r="O287" s="524" t="s">
        <v>1655</v>
      </c>
      <c r="P287" s="525">
        <v>600</v>
      </c>
      <c r="Q287" s="526"/>
      <c r="R287" s="527"/>
      <c r="S287" s="528">
        <v>1</v>
      </c>
      <c r="T287" s="529" t="s">
        <v>781</v>
      </c>
      <c r="U287" s="530" t="s">
        <v>250</v>
      </c>
      <c r="V287" s="531" t="s">
        <v>444</v>
      </c>
      <c r="W287" s="453" t="s">
        <v>196</v>
      </c>
      <c r="X287" s="455">
        <v>3084000000</v>
      </c>
      <c r="Y287" s="455">
        <v>3084000000</v>
      </c>
      <c r="Z287" s="460" t="s">
        <v>1816</v>
      </c>
      <c r="AA287" s="453"/>
      <c r="AB287" s="453"/>
      <c r="AC287" s="458"/>
      <c r="AD287" s="458"/>
      <c r="AE287" s="532"/>
      <c r="AF287" s="531"/>
      <c r="AG287" s="455"/>
      <c r="AH287" s="461"/>
      <c r="AI287" s="533"/>
    </row>
    <row r="288" spans="2:35" ht="15" customHeight="1">
      <c r="B288" s="366">
        <f t="shared" si="11"/>
        <v>278</v>
      </c>
      <c r="C288" s="289" t="s">
        <v>416</v>
      </c>
      <c r="D288" s="446" t="s">
        <v>271</v>
      </c>
      <c r="E288" s="451" t="s">
        <v>241</v>
      </c>
      <c r="F288" s="520" t="s">
        <v>781</v>
      </c>
      <c r="G288" s="535" t="s">
        <v>1706</v>
      </c>
      <c r="H288" s="518" t="s">
        <v>2263</v>
      </c>
      <c r="I288" s="521">
        <v>2</v>
      </c>
      <c r="J288" s="522">
        <v>3</v>
      </c>
      <c r="K288" s="450" t="s">
        <v>193</v>
      </c>
      <c r="L288" s="450" t="s">
        <v>184</v>
      </c>
      <c r="M288" s="450" t="s">
        <v>1652</v>
      </c>
      <c r="N288" s="523" t="s">
        <v>2110</v>
      </c>
      <c r="O288" s="524" t="s">
        <v>1655</v>
      </c>
      <c r="P288" s="525">
        <v>86</v>
      </c>
      <c r="Q288" s="526"/>
      <c r="R288" s="527"/>
      <c r="S288" s="528">
        <v>1</v>
      </c>
      <c r="T288" s="529" t="s">
        <v>781</v>
      </c>
      <c r="U288" s="530" t="s">
        <v>250</v>
      </c>
      <c r="V288" s="531" t="s">
        <v>444</v>
      </c>
      <c r="W288" s="453" t="s">
        <v>196</v>
      </c>
      <c r="X288" s="455">
        <v>3084000000</v>
      </c>
      <c r="Y288" s="455">
        <v>3084000000</v>
      </c>
      <c r="Z288" s="460" t="s">
        <v>1816</v>
      </c>
      <c r="AA288" s="453"/>
      <c r="AB288" s="453"/>
      <c r="AC288" s="458"/>
      <c r="AD288" s="458"/>
      <c r="AE288" s="532"/>
      <c r="AF288" s="531"/>
      <c r="AG288" s="455"/>
      <c r="AH288" s="461"/>
      <c r="AI288" s="533"/>
    </row>
    <row r="289" spans="2:35" ht="15" customHeight="1">
      <c r="B289" s="366">
        <f t="shared" si="11"/>
        <v>279</v>
      </c>
      <c r="C289" s="289" t="s">
        <v>416</v>
      </c>
      <c r="D289" s="446" t="s">
        <v>271</v>
      </c>
      <c r="E289" s="451" t="s">
        <v>241</v>
      </c>
      <c r="F289" s="520" t="s">
        <v>781</v>
      </c>
      <c r="G289" s="535" t="s">
        <v>1706</v>
      </c>
      <c r="H289" s="518" t="s">
        <v>2264</v>
      </c>
      <c r="I289" s="521">
        <v>2</v>
      </c>
      <c r="J289" s="522">
        <v>4</v>
      </c>
      <c r="K289" s="450" t="s">
        <v>193</v>
      </c>
      <c r="L289" s="450" t="s">
        <v>184</v>
      </c>
      <c r="M289" s="450" t="s">
        <v>1652</v>
      </c>
      <c r="N289" s="523" t="s">
        <v>2111</v>
      </c>
      <c r="O289" s="524" t="s">
        <v>1655</v>
      </c>
      <c r="P289" s="525">
        <v>16</v>
      </c>
      <c r="Q289" s="526"/>
      <c r="R289" s="527"/>
      <c r="S289" s="528">
        <v>1</v>
      </c>
      <c r="T289" s="529" t="s">
        <v>781</v>
      </c>
      <c r="U289" s="530" t="s">
        <v>250</v>
      </c>
      <c r="V289" s="531" t="s">
        <v>444</v>
      </c>
      <c r="W289" s="453" t="s">
        <v>196</v>
      </c>
      <c r="X289" s="455">
        <v>3084000000</v>
      </c>
      <c r="Y289" s="455">
        <v>3084000000</v>
      </c>
      <c r="Z289" s="460" t="s">
        <v>1816</v>
      </c>
      <c r="AA289" s="453"/>
      <c r="AB289" s="453"/>
      <c r="AC289" s="458"/>
      <c r="AD289" s="458"/>
      <c r="AE289" s="532"/>
      <c r="AF289" s="531"/>
      <c r="AG289" s="455"/>
      <c r="AH289" s="461"/>
      <c r="AI289" s="533"/>
    </row>
    <row r="290" spans="2:35" ht="15" customHeight="1">
      <c r="B290" s="366">
        <f t="shared" si="11"/>
        <v>280</v>
      </c>
      <c r="C290" s="289" t="s">
        <v>416</v>
      </c>
      <c r="D290" s="446" t="s">
        <v>271</v>
      </c>
      <c r="E290" s="451" t="s">
        <v>241</v>
      </c>
      <c r="F290" s="520" t="s">
        <v>781</v>
      </c>
      <c r="G290" s="535" t="s">
        <v>1707</v>
      </c>
      <c r="H290" s="518" t="s">
        <v>2265</v>
      </c>
      <c r="I290" s="521">
        <v>3</v>
      </c>
      <c r="J290" s="522">
        <v>1</v>
      </c>
      <c r="K290" s="450" t="s">
        <v>193</v>
      </c>
      <c r="L290" s="450" t="s">
        <v>184</v>
      </c>
      <c r="M290" s="450" t="s">
        <v>1652</v>
      </c>
      <c r="N290" s="523" t="s">
        <v>2112</v>
      </c>
      <c r="O290" s="524" t="s">
        <v>2113</v>
      </c>
      <c r="P290" s="525"/>
      <c r="Q290" s="526">
        <v>89.25</v>
      </c>
      <c r="R290" s="527"/>
      <c r="S290" s="528">
        <v>1</v>
      </c>
      <c r="T290" s="529" t="s">
        <v>781</v>
      </c>
      <c r="U290" s="530" t="s">
        <v>250</v>
      </c>
      <c r="V290" s="531" t="s">
        <v>444</v>
      </c>
      <c r="W290" s="453" t="s">
        <v>196</v>
      </c>
      <c r="X290" s="455">
        <v>2100000000</v>
      </c>
      <c r="Y290" s="455">
        <v>2100000000</v>
      </c>
      <c r="Z290" s="460" t="s">
        <v>1816</v>
      </c>
      <c r="AA290" s="453"/>
      <c r="AB290" s="453"/>
      <c r="AC290" s="458"/>
      <c r="AD290" s="458"/>
      <c r="AE290" s="532"/>
      <c r="AF290" s="531"/>
      <c r="AG290" s="455"/>
      <c r="AH290" s="461"/>
      <c r="AI290" s="533"/>
    </row>
    <row r="291" spans="2:35" ht="15" customHeight="1">
      <c r="B291" s="366">
        <f t="shared" si="11"/>
        <v>281</v>
      </c>
      <c r="C291" s="289" t="s">
        <v>416</v>
      </c>
      <c r="D291" s="446" t="s">
        <v>271</v>
      </c>
      <c r="E291" s="451" t="s">
        <v>241</v>
      </c>
      <c r="F291" s="520" t="s">
        <v>781</v>
      </c>
      <c r="G291" s="535" t="s">
        <v>1708</v>
      </c>
      <c r="H291" s="518" t="s">
        <v>2266</v>
      </c>
      <c r="I291" s="521">
        <v>4</v>
      </c>
      <c r="J291" s="522">
        <v>1</v>
      </c>
      <c r="K291" s="450" t="s">
        <v>193</v>
      </c>
      <c r="L291" s="450" t="s">
        <v>184</v>
      </c>
      <c r="M291" s="450" t="s">
        <v>1652</v>
      </c>
      <c r="N291" s="523" t="s">
        <v>2114</v>
      </c>
      <c r="O291" s="524" t="s">
        <v>2115</v>
      </c>
      <c r="P291" s="525"/>
      <c r="Q291" s="526">
        <v>201.93</v>
      </c>
      <c r="R291" s="527"/>
      <c r="S291" s="528">
        <v>1</v>
      </c>
      <c r="T291" s="529" t="s">
        <v>781</v>
      </c>
      <c r="U291" s="530">
        <v>1</v>
      </c>
      <c r="V291" s="531" t="s">
        <v>442</v>
      </c>
      <c r="W291" s="453" t="s">
        <v>196</v>
      </c>
      <c r="X291" s="455">
        <v>600000000</v>
      </c>
      <c r="Y291" s="455">
        <v>600000000</v>
      </c>
      <c r="Z291" s="460" t="s">
        <v>1816</v>
      </c>
      <c r="AA291" s="453"/>
      <c r="AB291" s="453"/>
      <c r="AC291" s="458"/>
      <c r="AD291" s="458"/>
      <c r="AE291" s="532"/>
      <c r="AF291" s="531"/>
      <c r="AG291" s="455"/>
      <c r="AH291" s="461"/>
      <c r="AI291" s="533"/>
    </row>
    <row r="292" spans="2:35" ht="15" customHeight="1">
      <c r="B292" s="366">
        <f t="shared" si="11"/>
        <v>282</v>
      </c>
      <c r="C292" s="289" t="s">
        <v>416</v>
      </c>
      <c r="D292" s="446" t="s">
        <v>271</v>
      </c>
      <c r="E292" s="451" t="s">
        <v>241</v>
      </c>
      <c r="F292" s="520" t="s">
        <v>781</v>
      </c>
      <c r="G292" s="535" t="s">
        <v>1709</v>
      </c>
      <c r="H292" s="518" t="s">
        <v>2267</v>
      </c>
      <c r="I292" s="521">
        <v>5</v>
      </c>
      <c r="J292" s="522">
        <v>1</v>
      </c>
      <c r="K292" s="450" t="s">
        <v>193</v>
      </c>
      <c r="L292" s="450" t="s">
        <v>184</v>
      </c>
      <c r="M292" s="450" t="s">
        <v>1652</v>
      </c>
      <c r="N292" s="523" t="s">
        <v>1658</v>
      </c>
      <c r="O292" s="524" t="s">
        <v>2116</v>
      </c>
      <c r="P292" s="525"/>
      <c r="Q292" s="526"/>
      <c r="R292" s="527"/>
      <c r="S292" s="528">
        <v>1</v>
      </c>
      <c r="T292" s="529" t="s">
        <v>781</v>
      </c>
      <c r="U292" s="530">
        <v>1</v>
      </c>
      <c r="V292" s="531" t="s">
        <v>443</v>
      </c>
      <c r="W292" s="453" t="s">
        <v>196</v>
      </c>
      <c r="X292" s="455">
        <v>300000000</v>
      </c>
      <c r="Y292" s="455">
        <v>300000000</v>
      </c>
      <c r="Z292" s="460" t="s">
        <v>1816</v>
      </c>
      <c r="AA292" s="453"/>
      <c r="AB292" s="453"/>
      <c r="AC292" s="458"/>
      <c r="AD292" s="458"/>
      <c r="AE292" s="532"/>
      <c r="AF292" s="531"/>
      <c r="AG292" s="455"/>
      <c r="AH292" s="461"/>
      <c r="AI292" s="533"/>
    </row>
    <row r="293" spans="2:35" ht="15" customHeight="1">
      <c r="B293" s="366">
        <f t="shared" si="11"/>
        <v>283</v>
      </c>
      <c r="C293" s="289" t="s">
        <v>416</v>
      </c>
      <c r="D293" s="446" t="s">
        <v>271</v>
      </c>
      <c r="E293" s="451" t="s">
        <v>242</v>
      </c>
      <c r="F293" s="520" t="s">
        <v>783</v>
      </c>
      <c r="G293" s="535" t="s">
        <v>515</v>
      </c>
      <c r="H293" s="518" t="s">
        <v>625</v>
      </c>
      <c r="I293" s="521">
        <v>1</v>
      </c>
      <c r="J293" s="522">
        <v>1</v>
      </c>
      <c r="K293" s="450" t="s">
        <v>189</v>
      </c>
      <c r="L293" s="450" t="s">
        <v>342</v>
      </c>
      <c r="M293" s="450" t="s">
        <v>1659</v>
      </c>
      <c r="N293" s="523" t="s">
        <v>1660</v>
      </c>
      <c r="O293" s="524" t="s">
        <v>2052</v>
      </c>
      <c r="P293" s="525">
        <v>12240.3</v>
      </c>
      <c r="Q293" s="526">
        <v>93.4</v>
      </c>
      <c r="R293" s="527">
        <v>4.0761746035636384E-3</v>
      </c>
      <c r="S293" s="528">
        <v>1</v>
      </c>
      <c r="T293" s="529" t="s">
        <v>769</v>
      </c>
      <c r="U293" s="530">
        <v>3</v>
      </c>
      <c r="V293" s="531" t="s">
        <v>442</v>
      </c>
      <c r="W293" s="453" t="s">
        <v>196</v>
      </c>
      <c r="X293" s="455">
        <v>1302000000</v>
      </c>
      <c r="Y293" s="455">
        <v>1302000000</v>
      </c>
      <c r="Z293" s="460" t="s">
        <v>1816</v>
      </c>
      <c r="AA293" s="453" t="s">
        <v>250</v>
      </c>
      <c r="AB293" s="453" t="s">
        <v>196</v>
      </c>
      <c r="AC293" s="458">
        <v>1440000000</v>
      </c>
      <c r="AD293" s="458">
        <v>1440000000</v>
      </c>
      <c r="AE293" s="532"/>
      <c r="AF293" s="531"/>
      <c r="AG293" s="455"/>
      <c r="AH293" s="461"/>
      <c r="AI293" s="533"/>
    </row>
    <row r="294" spans="2:35" ht="15" customHeight="1">
      <c r="B294" s="366">
        <f t="shared" si="11"/>
        <v>284</v>
      </c>
      <c r="C294" s="289" t="s">
        <v>416</v>
      </c>
      <c r="D294" s="446" t="s">
        <v>271</v>
      </c>
      <c r="E294" s="451" t="s">
        <v>243</v>
      </c>
      <c r="F294" s="520" t="s">
        <v>785</v>
      </c>
      <c r="G294" s="535" t="s">
        <v>516</v>
      </c>
      <c r="H294" s="518" t="s">
        <v>626</v>
      </c>
      <c r="I294" s="521">
        <v>1</v>
      </c>
      <c r="J294" s="522">
        <v>1</v>
      </c>
      <c r="K294" s="450" t="s">
        <v>188</v>
      </c>
      <c r="L294" s="450" t="s">
        <v>185</v>
      </c>
      <c r="M294" s="450" t="s">
        <v>337</v>
      </c>
      <c r="N294" s="523" t="s">
        <v>2117</v>
      </c>
      <c r="O294" s="524" t="s">
        <v>217</v>
      </c>
      <c r="P294" s="525"/>
      <c r="Q294" s="526">
        <v>823.93</v>
      </c>
      <c r="R294" s="527"/>
      <c r="S294" s="528">
        <v>1</v>
      </c>
      <c r="T294" s="529" t="s">
        <v>785</v>
      </c>
      <c r="U294" s="530">
        <v>1</v>
      </c>
      <c r="V294" s="531" t="s">
        <v>442</v>
      </c>
      <c r="W294" s="453" t="s">
        <v>196</v>
      </c>
      <c r="X294" s="455">
        <v>1848000000</v>
      </c>
      <c r="Y294" s="455">
        <v>1848000000</v>
      </c>
      <c r="Z294" s="460" t="s">
        <v>1816</v>
      </c>
      <c r="AA294" s="453"/>
      <c r="AB294" s="453"/>
      <c r="AC294" s="458"/>
      <c r="AD294" s="458"/>
      <c r="AE294" s="532"/>
      <c r="AF294" s="531"/>
      <c r="AG294" s="455"/>
      <c r="AH294" s="461"/>
      <c r="AI294" s="533"/>
    </row>
    <row r="295" spans="2:35" ht="15" customHeight="1">
      <c r="B295" s="366">
        <f t="shared" si="11"/>
        <v>285</v>
      </c>
      <c r="C295" s="289" t="s">
        <v>416</v>
      </c>
      <c r="D295" s="446" t="s">
        <v>271</v>
      </c>
      <c r="E295" s="451" t="s">
        <v>243</v>
      </c>
      <c r="F295" s="520" t="s">
        <v>785</v>
      </c>
      <c r="G295" s="535" t="s">
        <v>516</v>
      </c>
      <c r="H295" s="518" t="s">
        <v>2268</v>
      </c>
      <c r="I295" s="521">
        <v>1</v>
      </c>
      <c r="J295" s="522">
        <v>2</v>
      </c>
      <c r="K295" s="450" t="s">
        <v>188</v>
      </c>
      <c r="L295" s="450" t="s">
        <v>185</v>
      </c>
      <c r="M295" s="450" t="s">
        <v>337</v>
      </c>
      <c r="N295" s="523" t="s">
        <v>2118</v>
      </c>
      <c r="O295" s="524" t="s">
        <v>176</v>
      </c>
      <c r="P295" s="525">
        <v>495</v>
      </c>
      <c r="Q295" s="526"/>
      <c r="R295" s="527"/>
      <c r="S295" s="528">
        <v>1</v>
      </c>
      <c r="T295" s="529" t="s">
        <v>785</v>
      </c>
      <c r="U295" s="530">
        <v>1</v>
      </c>
      <c r="V295" s="531" t="s">
        <v>442</v>
      </c>
      <c r="W295" s="453" t="s">
        <v>196</v>
      </c>
      <c r="X295" s="455">
        <v>1848000000</v>
      </c>
      <c r="Y295" s="455">
        <v>1848000000</v>
      </c>
      <c r="Z295" s="460" t="s">
        <v>1816</v>
      </c>
      <c r="AA295" s="453"/>
      <c r="AB295" s="453"/>
      <c r="AC295" s="458"/>
      <c r="AD295" s="458"/>
      <c r="AE295" s="532"/>
      <c r="AF295" s="531"/>
      <c r="AG295" s="455"/>
      <c r="AH295" s="461"/>
      <c r="AI295" s="533"/>
    </row>
    <row r="296" spans="2:35" ht="15" customHeight="1">
      <c r="B296" s="366">
        <f t="shared" si="11"/>
        <v>286</v>
      </c>
      <c r="C296" s="289" t="s">
        <v>416</v>
      </c>
      <c r="D296" s="446" t="s">
        <v>271</v>
      </c>
      <c r="E296" s="451" t="s">
        <v>243</v>
      </c>
      <c r="F296" s="520" t="s">
        <v>785</v>
      </c>
      <c r="G296" s="535" t="s">
        <v>516</v>
      </c>
      <c r="H296" s="518" t="s">
        <v>2269</v>
      </c>
      <c r="I296" s="521">
        <v>1</v>
      </c>
      <c r="J296" s="522">
        <v>3</v>
      </c>
      <c r="K296" s="450" t="s">
        <v>188</v>
      </c>
      <c r="L296" s="450" t="s">
        <v>185</v>
      </c>
      <c r="M296" s="450" t="s">
        <v>337</v>
      </c>
      <c r="N296" s="523" t="s">
        <v>2119</v>
      </c>
      <c r="O296" s="524" t="s">
        <v>214</v>
      </c>
      <c r="P296" s="525">
        <v>180</v>
      </c>
      <c r="Q296" s="526"/>
      <c r="R296" s="527"/>
      <c r="S296" s="528">
        <v>0.25</v>
      </c>
      <c r="T296" s="529" t="s">
        <v>785</v>
      </c>
      <c r="U296" s="530">
        <v>1</v>
      </c>
      <c r="V296" s="531" t="s">
        <v>442</v>
      </c>
      <c r="W296" s="453" t="s">
        <v>196</v>
      </c>
      <c r="X296" s="455">
        <v>1848000000</v>
      </c>
      <c r="Y296" s="455">
        <v>1848000000</v>
      </c>
      <c r="Z296" s="460" t="s">
        <v>1816</v>
      </c>
      <c r="AA296" s="453"/>
      <c r="AB296" s="453"/>
      <c r="AC296" s="458"/>
      <c r="AD296" s="458"/>
      <c r="AE296" s="532"/>
      <c r="AF296" s="531"/>
      <c r="AG296" s="455"/>
      <c r="AH296" s="461"/>
      <c r="AI296" s="533"/>
    </row>
    <row r="297" spans="2:35" ht="15" customHeight="1">
      <c r="B297" s="366">
        <f t="shared" si="11"/>
        <v>287</v>
      </c>
      <c r="C297" s="289" t="s">
        <v>416</v>
      </c>
      <c r="D297" s="446" t="s">
        <v>271</v>
      </c>
      <c r="E297" s="451" t="s">
        <v>787</v>
      </c>
      <c r="F297" s="520" t="s">
        <v>788</v>
      </c>
      <c r="G297" s="535" t="s">
        <v>1710</v>
      </c>
      <c r="H297" s="518" t="s">
        <v>2270</v>
      </c>
      <c r="I297" s="521">
        <v>1</v>
      </c>
      <c r="J297" s="522">
        <v>1</v>
      </c>
      <c r="K297" s="450" t="s">
        <v>244</v>
      </c>
      <c r="L297" s="450" t="s">
        <v>1662</v>
      </c>
      <c r="M297" s="450" t="s">
        <v>1663</v>
      </c>
      <c r="N297" s="523" t="s">
        <v>2120</v>
      </c>
      <c r="O297" s="524" t="s">
        <v>2121</v>
      </c>
      <c r="P297" s="525"/>
      <c r="Q297" s="526">
        <v>406.08</v>
      </c>
      <c r="R297" s="527"/>
      <c r="S297" s="528">
        <v>1</v>
      </c>
      <c r="T297" s="529" t="s">
        <v>788</v>
      </c>
      <c r="U297" s="530" t="s">
        <v>250</v>
      </c>
      <c r="V297" s="531" t="s">
        <v>444</v>
      </c>
      <c r="W297" s="453" t="s">
        <v>196</v>
      </c>
      <c r="X297" s="455">
        <v>1080000000</v>
      </c>
      <c r="Y297" s="455">
        <v>1080000000</v>
      </c>
      <c r="Z297" s="460" t="s">
        <v>1816</v>
      </c>
      <c r="AA297" s="453"/>
      <c r="AB297" s="453"/>
      <c r="AC297" s="458"/>
      <c r="AD297" s="458"/>
      <c r="AE297" s="532"/>
      <c r="AF297" s="531"/>
      <c r="AG297" s="455"/>
      <c r="AH297" s="461"/>
      <c r="AI297" s="533"/>
    </row>
    <row r="298" spans="2:35" ht="15" customHeight="1">
      <c r="B298" s="366">
        <f t="shared" si="11"/>
        <v>288</v>
      </c>
      <c r="C298" s="289" t="s">
        <v>416</v>
      </c>
      <c r="D298" s="446" t="s">
        <v>271</v>
      </c>
      <c r="E298" s="451" t="s">
        <v>787</v>
      </c>
      <c r="F298" s="520" t="s">
        <v>788</v>
      </c>
      <c r="G298" s="535" t="s">
        <v>1710</v>
      </c>
      <c r="H298" s="518" t="s">
        <v>2271</v>
      </c>
      <c r="I298" s="521">
        <v>1</v>
      </c>
      <c r="J298" s="522">
        <v>2</v>
      </c>
      <c r="K298" s="450" t="s">
        <v>244</v>
      </c>
      <c r="L298" s="450" t="s">
        <v>1662</v>
      </c>
      <c r="M298" s="450" t="s">
        <v>1663</v>
      </c>
      <c r="N298" s="523" t="s">
        <v>2122</v>
      </c>
      <c r="O298" s="524" t="s">
        <v>176</v>
      </c>
      <c r="P298" s="525">
        <v>2085</v>
      </c>
      <c r="Q298" s="526"/>
      <c r="R298" s="527"/>
      <c r="S298" s="528">
        <v>1</v>
      </c>
      <c r="T298" s="529" t="s">
        <v>788</v>
      </c>
      <c r="U298" s="530" t="s">
        <v>250</v>
      </c>
      <c r="V298" s="531" t="s">
        <v>444</v>
      </c>
      <c r="W298" s="453" t="s">
        <v>196</v>
      </c>
      <c r="X298" s="455">
        <v>1080000000</v>
      </c>
      <c r="Y298" s="455">
        <v>1080000000</v>
      </c>
      <c r="Z298" s="460" t="s">
        <v>1816</v>
      </c>
      <c r="AA298" s="453"/>
      <c r="AB298" s="453"/>
      <c r="AC298" s="458"/>
      <c r="AD298" s="458"/>
      <c r="AE298" s="532"/>
      <c r="AF298" s="531"/>
      <c r="AG298" s="455"/>
      <c r="AH298" s="461"/>
      <c r="AI298" s="533"/>
    </row>
    <row r="299" spans="2:35" ht="15" customHeight="1">
      <c r="B299" s="366">
        <f t="shared" si="11"/>
        <v>289</v>
      </c>
      <c r="C299" s="289" t="s">
        <v>416</v>
      </c>
      <c r="D299" s="446" t="s">
        <v>271</v>
      </c>
      <c r="E299" s="451" t="s">
        <v>787</v>
      </c>
      <c r="F299" s="520" t="s">
        <v>788</v>
      </c>
      <c r="G299" s="535" t="s">
        <v>1710</v>
      </c>
      <c r="H299" s="518" t="s">
        <v>2272</v>
      </c>
      <c r="I299" s="521">
        <v>1</v>
      </c>
      <c r="J299" s="522">
        <v>3</v>
      </c>
      <c r="K299" s="450" t="s">
        <v>244</v>
      </c>
      <c r="L299" s="450" t="s">
        <v>1662</v>
      </c>
      <c r="M299" s="450" t="s">
        <v>1663</v>
      </c>
      <c r="N299" s="523" t="s">
        <v>2123</v>
      </c>
      <c r="O299" s="524" t="s">
        <v>176</v>
      </c>
      <c r="P299" s="525">
        <v>127</v>
      </c>
      <c r="Q299" s="526"/>
      <c r="R299" s="527"/>
      <c r="S299" s="528">
        <v>1</v>
      </c>
      <c r="T299" s="529" t="s">
        <v>788</v>
      </c>
      <c r="U299" s="530" t="s">
        <v>250</v>
      </c>
      <c r="V299" s="531" t="s">
        <v>444</v>
      </c>
      <c r="W299" s="453" t="s">
        <v>196</v>
      </c>
      <c r="X299" s="455">
        <v>1080000000</v>
      </c>
      <c r="Y299" s="455">
        <v>1080000000</v>
      </c>
      <c r="Z299" s="460" t="s">
        <v>1816</v>
      </c>
      <c r="AA299" s="453"/>
      <c r="AB299" s="453"/>
      <c r="AC299" s="458"/>
      <c r="AD299" s="458"/>
      <c r="AE299" s="532"/>
      <c r="AF299" s="531"/>
      <c r="AG299" s="455"/>
      <c r="AH299" s="461"/>
      <c r="AI299" s="533"/>
    </row>
    <row r="300" spans="2:35" ht="15" customHeight="1">
      <c r="B300" s="366">
        <f t="shared" si="11"/>
        <v>290</v>
      </c>
      <c r="C300" s="289" t="s">
        <v>416</v>
      </c>
      <c r="D300" s="446" t="s">
        <v>271</v>
      </c>
      <c r="E300" s="451" t="s">
        <v>787</v>
      </c>
      <c r="F300" s="520" t="s">
        <v>788</v>
      </c>
      <c r="G300" s="535" t="s">
        <v>1710</v>
      </c>
      <c r="H300" s="518" t="s">
        <v>2273</v>
      </c>
      <c r="I300" s="521">
        <v>1</v>
      </c>
      <c r="J300" s="522">
        <v>4</v>
      </c>
      <c r="K300" s="450" t="s">
        <v>244</v>
      </c>
      <c r="L300" s="450" t="s">
        <v>1662</v>
      </c>
      <c r="M300" s="450" t="s">
        <v>1663</v>
      </c>
      <c r="N300" s="523" t="s">
        <v>2124</v>
      </c>
      <c r="O300" s="524" t="s">
        <v>2121</v>
      </c>
      <c r="P300" s="525"/>
      <c r="Q300" s="526">
        <v>406.08</v>
      </c>
      <c r="R300" s="527"/>
      <c r="S300" s="528">
        <v>1</v>
      </c>
      <c r="T300" s="529" t="s">
        <v>788</v>
      </c>
      <c r="U300" s="530" t="s">
        <v>250</v>
      </c>
      <c r="V300" s="531" t="s">
        <v>444</v>
      </c>
      <c r="W300" s="453" t="s">
        <v>196</v>
      </c>
      <c r="X300" s="455">
        <v>1080000000</v>
      </c>
      <c r="Y300" s="455">
        <v>1080000000</v>
      </c>
      <c r="Z300" s="460" t="s">
        <v>1816</v>
      </c>
      <c r="AA300" s="453"/>
      <c r="AB300" s="453"/>
      <c r="AC300" s="458"/>
      <c r="AD300" s="458"/>
      <c r="AE300" s="532"/>
      <c r="AF300" s="531"/>
      <c r="AG300" s="455"/>
      <c r="AH300" s="461"/>
      <c r="AI300" s="533"/>
    </row>
    <row r="301" spans="2:35" ht="15" customHeight="1">
      <c r="B301" s="366">
        <f t="shared" si="11"/>
        <v>291</v>
      </c>
      <c r="C301" s="289" t="s">
        <v>416</v>
      </c>
      <c r="D301" s="446" t="s">
        <v>271</v>
      </c>
      <c r="E301" s="451" t="s">
        <v>787</v>
      </c>
      <c r="F301" s="520" t="s">
        <v>788</v>
      </c>
      <c r="G301" s="535" t="s">
        <v>1710</v>
      </c>
      <c r="H301" s="518" t="s">
        <v>2274</v>
      </c>
      <c r="I301" s="521">
        <v>1</v>
      </c>
      <c r="J301" s="522">
        <v>5</v>
      </c>
      <c r="K301" s="450" t="s">
        <v>244</v>
      </c>
      <c r="L301" s="450" t="s">
        <v>1662</v>
      </c>
      <c r="M301" s="450" t="s">
        <v>1663</v>
      </c>
      <c r="N301" s="523" t="s">
        <v>2125</v>
      </c>
      <c r="O301" s="524" t="s">
        <v>176</v>
      </c>
      <c r="P301" s="525">
        <v>2145</v>
      </c>
      <c r="Q301" s="526"/>
      <c r="R301" s="527"/>
      <c r="S301" s="528">
        <v>1</v>
      </c>
      <c r="T301" s="529" t="s">
        <v>788</v>
      </c>
      <c r="U301" s="530" t="s">
        <v>250</v>
      </c>
      <c r="V301" s="531" t="s">
        <v>444</v>
      </c>
      <c r="W301" s="453" t="s">
        <v>196</v>
      </c>
      <c r="X301" s="455">
        <v>1080000000</v>
      </c>
      <c r="Y301" s="455">
        <v>1080000000</v>
      </c>
      <c r="Z301" s="460" t="s">
        <v>1816</v>
      </c>
      <c r="AA301" s="453"/>
      <c r="AB301" s="453"/>
      <c r="AC301" s="458"/>
      <c r="AD301" s="458"/>
      <c r="AE301" s="532"/>
      <c r="AF301" s="531"/>
      <c r="AG301" s="455"/>
      <c r="AH301" s="461"/>
      <c r="AI301" s="533"/>
    </row>
    <row r="302" spans="2:35" ht="12" customHeight="1" thickBot="1">
      <c r="B302" s="321"/>
      <c r="C302" s="323"/>
      <c r="D302" s="324"/>
      <c r="E302" s="402"/>
      <c r="F302" s="325"/>
      <c r="G302" s="422"/>
      <c r="H302" s="422"/>
      <c r="I302" s="423"/>
      <c r="J302" s="424"/>
      <c r="K302" s="425"/>
      <c r="L302" s="401"/>
      <c r="M302" s="401"/>
      <c r="N302" s="426"/>
      <c r="O302" s="427"/>
      <c r="P302" s="428"/>
      <c r="Q302" s="429"/>
      <c r="R302" s="556"/>
      <c r="S302" s="555"/>
      <c r="T302" s="430"/>
      <c r="U302" s="431"/>
      <c r="V302" s="432"/>
      <c r="W302" s="404"/>
      <c r="X302" s="136"/>
      <c r="Y302" s="136"/>
      <c r="Z302" s="138"/>
      <c r="AA302" s="404"/>
      <c r="AB302" s="404"/>
      <c r="AC302" s="137"/>
      <c r="AD302" s="137"/>
      <c r="AE302" s="433"/>
      <c r="AF302" s="432"/>
      <c r="AG302" s="434"/>
      <c r="AH302" s="435"/>
      <c r="AI302" s="4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223"/>
  <sheetViews>
    <sheetView showGridLines="0" zoomScale="85" zoomScaleNormal="85" workbookViewId="0"/>
  </sheetViews>
  <sheetFormatPr defaultColWidth="9" defaultRowHeight="12" customHeight="1"/>
  <cols>
    <col min="1" max="1" width="1.58203125" style="73" customWidth="1"/>
    <col min="2" max="5" width="10.58203125" style="73" customWidth="1"/>
    <col min="6" max="6" width="17.58203125" style="73" customWidth="1"/>
    <col min="7" max="8" width="10.58203125" style="73" customWidth="1"/>
    <col min="9" max="9" width="17.58203125" style="74" customWidth="1"/>
    <col min="10" max="10" width="15.58203125" style="73" customWidth="1"/>
    <col min="11" max="11" width="17.58203125" style="73" customWidth="1"/>
    <col min="12" max="12" width="10.58203125" style="73" customWidth="1"/>
    <col min="13" max="14" width="16" style="73" customWidth="1"/>
    <col min="15" max="15" width="10.58203125" style="73" customWidth="1"/>
    <col min="16" max="16" width="41.33203125" style="73" bestFit="1" customWidth="1"/>
    <col min="17" max="17" width="40.58203125" style="73" customWidth="1"/>
    <col min="18" max="16384" width="9" style="73"/>
  </cols>
  <sheetData>
    <row r="1" spans="1:17" s="1" customFormat="1" ht="15" customHeight="1">
      <c r="A1" s="318"/>
      <c r="I1" s="192"/>
    </row>
    <row r="2" spans="1:17" s="5" customFormat="1" ht="26.25" customHeight="1" thickBot="1">
      <c r="A2" s="2" t="s">
        <v>790</v>
      </c>
      <c r="B2" s="3"/>
      <c r="C2" s="4"/>
      <c r="D2" s="4"/>
      <c r="E2" s="4"/>
      <c r="F2" s="4"/>
      <c r="G2" s="4"/>
      <c r="H2" s="4"/>
      <c r="I2" s="193"/>
      <c r="L2" s="194"/>
      <c r="M2" s="33"/>
    </row>
    <row r="3" spans="1:17" s="5" customFormat="1" ht="20.25" customHeight="1">
      <c r="A3" s="224" t="s">
        <v>2482</v>
      </c>
      <c r="B3" s="7"/>
      <c r="C3" s="4"/>
      <c r="D3" s="4"/>
      <c r="E3" s="288"/>
      <c r="F3" s="4"/>
      <c r="G3" s="8"/>
      <c r="H3" s="8"/>
      <c r="I3" s="4"/>
      <c r="J3" s="439" t="s">
        <v>0</v>
      </c>
      <c r="K3" s="440">
        <v>45869</v>
      </c>
      <c r="L3" s="8"/>
      <c r="M3" s="8"/>
      <c r="N3" s="222"/>
    </row>
    <row r="4" spans="1:17" s="12" customFormat="1" ht="20.25" customHeight="1">
      <c r="A4" s="9" t="s">
        <v>143</v>
      </c>
      <c r="B4" s="10"/>
      <c r="C4" s="11"/>
      <c r="D4" s="11"/>
      <c r="E4" s="11"/>
      <c r="F4" s="11"/>
      <c r="G4" s="11"/>
      <c r="H4" s="11"/>
      <c r="I4" s="4"/>
      <c r="J4" s="441" t="s">
        <v>361</v>
      </c>
      <c r="K4" s="442">
        <v>1396</v>
      </c>
      <c r="L4" s="195"/>
      <c r="M4" s="35"/>
      <c r="N4" s="222"/>
    </row>
    <row r="5" spans="1:17" s="12" customFormat="1" ht="20.25" customHeight="1" thickBot="1">
      <c r="A5" s="9" t="s">
        <v>144</v>
      </c>
      <c r="B5" s="59"/>
      <c r="C5" s="11"/>
      <c r="D5" s="11"/>
      <c r="E5" s="11"/>
      <c r="F5" s="11"/>
      <c r="G5" s="11"/>
      <c r="H5" s="11"/>
      <c r="I5" s="213"/>
      <c r="J5" s="443" t="s">
        <v>374</v>
      </c>
      <c r="K5" s="328">
        <v>9.3489000000000004</v>
      </c>
      <c r="L5" s="196"/>
      <c r="M5" s="35"/>
      <c r="N5" s="60"/>
    </row>
    <row r="6" spans="1:17" s="12" customFormat="1" ht="20.25" customHeight="1">
      <c r="A6" s="9"/>
      <c r="B6" s="59"/>
      <c r="C6" s="11"/>
      <c r="D6" s="11"/>
      <c r="E6" s="11"/>
      <c r="F6" s="11"/>
      <c r="G6" s="11"/>
      <c r="H6" s="11"/>
      <c r="I6" s="213"/>
      <c r="J6" s="11"/>
      <c r="K6" s="11"/>
      <c r="L6" s="196"/>
      <c r="M6" s="35"/>
      <c r="N6" s="60"/>
    </row>
    <row r="7" spans="1:17" customFormat="1" ht="12" customHeight="1" thickBot="1">
      <c r="I7" s="372"/>
      <c r="M7" s="373"/>
      <c r="N7" s="373"/>
    </row>
    <row r="8" spans="1:17" s="203" customFormat="1" ht="15" customHeight="1">
      <c r="B8" s="197" t="s">
        <v>145</v>
      </c>
      <c r="C8" s="198"/>
      <c r="D8" s="198"/>
      <c r="E8" s="198"/>
      <c r="F8" s="198"/>
      <c r="G8" s="199" t="s">
        <v>146</v>
      </c>
      <c r="H8" s="199"/>
      <c r="I8" s="199"/>
      <c r="J8" s="199"/>
      <c r="K8" s="199"/>
      <c r="L8" s="199"/>
      <c r="M8" s="199"/>
      <c r="N8" s="199"/>
      <c r="O8" s="200"/>
      <c r="P8" s="201"/>
      <c r="Q8" s="202" t="s">
        <v>147</v>
      </c>
    </row>
    <row r="9" spans="1:17" s="203" customFormat="1" ht="15" customHeight="1" thickBot="1">
      <c r="B9" s="204" t="str">
        <f>"Field "&amp;COLUMN()-1</f>
        <v>Field 1</v>
      </c>
      <c r="C9" s="21" t="str">
        <f>"Field "&amp;COLUMN()-1-COUNTBLANK($B$9:B9)</f>
        <v>Field 2</v>
      </c>
      <c r="D9" s="21" t="str">
        <f>"Field "&amp;COLUMN()-1-COUNTBLANK($B$9:C9)</f>
        <v>Field 3</v>
      </c>
      <c r="E9" s="21" t="str">
        <f>"Field "&amp;COLUMN()-1-COUNTBLANK($B$9:D9)</f>
        <v>Field 4</v>
      </c>
      <c r="F9" s="21" t="str">
        <f>"Field "&amp;COLUMN()-1-COUNTBLANK($B$9:E9)</f>
        <v>Field 5</v>
      </c>
      <c r="G9" s="21" t="str">
        <f>"Field "&amp;COLUMN()-1-COUNTBLANK($B$9:F9)</f>
        <v>Field 6</v>
      </c>
      <c r="H9" s="21" t="str">
        <f>"Field "&amp;COLUMN()-1-COUNTBLANK($B$9:G9)</f>
        <v>Field 7</v>
      </c>
      <c r="I9" s="21" t="str">
        <f>"Field "&amp;COLUMN()-1-COUNTBLANK($B$9:H9)</f>
        <v>Field 8</v>
      </c>
      <c r="J9" s="21" t="str">
        <f>"Field "&amp;COLUMN()-1-COUNTBLANK($B$9:I9)</f>
        <v>Field 9</v>
      </c>
      <c r="K9" s="21" t="str">
        <f>"Field "&amp;COLUMN()-1-COUNTBLANK($B$9:J9)</f>
        <v>Field 10</v>
      </c>
      <c r="L9" s="21" t="str">
        <f>"Field "&amp;COLUMN()-1-COUNTBLANK($B$9:K9)</f>
        <v>Field 11</v>
      </c>
      <c r="M9" s="21" t="str">
        <f>"Field "&amp;COLUMN()-1-COUNTBLANK($B$9:L9)</f>
        <v>Field 12</v>
      </c>
      <c r="N9" s="21" t="str">
        <f>"Field "&amp;COLUMN()-1-COUNTBLANK($B$9:M9)</f>
        <v>Field 13</v>
      </c>
      <c r="O9" s="21" t="str">
        <f>"Field "&amp;COLUMN()-1-COUNTBLANK($B$9:N9)</f>
        <v>Field 14</v>
      </c>
      <c r="P9" s="21" t="str">
        <f>"Field "&amp;COLUMN()-1-COUNTBLANK($B$9:O9)</f>
        <v>Field 15</v>
      </c>
      <c r="Q9" s="22" t="str">
        <f>"Field "&amp;COLUMN()-1-COUNTBLANK($B$9:P9)</f>
        <v>Field 16</v>
      </c>
    </row>
    <row r="10" spans="1:17" s="203" customFormat="1" ht="37.5" customHeight="1" thickBot="1">
      <c r="A10" s="205"/>
      <c r="B10" s="206" t="s">
        <v>148</v>
      </c>
      <c r="C10" s="24" t="s">
        <v>6</v>
      </c>
      <c r="D10" s="25" t="s">
        <v>398</v>
      </c>
      <c r="E10" s="25" t="s">
        <v>18</v>
      </c>
      <c r="F10" s="70" t="s">
        <v>50</v>
      </c>
      <c r="G10" s="207" t="s">
        <v>149</v>
      </c>
      <c r="H10" s="208" t="s">
        <v>150</v>
      </c>
      <c r="I10" s="209" t="s">
        <v>151</v>
      </c>
      <c r="J10" s="209" t="s">
        <v>170</v>
      </c>
      <c r="K10" s="209" t="s">
        <v>152</v>
      </c>
      <c r="L10" s="209" t="s">
        <v>153</v>
      </c>
      <c r="M10" s="209" t="s">
        <v>154</v>
      </c>
      <c r="N10" s="209" t="s">
        <v>155</v>
      </c>
      <c r="O10" s="210" t="s">
        <v>156</v>
      </c>
      <c r="P10" s="210" t="s">
        <v>157</v>
      </c>
      <c r="Q10" s="211" t="s">
        <v>4</v>
      </c>
    </row>
    <row r="11" spans="1:17" ht="15" customHeight="1">
      <c r="B11" s="366">
        <f t="shared" ref="B11:B46" si="0">ROW()-10</f>
        <v>1</v>
      </c>
      <c r="C11" s="289" t="s">
        <v>416</v>
      </c>
      <c r="D11" s="446" t="s">
        <v>270</v>
      </c>
      <c r="E11" s="536" t="s">
        <v>228</v>
      </c>
      <c r="F11" s="520" t="s">
        <v>718</v>
      </c>
      <c r="G11" s="537">
        <v>1</v>
      </c>
      <c r="H11" s="538">
        <v>1</v>
      </c>
      <c r="I11" s="538" t="s">
        <v>221</v>
      </c>
      <c r="J11" s="539">
        <v>43585</v>
      </c>
      <c r="K11" s="538" t="s">
        <v>442</v>
      </c>
      <c r="L11" s="497" t="s">
        <v>196</v>
      </c>
      <c r="M11" s="540">
        <v>4560000000</v>
      </c>
      <c r="N11" s="540">
        <v>4560000000</v>
      </c>
      <c r="O11" s="541"/>
      <c r="P11" s="542"/>
      <c r="Q11" s="543" t="s">
        <v>2335</v>
      </c>
    </row>
    <row r="12" spans="1:17" ht="15" customHeight="1">
      <c r="B12" s="366">
        <f t="shared" si="0"/>
        <v>2</v>
      </c>
      <c r="C12" s="289" t="s">
        <v>416</v>
      </c>
      <c r="D12" s="446" t="s">
        <v>270</v>
      </c>
      <c r="E12" s="536" t="s">
        <v>228</v>
      </c>
      <c r="F12" s="520" t="s">
        <v>718</v>
      </c>
      <c r="G12" s="537">
        <v>1</v>
      </c>
      <c r="H12" s="538">
        <v>2</v>
      </c>
      <c r="I12" s="538" t="s">
        <v>221</v>
      </c>
      <c r="J12" s="539">
        <v>43781</v>
      </c>
      <c r="K12" s="538" t="s">
        <v>442</v>
      </c>
      <c r="L12" s="497" t="s">
        <v>196</v>
      </c>
      <c r="M12" s="540">
        <v>2640000000</v>
      </c>
      <c r="N12" s="540">
        <v>2640000000</v>
      </c>
      <c r="O12" s="541"/>
      <c r="P12" s="542"/>
      <c r="Q12" s="543" t="s">
        <v>2335</v>
      </c>
    </row>
    <row r="13" spans="1:17" ht="15" customHeight="1">
      <c r="B13" s="366">
        <f t="shared" si="0"/>
        <v>3</v>
      </c>
      <c r="C13" s="289" t="s">
        <v>416</v>
      </c>
      <c r="D13" s="446" t="s">
        <v>270</v>
      </c>
      <c r="E13" s="536" t="s">
        <v>228</v>
      </c>
      <c r="F13" s="520" t="s">
        <v>718</v>
      </c>
      <c r="G13" s="537">
        <v>1</v>
      </c>
      <c r="H13" s="538">
        <v>3</v>
      </c>
      <c r="I13" s="538" t="s">
        <v>221</v>
      </c>
      <c r="J13" s="539">
        <v>44195</v>
      </c>
      <c r="K13" s="538" t="s">
        <v>442</v>
      </c>
      <c r="L13" s="497" t="s">
        <v>196</v>
      </c>
      <c r="M13" s="540">
        <v>4100000000</v>
      </c>
      <c r="N13" s="540">
        <v>4100000000</v>
      </c>
      <c r="O13" s="541"/>
      <c r="P13" s="542"/>
      <c r="Q13" s="543"/>
    </row>
    <row r="14" spans="1:17" ht="15" customHeight="1">
      <c r="B14" s="366">
        <f t="shared" si="0"/>
        <v>4</v>
      </c>
      <c r="C14" s="289" t="s">
        <v>416</v>
      </c>
      <c r="D14" s="446" t="s">
        <v>270</v>
      </c>
      <c r="E14" s="536" t="s">
        <v>228</v>
      </c>
      <c r="F14" s="520" t="s">
        <v>718</v>
      </c>
      <c r="G14" s="537">
        <v>2</v>
      </c>
      <c r="H14" s="538">
        <v>1</v>
      </c>
      <c r="I14" s="538" t="s">
        <v>221</v>
      </c>
      <c r="J14" s="539">
        <v>44074</v>
      </c>
      <c r="K14" s="538" t="s">
        <v>442</v>
      </c>
      <c r="L14" s="497" t="s">
        <v>196</v>
      </c>
      <c r="M14" s="540">
        <v>480000000</v>
      </c>
      <c r="N14" s="540">
        <v>480000000</v>
      </c>
      <c r="O14" s="541"/>
      <c r="P14" s="542"/>
      <c r="Q14" s="543" t="s">
        <v>2336</v>
      </c>
    </row>
    <row r="15" spans="1:17" ht="15" customHeight="1">
      <c r="B15" s="366">
        <f t="shared" si="0"/>
        <v>5</v>
      </c>
      <c r="C15" s="289" t="s">
        <v>416</v>
      </c>
      <c r="D15" s="446" t="s">
        <v>270</v>
      </c>
      <c r="E15" s="536" t="s">
        <v>228</v>
      </c>
      <c r="F15" s="520" t="s">
        <v>718</v>
      </c>
      <c r="G15" s="537">
        <v>2</v>
      </c>
      <c r="H15" s="538">
        <v>2</v>
      </c>
      <c r="I15" s="538" t="s">
        <v>221</v>
      </c>
      <c r="J15" s="539">
        <v>44146</v>
      </c>
      <c r="K15" s="538" t="s">
        <v>442</v>
      </c>
      <c r="L15" s="497" t="s">
        <v>196</v>
      </c>
      <c r="M15" s="540">
        <v>900000000</v>
      </c>
      <c r="N15" s="540">
        <v>900000000</v>
      </c>
      <c r="O15" s="541"/>
      <c r="P15" s="542"/>
      <c r="Q15" s="543" t="s">
        <v>2337</v>
      </c>
    </row>
    <row r="16" spans="1:17" ht="15" customHeight="1">
      <c r="B16" s="366">
        <f t="shared" si="0"/>
        <v>6</v>
      </c>
      <c r="C16" s="289" t="s">
        <v>416</v>
      </c>
      <c r="D16" s="446" t="s">
        <v>270</v>
      </c>
      <c r="E16" s="536" t="s">
        <v>228</v>
      </c>
      <c r="F16" s="520" t="s">
        <v>718</v>
      </c>
      <c r="G16" s="537">
        <v>3</v>
      </c>
      <c r="H16" s="538">
        <v>1</v>
      </c>
      <c r="I16" s="538" t="s">
        <v>221</v>
      </c>
      <c r="J16" s="539">
        <v>43818</v>
      </c>
      <c r="K16" s="538" t="s">
        <v>442</v>
      </c>
      <c r="L16" s="497" t="s">
        <v>196</v>
      </c>
      <c r="M16" s="540">
        <v>600000000</v>
      </c>
      <c r="N16" s="540">
        <v>600000000</v>
      </c>
      <c r="O16" s="541"/>
      <c r="P16" s="542"/>
      <c r="Q16" s="543"/>
    </row>
    <row r="17" spans="2:17" ht="15" customHeight="1">
      <c r="B17" s="366">
        <f t="shared" si="0"/>
        <v>7</v>
      </c>
      <c r="C17" s="289" t="s">
        <v>416</v>
      </c>
      <c r="D17" s="446" t="s">
        <v>270</v>
      </c>
      <c r="E17" s="536" t="s">
        <v>228</v>
      </c>
      <c r="F17" s="520" t="s">
        <v>718</v>
      </c>
      <c r="G17" s="537">
        <v>4</v>
      </c>
      <c r="H17" s="538">
        <v>1</v>
      </c>
      <c r="I17" s="538" t="s">
        <v>221</v>
      </c>
      <c r="J17" s="539">
        <v>43455</v>
      </c>
      <c r="K17" s="538" t="s">
        <v>442</v>
      </c>
      <c r="L17" s="497" t="s">
        <v>196</v>
      </c>
      <c r="M17" s="540">
        <v>480000000</v>
      </c>
      <c r="N17" s="540">
        <v>480000000</v>
      </c>
      <c r="O17" s="541"/>
      <c r="P17" s="542"/>
      <c r="Q17" s="543"/>
    </row>
    <row r="18" spans="2:17" ht="15" customHeight="1">
      <c r="B18" s="366">
        <f t="shared" si="0"/>
        <v>8</v>
      </c>
      <c r="C18" s="289" t="s">
        <v>416</v>
      </c>
      <c r="D18" s="446" t="s">
        <v>270</v>
      </c>
      <c r="E18" s="536" t="s">
        <v>228</v>
      </c>
      <c r="F18" s="520" t="s">
        <v>718</v>
      </c>
      <c r="G18" s="537">
        <v>5</v>
      </c>
      <c r="H18" s="538">
        <v>1</v>
      </c>
      <c r="I18" s="538" t="s">
        <v>221</v>
      </c>
      <c r="J18" s="539">
        <v>43378</v>
      </c>
      <c r="K18" s="538" t="s">
        <v>442</v>
      </c>
      <c r="L18" s="497" t="s">
        <v>196</v>
      </c>
      <c r="M18" s="540">
        <v>321600000</v>
      </c>
      <c r="N18" s="540">
        <v>321600000</v>
      </c>
      <c r="O18" s="541"/>
      <c r="P18" s="542"/>
      <c r="Q18" s="543"/>
    </row>
    <row r="19" spans="2:17" ht="15" customHeight="1">
      <c r="B19" s="366">
        <f t="shared" si="0"/>
        <v>9</v>
      </c>
      <c r="C19" s="289" t="s">
        <v>416</v>
      </c>
      <c r="D19" s="446" t="s">
        <v>270</v>
      </c>
      <c r="E19" s="536" t="s">
        <v>210</v>
      </c>
      <c r="F19" s="520" t="s">
        <v>719</v>
      </c>
      <c r="G19" s="537">
        <v>1</v>
      </c>
      <c r="H19" s="538">
        <v>1</v>
      </c>
      <c r="I19" s="538" t="s">
        <v>221</v>
      </c>
      <c r="J19" s="539">
        <v>44826</v>
      </c>
      <c r="K19" s="538" t="s">
        <v>442</v>
      </c>
      <c r="L19" s="497" t="s">
        <v>196</v>
      </c>
      <c r="M19" s="540">
        <v>11400000000</v>
      </c>
      <c r="N19" s="540">
        <v>11400000000</v>
      </c>
      <c r="O19" s="541"/>
      <c r="P19" s="542"/>
      <c r="Q19" s="543"/>
    </row>
    <row r="20" spans="2:17" ht="15" customHeight="1">
      <c r="B20" s="366">
        <f t="shared" si="0"/>
        <v>10</v>
      </c>
      <c r="C20" s="289" t="s">
        <v>416</v>
      </c>
      <c r="D20" s="446" t="s">
        <v>270</v>
      </c>
      <c r="E20" s="536" t="s">
        <v>229</v>
      </c>
      <c r="F20" s="520" t="s">
        <v>720</v>
      </c>
      <c r="G20" s="537">
        <v>1</v>
      </c>
      <c r="H20" s="538">
        <v>1</v>
      </c>
      <c r="I20" s="538" t="s">
        <v>221</v>
      </c>
      <c r="J20" s="539">
        <v>45128</v>
      </c>
      <c r="K20" s="538" t="s">
        <v>442</v>
      </c>
      <c r="L20" s="497" t="s">
        <v>196</v>
      </c>
      <c r="M20" s="540">
        <v>1068000000</v>
      </c>
      <c r="N20" s="540">
        <v>1068000000</v>
      </c>
      <c r="O20" s="541"/>
      <c r="P20" s="542"/>
      <c r="Q20" s="543"/>
    </row>
    <row r="21" spans="2:17" ht="15" customHeight="1">
      <c r="B21" s="366">
        <f t="shared" si="0"/>
        <v>11</v>
      </c>
      <c r="C21" s="289" t="s">
        <v>416</v>
      </c>
      <c r="D21" s="446" t="s">
        <v>270</v>
      </c>
      <c r="E21" s="536" t="s">
        <v>229</v>
      </c>
      <c r="F21" s="520" t="s">
        <v>720</v>
      </c>
      <c r="G21" s="537">
        <v>1</v>
      </c>
      <c r="H21" s="538">
        <v>2</v>
      </c>
      <c r="I21" s="538" t="s">
        <v>221</v>
      </c>
      <c r="J21" s="539">
        <v>45128</v>
      </c>
      <c r="K21" s="538" t="s">
        <v>442</v>
      </c>
      <c r="L21" s="497" t="s">
        <v>196</v>
      </c>
      <c r="M21" s="540">
        <v>2667600000</v>
      </c>
      <c r="N21" s="540">
        <v>2667600000</v>
      </c>
      <c r="O21" s="541" t="s">
        <v>251</v>
      </c>
      <c r="P21" s="542" t="s">
        <v>2275</v>
      </c>
      <c r="Q21" s="543"/>
    </row>
    <row r="22" spans="2:17" ht="15" customHeight="1">
      <c r="B22" s="366">
        <f t="shared" si="0"/>
        <v>12</v>
      </c>
      <c r="C22" s="289" t="s">
        <v>416</v>
      </c>
      <c r="D22" s="446" t="s">
        <v>270</v>
      </c>
      <c r="E22" s="536" t="s">
        <v>229</v>
      </c>
      <c r="F22" s="520" t="s">
        <v>720</v>
      </c>
      <c r="G22" s="537">
        <v>1</v>
      </c>
      <c r="H22" s="538">
        <v>3</v>
      </c>
      <c r="I22" s="538" t="s">
        <v>221</v>
      </c>
      <c r="J22" s="539">
        <v>45128</v>
      </c>
      <c r="K22" s="538" t="s">
        <v>442</v>
      </c>
      <c r="L22" s="497" t="s">
        <v>196</v>
      </c>
      <c r="M22" s="540">
        <v>588000000</v>
      </c>
      <c r="N22" s="540">
        <v>588000000</v>
      </c>
      <c r="O22" s="541" t="s">
        <v>249</v>
      </c>
      <c r="P22" s="542" t="s">
        <v>2276</v>
      </c>
      <c r="Q22" s="543"/>
    </row>
    <row r="23" spans="2:17" ht="15" customHeight="1">
      <c r="B23" s="366">
        <f t="shared" si="0"/>
        <v>13</v>
      </c>
      <c r="C23" s="289" t="s">
        <v>416</v>
      </c>
      <c r="D23" s="446" t="s">
        <v>270</v>
      </c>
      <c r="E23" s="536" t="s">
        <v>229</v>
      </c>
      <c r="F23" s="520" t="s">
        <v>720</v>
      </c>
      <c r="G23" s="537">
        <v>1</v>
      </c>
      <c r="H23" s="538">
        <v>4</v>
      </c>
      <c r="I23" s="538" t="s">
        <v>221</v>
      </c>
      <c r="J23" s="539">
        <v>45443</v>
      </c>
      <c r="K23" s="538" t="s">
        <v>442</v>
      </c>
      <c r="L23" s="497" t="s">
        <v>196</v>
      </c>
      <c r="M23" s="540">
        <v>4320000000</v>
      </c>
      <c r="N23" s="540">
        <v>4320000000</v>
      </c>
      <c r="O23" s="541" t="s">
        <v>249</v>
      </c>
      <c r="P23" s="542" t="s">
        <v>2277</v>
      </c>
      <c r="Q23" s="543" t="s">
        <v>2338</v>
      </c>
    </row>
    <row r="24" spans="2:17" ht="15" customHeight="1">
      <c r="B24" s="366">
        <f t="shared" si="0"/>
        <v>14</v>
      </c>
      <c r="C24" s="289" t="s">
        <v>416</v>
      </c>
      <c r="D24" s="446" t="s">
        <v>270</v>
      </c>
      <c r="E24" s="536" t="s">
        <v>229</v>
      </c>
      <c r="F24" s="520" t="s">
        <v>720</v>
      </c>
      <c r="G24" s="537">
        <v>1</v>
      </c>
      <c r="H24" s="538">
        <v>5</v>
      </c>
      <c r="I24" s="538" t="s">
        <v>221</v>
      </c>
      <c r="J24" s="539">
        <v>45707</v>
      </c>
      <c r="K24" s="538" t="s">
        <v>442</v>
      </c>
      <c r="L24" s="497" t="s">
        <v>196</v>
      </c>
      <c r="M24" s="540">
        <v>1200000000</v>
      </c>
      <c r="N24" s="540">
        <v>1200000000</v>
      </c>
      <c r="O24" s="541" t="s">
        <v>249</v>
      </c>
      <c r="P24" s="542" t="s">
        <v>2278</v>
      </c>
      <c r="Q24" s="543"/>
    </row>
    <row r="25" spans="2:17" ht="15" customHeight="1">
      <c r="B25" s="366">
        <f t="shared" si="0"/>
        <v>15</v>
      </c>
      <c r="C25" s="289" t="s">
        <v>416</v>
      </c>
      <c r="D25" s="446" t="s">
        <v>270</v>
      </c>
      <c r="E25" s="536" t="s">
        <v>229</v>
      </c>
      <c r="F25" s="520" t="s">
        <v>720</v>
      </c>
      <c r="G25" s="537">
        <v>2</v>
      </c>
      <c r="H25" s="538">
        <v>1</v>
      </c>
      <c r="I25" s="538" t="s">
        <v>221</v>
      </c>
      <c r="J25" s="539">
        <v>45128</v>
      </c>
      <c r="K25" s="538" t="s">
        <v>442</v>
      </c>
      <c r="L25" s="497" t="s">
        <v>196</v>
      </c>
      <c r="M25" s="540">
        <v>2667600000</v>
      </c>
      <c r="N25" s="540">
        <v>2667600000</v>
      </c>
      <c r="O25" s="541" t="s">
        <v>253</v>
      </c>
      <c r="P25" s="542" t="s">
        <v>2275</v>
      </c>
      <c r="Q25" s="543"/>
    </row>
    <row r="26" spans="2:17" ht="15" customHeight="1">
      <c r="B26" s="366">
        <f t="shared" si="0"/>
        <v>16</v>
      </c>
      <c r="C26" s="289" t="s">
        <v>416</v>
      </c>
      <c r="D26" s="446" t="s">
        <v>270</v>
      </c>
      <c r="E26" s="536" t="s">
        <v>229</v>
      </c>
      <c r="F26" s="520" t="s">
        <v>720</v>
      </c>
      <c r="G26" s="537">
        <v>2</v>
      </c>
      <c r="H26" s="538">
        <v>2</v>
      </c>
      <c r="I26" s="538" t="s">
        <v>221</v>
      </c>
      <c r="J26" s="539">
        <v>45128</v>
      </c>
      <c r="K26" s="538" t="s">
        <v>442</v>
      </c>
      <c r="L26" s="497" t="s">
        <v>196</v>
      </c>
      <c r="M26" s="540">
        <v>588000000</v>
      </c>
      <c r="N26" s="540">
        <v>588000000</v>
      </c>
      <c r="O26" s="541" t="s">
        <v>345</v>
      </c>
      <c r="P26" s="542" t="s">
        <v>2276</v>
      </c>
      <c r="Q26" s="543"/>
    </row>
    <row r="27" spans="2:17" ht="15" customHeight="1">
      <c r="B27" s="366">
        <f t="shared" si="0"/>
        <v>17</v>
      </c>
      <c r="C27" s="289" t="s">
        <v>416</v>
      </c>
      <c r="D27" s="446" t="s">
        <v>270</v>
      </c>
      <c r="E27" s="536" t="s">
        <v>229</v>
      </c>
      <c r="F27" s="520" t="s">
        <v>720</v>
      </c>
      <c r="G27" s="537">
        <v>2</v>
      </c>
      <c r="H27" s="538">
        <v>3</v>
      </c>
      <c r="I27" s="538" t="s">
        <v>221</v>
      </c>
      <c r="J27" s="539">
        <v>45443</v>
      </c>
      <c r="K27" s="538" t="s">
        <v>442</v>
      </c>
      <c r="L27" s="497" t="s">
        <v>196</v>
      </c>
      <c r="M27" s="540">
        <v>4320000000</v>
      </c>
      <c r="N27" s="540">
        <v>4320000000</v>
      </c>
      <c r="O27" s="541" t="s">
        <v>345</v>
      </c>
      <c r="P27" s="542" t="s">
        <v>2277</v>
      </c>
      <c r="Q27" s="543" t="s">
        <v>2338</v>
      </c>
    </row>
    <row r="28" spans="2:17" ht="15" customHeight="1">
      <c r="B28" s="366">
        <f t="shared" si="0"/>
        <v>18</v>
      </c>
      <c r="C28" s="289" t="s">
        <v>416</v>
      </c>
      <c r="D28" s="446" t="s">
        <v>270</v>
      </c>
      <c r="E28" s="536" t="s">
        <v>229</v>
      </c>
      <c r="F28" s="520" t="s">
        <v>720</v>
      </c>
      <c r="G28" s="537">
        <v>2</v>
      </c>
      <c r="H28" s="538">
        <v>4</v>
      </c>
      <c r="I28" s="538" t="s">
        <v>221</v>
      </c>
      <c r="J28" s="539">
        <v>45707</v>
      </c>
      <c r="K28" s="538" t="s">
        <v>442</v>
      </c>
      <c r="L28" s="497" t="s">
        <v>196</v>
      </c>
      <c r="M28" s="540">
        <v>1200000000</v>
      </c>
      <c r="N28" s="540">
        <v>1200000000</v>
      </c>
      <c r="O28" s="541" t="s">
        <v>345</v>
      </c>
      <c r="P28" s="542" t="s">
        <v>2278</v>
      </c>
      <c r="Q28" s="543"/>
    </row>
    <row r="29" spans="2:17" ht="15" customHeight="1">
      <c r="B29" s="366">
        <f t="shared" si="0"/>
        <v>19</v>
      </c>
      <c r="C29" s="289" t="s">
        <v>416</v>
      </c>
      <c r="D29" s="446" t="s">
        <v>270</v>
      </c>
      <c r="E29" s="536" t="s">
        <v>229</v>
      </c>
      <c r="F29" s="520" t="s">
        <v>720</v>
      </c>
      <c r="G29" s="537">
        <v>3</v>
      </c>
      <c r="H29" s="538">
        <v>1</v>
      </c>
      <c r="I29" s="538" t="s">
        <v>221</v>
      </c>
      <c r="J29" s="539">
        <v>45665</v>
      </c>
      <c r="K29" s="538" t="s">
        <v>442</v>
      </c>
      <c r="L29" s="497" t="s">
        <v>196</v>
      </c>
      <c r="M29" s="540">
        <v>4320000000</v>
      </c>
      <c r="N29" s="540">
        <v>4320000000</v>
      </c>
      <c r="O29" s="541" t="s">
        <v>250</v>
      </c>
      <c r="P29" s="542" t="s">
        <v>2277</v>
      </c>
      <c r="Q29" s="543" t="s">
        <v>2338</v>
      </c>
    </row>
    <row r="30" spans="2:17" ht="15" customHeight="1">
      <c r="B30" s="366">
        <f t="shared" si="0"/>
        <v>20</v>
      </c>
      <c r="C30" s="289" t="s">
        <v>416</v>
      </c>
      <c r="D30" s="446" t="s">
        <v>270</v>
      </c>
      <c r="E30" s="536" t="s">
        <v>229</v>
      </c>
      <c r="F30" s="520" t="s">
        <v>720</v>
      </c>
      <c r="G30" s="537">
        <v>3</v>
      </c>
      <c r="H30" s="538">
        <v>2</v>
      </c>
      <c r="I30" s="538" t="s">
        <v>221</v>
      </c>
      <c r="J30" s="539">
        <v>45665</v>
      </c>
      <c r="K30" s="538" t="s">
        <v>442</v>
      </c>
      <c r="L30" s="497" t="s">
        <v>196</v>
      </c>
      <c r="M30" s="540">
        <v>588000000</v>
      </c>
      <c r="N30" s="540">
        <v>588000000</v>
      </c>
      <c r="O30" s="541" t="s">
        <v>250</v>
      </c>
      <c r="P30" s="542" t="s">
        <v>2279</v>
      </c>
      <c r="Q30" s="543"/>
    </row>
    <row r="31" spans="2:17" ht="15" customHeight="1">
      <c r="B31" s="366">
        <f t="shared" si="0"/>
        <v>21</v>
      </c>
      <c r="C31" s="289" t="s">
        <v>416</v>
      </c>
      <c r="D31" s="446" t="s">
        <v>270</v>
      </c>
      <c r="E31" s="536" t="s">
        <v>229</v>
      </c>
      <c r="F31" s="520" t="s">
        <v>720</v>
      </c>
      <c r="G31" s="537">
        <v>3</v>
      </c>
      <c r="H31" s="538">
        <v>3</v>
      </c>
      <c r="I31" s="538" t="s">
        <v>221</v>
      </c>
      <c r="J31" s="539">
        <v>45707</v>
      </c>
      <c r="K31" s="538" t="s">
        <v>442</v>
      </c>
      <c r="L31" s="497" t="s">
        <v>196</v>
      </c>
      <c r="M31" s="540">
        <v>1200000000</v>
      </c>
      <c r="N31" s="540">
        <v>1200000000</v>
      </c>
      <c r="O31" s="541" t="s">
        <v>250</v>
      </c>
      <c r="P31" s="542" t="s">
        <v>2278</v>
      </c>
      <c r="Q31" s="543"/>
    </row>
    <row r="32" spans="2:17" ht="15" customHeight="1">
      <c r="B32" s="366">
        <f t="shared" si="0"/>
        <v>22</v>
      </c>
      <c r="C32" s="289" t="s">
        <v>416</v>
      </c>
      <c r="D32" s="446" t="s">
        <v>270</v>
      </c>
      <c r="E32" s="536" t="s">
        <v>230</v>
      </c>
      <c r="F32" s="520" t="s">
        <v>721</v>
      </c>
      <c r="G32" s="537">
        <v>1</v>
      </c>
      <c r="H32" s="538">
        <v>1</v>
      </c>
      <c r="I32" s="538" t="s">
        <v>221</v>
      </c>
      <c r="J32" s="539">
        <v>44531</v>
      </c>
      <c r="K32" s="538" t="s">
        <v>442</v>
      </c>
      <c r="L32" s="497" t="s">
        <v>196</v>
      </c>
      <c r="M32" s="540">
        <v>3840000000</v>
      </c>
      <c r="N32" s="540">
        <v>3840000000</v>
      </c>
      <c r="O32" s="541"/>
      <c r="P32" s="542"/>
      <c r="Q32" s="543" t="s">
        <v>2339</v>
      </c>
    </row>
    <row r="33" spans="2:17" ht="15" customHeight="1">
      <c r="B33" s="366">
        <f t="shared" si="0"/>
        <v>23</v>
      </c>
      <c r="C33" s="289" t="s">
        <v>416</v>
      </c>
      <c r="D33" s="446" t="s">
        <v>270</v>
      </c>
      <c r="E33" s="536" t="s">
        <v>230</v>
      </c>
      <c r="F33" s="520" t="s">
        <v>721</v>
      </c>
      <c r="G33" s="537">
        <v>2</v>
      </c>
      <c r="H33" s="538">
        <v>1</v>
      </c>
      <c r="I33" s="538" t="s">
        <v>221</v>
      </c>
      <c r="J33" s="539">
        <v>43584</v>
      </c>
      <c r="K33" s="538" t="s">
        <v>442</v>
      </c>
      <c r="L33" s="497" t="s">
        <v>196</v>
      </c>
      <c r="M33" s="540">
        <v>2400000000</v>
      </c>
      <c r="N33" s="540">
        <v>2400000000</v>
      </c>
      <c r="O33" s="541"/>
      <c r="P33" s="542"/>
      <c r="Q33" s="543"/>
    </row>
    <row r="34" spans="2:17" ht="15" customHeight="1">
      <c r="B34" s="366">
        <f t="shared" si="0"/>
        <v>24</v>
      </c>
      <c r="C34" s="289" t="s">
        <v>416</v>
      </c>
      <c r="D34" s="446" t="s">
        <v>270</v>
      </c>
      <c r="E34" s="536" t="s">
        <v>230</v>
      </c>
      <c r="F34" s="520" t="s">
        <v>721</v>
      </c>
      <c r="G34" s="537">
        <v>2</v>
      </c>
      <c r="H34" s="538">
        <v>2</v>
      </c>
      <c r="I34" s="538" t="s">
        <v>221</v>
      </c>
      <c r="J34" s="539">
        <v>45275</v>
      </c>
      <c r="K34" s="538" t="s">
        <v>442</v>
      </c>
      <c r="L34" s="497" t="s">
        <v>196</v>
      </c>
      <c r="M34" s="540">
        <v>260400000</v>
      </c>
      <c r="N34" s="540">
        <v>260400000</v>
      </c>
      <c r="O34" s="541"/>
      <c r="P34" s="542"/>
      <c r="Q34" s="543"/>
    </row>
    <row r="35" spans="2:17" ht="15" customHeight="1">
      <c r="B35" s="366">
        <f t="shared" si="0"/>
        <v>25</v>
      </c>
      <c r="C35" s="289" t="s">
        <v>416</v>
      </c>
      <c r="D35" s="446" t="s">
        <v>270</v>
      </c>
      <c r="E35" s="536" t="s">
        <v>230</v>
      </c>
      <c r="F35" s="520" t="s">
        <v>721</v>
      </c>
      <c r="G35" s="537">
        <v>3</v>
      </c>
      <c r="H35" s="538">
        <v>1</v>
      </c>
      <c r="I35" s="538" t="s">
        <v>221</v>
      </c>
      <c r="J35" s="539">
        <v>44131</v>
      </c>
      <c r="K35" s="538" t="s">
        <v>442</v>
      </c>
      <c r="L35" s="497" t="s">
        <v>196</v>
      </c>
      <c r="M35" s="540">
        <v>600000000</v>
      </c>
      <c r="N35" s="540">
        <v>600000000</v>
      </c>
      <c r="O35" s="541"/>
      <c r="P35" s="542"/>
      <c r="Q35" s="543" t="s">
        <v>2340</v>
      </c>
    </row>
    <row r="36" spans="2:17" ht="15" customHeight="1">
      <c r="B36" s="366">
        <f t="shared" si="0"/>
        <v>26</v>
      </c>
      <c r="C36" s="289" t="s">
        <v>416</v>
      </c>
      <c r="D36" s="446" t="s">
        <v>270</v>
      </c>
      <c r="E36" s="536" t="s">
        <v>230</v>
      </c>
      <c r="F36" s="520" t="s">
        <v>721</v>
      </c>
      <c r="G36" s="537">
        <v>3</v>
      </c>
      <c r="H36" s="538">
        <v>2</v>
      </c>
      <c r="I36" s="538" t="s">
        <v>221</v>
      </c>
      <c r="J36" s="539">
        <v>44245</v>
      </c>
      <c r="K36" s="538" t="s">
        <v>442</v>
      </c>
      <c r="L36" s="497" t="s">
        <v>196</v>
      </c>
      <c r="M36" s="540">
        <v>1200000000</v>
      </c>
      <c r="N36" s="540">
        <v>1200000000</v>
      </c>
      <c r="O36" s="541"/>
      <c r="P36" s="542"/>
      <c r="Q36" s="543" t="s">
        <v>2340</v>
      </c>
    </row>
    <row r="37" spans="2:17" ht="15" customHeight="1">
      <c r="B37" s="366">
        <f t="shared" si="0"/>
        <v>27</v>
      </c>
      <c r="C37" s="289" t="s">
        <v>416</v>
      </c>
      <c r="D37" s="446" t="s">
        <v>270</v>
      </c>
      <c r="E37" s="536" t="s">
        <v>230</v>
      </c>
      <c r="F37" s="520" t="s">
        <v>721</v>
      </c>
      <c r="G37" s="537">
        <v>3</v>
      </c>
      <c r="H37" s="538">
        <v>3</v>
      </c>
      <c r="I37" s="538" t="s">
        <v>221</v>
      </c>
      <c r="J37" s="539">
        <v>44531</v>
      </c>
      <c r="K37" s="538" t="s">
        <v>442</v>
      </c>
      <c r="L37" s="497" t="s">
        <v>196</v>
      </c>
      <c r="M37" s="540">
        <v>360000000</v>
      </c>
      <c r="N37" s="540">
        <v>360000000</v>
      </c>
      <c r="O37" s="541"/>
      <c r="P37" s="542"/>
      <c r="Q37" s="543"/>
    </row>
    <row r="38" spans="2:17" ht="15" customHeight="1">
      <c r="B38" s="366">
        <f t="shared" si="0"/>
        <v>28</v>
      </c>
      <c r="C38" s="289" t="s">
        <v>416</v>
      </c>
      <c r="D38" s="446" t="s">
        <v>270</v>
      </c>
      <c r="E38" s="536" t="s">
        <v>230</v>
      </c>
      <c r="F38" s="520" t="s">
        <v>721</v>
      </c>
      <c r="G38" s="537">
        <v>3</v>
      </c>
      <c r="H38" s="538">
        <v>4</v>
      </c>
      <c r="I38" s="538" t="s">
        <v>221</v>
      </c>
      <c r="J38" s="539">
        <v>45275</v>
      </c>
      <c r="K38" s="538" t="s">
        <v>442</v>
      </c>
      <c r="L38" s="497" t="s">
        <v>196</v>
      </c>
      <c r="M38" s="540">
        <v>480000000</v>
      </c>
      <c r="N38" s="540">
        <v>480000000</v>
      </c>
      <c r="O38" s="541"/>
      <c r="P38" s="542"/>
      <c r="Q38" s="543"/>
    </row>
    <row r="39" spans="2:17" ht="15" customHeight="1">
      <c r="B39" s="366">
        <f t="shared" si="0"/>
        <v>29</v>
      </c>
      <c r="C39" s="289" t="s">
        <v>416</v>
      </c>
      <c r="D39" s="446" t="s">
        <v>270</v>
      </c>
      <c r="E39" s="536" t="s">
        <v>230</v>
      </c>
      <c r="F39" s="520" t="s">
        <v>721</v>
      </c>
      <c r="G39" s="537">
        <v>4</v>
      </c>
      <c r="H39" s="538">
        <v>1</v>
      </c>
      <c r="I39" s="538" t="s">
        <v>221</v>
      </c>
      <c r="J39" s="539">
        <v>44386</v>
      </c>
      <c r="K39" s="538" t="s">
        <v>442</v>
      </c>
      <c r="L39" s="497" t="s">
        <v>196</v>
      </c>
      <c r="M39" s="540">
        <v>600000000</v>
      </c>
      <c r="N39" s="540">
        <v>600000000</v>
      </c>
      <c r="O39" s="541"/>
      <c r="P39" s="542"/>
      <c r="Q39" s="543"/>
    </row>
    <row r="40" spans="2:17" ht="15" customHeight="1">
      <c r="B40" s="366">
        <f t="shared" si="0"/>
        <v>30</v>
      </c>
      <c r="C40" s="289" t="s">
        <v>416</v>
      </c>
      <c r="D40" s="446" t="s">
        <v>270</v>
      </c>
      <c r="E40" s="536" t="s">
        <v>230</v>
      </c>
      <c r="F40" s="520" t="s">
        <v>721</v>
      </c>
      <c r="G40" s="537">
        <v>4</v>
      </c>
      <c r="H40" s="538">
        <v>2</v>
      </c>
      <c r="I40" s="538" t="s">
        <v>221</v>
      </c>
      <c r="J40" s="539">
        <v>45002</v>
      </c>
      <c r="K40" s="538" t="s">
        <v>442</v>
      </c>
      <c r="L40" s="497" t="s">
        <v>196</v>
      </c>
      <c r="M40" s="540">
        <v>240000000</v>
      </c>
      <c r="N40" s="540">
        <v>240000000</v>
      </c>
      <c r="O40" s="541"/>
      <c r="P40" s="542"/>
      <c r="Q40" s="543"/>
    </row>
    <row r="41" spans="2:17" ht="15" customHeight="1">
      <c r="B41" s="366">
        <f t="shared" si="0"/>
        <v>31</v>
      </c>
      <c r="C41" s="289" t="s">
        <v>416</v>
      </c>
      <c r="D41" s="446" t="s">
        <v>270</v>
      </c>
      <c r="E41" s="536" t="s">
        <v>231</v>
      </c>
      <c r="F41" s="520" t="s">
        <v>722</v>
      </c>
      <c r="G41" s="537">
        <v>1</v>
      </c>
      <c r="H41" s="538">
        <v>1</v>
      </c>
      <c r="I41" s="538" t="s">
        <v>221</v>
      </c>
      <c r="J41" s="539">
        <v>45250</v>
      </c>
      <c r="K41" s="538" t="s">
        <v>442</v>
      </c>
      <c r="L41" s="497" t="s">
        <v>196</v>
      </c>
      <c r="M41" s="540">
        <v>4401600000</v>
      </c>
      <c r="N41" s="540">
        <v>4401600000</v>
      </c>
      <c r="O41" s="541" t="s">
        <v>249</v>
      </c>
      <c r="P41" s="542"/>
      <c r="Q41" s="543"/>
    </row>
    <row r="42" spans="2:17" ht="15" customHeight="1">
      <c r="B42" s="366">
        <f t="shared" si="0"/>
        <v>32</v>
      </c>
      <c r="C42" s="289" t="s">
        <v>416</v>
      </c>
      <c r="D42" s="446" t="s">
        <v>270</v>
      </c>
      <c r="E42" s="536" t="s">
        <v>231</v>
      </c>
      <c r="F42" s="520" t="s">
        <v>722</v>
      </c>
      <c r="G42" s="537">
        <v>2</v>
      </c>
      <c r="H42" s="538">
        <v>1</v>
      </c>
      <c r="I42" s="538" t="s">
        <v>221</v>
      </c>
      <c r="J42" s="539">
        <v>45250</v>
      </c>
      <c r="K42" s="538" t="s">
        <v>442</v>
      </c>
      <c r="L42" s="497" t="s">
        <v>196</v>
      </c>
      <c r="M42" s="540">
        <v>4401600000</v>
      </c>
      <c r="N42" s="540">
        <v>4401600000</v>
      </c>
      <c r="O42" s="541" t="s">
        <v>345</v>
      </c>
      <c r="P42" s="542"/>
      <c r="Q42" s="543"/>
    </row>
    <row r="43" spans="2:17" ht="15" customHeight="1">
      <c r="B43" s="366">
        <f t="shared" si="0"/>
        <v>33</v>
      </c>
      <c r="C43" s="289" t="s">
        <v>416</v>
      </c>
      <c r="D43" s="446" t="s">
        <v>270</v>
      </c>
      <c r="E43" s="536" t="s">
        <v>231</v>
      </c>
      <c r="F43" s="520" t="s">
        <v>722</v>
      </c>
      <c r="G43" s="537">
        <v>3</v>
      </c>
      <c r="H43" s="538">
        <v>1</v>
      </c>
      <c r="I43" s="538" t="s">
        <v>221</v>
      </c>
      <c r="J43" s="539">
        <v>45250</v>
      </c>
      <c r="K43" s="538" t="s">
        <v>442</v>
      </c>
      <c r="L43" s="497" t="s">
        <v>196</v>
      </c>
      <c r="M43" s="540">
        <v>4401600000</v>
      </c>
      <c r="N43" s="540">
        <v>4401600000</v>
      </c>
      <c r="O43" s="541" t="s">
        <v>250</v>
      </c>
      <c r="P43" s="542"/>
      <c r="Q43" s="543"/>
    </row>
    <row r="44" spans="2:17" ht="15" customHeight="1">
      <c r="B44" s="366">
        <f t="shared" si="0"/>
        <v>34</v>
      </c>
      <c r="C44" s="289" t="s">
        <v>416</v>
      </c>
      <c r="D44" s="446" t="s">
        <v>270</v>
      </c>
      <c r="E44" s="536" t="s">
        <v>232</v>
      </c>
      <c r="F44" s="520" t="s">
        <v>723</v>
      </c>
      <c r="G44" s="537">
        <v>1</v>
      </c>
      <c r="H44" s="538">
        <v>1</v>
      </c>
      <c r="I44" s="538" t="s">
        <v>221</v>
      </c>
      <c r="J44" s="539">
        <v>44378</v>
      </c>
      <c r="K44" s="538" t="s">
        <v>442</v>
      </c>
      <c r="L44" s="497" t="s">
        <v>196</v>
      </c>
      <c r="M44" s="540">
        <v>1680000000</v>
      </c>
      <c r="N44" s="540">
        <v>1680000000</v>
      </c>
      <c r="O44" s="541"/>
      <c r="P44" s="542"/>
      <c r="Q44" s="543"/>
    </row>
    <row r="45" spans="2:17" ht="15" customHeight="1">
      <c r="B45" s="366">
        <f t="shared" si="0"/>
        <v>35</v>
      </c>
      <c r="C45" s="289" t="s">
        <v>416</v>
      </c>
      <c r="D45" s="446" t="s">
        <v>270</v>
      </c>
      <c r="E45" s="536" t="s">
        <v>232</v>
      </c>
      <c r="F45" s="520" t="s">
        <v>723</v>
      </c>
      <c r="G45" s="537">
        <v>1</v>
      </c>
      <c r="H45" s="538">
        <v>2</v>
      </c>
      <c r="I45" s="538" t="s">
        <v>221</v>
      </c>
      <c r="J45" s="539">
        <v>44496</v>
      </c>
      <c r="K45" s="538" t="s">
        <v>442</v>
      </c>
      <c r="L45" s="497" t="s">
        <v>196</v>
      </c>
      <c r="M45" s="540">
        <v>2700000000</v>
      </c>
      <c r="N45" s="540">
        <v>2700000000</v>
      </c>
      <c r="O45" s="541" t="s">
        <v>251</v>
      </c>
      <c r="P45" s="542" t="s">
        <v>2280</v>
      </c>
      <c r="Q45" s="543"/>
    </row>
    <row r="46" spans="2:17" ht="15" customHeight="1">
      <c r="B46" s="366">
        <f t="shared" si="0"/>
        <v>36</v>
      </c>
      <c r="C46" s="289" t="s">
        <v>416</v>
      </c>
      <c r="D46" s="446" t="s">
        <v>270</v>
      </c>
      <c r="E46" s="536" t="s">
        <v>232</v>
      </c>
      <c r="F46" s="520" t="s">
        <v>723</v>
      </c>
      <c r="G46" s="537">
        <v>2</v>
      </c>
      <c r="H46" s="538">
        <v>1</v>
      </c>
      <c r="I46" s="538" t="s">
        <v>221</v>
      </c>
      <c r="J46" s="539">
        <v>44804</v>
      </c>
      <c r="K46" s="538" t="s">
        <v>442</v>
      </c>
      <c r="L46" s="497" t="s">
        <v>196</v>
      </c>
      <c r="M46" s="540">
        <v>2700000000</v>
      </c>
      <c r="N46" s="540">
        <v>2700000000</v>
      </c>
      <c r="O46" s="541" t="s">
        <v>253</v>
      </c>
      <c r="P46" s="542" t="s">
        <v>2280</v>
      </c>
      <c r="Q46" s="543"/>
    </row>
    <row r="47" spans="2:17" ht="15" customHeight="1">
      <c r="B47" s="366">
        <f t="shared" ref="B47:B66" si="1">ROW()-10</f>
        <v>37</v>
      </c>
      <c r="C47" s="289" t="s">
        <v>416</v>
      </c>
      <c r="D47" s="446" t="s">
        <v>270</v>
      </c>
      <c r="E47" s="536" t="s">
        <v>233</v>
      </c>
      <c r="F47" s="520" t="s">
        <v>724</v>
      </c>
      <c r="G47" s="537">
        <v>1</v>
      </c>
      <c r="H47" s="538">
        <v>1</v>
      </c>
      <c r="I47" s="538" t="s">
        <v>221</v>
      </c>
      <c r="J47" s="539">
        <v>44979</v>
      </c>
      <c r="K47" s="538" t="s">
        <v>442</v>
      </c>
      <c r="L47" s="497" t="s">
        <v>196</v>
      </c>
      <c r="M47" s="540">
        <v>6000000000</v>
      </c>
      <c r="N47" s="540">
        <v>6000000000</v>
      </c>
      <c r="O47" s="541"/>
      <c r="P47" s="542" t="s">
        <v>2281</v>
      </c>
      <c r="Q47" s="543"/>
    </row>
    <row r="48" spans="2:17" ht="15" customHeight="1">
      <c r="B48" s="366">
        <f t="shared" si="1"/>
        <v>38</v>
      </c>
      <c r="C48" s="289" t="s">
        <v>416</v>
      </c>
      <c r="D48" s="446" t="s">
        <v>270</v>
      </c>
      <c r="E48" s="536" t="s">
        <v>234</v>
      </c>
      <c r="F48" s="520" t="s">
        <v>725</v>
      </c>
      <c r="G48" s="537">
        <v>1</v>
      </c>
      <c r="H48" s="538">
        <v>1</v>
      </c>
      <c r="I48" s="538" t="s">
        <v>221</v>
      </c>
      <c r="J48" s="539">
        <v>44791</v>
      </c>
      <c r="K48" s="538" t="s">
        <v>442</v>
      </c>
      <c r="L48" s="497" t="s">
        <v>196</v>
      </c>
      <c r="M48" s="540">
        <v>4382000000</v>
      </c>
      <c r="N48" s="540">
        <v>4382000000</v>
      </c>
      <c r="O48" s="541"/>
      <c r="P48" s="542" t="s">
        <v>2282</v>
      </c>
      <c r="Q48" s="543"/>
    </row>
    <row r="49" spans="2:17" ht="15" customHeight="1">
      <c r="B49" s="366">
        <f t="shared" si="1"/>
        <v>39</v>
      </c>
      <c r="C49" s="289" t="s">
        <v>416</v>
      </c>
      <c r="D49" s="446" t="s">
        <v>270</v>
      </c>
      <c r="E49" s="536" t="s">
        <v>235</v>
      </c>
      <c r="F49" s="520" t="s">
        <v>726</v>
      </c>
      <c r="G49" s="537">
        <v>1</v>
      </c>
      <c r="H49" s="538">
        <v>1</v>
      </c>
      <c r="I49" s="538" t="s">
        <v>221</v>
      </c>
      <c r="J49" s="539">
        <v>44666</v>
      </c>
      <c r="K49" s="538" t="s">
        <v>442</v>
      </c>
      <c r="L49" s="497" t="s">
        <v>196</v>
      </c>
      <c r="M49" s="540">
        <v>4920000000</v>
      </c>
      <c r="N49" s="540">
        <v>4920000000</v>
      </c>
      <c r="O49" s="541"/>
      <c r="P49" s="542"/>
      <c r="Q49" s="543"/>
    </row>
    <row r="50" spans="2:17" ht="15" customHeight="1">
      <c r="B50" s="366">
        <f t="shared" si="1"/>
        <v>40</v>
      </c>
      <c r="C50" s="289" t="s">
        <v>416</v>
      </c>
      <c r="D50" s="446" t="s">
        <v>270</v>
      </c>
      <c r="E50" s="536" t="s">
        <v>235</v>
      </c>
      <c r="F50" s="520" t="s">
        <v>726</v>
      </c>
      <c r="G50" s="537">
        <v>2</v>
      </c>
      <c r="H50" s="538">
        <v>1</v>
      </c>
      <c r="I50" s="538" t="s">
        <v>221</v>
      </c>
      <c r="J50" s="539">
        <v>44712</v>
      </c>
      <c r="K50" s="538" t="s">
        <v>442</v>
      </c>
      <c r="L50" s="497" t="s">
        <v>196</v>
      </c>
      <c r="M50" s="540">
        <v>660000000</v>
      </c>
      <c r="N50" s="540">
        <v>660000000</v>
      </c>
      <c r="O50" s="541"/>
      <c r="P50" s="542"/>
      <c r="Q50" s="543" t="s">
        <v>2341</v>
      </c>
    </row>
    <row r="51" spans="2:17" ht="15" customHeight="1">
      <c r="B51" s="366">
        <f t="shared" si="1"/>
        <v>41</v>
      </c>
      <c r="C51" s="289" t="s">
        <v>416</v>
      </c>
      <c r="D51" s="446" t="s">
        <v>270</v>
      </c>
      <c r="E51" s="536" t="s">
        <v>235</v>
      </c>
      <c r="F51" s="520" t="s">
        <v>726</v>
      </c>
      <c r="G51" s="537">
        <v>2</v>
      </c>
      <c r="H51" s="538">
        <v>2</v>
      </c>
      <c r="I51" s="538" t="s">
        <v>221</v>
      </c>
      <c r="J51" s="539">
        <v>44979</v>
      </c>
      <c r="K51" s="538" t="s">
        <v>442</v>
      </c>
      <c r="L51" s="497" t="s">
        <v>196</v>
      </c>
      <c r="M51" s="540">
        <v>600000000</v>
      </c>
      <c r="N51" s="540">
        <v>600000000</v>
      </c>
      <c r="O51" s="541"/>
      <c r="P51" s="542"/>
      <c r="Q51" s="543"/>
    </row>
    <row r="52" spans="2:17" ht="15" customHeight="1">
      <c r="B52" s="366">
        <f t="shared" si="1"/>
        <v>42</v>
      </c>
      <c r="C52" s="289" t="s">
        <v>416</v>
      </c>
      <c r="D52" s="446" t="s">
        <v>270</v>
      </c>
      <c r="E52" s="536" t="s">
        <v>235</v>
      </c>
      <c r="F52" s="520" t="s">
        <v>726</v>
      </c>
      <c r="G52" s="537">
        <v>2</v>
      </c>
      <c r="H52" s="538">
        <v>3</v>
      </c>
      <c r="I52" s="538" t="s">
        <v>221</v>
      </c>
      <c r="J52" s="539">
        <v>45068</v>
      </c>
      <c r="K52" s="538" t="s">
        <v>442</v>
      </c>
      <c r="L52" s="497" t="s">
        <v>196</v>
      </c>
      <c r="M52" s="540">
        <v>120000000</v>
      </c>
      <c r="N52" s="540">
        <v>120000000</v>
      </c>
      <c r="O52" s="541"/>
      <c r="P52" s="542"/>
      <c r="Q52" s="543"/>
    </row>
    <row r="53" spans="2:17" ht="15" customHeight="1">
      <c r="B53" s="366">
        <f t="shared" si="1"/>
        <v>43</v>
      </c>
      <c r="C53" s="289" t="s">
        <v>416</v>
      </c>
      <c r="D53" s="446" t="s">
        <v>270</v>
      </c>
      <c r="E53" s="536" t="s">
        <v>211</v>
      </c>
      <c r="F53" s="520" t="s">
        <v>728</v>
      </c>
      <c r="G53" s="537">
        <v>1</v>
      </c>
      <c r="H53" s="538">
        <v>1</v>
      </c>
      <c r="I53" s="538" t="s">
        <v>221</v>
      </c>
      <c r="J53" s="539">
        <v>44313</v>
      </c>
      <c r="K53" s="538" t="s">
        <v>442</v>
      </c>
      <c r="L53" s="497" t="s">
        <v>196</v>
      </c>
      <c r="M53" s="540">
        <v>4200000000</v>
      </c>
      <c r="N53" s="540">
        <v>4200000000</v>
      </c>
      <c r="O53" s="541"/>
      <c r="P53" s="542" t="s">
        <v>2283</v>
      </c>
      <c r="Q53" s="543"/>
    </row>
    <row r="54" spans="2:17" ht="15" customHeight="1">
      <c r="B54" s="366">
        <f t="shared" si="1"/>
        <v>44</v>
      </c>
      <c r="C54" s="289" t="s">
        <v>416</v>
      </c>
      <c r="D54" s="446" t="s">
        <v>270</v>
      </c>
      <c r="E54" s="536" t="s">
        <v>211</v>
      </c>
      <c r="F54" s="520" t="s">
        <v>728</v>
      </c>
      <c r="G54" s="537">
        <v>1</v>
      </c>
      <c r="H54" s="538">
        <v>2</v>
      </c>
      <c r="I54" s="538" t="s">
        <v>221</v>
      </c>
      <c r="J54" s="539">
        <v>45138</v>
      </c>
      <c r="K54" s="538" t="s">
        <v>442</v>
      </c>
      <c r="L54" s="497" t="s">
        <v>196</v>
      </c>
      <c r="M54" s="540">
        <v>264000000</v>
      </c>
      <c r="N54" s="540">
        <v>264000000</v>
      </c>
      <c r="O54" s="541"/>
      <c r="P54" s="542" t="s">
        <v>2284</v>
      </c>
      <c r="Q54" s="543"/>
    </row>
    <row r="55" spans="2:17" ht="15" customHeight="1">
      <c r="B55" s="366">
        <f t="shared" si="1"/>
        <v>45</v>
      </c>
      <c r="C55" s="289" t="s">
        <v>416</v>
      </c>
      <c r="D55" s="446" t="s">
        <v>270</v>
      </c>
      <c r="E55" s="536" t="s">
        <v>211</v>
      </c>
      <c r="F55" s="520" t="s">
        <v>728</v>
      </c>
      <c r="G55" s="537">
        <v>2</v>
      </c>
      <c r="H55" s="538">
        <v>1</v>
      </c>
      <c r="I55" s="538" t="s">
        <v>221</v>
      </c>
      <c r="J55" s="539">
        <v>44313</v>
      </c>
      <c r="K55" s="538" t="s">
        <v>442</v>
      </c>
      <c r="L55" s="497" t="s">
        <v>196</v>
      </c>
      <c r="M55" s="540">
        <v>1400000000</v>
      </c>
      <c r="N55" s="540">
        <v>1400000000</v>
      </c>
      <c r="O55" s="541"/>
      <c r="P55" s="542"/>
      <c r="Q55" s="543"/>
    </row>
    <row r="56" spans="2:17" ht="15" customHeight="1">
      <c r="B56" s="366">
        <f t="shared" si="1"/>
        <v>46</v>
      </c>
      <c r="C56" s="289" t="s">
        <v>416</v>
      </c>
      <c r="D56" s="446" t="s">
        <v>270</v>
      </c>
      <c r="E56" s="536" t="s">
        <v>211</v>
      </c>
      <c r="F56" s="520" t="s">
        <v>728</v>
      </c>
      <c r="G56" s="537">
        <v>2</v>
      </c>
      <c r="H56" s="538">
        <v>2</v>
      </c>
      <c r="I56" s="538" t="s">
        <v>221</v>
      </c>
      <c r="J56" s="539">
        <v>45138</v>
      </c>
      <c r="K56" s="538" t="s">
        <v>442</v>
      </c>
      <c r="L56" s="497" t="s">
        <v>196</v>
      </c>
      <c r="M56" s="540">
        <v>72000000</v>
      </c>
      <c r="N56" s="540">
        <v>72000000</v>
      </c>
      <c r="O56" s="541"/>
      <c r="P56" s="542"/>
      <c r="Q56" s="543"/>
    </row>
    <row r="57" spans="2:17" ht="15" customHeight="1">
      <c r="B57" s="366">
        <f t="shared" si="1"/>
        <v>47</v>
      </c>
      <c r="C57" s="289" t="s">
        <v>416</v>
      </c>
      <c r="D57" s="446" t="s">
        <v>270</v>
      </c>
      <c r="E57" s="536" t="s">
        <v>236</v>
      </c>
      <c r="F57" s="520" t="s">
        <v>729</v>
      </c>
      <c r="G57" s="537">
        <v>1</v>
      </c>
      <c r="H57" s="538">
        <v>1</v>
      </c>
      <c r="I57" s="538" t="s">
        <v>267</v>
      </c>
      <c r="J57" s="539">
        <v>43364</v>
      </c>
      <c r="K57" s="538" t="s">
        <v>450</v>
      </c>
      <c r="L57" s="497" t="s">
        <v>196</v>
      </c>
      <c r="M57" s="540">
        <v>564000000</v>
      </c>
      <c r="N57" s="540">
        <v>564000000</v>
      </c>
      <c r="O57" s="541"/>
      <c r="P57" s="542"/>
      <c r="Q57" s="543"/>
    </row>
    <row r="58" spans="2:17" ht="15" customHeight="1">
      <c r="B58" s="366">
        <f t="shared" si="1"/>
        <v>48</v>
      </c>
      <c r="C58" s="289" t="s">
        <v>416</v>
      </c>
      <c r="D58" s="446" t="s">
        <v>270</v>
      </c>
      <c r="E58" s="536" t="s">
        <v>236</v>
      </c>
      <c r="F58" s="520" t="s">
        <v>729</v>
      </c>
      <c r="G58" s="537">
        <v>1</v>
      </c>
      <c r="H58" s="538">
        <v>2</v>
      </c>
      <c r="I58" s="538" t="s">
        <v>267</v>
      </c>
      <c r="J58" s="539">
        <v>43364</v>
      </c>
      <c r="K58" s="538" t="s">
        <v>450</v>
      </c>
      <c r="L58" s="497" t="s">
        <v>196</v>
      </c>
      <c r="M58" s="540">
        <v>396000000</v>
      </c>
      <c r="N58" s="540">
        <v>396000000</v>
      </c>
      <c r="O58" s="541"/>
      <c r="P58" s="542"/>
      <c r="Q58" s="543"/>
    </row>
    <row r="59" spans="2:17" ht="15" customHeight="1">
      <c r="B59" s="366">
        <f t="shared" si="1"/>
        <v>49</v>
      </c>
      <c r="C59" s="289" t="s">
        <v>416</v>
      </c>
      <c r="D59" s="446" t="s">
        <v>270</v>
      </c>
      <c r="E59" s="536" t="s">
        <v>236</v>
      </c>
      <c r="F59" s="520" t="s">
        <v>729</v>
      </c>
      <c r="G59" s="537">
        <v>1</v>
      </c>
      <c r="H59" s="538">
        <v>3</v>
      </c>
      <c r="I59" s="538" t="s">
        <v>221</v>
      </c>
      <c r="J59" s="539">
        <v>43524</v>
      </c>
      <c r="K59" s="538" t="s">
        <v>442</v>
      </c>
      <c r="L59" s="497" t="s">
        <v>196</v>
      </c>
      <c r="M59" s="540">
        <v>5500000000</v>
      </c>
      <c r="N59" s="540">
        <v>5500000000</v>
      </c>
      <c r="O59" s="541"/>
      <c r="P59" s="542" t="s">
        <v>2285</v>
      </c>
      <c r="Q59" s="543"/>
    </row>
    <row r="60" spans="2:17" ht="15" customHeight="1">
      <c r="B60" s="366">
        <f t="shared" si="1"/>
        <v>50</v>
      </c>
      <c r="C60" s="289" t="s">
        <v>416</v>
      </c>
      <c r="D60" s="446" t="s">
        <v>270</v>
      </c>
      <c r="E60" s="536" t="s">
        <v>236</v>
      </c>
      <c r="F60" s="520" t="s">
        <v>729</v>
      </c>
      <c r="G60" s="537">
        <v>2</v>
      </c>
      <c r="H60" s="538">
        <v>1</v>
      </c>
      <c r="I60" s="538" t="s">
        <v>221</v>
      </c>
      <c r="J60" s="539">
        <v>43524</v>
      </c>
      <c r="K60" s="538" t="s">
        <v>442</v>
      </c>
      <c r="L60" s="497" t="s">
        <v>196</v>
      </c>
      <c r="M60" s="540">
        <v>3000000000</v>
      </c>
      <c r="N60" s="540">
        <v>3000000000</v>
      </c>
      <c r="O60" s="541" t="s">
        <v>1482</v>
      </c>
      <c r="P60" s="542"/>
      <c r="Q60" s="543"/>
    </row>
    <row r="61" spans="2:17" ht="15" customHeight="1">
      <c r="B61" s="366">
        <f t="shared" si="1"/>
        <v>51</v>
      </c>
      <c r="C61" s="289" t="s">
        <v>416</v>
      </c>
      <c r="D61" s="446" t="s">
        <v>270</v>
      </c>
      <c r="E61" s="536" t="s">
        <v>236</v>
      </c>
      <c r="F61" s="520" t="s">
        <v>729</v>
      </c>
      <c r="G61" s="537">
        <v>2</v>
      </c>
      <c r="H61" s="538">
        <v>2</v>
      </c>
      <c r="I61" s="538" t="s">
        <v>221</v>
      </c>
      <c r="J61" s="539">
        <v>43769</v>
      </c>
      <c r="K61" s="538" t="s">
        <v>442</v>
      </c>
      <c r="L61" s="497" t="s">
        <v>196</v>
      </c>
      <c r="M61" s="540">
        <v>100000000</v>
      </c>
      <c r="N61" s="540">
        <v>100000000</v>
      </c>
      <c r="O61" s="541" t="s">
        <v>1482</v>
      </c>
      <c r="P61" s="542"/>
      <c r="Q61" s="543"/>
    </row>
    <row r="62" spans="2:17" ht="15" customHeight="1">
      <c r="B62" s="366">
        <f t="shared" si="1"/>
        <v>52</v>
      </c>
      <c r="C62" s="289" t="s">
        <v>416</v>
      </c>
      <c r="D62" s="446" t="s">
        <v>270</v>
      </c>
      <c r="E62" s="536" t="s">
        <v>236</v>
      </c>
      <c r="F62" s="520" t="s">
        <v>729</v>
      </c>
      <c r="G62" s="537">
        <v>3</v>
      </c>
      <c r="H62" s="538">
        <v>1</v>
      </c>
      <c r="I62" s="538" t="s">
        <v>221</v>
      </c>
      <c r="J62" s="539">
        <v>43524</v>
      </c>
      <c r="K62" s="538" t="s">
        <v>442</v>
      </c>
      <c r="L62" s="497" t="s">
        <v>196</v>
      </c>
      <c r="M62" s="540">
        <v>3000000000</v>
      </c>
      <c r="N62" s="540">
        <v>3000000000</v>
      </c>
      <c r="O62" s="541" t="s">
        <v>370</v>
      </c>
      <c r="P62" s="542"/>
      <c r="Q62" s="543"/>
    </row>
    <row r="63" spans="2:17" ht="15" customHeight="1">
      <c r="B63" s="366">
        <f t="shared" si="1"/>
        <v>53</v>
      </c>
      <c r="C63" s="289" t="s">
        <v>416</v>
      </c>
      <c r="D63" s="446" t="s">
        <v>270</v>
      </c>
      <c r="E63" s="536" t="s">
        <v>236</v>
      </c>
      <c r="F63" s="520" t="s">
        <v>729</v>
      </c>
      <c r="G63" s="537">
        <v>3</v>
      </c>
      <c r="H63" s="538">
        <v>2</v>
      </c>
      <c r="I63" s="538" t="s">
        <v>221</v>
      </c>
      <c r="J63" s="539">
        <v>43769</v>
      </c>
      <c r="K63" s="538" t="s">
        <v>442</v>
      </c>
      <c r="L63" s="497" t="s">
        <v>196</v>
      </c>
      <c r="M63" s="540">
        <v>100000000</v>
      </c>
      <c r="N63" s="540">
        <v>100000000</v>
      </c>
      <c r="O63" s="541" t="s">
        <v>370</v>
      </c>
      <c r="P63" s="542"/>
      <c r="Q63" s="543"/>
    </row>
    <row r="64" spans="2:17" ht="15" customHeight="1">
      <c r="B64" s="366">
        <f t="shared" si="1"/>
        <v>54</v>
      </c>
      <c r="C64" s="289" t="s">
        <v>416</v>
      </c>
      <c r="D64" s="446" t="s">
        <v>270</v>
      </c>
      <c r="E64" s="536" t="s">
        <v>236</v>
      </c>
      <c r="F64" s="520" t="s">
        <v>729</v>
      </c>
      <c r="G64" s="537">
        <v>4</v>
      </c>
      <c r="H64" s="538">
        <v>1</v>
      </c>
      <c r="I64" s="538" t="s">
        <v>334</v>
      </c>
      <c r="J64" s="539">
        <v>37308</v>
      </c>
      <c r="K64" s="538" t="s">
        <v>450</v>
      </c>
      <c r="L64" s="497" t="s">
        <v>196</v>
      </c>
      <c r="M64" s="540">
        <v>66000000</v>
      </c>
      <c r="N64" s="540">
        <v>66000000</v>
      </c>
      <c r="O64" s="541"/>
      <c r="P64" s="542"/>
      <c r="Q64" s="543"/>
    </row>
    <row r="65" spans="2:17" ht="15" customHeight="1">
      <c r="B65" s="366">
        <f t="shared" si="1"/>
        <v>55</v>
      </c>
      <c r="C65" s="289" t="s">
        <v>416</v>
      </c>
      <c r="D65" s="446" t="s">
        <v>270</v>
      </c>
      <c r="E65" s="536" t="s">
        <v>236</v>
      </c>
      <c r="F65" s="520" t="s">
        <v>729</v>
      </c>
      <c r="G65" s="537">
        <v>4</v>
      </c>
      <c r="H65" s="538">
        <v>2</v>
      </c>
      <c r="I65" s="538" t="s">
        <v>221</v>
      </c>
      <c r="J65" s="539">
        <v>43524</v>
      </c>
      <c r="K65" s="538" t="s">
        <v>442</v>
      </c>
      <c r="L65" s="497" t="s">
        <v>196</v>
      </c>
      <c r="M65" s="540">
        <v>3000000000</v>
      </c>
      <c r="N65" s="540">
        <v>3000000000</v>
      </c>
      <c r="O65" s="541" t="s">
        <v>249</v>
      </c>
      <c r="P65" s="542"/>
      <c r="Q65" s="543"/>
    </row>
    <row r="66" spans="2:17" ht="15" customHeight="1">
      <c r="B66" s="366">
        <f t="shared" si="1"/>
        <v>56</v>
      </c>
      <c r="C66" s="289" t="s">
        <v>416</v>
      </c>
      <c r="D66" s="446" t="s">
        <v>270</v>
      </c>
      <c r="E66" s="536" t="s">
        <v>236</v>
      </c>
      <c r="F66" s="520" t="s">
        <v>729</v>
      </c>
      <c r="G66" s="537">
        <v>4</v>
      </c>
      <c r="H66" s="538">
        <v>3</v>
      </c>
      <c r="I66" s="538" t="s">
        <v>221</v>
      </c>
      <c r="J66" s="539">
        <v>43769</v>
      </c>
      <c r="K66" s="538" t="s">
        <v>442</v>
      </c>
      <c r="L66" s="497" t="s">
        <v>196</v>
      </c>
      <c r="M66" s="540">
        <v>100000000</v>
      </c>
      <c r="N66" s="540">
        <v>100000000</v>
      </c>
      <c r="O66" s="541" t="s">
        <v>249</v>
      </c>
      <c r="P66" s="542"/>
      <c r="Q66" s="543"/>
    </row>
    <row r="67" spans="2:17" ht="15" customHeight="1">
      <c r="B67" s="366">
        <f t="shared" ref="B67:B79" si="2">ROW()-10</f>
        <v>57</v>
      </c>
      <c r="C67" s="289" t="s">
        <v>416</v>
      </c>
      <c r="D67" s="446" t="s">
        <v>270</v>
      </c>
      <c r="E67" s="536" t="s">
        <v>237</v>
      </c>
      <c r="F67" s="520" t="s">
        <v>730</v>
      </c>
      <c r="G67" s="537">
        <v>1</v>
      </c>
      <c r="H67" s="538">
        <v>1</v>
      </c>
      <c r="I67" s="538" t="s">
        <v>221</v>
      </c>
      <c r="J67" s="539">
        <v>42261</v>
      </c>
      <c r="K67" s="538" t="s">
        <v>442</v>
      </c>
      <c r="L67" s="497" t="s">
        <v>196</v>
      </c>
      <c r="M67" s="540">
        <v>3000000000</v>
      </c>
      <c r="N67" s="540">
        <v>3000000000</v>
      </c>
      <c r="O67" s="541"/>
      <c r="P67" s="542" t="s">
        <v>2286</v>
      </c>
      <c r="Q67" s="543" t="s">
        <v>2342</v>
      </c>
    </row>
    <row r="68" spans="2:17" ht="15" customHeight="1">
      <c r="B68" s="366">
        <f t="shared" si="2"/>
        <v>58</v>
      </c>
      <c r="C68" s="289" t="s">
        <v>416</v>
      </c>
      <c r="D68" s="446" t="s">
        <v>270</v>
      </c>
      <c r="E68" s="536" t="s">
        <v>237</v>
      </c>
      <c r="F68" s="520" t="s">
        <v>730</v>
      </c>
      <c r="G68" s="537">
        <v>1</v>
      </c>
      <c r="H68" s="538">
        <v>2</v>
      </c>
      <c r="I68" s="538" t="s">
        <v>221</v>
      </c>
      <c r="J68" s="539">
        <v>42261</v>
      </c>
      <c r="K68" s="538" t="s">
        <v>442</v>
      </c>
      <c r="L68" s="497" t="s">
        <v>196</v>
      </c>
      <c r="M68" s="540">
        <v>648000000</v>
      </c>
      <c r="N68" s="540">
        <v>648000000</v>
      </c>
      <c r="O68" s="541"/>
      <c r="P68" s="542" t="s">
        <v>2287</v>
      </c>
      <c r="Q68" s="543" t="s">
        <v>2343</v>
      </c>
    </row>
    <row r="69" spans="2:17" ht="15" customHeight="1">
      <c r="B69" s="366">
        <f t="shared" si="2"/>
        <v>59</v>
      </c>
      <c r="C69" s="289" t="s">
        <v>416</v>
      </c>
      <c r="D69" s="446" t="s">
        <v>270</v>
      </c>
      <c r="E69" s="536" t="s">
        <v>237</v>
      </c>
      <c r="F69" s="520" t="s">
        <v>730</v>
      </c>
      <c r="G69" s="537">
        <v>1</v>
      </c>
      <c r="H69" s="538">
        <v>3</v>
      </c>
      <c r="I69" s="538" t="s">
        <v>221</v>
      </c>
      <c r="J69" s="539">
        <v>42261</v>
      </c>
      <c r="K69" s="538" t="s">
        <v>442</v>
      </c>
      <c r="L69" s="497" t="s">
        <v>196</v>
      </c>
      <c r="M69" s="540">
        <v>720000000</v>
      </c>
      <c r="N69" s="540">
        <v>720000000</v>
      </c>
      <c r="O69" s="541"/>
      <c r="P69" s="542" t="s">
        <v>2288</v>
      </c>
      <c r="Q69" s="543" t="s">
        <v>2344</v>
      </c>
    </row>
    <row r="70" spans="2:17" ht="15" customHeight="1">
      <c r="B70" s="366">
        <f t="shared" si="2"/>
        <v>60</v>
      </c>
      <c r="C70" s="289" t="s">
        <v>416</v>
      </c>
      <c r="D70" s="446" t="s">
        <v>270</v>
      </c>
      <c r="E70" s="536" t="s">
        <v>294</v>
      </c>
      <c r="F70" s="520" t="s">
        <v>731</v>
      </c>
      <c r="G70" s="537">
        <v>1</v>
      </c>
      <c r="H70" s="538">
        <v>1</v>
      </c>
      <c r="I70" s="538" t="s">
        <v>221</v>
      </c>
      <c r="J70" s="539">
        <v>42548</v>
      </c>
      <c r="K70" s="538" t="s">
        <v>442</v>
      </c>
      <c r="L70" s="497" t="s">
        <v>196</v>
      </c>
      <c r="M70" s="540">
        <v>2520000000</v>
      </c>
      <c r="N70" s="540">
        <v>2520000000</v>
      </c>
      <c r="O70" s="541"/>
      <c r="P70" s="542"/>
      <c r="Q70" s="543"/>
    </row>
    <row r="71" spans="2:17" ht="15" customHeight="1">
      <c r="B71" s="366">
        <f t="shared" si="2"/>
        <v>61</v>
      </c>
      <c r="C71" s="289" t="s">
        <v>416</v>
      </c>
      <c r="D71" s="446" t="s">
        <v>270</v>
      </c>
      <c r="E71" s="536" t="s">
        <v>294</v>
      </c>
      <c r="F71" s="520" t="s">
        <v>731</v>
      </c>
      <c r="G71" s="537">
        <v>1</v>
      </c>
      <c r="H71" s="538">
        <v>2</v>
      </c>
      <c r="I71" s="538" t="s">
        <v>221</v>
      </c>
      <c r="J71" s="539">
        <v>42648</v>
      </c>
      <c r="K71" s="538" t="s">
        <v>442</v>
      </c>
      <c r="L71" s="497" t="s">
        <v>196</v>
      </c>
      <c r="M71" s="540">
        <v>240000000</v>
      </c>
      <c r="N71" s="540">
        <v>240000000</v>
      </c>
      <c r="O71" s="541"/>
      <c r="P71" s="542"/>
      <c r="Q71" s="543"/>
    </row>
    <row r="72" spans="2:17" ht="15" customHeight="1">
      <c r="B72" s="366">
        <f t="shared" si="2"/>
        <v>62</v>
      </c>
      <c r="C72" s="289" t="s">
        <v>416</v>
      </c>
      <c r="D72" s="446" t="s">
        <v>270</v>
      </c>
      <c r="E72" s="536" t="s">
        <v>294</v>
      </c>
      <c r="F72" s="520" t="s">
        <v>731</v>
      </c>
      <c r="G72" s="537">
        <v>1</v>
      </c>
      <c r="H72" s="538">
        <v>3</v>
      </c>
      <c r="I72" s="538" t="s">
        <v>221</v>
      </c>
      <c r="J72" s="539">
        <v>42685</v>
      </c>
      <c r="K72" s="538" t="s">
        <v>442</v>
      </c>
      <c r="L72" s="497" t="s">
        <v>196</v>
      </c>
      <c r="M72" s="540">
        <v>768000000</v>
      </c>
      <c r="N72" s="540">
        <v>768000000</v>
      </c>
      <c r="O72" s="541"/>
      <c r="P72" s="542" t="s">
        <v>2289</v>
      </c>
      <c r="Q72" s="543"/>
    </row>
    <row r="73" spans="2:17" ht="15" customHeight="1">
      <c r="B73" s="366">
        <f t="shared" si="2"/>
        <v>63</v>
      </c>
      <c r="C73" s="289" t="s">
        <v>416</v>
      </c>
      <c r="D73" s="446" t="s">
        <v>270</v>
      </c>
      <c r="E73" s="536" t="s">
        <v>294</v>
      </c>
      <c r="F73" s="520" t="s">
        <v>731</v>
      </c>
      <c r="G73" s="537">
        <v>1</v>
      </c>
      <c r="H73" s="538">
        <v>4</v>
      </c>
      <c r="I73" s="538" t="s">
        <v>221</v>
      </c>
      <c r="J73" s="539">
        <v>43145</v>
      </c>
      <c r="K73" s="538" t="s">
        <v>442</v>
      </c>
      <c r="L73" s="497" t="s">
        <v>196</v>
      </c>
      <c r="M73" s="540">
        <v>81600000</v>
      </c>
      <c r="N73" s="540">
        <v>81600000</v>
      </c>
      <c r="O73" s="541"/>
      <c r="P73" s="542" t="s">
        <v>2290</v>
      </c>
      <c r="Q73" s="543"/>
    </row>
    <row r="74" spans="2:17" ht="15" customHeight="1">
      <c r="B74" s="366">
        <f t="shared" si="2"/>
        <v>64</v>
      </c>
      <c r="C74" s="289" t="s">
        <v>416</v>
      </c>
      <c r="D74" s="446" t="s">
        <v>270</v>
      </c>
      <c r="E74" s="536" t="s">
        <v>294</v>
      </c>
      <c r="F74" s="520" t="s">
        <v>731</v>
      </c>
      <c r="G74" s="537">
        <v>1</v>
      </c>
      <c r="H74" s="538">
        <v>5</v>
      </c>
      <c r="I74" s="538" t="s">
        <v>221</v>
      </c>
      <c r="J74" s="539">
        <v>44081</v>
      </c>
      <c r="K74" s="538" t="s">
        <v>442</v>
      </c>
      <c r="L74" s="497" t="s">
        <v>196</v>
      </c>
      <c r="M74" s="540">
        <v>228000000</v>
      </c>
      <c r="N74" s="540">
        <v>228000000</v>
      </c>
      <c r="O74" s="541"/>
      <c r="P74" s="542"/>
      <c r="Q74" s="543"/>
    </row>
    <row r="75" spans="2:17" ht="15" customHeight="1">
      <c r="B75" s="366">
        <f t="shared" si="2"/>
        <v>65</v>
      </c>
      <c r="C75" s="289" t="s">
        <v>416</v>
      </c>
      <c r="D75" s="446" t="s">
        <v>270</v>
      </c>
      <c r="E75" s="536" t="s">
        <v>294</v>
      </c>
      <c r="F75" s="520" t="s">
        <v>731</v>
      </c>
      <c r="G75" s="537">
        <v>1</v>
      </c>
      <c r="H75" s="538">
        <v>6</v>
      </c>
      <c r="I75" s="538" t="s">
        <v>221</v>
      </c>
      <c r="J75" s="539">
        <v>44271</v>
      </c>
      <c r="K75" s="538" t="s">
        <v>442</v>
      </c>
      <c r="L75" s="497" t="s">
        <v>196</v>
      </c>
      <c r="M75" s="540">
        <v>288000000</v>
      </c>
      <c r="N75" s="540">
        <v>288000000</v>
      </c>
      <c r="O75" s="541"/>
      <c r="P75" s="542"/>
      <c r="Q75" s="543"/>
    </row>
    <row r="76" spans="2:17" ht="15" customHeight="1">
      <c r="B76" s="366">
        <f t="shared" si="2"/>
        <v>66</v>
      </c>
      <c r="C76" s="289" t="s">
        <v>416</v>
      </c>
      <c r="D76" s="446" t="s">
        <v>270</v>
      </c>
      <c r="E76" s="536" t="s">
        <v>294</v>
      </c>
      <c r="F76" s="520" t="s">
        <v>731</v>
      </c>
      <c r="G76" s="537">
        <v>1</v>
      </c>
      <c r="H76" s="538">
        <v>7</v>
      </c>
      <c r="I76" s="538" t="s">
        <v>221</v>
      </c>
      <c r="J76" s="539">
        <v>44862</v>
      </c>
      <c r="K76" s="538" t="s">
        <v>442</v>
      </c>
      <c r="L76" s="539" t="s">
        <v>196</v>
      </c>
      <c r="M76" s="540">
        <v>300000000</v>
      </c>
      <c r="N76" s="540">
        <v>300000000</v>
      </c>
      <c r="O76" s="541"/>
      <c r="P76" s="542"/>
      <c r="Q76" s="543"/>
    </row>
    <row r="77" spans="2:17" ht="15" customHeight="1">
      <c r="B77" s="366">
        <f t="shared" si="2"/>
        <v>67</v>
      </c>
      <c r="C77" s="289" t="s">
        <v>416</v>
      </c>
      <c r="D77" s="446" t="s">
        <v>270</v>
      </c>
      <c r="E77" s="536" t="s">
        <v>294</v>
      </c>
      <c r="F77" s="520" t="s">
        <v>731</v>
      </c>
      <c r="G77" s="537">
        <v>1</v>
      </c>
      <c r="H77" s="538">
        <v>8</v>
      </c>
      <c r="I77" s="538" t="s">
        <v>221</v>
      </c>
      <c r="J77" s="539">
        <v>45005</v>
      </c>
      <c r="K77" s="538" t="s">
        <v>442</v>
      </c>
      <c r="L77" s="539" t="s">
        <v>196</v>
      </c>
      <c r="M77" s="540">
        <v>240000000</v>
      </c>
      <c r="N77" s="540">
        <v>240000000</v>
      </c>
      <c r="O77" s="541"/>
      <c r="P77" s="542"/>
      <c r="Q77" s="543"/>
    </row>
    <row r="78" spans="2:17" ht="15" customHeight="1">
      <c r="B78" s="366">
        <f t="shared" si="2"/>
        <v>68</v>
      </c>
      <c r="C78" s="289" t="s">
        <v>416</v>
      </c>
      <c r="D78" s="446" t="s">
        <v>270</v>
      </c>
      <c r="E78" s="536" t="s">
        <v>294</v>
      </c>
      <c r="F78" s="520" t="s">
        <v>731</v>
      </c>
      <c r="G78" s="537">
        <v>1</v>
      </c>
      <c r="H78" s="538">
        <v>9</v>
      </c>
      <c r="I78" s="538" t="s">
        <v>221</v>
      </c>
      <c r="J78" s="539">
        <v>45308</v>
      </c>
      <c r="K78" s="538" t="s">
        <v>442</v>
      </c>
      <c r="L78" s="497" t="s">
        <v>196</v>
      </c>
      <c r="M78" s="540">
        <v>180000000</v>
      </c>
      <c r="N78" s="540">
        <v>180000000</v>
      </c>
      <c r="O78" s="541"/>
      <c r="P78" s="542"/>
      <c r="Q78" s="543"/>
    </row>
    <row r="79" spans="2:17" ht="15" customHeight="1">
      <c r="B79" s="366">
        <f t="shared" si="2"/>
        <v>69</v>
      </c>
      <c r="C79" s="289" t="s">
        <v>416</v>
      </c>
      <c r="D79" s="446" t="s">
        <v>270</v>
      </c>
      <c r="E79" s="536" t="s">
        <v>294</v>
      </c>
      <c r="F79" s="520" t="s">
        <v>731</v>
      </c>
      <c r="G79" s="537">
        <v>1</v>
      </c>
      <c r="H79" s="538">
        <v>10</v>
      </c>
      <c r="I79" s="538" t="s">
        <v>221</v>
      </c>
      <c r="J79" s="539">
        <v>45509</v>
      </c>
      <c r="K79" s="538" t="s">
        <v>442</v>
      </c>
      <c r="L79" s="497" t="s">
        <v>196</v>
      </c>
      <c r="M79" s="540">
        <v>108000000</v>
      </c>
      <c r="N79" s="540">
        <v>108000000</v>
      </c>
      <c r="O79" s="541"/>
      <c r="P79" s="542" t="s">
        <v>2291</v>
      </c>
      <c r="Q79" s="543"/>
    </row>
    <row r="80" spans="2:17" ht="15" customHeight="1">
      <c r="B80" s="366">
        <f t="shared" ref="B80:B94" si="3">ROW()-10</f>
        <v>70</v>
      </c>
      <c r="C80" s="289" t="s">
        <v>416</v>
      </c>
      <c r="D80" s="446" t="s">
        <v>270</v>
      </c>
      <c r="E80" s="536" t="s">
        <v>290</v>
      </c>
      <c r="F80" s="520" t="s">
        <v>732</v>
      </c>
      <c r="G80" s="537">
        <v>1</v>
      </c>
      <c r="H80" s="538">
        <v>1</v>
      </c>
      <c r="I80" s="538" t="s">
        <v>221</v>
      </c>
      <c r="J80" s="539">
        <v>45072</v>
      </c>
      <c r="K80" s="538" t="s">
        <v>442</v>
      </c>
      <c r="L80" s="497" t="s">
        <v>196</v>
      </c>
      <c r="M80" s="540">
        <v>2604000000</v>
      </c>
      <c r="N80" s="540">
        <v>2604000000</v>
      </c>
      <c r="O80" s="541"/>
      <c r="P80" s="542"/>
      <c r="Q80" s="543"/>
    </row>
    <row r="81" spans="2:17" ht="15" customHeight="1">
      <c r="B81" s="366">
        <f t="shared" si="3"/>
        <v>71</v>
      </c>
      <c r="C81" s="289" t="s">
        <v>416</v>
      </c>
      <c r="D81" s="446" t="s">
        <v>270</v>
      </c>
      <c r="E81" s="536" t="s">
        <v>290</v>
      </c>
      <c r="F81" s="520" t="s">
        <v>732</v>
      </c>
      <c r="G81" s="537">
        <v>1</v>
      </c>
      <c r="H81" s="538">
        <v>2</v>
      </c>
      <c r="I81" s="538" t="s">
        <v>221</v>
      </c>
      <c r="J81" s="539">
        <v>45547</v>
      </c>
      <c r="K81" s="538" t="s">
        <v>442</v>
      </c>
      <c r="L81" s="497" t="s">
        <v>196</v>
      </c>
      <c r="M81" s="540">
        <v>120000000</v>
      </c>
      <c r="N81" s="540">
        <v>120000000</v>
      </c>
      <c r="O81" s="541"/>
      <c r="P81" s="542"/>
      <c r="Q81" s="543"/>
    </row>
    <row r="82" spans="2:17" ht="15" customHeight="1">
      <c r="B82" s="366">
        <f t="shared" si="3"/>
        <v>72</v>
      </c>
      <c r="C82" s="289" t="s">
        <v>416</v>
      </c>
      <c r="D82" s="446" t="s">
        <v>270</v>
      </c>
      <c r="E82" s="536" t="s">
        <v>290</v>
      </c>
      <c r="F82" s="520" t="s">
        <v>732</v>
      </c>
      <c r="G82" s="537">
        <v>1</v>
      </c>
      <c r="H82" s="538">
        <v>3</v>
      </c>
      <c r="I82" s="538" t="s">
        <v>221</v>
      </c>
      <c r="J82" s="539">
        <v>45680</v>
      </c>
      <c r="K82" s="538" t="s">
        <v>442</v>
      </c>
      <c r="L82" s="497" t="s">
        <v>196</v>
      </c>
      <c r="M82" s="540">
        <v>120000000</v>
      </c>
      <c r="N82" s="540">
        <v>120000000</v>
      </c>
      <c r="O82" s="541"/>
      <c r="P82" s="542"/>
      <c r="Q82" s="543"/>
    </row>
    <row r="83" spans="2:17" ht="15" customHeight="1">
      <c r="B83" s="366">
        <f t="shared" si="3"/>
        <v>73</v>
      </c>
      <c r="C83" s="289" t="s">
        <v>416</v>
      </c>
      <c r="D83" s="446" t="s">
        <v>270</v>
      </c>
      <c r="E83" s="536" t="s">
        <v>290</v>
      </c>
      <c r="F83" s="520" t="s">
        <v>732</v>
      </c>
      <c r="G83" s="537">
        <v>2</v>
      </c>
      <c r="H83" s="538">
        <v>1</v>
      </c>
      <c r="I83" s="538" t="s">
        <v>221</v>
      </c>
      <c r="J83" s="539">
        <v>45215</v>
      </c>
      <c r="K83" s="538" t="s">
        <v>442</v>
      </c>
      <c r="L83" s="497" t="s">
        <v>196</v>
      </c>
      <c r="M83" s="540">
        <v>360000000</v>
      </c>
      <c r="N83" s="540">
        <v>360000000</v>
      </c>
      <c r="O83" s="541"/>
      <c r="P83" s="542"/>
      <c r="Q83" s="543"/>
    </row>
    <row r="84" spans="2:17" ht="15" customHeight="1">
      <c r="B84" s="366">
        <f t="shared" si="3"/>
        <v>74</v>
      </c>
      <c r="C84" s="289" t="s">
        <v>416</v>
      </c>
      <c r="D84" s="446" t="s">
        <v>270</v>
      </c>
      <c r="E84" s="536" t="s">
        <v>290</v>
      </c>
      <c r="F84" s="520" t="s">
        <v>732</v>
      </c>
      <c r="G84" s="537">
        <v>3</v>
      </c>
      <c r="H84" s="538">
        <v>1</v>
      </c>
      <c r="I84" s="538" t="s">
        <v>333</v>
      </c>
      <c r="J84" s="539">
        <v>43532</v>
      </c>
      <c r="K84" s="538" t="s">
        <v>450</v>
      </c>
      <c r="L84" s="497" t="s">
        <v>196</v>
      </c>
      <c r="M84" s="540">
        <v>110000000</v>
      </c>
      <c r="N84" s="540">
        <v>110000000</v>
      </c>
      <c r="O84" s="541"/>
      <c r="P84" s="542"/>
      <c r="Q84" s="543"/>
    </row>
    <row r="85" spans="2:17" ht="15" customHeight="1">
      <c r="B85" s="366">
        <f t="shared" si="3"/>
        <v>75</v>
      </c>
      <c r="C85" s="289" t="s">
        <v>416</v>
      </c>
      <c r="D85" s="446" t="s">
        <v>270</v>
      </c>
      <c r="E85" s="536" t="s">
        <v>290</v>
      </c>
      <c r="F85" s="520" t="s">
        <v>732</v>
      </c>
      <c r="G85" s="537">
        <v>3</v>
      </c>
      <c r="H85" s="538">
        <v>2</v>
      </c>
      <c r="I85" s="538" t="s">
        <v>333</v>
      </c>
      <c r="J85" s="539">
        <v>44252</v>
      </c>
      <c r="K85" s="538" t="s">
        <v>450</v>
      </c>
      <c r="L85" s="497" t="s">
        <v>196</v>
      </c>
      <c r="M85" s="540">
        <v>110000000</v>
      </c>
      <c r="N85" s="540">
        <v>110000000</v>
      </c>
      <c r="O85" s="541"/>
      <c r="P85" s="542"/>
      <c r="Q85" s="543"/>
    </row>
    <row r="86" spans="2:17" ht="15" customHeight="1">
      <c r="B86" s="366">
        <f t="shared" si="3"/>
        <v>76</v>
      </c>
      <c r="C86" s="289" t="s">
        <v>416</v>
      </c>
      <c r="D86" s="446" t="s">
        <v>270</v>
      </c>
      <c r="E86" s="536" t="s">
        <v>290</v>
      </c>
      <c r="F86" s="520" t="s">
        <v>732</v>
      </c>
      <c r="G86" s="537">
        <v>3</v>
      </c>
      <c r="H86" s="538">
        <v>3</v>
      </c>
      <c r="I86" s="538" t="s">
        <v>221</v>
      </c>
      <c r="J86" s="539">
        <v>45314</v>
      </c>
      <c r="K86" s="538" t="s">
        <v>442</v>
      </c>
      <c r="L86" s="497" t="s">
        <v>196</v>
      </c>
      <c r="M86" s="540">
        <v>240000000</v>
      </c>
      <c r="N86" s="540">
        <v>240000000</v>
      </c>
      <c r="O86" s="541" t="s">
        <v>323</v>
      </c>
      <c r="P86" s="542"/>
      <c r="Q86" s="543"/>
    </row>
    <row r="87" spans="2:17" ht="15" customHeight="1">
      <c r="B87" s="366">
        <f t="shared" si="3"/>
        <v>77</v>
      </c>
      <c r="C87" s="289" t="s">
        <v>416</v>
      </c>
      <c r="D87" s="446" t="s">
        <v>270</v>
      </c>
      <c r="E87" s="536" t="s">
        <v>290</v>
      </c>
      <c r="F87" s="520" t="s">
        <v>732</v>
      </c>
      <c r="G87" s="537">
        <v>4</v>
      </c>
      <c r="H87" s="538">
        <v>1</v>
      </c>
      <c r="I87" s="538" t="s">
        <v>221</v>
      </c>
      <c r="J87" s="539">
        <v>45314</v>
      </c>
      <c r="K87" s="538" t="s">
        <v>442</v>
      </c>
      <c r="L87" s="497" t="s">
        <v>196</v>
      </c>
      <c r="M87" s="540">
        <v>240000000</v>
      </c>
      <c r="N87" s="540">
        <v>240000000</v>
      </c>
      <c r="O87" s="541" t="s">
        <v>252</v>
      </c>
      <c r="P87" s="542"/>
      <c r="Q87" s="543"/>
    </row>
    <row r="88" spans="2:17" ht="15" customHeight="1">
      <c r="B88" s="366">
        <f t="shared" si="3"/>
        <v>78</v>
      </c>
      <c r="C88" s="289" t="s">
        <v>416</v>
      </c>
      <c r="D88" s="446" t="s">
        <v>270</v>
      </c>
      <c r="E88" s="536" t="s">
        <v>632</v>
      </c>
      <c r="F88" s="520" t="s">
        <v>733</v>
      </c>
      <c r="G88" s="537">
        <v>1</v>
      </c>
      <c r="H88" s="538">
        <v>1</v>
      </c>
      <c r="I88" s="538" t="s">
        <v>221</v>
      </c>
      <c r="J88" s="539">
        <v>45371</v>
      </c>
      <c r="K88" s="538" t="s">
        <v>442</v>
      </c>
      <c r="L88" s="497" t="s">
        <v>196</v>
      </c>
      <c r="M88" s="540">
        <v>4080000000</v>
      </c>
      <c r="N88" s="540">
        <v>4080000000</v>
      </c>
      <c r="O88" s="541"/>
      <c r="P88" s="542"/>
      <c r="Q88" s="543"/>
    </row>
    <row r="89" spans="2:17" ht="15" customHeight="1">
      <c r="B89" s="366">
        <f t="shared" si="3"/>
        <v>79</v>
      </c>
      <c r="C89" s="289" t="s">
        <v>416</v>
      </c>
      <c r="D89" s="446" t="s">
        <v>270</v>
      </c>
      <c r="E89" s="536" t="s">
        <v>291</v>
      </c>
      <c r="F89" s="520" t="s">
        <v>734</v>
      </c>
      <c r="G89" s="537">
        <v>1</v>
      </c>
      <c r="H89" s="538">
        <v>1</v>
      </c>
      <c r="I89" s="538" t="s">
        <v>221</v>
      </c>
      <c r="J89" s="539">
        <v>37881</v>
      </c>
      <c r="K89" s="538" t="s">
        <v>442</v>
      </c>
      <c r="L89" s="497" t="s">
        <v>196</v>
      </c>
      <c r="M89" s="540">
        <v>400000000</v>
      </c>
      <c r="N89" s="540">
        <v>400000000</v>
      </c>
      <c r="O89" s="541"/>
      <c r="P89" s="542"/>
      <c r="Q89" s="543"/>
    </row>
    <row r="90" spans="2:17" ht="15" customHeight="1">
      <c r="B90" s="366">
        <f t="shared" si="3"/>
        <v>80</v>
      </c>
      <c r="C90" s="289" t="s">
        <v>416</v>
      </c>
      <c r="D90" s="446" t="s">
        <v>270</v>
      </c>
      <c r="E90" s="536" t="s">
        <v>289</v>
      </c>
      <c r="F90" s="520" t="s">
        <v>735</v>
      </c>
      <c r="G90" s="537">
        <v>1</v>
      </c>
      <c r="H90" s="538">
        <v>1</v>
      </c>
      <c r="I90" s="538" t="s">
        <v>221</v>
      </c>
      <c r="J90" s="539">
        <v>40521</v>
      </c>
      <c r="K90" s="538" t="s">
        <v>442</v>
      </c>
      <c r="L90" s="497" t="s">
        <v>196</v>
      </c>
      <c r="M90" s="540">
        <v>3600000000</v>
      </c>
      <c r="N90" s="540">
        <v>3600000000</v>
      </c>
      <c r="O90" s="541"/>
      <c r="P90" s="542"/>
      <c r="Q90" s="543"/>
    </row>
    <row r="91" spans="2:17" ht="15" customHeight="1">
      <c r="B91" s="366">
        <f t="shared" si="3"/>
        <v>81</v>
      </c>
      <c r="C91" s="289" t="s">
        <v>416</v>
      </c>
      <c r="D91" s="446" t="s">
        <v>270</v>
      </c>
      <c r="E91" s="536" t="s">
        <v>289</v>
      </c>
      <c r="F91" s="520" t="s">
        <v>735</v>
      </c>
      <c r="G91" s="537">
        <v>2</v>
      </c>
      <c r="H91" s="538">
        <v>1</v>
      </c>
      <c r="I91" s="538" t="s">
        <v>221</v>
      </c>
      <c r="J91" s="539">
        <v>40849</v>
      </c>
      <c r="K91" s="538" t="s">
        <v>442</v>
      </c>
      <c r="L91" s="497" t="s">
        <v>196</v>
      </c>
      <c r="M91" s="540">
        <v>1560000000</v>
      </c>
      <c r="N91" s="540">
        <v>1560000000</v>
      </c>
      <c r="O91" s="541"/>
      <c r="P91" s="542"/>
      <c r="Q91" s="543"/>
    </row>
    <row r="92" spans="2:17" ht="15" customHeight="1">
      <c r="B92" s="366">
        <f t="shared" si="3"/>
        <v>82</v>
      </c>
      <c r="C92" s="289" t="s">
        <v>416</v>
      </c>
      <c r="D92" s="446" t="s">
        <v>270</v>
      </c>
      <c r="E92" s="536" t="s">
        <v>736</v>
      </c>
      <c r="F92" s="520" t="s">
        <v>737</v>
      </c>
      <c r="G92" s="537">
        <v>1</v>
      </c>
      <c r="H92" s="538">
        <v>1</v>
      </c>
      <c r="I92" s="538" t="s">
        <v>221</v>
      </c>
      <c r="J92" s="539">
        <v>45044</v>
      </c>
      <c r="K92" s="538" t="s">
        <v>442</v>
      </c>
      <c r="L92" s="497" t="s">
        <v>196</v>
      </c>
      <c r="M92" s="540">
        <v>3600000000</v>
      </c>
      <c r="N92" s="540">
        <v>3600000000</v>
      </c>
      <c r="O92" s="541"/>
      <c r="P92" s="542" t="s">
        <v>2292</v>
      </c>
      <c r="Q92" s="543"/>
    </row>
    <row r="93" spans="2:17" ht="15" customHeight="1">
      <c r="B93" s="366">
        <f t="shared" si="3"/>
        <v>83</v>
      </c>
      <c r="C93" s="289" t="s">
        <v>416</v>
      </c>
      <c r="D93" s="446" t="s">
        <v>270</v>
      </c>
      <c r="E93" s="536" t="s">
        <v>293</v>
      </c>
      <c r="F93" s="520" t="s">
        <v>738</v>
      </c>
      <c r="G93" s="537">
        <v>1</v>
      </c>
      <c r="H93" s="538">
        <v>1</v>
      </c>
      <c r="I93" s="538" t="s">
        <v>221</v>
      </c>
      <c r="J93" s="539">
        <v>45385</v>
      </c>
      <c r="K93" s="538" t="s">
        <v>442</v>
      </c>
      <c r="L93" s="497" t="s">
        <v>196</v>
      </c>
      <c r="M93" s="540">
        <v>3800000000</v>
      </c>
      <c r="N93" s="540">
        <v>3800000000</v>
      </c>
      <c r="O93" s="541"/>
      <c r="P93" s="542"/>
      <c r="Q93" s="543"/>
    </row>
    <row r="94" spans="2:17" ht="15" customHeight="1">
      <c r="B94" s="366">
        <f t="shared" si="3"/>
        <v>84</v>
      </c>
      <c r="C94" s="289" t="s">
        <v>416</v>
      </c>
      <c r="D94" s="446" t="s">
        <v>270</v>
      </c>
      <c r="E94" s="536" t="s">
        <v>293</v>
      </c>
      <c r="F94" s="520" t="s">
        <v>738</v>
      </c>
      <c r="G94" s="537">
        <v>2</v>
      </c>
      <c r="H94" s="538">
        <v>1</v>
      </c>
      <c r="I94" s="538" t="s">
        <v>221</v>
      </c>
      <c r="J94" s="539">
        <v>45547</v>
      </c>
      <c r="K94" s="538" t="s">
        <v>442</v>
      </c>
      <c r="L94" s="497" t="s">
        <v>196</v>
      </c>
      <c r="M94" s="540">
        <v>120000000</v>
      </c>
      <c r="N94" s="540">
        <v>120000000</v>
      </c>
      <c r="O94" s="541"/>
      <c r="P94" s="542"/>
      <c r="Q94" s="543"/>
    </row>
    <row r="95" spans="2:17" ht="15" customHeight="1">
      <c r="B95" s="366">
        <f t="shared" ref="B95:B111" si="4">ROW()-10</f>
        <v>85</v>
      </c>
      <c r="C95" s="289" t="s">
        <v>416</v>
      </c>
      <c r="D95" s="446" t="s">
        <v>270</v>
      </c>
      <c r="E95" s="536" t="s">
        <v>292</v>
      </c>
      <c r="F95" s="520" t="s">
        <v>739</v>
      </c>
      <c r="G95" s="537">
        <v>1</v>
      </c>
      <c r="H95" s="538">
        <v>1</v>
      </c>
      <c r="I95" s="538" t="s">
        <v>221</v>
      </c>
      <c r="J95" s="539">
        <v>40403</v>
      </c>
      <c r="K95" s="538" t="s">
        <v>442</v>
      </c>
      <c r="L95" s="497" t="s">
        <v>196</v>
      </c>
      <c r="M95" s="540">
        <v>570000000</v>
      </c>
      <c r="N95" s="540">
        <v>570000000</v>
      </c>
      <c r="O95" s="541"/>
      <c r="P95" s="542" t="s">
        <v>2293</v>
      </c>
      <c r="Q95" s="543" t="s">
        <v>2345</v>
      </c>
    </row>
    <row r="96" spans="2:17" ht="15" customHeight="1">
      <c r="B96" s="366">
        <f t="shared" si="4"/>
        <v>86</v>
      </c>
      <c r="C96" s="289" t="s">
        <v>416</v>
      </c>
      <c r="D96" s="446" t="s">
        <v>270</v>
      </c>
      <c r="E96" s="536" t="s">
        <v>292</v>
      </c>
      <c r="F96" s="520" t="s">
        <v>739</v>
      </c>
      <c r="G96" s="537">
        <v>1</v>
      </c>
      <c r="H96" s="538">
        <v>2</v>
      </c>
      <c r="I96" s="538" t="s">
        <v>221</v>
      </c>
      <c r="J96" s="539">
        <v>41549</v>
      </c>
      <c r="K96" s="538" t="s">
        <v>442</v>
      </c>
      <c r="L96" s="497" t="s">
        <v>196</v>
      </c>
      <c r="M96" s="540">
        <v>114000000</v>
      </c>
      <c r="N96" s="540">
        <v>114000000</v>
      </c>
      <c r="O96" s="541"/>
      <c r="P96" s="542" t="s">
        <v>2294</v>
      </c>
      <c r="Q96" s="543"/>
    </row>
    <row r="97" spans="2:17" ht="15" customHeight="1">
      <c r="B97" s="366">
        <f t="shared" si="4"/>
        <v>87</v>
      </c>
      <c r="C97" s="289" t="s">
        <v>416</v>
      </c>
      <c r="D97" s="446" t="s">
        <v>270</v>
      </c>
      <c r="E97" s="536" t="s">
        <v>292</v>
      </c>
      <c r="F97" s="520" t="s">
        <v>739</v>
      </c>
      <c r="G97" s="537">
        <v>1</v>
      </c>
      <c r="H97" s="538">
        <v>3</v>
      </c>
      <c r="I97" s="538" t="s">
        <v>221</v>
      </c>
      <c r="J97" s="539">
        <v>42650</v>
      </c>
      <c r="K97" s="538" t="s">
        <v>442</v>
      </c>
      <c r="L97" s="497" t="s">
        <v>196</v>
      </c>
      <c r="M97" s="540">
        <v>576000000</v>
      </c>
      <c r="N97" s="540">
        <v>576000000</v>
      </c>
      <c r="O97" s="541"/>
      <c r="P97" s="542" t="s">
        <v>2295</v>
      </c>
      <c r="Q97" s="543"/>
    </row>
    <row r="98" spans="2:17" ht="15" customHeight="1">
      <c r="B98" s="366">
        <f t="shared" si="4"/>
        <v>88</v>
      </c>
      <c r="C98" s="289" t="s">
        <v>416</v>
      </c>
      <c r="D98" s="446" t="s">
        <v>270</v>
      </c>
      <c r="E98" s="536" t="s">
        <v>292</v>
      </c>
      <c r="F98" s="520" t="s">
        <v>739</v>
      </c>
      <c r="G98" s="537">
        <v>1</v>
      </c>
      <c r="H98" s="538">
        <v>4</v>
      </c>
      <c r="I98" s="538" t="s">
        <v>221</v>
      </c>
      <c r="J98" s="539">
        <v>43542</v>
      </c>
      <c r="K98" s="538" t="s">
        <v>442</v>
      </c>
      <c r="L98" s="497" t="s">
        <v>196</v>
      </c>
      <c r="M98" s="540">
        <v>520000000</v>
      </c>
      <c r="N98" s="540">
        <v>520000000</v>
      </c>
      <c r="O98" s="541"/>
      <c r="P98" s="542" t="s">
        <v>2296</v>
      </c>
      <c r="Q98" s="543"/>
    </row>
    <row r="99" spans="2:17" ht="15" customHeight="1">
      <c r="B99" s="366">
        <f t="shared" si="4"/>
        <v>89</v>
      </c>
      <c r="C99" s="289" t="s">
        <v>416</v>
      </c>
      <c r="D99" s="446" t="s">
        <v>270</v>
      </c>
      <c r="E99" s="536" t="s">
        <v>292</v>
      </c>
      <c r="F99" s="520" t="s">
        <v>739</v>
      </c>
      <c r="G99" s="537">
        <v>1</v>
      </c>
      <c r="H99" s="538">
        <v>5</v>
      </c>
      <c r="I99" s="538" t="s">
        <v>221</v>
      </c>
      <c r="J99" s="539">
        <v>43672</v>
      </c>
      <c r="K99" s="538" t="s">
        <v>442</v>
      </c>
      <c r="L99" s="497" t="s">
        <v>196</v>
      </c>
      <c r="M99" s="540">
        <v>360000000</v>
      </c>
      <c r="N99" s="540">
        <v>360000000</v>
      </c>
      <c r="O99" s="541"/>
      <c r="P99" s="542" t="s">
        <v>2297</v>
      </c>
      <c r="Q99" s="543"/>
    </row>
    <row r="100" spans="2:17" ht="15" customHeight="1">
      <c r="B100" s="366">
        <f t="shared" si="4"/>
        <v>90</v>
      </c>
      <c r="C100" s="289" t="s">
        <v>416</v>
      </c>
      <c r="D100" s="446" t="s">
        <v>270</v>
      </c>
      <c r="E100" s="536" t="s">
        <v>292</v>
      </c>
      <c r="F100" s="520" t="s">
        <v>739</v>
      </c>
      <c r="G100" s="537">
        <v>1</v>
      </c>
      <c r="H100" s="538">
        <v>6</v>
      </c>
      <c r="I100" s="538" t="s">
        <v>221</v>
      </c>
      <c r="J100" s="539">
        <v>45225</v>
      </c>
      <c r="K100" s="538" t="s">
        <v>442</v>
      </c>
      <c r="L100" s="497" t="s">
        <v>196</v>
      </c>
      <c r="M100" s="540">
        <v>480000000</v>
      </c>
      <c r="N100" s="540">
        <v>480000000</v>
      </c>
      <c r="O100" s="541"/>
      <c r="P100" s="542" t="s">
        <v>2298</v>
      </c>
      <c r="Q100" s="543"/>
    </row>
    <row r="101" spans="2:17" ht="15" customHeight="1">
      <c r="B101" s="366">
        <f t="shared" si="4"/>
        <v>91</v>
      </c>
      <c r="C101" s="289" t="s">
        <v>416</v>
      </c>
      <c r="D101" s="446" t="s">
        <v>270</v>
      </c>
      <c r="E101" s="536" t="s">
        <v>633</v>
      </c>
      <c r="F101" s="520" t="s">
        <v>740</v>
      </c>
      <c r="G101" s="537">
        <v>1</v>
      </c>
      <c r="H101" s="538">
        <v>1</v>
      </c>
      <c r="I101" s="538" t="s">
        <v>221</v>
      </c>
      <c r="J101" s="539">
        <v>39591</v>
      </c>
      <c r="K101" s="538" t="s">
        <v>442</v>
      </c>
      <c r="L101" s="497" t="s">
        <v>196</v>
      </c>
      <c r="M101" s="540">
        <v>1200000000</v>
      </c>
      <c r="N101" s="540">
        <v>1200000000</v>
      </c>
      <c r="O101" s="541"/>
      <c r="P101" s="542" t="s">
        <v>2299</v>
      </c>
      <c r="Q101" s="543" t="s">
        <v>2346</v>
      </c>
    </row>
    <row r="102" spans="2:17" ht="15" customHeight="1">
      <c r="B102" s="366">
        <f t="shared" si="4"/>
        <v>92</v>
      </c>
      <c r="C102" s="289" t="s">
        <v>416</v>
      </c>
      <c r="D102" s="446" t="s">
        <v>270</v>
      </c>
      <c r="E102" s="536" t="s">
        <v>633</v>
      </c>
      <c r="F102" s="520" t="s">
        <v>740</v>
      </c>
      <c r="G102" s="537">
        <v>1</v>
      </c>
      <c r="H102" s="538">
        <v>2</v>
      </c>
      <c r="I102" s="538" t="s">
        <v>221</v>
      </c>
      <c r="J102" s="539">
        <v>39687</v>
      </c>
      <c r="K102" s="538" t="s">
        <v>442</v>
      </c>
      <c r="L102" s="497" t="s">
        <v>196</v>
      </c>
      <c r="M102" s="540">
        <v>384000000</v>
      </c>
      <c r="N102" s="540">
        <v>384000000</v>
      </c>
      <c r="O102" s="541"/>
      <c r="P102" s="542" t="s">
        <v>715</v>
      </c>
      <c r="Q102" s="543"/>
    </row>
    <row r="103" spans="2:17" ht="15" customHeight="1">
      <c r="B103" s="366">
        <f t="shared" si="4"/>
        <v>93</v>
      </c>
      <c r="C103" s="289" t="s">
        <v>416</v>
      </c>
      <c r="D103" s="446" t="s">
        <v>270</v>
      </c>
      <c r="E103" s="536" t="s">
        <v>633</v>
      </c>
      <c r="F103" s="520" t="s">
        <v>740</v>
      </c>
      <c r="G103" s="537">
        <v>1</v>
      </c>
      <c r="H103" s="538">
        <v>3</v>
      </c>
      <c r="I103" s="538" t="s">
        <v>221</v>
      </c>
      <c r="J103" s="539">
        <v>39843</v>
      </c>
      <c r="K103" s="538" t="s">
        <v>442</v>
      </c>
      <c r="L103" s="497" t="s">
        <v>196</v>
      </c>
      <c r="M103" s="540">
        <v>240000000</v>
      </c>
      <c r="N103" s="540">
        <v>240000000</v>
      </c>
      <c r="O103" s="541"/>
      <c r="P103" s="542" t="s">
        <v>2300</v>
      </c>
      <c r="Q103" s="543"/>
    </row>
    <row r="104" spans="2:17" ht="15" customHeight="1">
      <c r="B104" s="366">
        <f t="shared" si="4"/>
        <v>94</v>
      </c>
      <c r="C104" s="289" t="s">
        <v>416</v>
      </c>
      <c r="D104" s="446" t="s">
        <v>270</v>
      </c>
      <c r="E104" s="536" t="s">
        <v>633</v>
      </c>
      <c r="F104" s="520" t="s">
        <v>740</v>
      </c>
      <c r="G104" s="537">
        <v>1</v>
      </c>
      <c r="H104" s="538">
        <v>4</v>
      </c>
      <c r="I104" s="538" t="s">
        <v>221</v>
      </c>
      <c r="J104" s="539">
        <v>41352</v>
      </c>
      <c r="K104" s="538" t="s">
        <v>442</v>
      </c>
      <c r="L104" s="497" t="s">
        <v>196</v>
      </c>
      <c r="M104" s="540">
        <v>780000000</v>
      </c>
      <c r="N104" s="540">
        <v>780000000</v>
      </c>
      <c r="O104" s="541" t="s">
        <v>251</v>
      </c>
      <c r="P104" s="542" t="s">
        <v>2301</v>
      </c>
      <c r="Q104" s="543" t="s">
        <v>2347</v>
      </c>
    </row>
    <row r="105" spans="2:17" ht="15" customHeight="1">
      <c r="B105" s="366">
        <f t="shared" si="4"/>
        <v>95</v>
      </c>
      <c r="C105" s="289" t="s">
        <v>416</v>
      </c>
      <c r="D105" s="446" t="s">
        <v>270</v>
      </c>
      <c r="E105" s="536" t="s">
        <v>633</v>
      </c>
      <c r="F105" s="520" t="s">
        <v>740</v>
      </c>
      <c r="G105" s="537">
        <v>2</v>
      </c>
      <c r="H105" s="538">
        <v>1</v>
      </c>
      <c r="I105" s="538" t="s">
        <v>221</v>
      </c>
      <c r="J105" s="539">
        <v>41435</v>
      </c>
      <c r="K105" s="538" t="s">
        <v>442</v>
      </c>
      <c r="L105" s="497" t="s">
        <v>196</v>
      </c>
      <c r="M105" s="540">
        <v>780000000</v>
      </c>
      <c r="N105" s="540">
        <v>780000000</v>
      </c>
      <c r="O105" s="541" t="s">
        <v>253</v>
      </c>
      <c r="P105" s="542" t="s">
        <v>2302</v>
      </c>
      <c r="Q105" s="543"/>
    </row>
    <row r="106" spans="2:17" ht="15" customHeight="1">
      <c r="B106" s="366">
        <f t="shared" si="4"/>
        <v>96</v>
      </c>
      <c r="C106" s="289" t="s">
        <v>416</v>
      </c>
      <c r="D106" s="446" t="s">
        <v>270</v>
      </c>
      <c r="E106" s="536" t="s">
        <v>309</v>
      </c>
      <c r="F106" s="520" t="s">
        <v>741</v>
      </c>
      <c r="G106" s="537">
        <v>1</v>
      </c>
      <c r="H106" s="538">
        <v>1</v>
      </c>
      <c r="I106" s="538" t="s">
        <v>221</v>
      </c>
      <c r="J106" s="539">
        <v>43921</v>
      </c>
      <c r="K106" s="538" t="s">
        <v>1835</v>
      </c>
      <c r="L106" s="497" t="s">
        <v>196</v>
      </c>
      <c r="M106" s="540">
        <v>1920000000</v>
      </c>
      <c r="N106" s="540">
        <v>1920000000</v>
      </c>
      <c r="O106" s="541"/>
      <c r="P106" s="542" t="s">
        <v>2303</v>
      </c>
      <c r="Q106" s="543" t="s">
        <v>2348</v>
      </c>
    </row>
    <row r="107" spans="2:17" ht="15" customHeight="1">
      <c r="B107" s="366">
        <f t="shared" si="4"/>
        <v>97</v>
      </c>
      <c r="C107" s="289" t="s">
        <v>416</v>
      </c>
      <c r="D107" s="446" t="s">
        <v>270</v>
      </c>
      <c r="E107" s="536" t="s">
        <v>309</v>
      </c>
      <c r="F107" s="520" t="s">
        <v>741</v>
      </c>
      <c r="G107" s="537">
        <v>1</v>
      </c>
      <c r="H107" s="538">
        <v>2</v>
      </c>
      <c r="I107" s="538" t="s">
        <v>221</v>
      </c>
      <c r="J107" s="539">
        <v>44270</v>
      </c>
      <c r="K107" s="538" t="s">
        <v>1835</v>
      </c>
      <c r="L107" s="497" t="s">
        <v>196</v>
      </c>
      <c r="M107" s="540">
        <v>1920000000</v>
      </c>
      <c r="N107" s="540">
        <v>1920000000</v>
      </c>
      <c r="O107" s="541"/>
      <c r="P107" s="542" t="s">
        <v>714</v>
      </c>
      <c r="Q107" s="543"/>
    </row>
    <row r="108" spans="2:17" ht="15" customHeight="1">
      <c r="B108" s="366">
        <f t="shared" si="4"/>
        <v>98</v>
      </c>
      <c r="C108" s="289" t="s">
        <v>416</v>
      </c>
      <c r="D108" s="446" t="s">
        <v>270</v>
      </c>
      <c r="E108" s="536" t="s">
        <v>297</v>
      </c>
      <c r="F108" s="520" t="s">
        <v>742</v>
      </c>
      <c r="G108" s="537">
        <v>1</v>
      </c>
      <c r="H108" s="538">
        <v>1</v>
      </c>
      <c r="I108" s="538" t="s">
        <v>221</v>
      </c>
      <c r="J108" s="539">
        <v>43300</v>
      </c>
      <c r="K108" s="538" t="s">
        <v>442</v>
      </c>
      <c r="L108" s="497" t="s">
        <v>196</v>
      </c>
      <c r="M108" s="540">
        <v>1032000000</v>
      </c>
      <c r="N108" s="540">
        <v>1032000000</v>
      </c>
      <c r="O108" s="541"/>
      <c r="P108" s="542"/>
      <c r="Q108" s="543" t="s">
        <v>2304</v>
      </c>
    </row>
    <row r="109" spans="2:17" ht="15" customHeight="1">
      <c r="B109" s="366">
        <f t="shared" si="4"/>
        <v>99</v>
      </c>
      <c r="C109" s="289" t="s">
        <v>416</v>
      </c>
      <c r="D109" s="446" t="s">
        <v>270</v>
      </c>
      <c r="E109" s="536" t="s">
        <v>297</v>
      </c>
      <c r="F109" s="520" t="s">
        <v>742</v>
      </c>
      <c r="G109" s="537">
        <v>1</v>
      </c>
      <c r="H109" s="538">
        <v>2</v>
      </c>
      <c r="I109" s="538" t="s">
        <v>221</v>
      </c>
      <c r="J109" s="539">
        <v>43364</v>
      </c>
      <c r="K109" s="538" t="s">
        <v>442</v>
      </c>
      <c r="L109" s="497" t="s">
        <v>196</v>
      </c>
      <c r="M109" s="540">
        <v>600000000</v>
      </c>
      <c r="N109" s="540">
        <v>600000000</v>
      </c>
      <c r="O109" s="541"/>
      <c r="P109" s="542"/>
      <c r="Q109" s="543" t="s">
        <v>2304</v>
      </c>
    </row>
    <row r="110" spans="2:17" ht="15" customHeight="1">
      <c r="B110" s="366">
        <f t="shared" si="4"/>
        <v>100</v>
      </c>
      <c r="C110" s="289" t="s">
        <v>416</v>
      </c>
      <c r="D110" s="446" t="s">
        <v>270</v>
      </c>
      <c r="E110" s="536" t="s">
        <v>297</v>
      </c>
      <c r="F110" s="520" t="s">
        <v>742</v>
      </c>
      <c r="G110" s="537">
        <v>2</v>
      </c>
      <c r="H110" s="538">
        <v>1</v>
      </c>
      <c r="I110" s="538" t="s">
        <v>221</v>
      </c>
      <c r="J110" s="539">
        <v>42842</v>
      </c>
      <c r="K110" s="538" t="s">
        <v>442</v>
      </c>
      <c r="L110" s="497" t="s">
        <v>196</v>
      </c>
      <c r="M110" s="540">
        <v>360000000</v>
      </c>
      <c r="N110" s="540">
        <v>360000000</v>
      </c>
      <c r="O110" s="541" t="s">
        <v>252</v>
      </c>
      <c r="P110" s="542"/>
      <c r="Q110" s="543"/>
    </row>
    <row r="111" spans="2:17" ht="15" customHeight="1">
      <c r="B111" s="366">
        <f t="shared" si="4"/>
        <v>101</v>
      </c>
      <c r="C111" s="289" t="s">
        <v>416</v>
      </c>
      <c r="D111" s="446" t="s">
        <v>270</v>
      </c>
      <c r="E111" s="536" t="s">
        <v>297</v>
      </c>
      <c r="F111" s="520" t="s">
        <v>742</v>
      </c>
      <c r="G111" s="537">
        <v>3</v>
      </c>
      <c r="H111" s="538">
        <v>1</v>
      </c>
      <c r="I111" s="538" t="s">
        <v>221</v>
      </c>
      <c r="J111" s="539">
        <v>42842</v>
      </c>
      <c r="K111" s="538" t="s">
        <v>442</v>
      </c>
      <c r="L111" s="497" t="s">
        <v>196</v>
      </c>
      <c r="M111" s="540">
        <v>360000000</v>
      </c>
      <c r="N111" s="540">
        <v>360000000</v>
      </c>
      <c r="O111" s="541" t="s">
        <v>251</v>
      </c>
      <c r="P111" s="542"/>
      <c r="Q111" s="543"/>
    </row>
    <row r="112" spans="2:17" ht="15" customHeight="1">
      <c r="B112" s="366">
        <f t="shared" ref="B112:B149" si="5">ROW()-10</f>
        <v>102</v>
      </c>
      <c r="C112" s="289" t="s">
        <v>416</v>
      </c>
      <c r="D112" s="446" t="s">
        <v>270</v>
      </c>
      <c r="E112" s="536" t="s">
        <v>310</v>
      </c>
      <c r="F112" s="520" t="s">
        <v>743</v>
      </c>
      <c r="G112" s="537">
        <v>1</v>
      </c>
      <c r="H112" s="538">
        <v>1</v>
      </c>
      <c r="I112" s="538" t="s">
        <v>221</v>
      </c>
      <c r="J112" s="539">
        <v>45050</v>
      </c>
      <c r="K112" s="538" t="s">
        <v>442</v>
      </c>
      <c r="L112" s="497" t="s">
        <v>196</v>
      </c>
      <c r="M112" s="540">
        <v>1416000000</v>
      </c>
      <c r="N112" s="540">
        <v>1416000000</v>
      </c>
      <c r="O112" s="541"/>
      <c r="P112" s="542"/>
      <c r="Q112" s="543"/>
    </row>
    <row r="113" spans="2:17" ht="15" customHeight="1">
      <c r="B113" s="366">
        <f t="shared" si="5"/>
        <v>103</v>
      </c>
      <c r="C113" s="289" t="s">
        <v>416</v>
      </c>
      <c r="D113" s="446" t="s">
        <v>270</v>
      </c>
      <c r="E113" s="536" t="s">
        <v>310</v>
      </c>
      <c r="F113" s="520" t="s">
        <v>743</v>
      </c>
      <c r="G113" s="537">
        <v>2</v>
      </c>
      <c r="H113" s="538">
        <v>1</v>
      </c>
      <c r="I113" s="538" t="s">
        <v>221</v>
      </c>
      <c r="J113" s="539">
        <v>45050</v>
      </c>
      <c r="K113" s="538" t="s">
        <v>443</v>
      </c>
      <c r="L113" s="497" t="s">
        <v>196</v>
      </c>
      <c r="M113" s="540">
        <v>180000000</v>
      </c>
      <c r="N113" s="540">
        <v>180000000</v>
      </c>
      <c r="O113" s="541"/>
      <c r="P113" s="542"/>
      <c r="Q113" s="543"/>
    </row>
    <row r="114" spans="2:17" ht="15" customHeight="1">
      <c r="B114" s="366">
        <f t="shared" si="5"/>
        <v>104</v>
      </c>
      <c r="C114" s="289" t="s">
        <v>416</v>
      </c>
      <c r="D114" s="446" t="s">
        <v>270</v>
      </c>
      <c r="E114" s="536" t="s">
        <v>305</v>
      </c>
      <c r="F114" s="520" t="s">
        <v>744</v>
      </c>
      <c r="G114" s="537">
        <v>1</v>
      </c>
      <c r="H114" s="538">
        <v>1</v>
      </c>
      <c r="I114" s="538" t="s">
        <v>221</v>
      </c>
      <c r="J114" s="539">
        <v>37405</v>
      </c>
      <c r="K114" s="538" t="s">
        <v>442</v>
      </c>
      <c r="L114" s="497" t="s">
        <v>196</v>
      </c>
      <c r="M114" s="540">
        <v>480000000</v>
      </c>
      <c r="N114" s="540">
        <v>480000000</v>
      </c>
      <c r="O114" s="541"/>
      <c r="P114" s="542"/>
      <c r="Q114" s="543"/>
    </row>
    <row r="115" spans="2:17" ht="15" customHeight="1">
      <c r="B115" s="366">
        <f t="shared" si="5"/>
        <v>105</v>
      </c>
      <c r="C115" s="289" t="s">
        <v>416</v>
      </c>
      <c r="D115" s="446" t="s">
        <v>270</v>
      </c>
      <c r="E115" s="536" t="s">
        <v>305</v>
      </c>
      <c r="F115" s="520" t="s">
        <v>744</v>
      </c>
      <c r="G115" s="537">
        <v>1</v>
      </c>
      <c r="H115" s="538">
        <v>2</v>
      </c>
      <c r="I115" s="538" t="s">
        <v>221</v>
      </c>
      <c r="J115" s="539">
        <v>37559</v>
      </c>
      <c r="K115" s="538" t="s">
        <v>442</v>
      </c>
      <c r="L115" s="497" t="s">
        <v>196</v>
      </c>
      <c r="M115" s="540">
        <v>130000000</v>
      </c>
      <c r="N115" s="540">
        <v>130000000</v>
      </c>
      <c r="O115" s="541"/>
      <c r="P115" s="542"/>
      <c r="Q115" s="543"/>
    </row>
    <row r="116" spans="2:17" ht="15" customHeight="1">
      <c r="B116" s="366">
        <f t="shared" si="5"/>
        <v>106</v>
      </c>
      <c r="C116" s="289" t="s">
        <v>416</v>
      </c>
      <c r="D116" s="446" t="s">
        <v>270</v>
      </c>
      <c r="E116" s="536" t="s">
        <v>305</v>
      </c>
      <c r="F116" s="520" t="s">
        <v>744</v>
      </c>
      <c r="G116" s="537">
        <v>1</v>
      </c>
      <c r="H116" s="538">
        <v>3</v>
      </c>
      <c r="I116" s="538" t="s">
        <v>221</v>
      </c>
      <c r="J116" s="539">
        <v>41708</v>
      </c>
      <c r="K116" s="538" t="s">
        <v>442</v>
      </c>
      <c r="L116" s="497" t="s">
        <v>196</v>
      </c>
      <c r="M116" s="540">
        <v>140000000</v>
      </c>
      <c r="N116" s="540">
        <v>140000000</v>
      </c>
      <c r="O116" s="541"/>
      <c r="P116" s="542"/>
      <c r="Q116" s="543"/>
    </row>
    <row r="117" spans="2:17" ht="15" customHeight="1">
      <c r="B117" s="366">
        <f t="shared" si="5"/>
        <v>107</v>
      </c>
      <c r="C117" s="289" t="s">
        <v>416</v>
      </c>
      <c r="D117" s="446" t="s">
        <v>270</v>
      </c>
      <c r="E117" s="536" t="s">
        <v>305</v>
      </c>
      <c r="F117" s="520" t="s">
        <v>744</v>
      </c>
      <c r="G117" s="537">
        <v>1</v>
      </c>
      <c r="H117" s="538">
        <v>4</v>
      </c>
      <c r="I117" s="538" t="s">
        <v>221</v>
      </c>
      <c r="J117" s="539">
        <v>42949</v>
      </c>
      <c r="K117" s="538" t="s">
        <v>442</v>
      </c>
      <c r="L117" s="497" t="s">
        <v>196</v>
      </c>
      <c r="M117" s="540">
        <v>130000000</v>
      </c>
      <c r="N117" s="540">
        <v>130000000</v>
      </c>
      <c r="O117" s="541"/>
      <c r="P117" s="542"/>
      <c r="Q117" s="543"/>
    </row>
    <row r="118" spans="2:17" ht="15" customHeight="1">
      <c r="B118" s="366">
        <f t="shared" si="5"/>
        <v>108</v>
      </c>
      <c r="C118" s="289" t="s">
        <v>416</v>
      </c>
      <c r="D118" s="446" t="s">
        <v>270</v>
      </c>
      <c r="E118" s="536" t="s">
        <v>305</v>
      </c>
      <c r="F118" s="520" t="s">
        <v>744</v>
      </c>
      <c r="G118" s="537">
        <v>1</v>
      </c>
      <c r="H118" s="538">
        <v>5</v>
      </c>
      <c r="I118" s="538" t="s">
        <v>221</v>
      </c>
      <c r="J118" s="539">
        <v>43195</v>
      </c>
      <c r="K118" s="538" t="s">
        <v>442</v>
      </c>
      <c r="L118" s="497" t="s">
        <v>196</v>
      </c>
      <c r="M118" s="540">
        <v>100000000</v>
      </c>
      <c r="N118" s="540">
        <v>100000000</v>
      </c>
      <c r="O118" s="541"/>
      <c r="P118" s="542"/>
      <c r="Q118" s="543"/>
    </row>
    <row r="119" spans="2:17" ht="15" customHeight="1">
      <c r="B119" s="366">
        <f t="shared" si="5"/>
        <v>109</v>
      </c>
      <c r="C119" s="289" t="s">
        <v>416</v>
      </c>
      <c r="D119" s="446" t="s">
        <v>270</v>
      </c>
      <c r="E119" s="536" t="s">
        <v>305</v>
      </c>
      <c r="F119" s="520" t="s">
        <v>744</v>
      </c>
      <c r="G119" s="537">
        <v>1</v>
      </c>
      <c r="H119" s="538">
        <v>6</v>
      </c>
      <c r="I119" s="538" t="s">
        <v>221</v>
      </c>
      <c r="J119" s="539">
        <v>44637</v>
      </c>
      <c r="K119" s="538" t="s">
        <v>442</v>
      </c>
      <c r="L119" s="497" t="s">
        <v>322</v>
      </c>
      <c r="M119" s="540">
        <v>600000</v>
      </c>
      <c r="N119" s="540">
        <v>837600000</v>
      </c>
      <c r="O119" s="541"/>
      <c r="P119" s="542"/>
      <c r="Q119" s="543"/>
    </row>
    <row r="120" spans="2:17" ht="15" customHeight="1">
      <c r="B120" s="366">
        <f t="shared" si="5"/>
        <v>110</v>
      </c>
      <c r="C120" s="289" t="s">
        <v>416</v>
      </c>
      <c r="D120" s="446" t="s">
        <v>270</v>
      </c>
      <c r="E120" s="536" t="s">
        <v>307</v>
      </c>
      <c r="F120" s="520" t="s">
        <v>745</v>
      </c>
      <c r="G120" s="537">
        <v>1</v>
      </c>
      <c r="H120" s="538">
        <v>1</v>
      </c>
      <c r="I120" s="538" t="s">
        <v>221</v>
      </c>
      <c r="J120" s="539">
        <v>41628</v>
      </c>
      <c r="K120" s="538" t="s">
        <v>442</v>
      </c>
      <c r="L120" s="497" t="s">
        <v>196</v>
      </c>
      <c r="M120" s="540">
        <v>768000000</v>
      </c>
      <c r="N120" s="540">
        <v>768000000</v>
      </c>
      <c r="O120" s="541"/>
      <c r="P120" s="542"/>
      <c r="Q120" s="543"/>
    </row>
    <row r="121" spans="2:17" ht="15" customHeight="1">
      <c r="B121" s="366">
        <f t="shared" si="5"/>
        <v>111</v>
      </c>
      <c r="C121" s="289" t="s">
        <v>416</v>
      </c>
      <c r="D121" s="446" t="s">
        <v>270</v>
      </c>
      <c r="E121" s="536" t="s">
        <v>307</v>
      </c>
      <c r="F121" s="520" t="s">
        <v>745</v>
      </c>
      <c r="G121" s="537">
        <v>1</v>
      </c>
      <c r="H121" s="538">
        <v>2</v>
      </c>
      <c r="I121" s="538" t="s">
        <v>221</v>
      </c>
      <c r="J121" s="539">
        <v>43235</v>
      </c>
      <c r="K121" s="538" t="s">
        <v>442</v>
      </c>
      <c r="L121" s="497" t="s">
        <v>196</v>
      </c>
      <c r="M121" s="540">
        <v>240000000</v>
      </c>
      <c r="N121" s="540">
        <v>240000000</v>
      </c>
      <c r="O121" s="541"/>
      <c r="P121" s="542"/>
      <c r="Q121" s="543"/>
    </row>
    <row r="122" spans="2:17" ht="15" customHeight="1">
      <c r="B122" s="366">
        <f t="shared" si="5"/>
        <v>112</v>
      </c>
      <c r="C122" s="289" t="s">
        <v>416</v>
      </c>
      <c r="D122" s="446" t="s">
        <v>270</v>
      </c>
      <c r="E122" s="536" t="s">
        <v>307</v>
      </c>
      <c r="F122" s="520" t="s">
        <v>745</v>
      </c>
      <c r="G122" s="537">
        <v>1</v>
      </c>
      <c r="H122" s="538">
        <v>3</v>
      </c>
      <c r="I122" s="538" t="s">
        <v>221</v>
      </c>
      <c r="J122" s="539">
        <v>44181</v>
      </c>
      <c r="K122" s="538" t="s">
        <v>442</v>
      </c>
      <c r="L122" s="497" t="s">
        <v>196</v>
      </c>
      <c r="M122" s="540">
        <v>160000000</v>
      </c>
      <c r="N122" s="540">
        <v>160000000</v>
      </c>
      <c r="O122" s="541"/>
      <c r="P122" s="542"/>
      <c r="Q122" s="543"/>
    </row>
    <row r="123" spans="2:17" ht="15" customHeight="1">
      <c r="B123" s="366">
        <f t="shared" si="5"/>
        <v>113</v>
      </c>
      <c r="C123" s="289" t="s">
        <v>416</v>
      </c>
      <c r="D123" s="446" t="s">
        <v>270</v>
      </c>
      <c r="E123" s="536" t="s">
        <v>307</v>
      </c>
      <c r="F123" s="520" t="s">
        <v>745</v>
      </c>
      <c r="G123" s="537">
        <v>1</v>
      </c>
      <c r="H123" s="538">
        <v>4</v>
      </c>
      <c r="I123" s="538" t="s">
        <v>221</v>
      </c>
      <c r="J123" s="539">
        <v>44802</v>
      </c>
      <c r="K123" s="538" t="s">
        <v>442</v>
      </c>
      <c r="L123" s="497" t="s">
        <v>196</v>
      </c>
      <c r="M123" s="540">
        <v>360000000</v>
      </c>
      <c r="N123" s="540">
        <v>360000000</v>
      </c>
      <c r="O123" s="541"/>
      <c r="P123" s="542"/>
      <c r="Q123" s="543"/>
    </row>
    <row r="124" spans="2:17" ht="15" customHeight="1">
      <c r="B124" s="366">
        <f t="shared" si="5"/>
        <v>114</v>
      </c>
      <c r="C124" s="289" t="s">
        <v>416</v>
      </c>
      <c r="D124" s="446" t="s">
        <v>270</v>
      </c>
      <c r="E124" s="536" t="s">
        <v>307</v>
      </c>
      <c r="F124" s="520" t="s">
        <v>745</v>
      </c>
      <c r="G124" s="537">
        <v>1</v>
      </c>
      <c r="H124" s="538">
        <v>5</v>
      </c>
      <c r="I124" s="538" t="s">
        <v>221</v>
      </c>
      <c r="J124" s="539">
        <v>45533</v>
      </c>
      <c r="K124" s="538" t="s">
        <v>442</v>
      </c>
      <c r="L124" s="497" t="s">
        <v>196</v>
      </c>
      <c r="M124" s="540">
        <v>108000000</v>
      </c>
      <c r="N124" s="540">
        <v>108000000</v>
      </c>
      <c r="O124" s="541"/>
      <c r="P124" s="542"/>
      <c r="Q124" s="543"/>
    </row>
    <row r="125" spans="2:17" ht="15" customHeight="1">
      <c r="B125" s="366">
        <f t="shared" si="5"/>
        <v>115</v>
      </c>
      <c r="C125" s="289" t="s">
        <v>416</v>
      </c>
      <c r="D125" s="446" t="s">
        <v>270</v>
      </c>
      <c r="E125" s="536" t="s">
        <v>306</v>
      </c>
      <c r="F125" s="520" t="s">
        <v>746</v>
      </c>
      <c r="G125" s="537">
        <v>1</v>
      </c>
      <c r="H125" s="538">
        <v>1</v>
      </c>
      <c r="I125" s="538" t="s">
        <v>221</v>
      </c>
      <c r="J125" s="539">
        <v>43825</v>
      </c>
      <c r="K125" s="538" t="s">
        <v>442</v>
      </c>
      <c r="L125" s="497" t="s">
        <v>196</v>
      </c>
      <c r="M125" s="540">
        <v>1014000000</v>
      </c>
      <c r="N125" s="540">
        <v>1014000000</v>
      </c>
      <c r="O125" s="541"/>
      <c r="P125" s="542"/>
      <c r="Q125" s="543"/>
    </row>
    <row r="126" spans="2:17" ht="15" customHeight="1">
      <c r="B126" s="366">
        <f t="shared" si="5"/>
        <v>116</v>
      </c>
      <c r="C126" s="289" t="s">
        <v>416</v>
      </c>
      <c r="D126" s="446" t="s">
        <v>270</v>
      </c>
      <c r="E126" s="536" t="s">
        <v>306</v>
      </c>
      <c r="F126" s="520" t="s">
        <v>746</v>
      </c>
      <c r="G126" s="537">
        <v>2</v>
      </c>
      <c r="H126" s="538">
        <v>1</v>
      </c>
      <c r="I126" s="538" t="s">
        <v>221</v>
      </c>
      <c r="J126" s="539">
        <v>44439</v>
      </c>
      <c r="K126" s="538" t="s">
        <v>442</v>
      </c>
      <c r="L126" s="497" t="s">
        <v>196</v>
      </c>
      <c r="M126" s="540">
        <v>804000000</v>
      </c>
      <c r="N126" s="540">
        <v>804000000</v>
      </c>
      <c r="O126" s="541"/>
      <c r="P126" s="542"/>
      <c r="Q126" s="543"/>
    </row>
    <row r="127" spans="2:17" ht="15" customHeight="1">
      <c r="B127" s="366">
        <f t="shared" si="5"/>
        <v>117</v>
      </c>
      <c r="C127" s="289" t="s">
        <v>416</v>
      </c>
      <c r="D127" s="446" t="s">
        <v>270</v>
      </c>
      <c r="E127" s="536" t="s">
        <v>301</v>
      </c>
      <c r="F127" s="520" t="s">
        <v>747</v>
      </c>
      <c r="G127" s="537">
        <v>1</v>
      </c>
      <c r="H127" s="538">
        <v>1</v>
      </c>
      <c r="I127" s="538" t="s">
        <v>333</v>
      </c>
      <c r="J127" s="539">
        <v>39927</v>
      </c>
      <c r="K127" s="538" t="s">
        <v>450</v>
      </c>
      <c r="L127" s="497" t="s">
        <v>196</v>
      </c>
      <c r="M127" s="540">
        <v>800000000</v>
      </c>
      <c r="N127" s="540">
        <v>800000000</v>
      </c>
      <c r="O127" s="541"/>
      <c r="P127" s="542"/>
      <c r="Q127" s="543"/>
    </row>
    <row r="128" spans="2:17" ht="15" customHeight="1">
      <c r="B128" s="366">
        <f t="shared" si="5"/>
        <v>118</v>
      </c>
      <c r="C128" s="289" t="s">
        <v>416</v>
      </c>
      <c r="D128" s="446" t="s">
        <v>270</v>
      </c>
      <c r="E128" s="536" t="s">
        <v>301</v>
      </c>
      <c r="F128" s="520" t="s">
        <v>747</v>
      </c>
      <c r="G128" s="537">
        <v>1</v>
      </c>
      <c r="H128" s="538">
        <v>2</v>
      </c>
      <c r="I128" s="538" t="s">
        <v>221</v>
      </c>
      <c r="J128" s="539">
        <v>40826</v>
      </c>
      <c r="K128" s="538" t="s">
        <v>442</v>
      </c>
      <c r="L128" s="497" t="s">
        <v>196</v>
      </c>
      <c r="M128" s="540">
        <v>600000000</v>
      </c>
      <c r="N128" s="540">
        <v>600000000</v>
      </c>
      <c r="O128" s="541"/>
      <c r="P128" s="542"/>
      <c r="Q128" s="543"/>
    </row>
    <row r="129" spans="2:17" ht="15" customHeight="1">
      <c r="B129" s="366">
        <f t="shared" si="5"/>
        <v>119</v>
      </c>
      <c r="C129" s="289" t="s">
        <v>416</v>
      </c>
      <c r="D129" s="446" t="s">
        <v>270</v>
      </c>
      <c r="E129" s="536" t="s">
        <v>298</v>
      </c>
      <c r="F129" s="520" t="s">
        <v>748</v>
      </c>
      <c r="G129" s="537">
        <v>1</v>
      </c>
      <c r="H129" s="538">
        <v>1</v>
      </c>
      <c r="I129" s="538" t="s">
        <v>221</v>
      </c>
      <c r="J129" s="539">
        <v>42474</v>
      </c>
      <c r="K129" s="538" t="s">
        <v>442</v>
      </c>
      <c r="L129" s="497" t="s">
        <v>196</v>
      </c>
      <c r="M129" s="540">
        <v>1560000000</v>
      </c>
      <c r="N129" s="540">
        <v>1560000000</v>
      </c>
      <c r="O129" s="541"/>
      <c r="P129" s="542" t="s">
        <v>2305</v>
      </c>
      <c r="Q129" s="543"/>
    </row>
    <row r="130" spans="2:17" ht="15" customHeight="1">
      <c r="B130" s="366">
        <f t="shared" si="5"/>
        <v>120</v>
      </c>
      <c r="C130" s="289" t="s">
        <v>416</v>
      </c>
      <c r="D130" s="446" t="s">
        <v>270</v>
      </c>
      <c r="E130" s="536" t="s">
        <v>298</v>
      </c>
      <c r="F130" s="520" t="s">
        <v>748</v>
      </c>
      <c r="G130" s="537">
        <v>1</v>
      </c>
      <c r="H130" s="538">
        <v>2</v>
      </c>
      <c r="I130" s="538" t="s">
        <v>221</v>
      </c>
      <c r="J130" s="539">
        <v>42807</v>
      </c>
      <c r="K130" s="538" t="s">
        <v>442</v>
      </c>
      <c r="L130" s="497" t="s">
        <v>196</v>
      </c>
      <c r="M130" s="540">
        <v>420000000</v>
      </c>
      <c r="N130" s="540">
        <v>420000000</v>
      </c>
      <c r="O130" s="541"/>
      <c r="P130" s="542" t="s">
        <v>2306</v>
      </c>
      <c r="Q130" s="543"/>
    </row>
    <row r="131" spans="2:17" ht="15" customHeight="1">
      <c r="B131" s="366">
        <f t="shared" si="5"/>
        <v>121</v>
      </c>
      <c r="C131" s="289" t="s">
        <v>416</v>
      </c>
      <c r="D131" s="446" t="s">
        <v>270</v>
      </c>
      <c r="E131" s="536" t="s">
        <v>298</v>
      </c>
      <c r="F131" s="520" t="s">
        <v>748</v>
      </c>
      <c r="G131" s="537">
        <v>1</v>
      </c>
      <c r="H131" s="538">
        <v>3</v>
      </c>
      <c r="I131" s="538" t="s">
        <v>221</v>
      </c>
      <c r="J131" s="539">
        <v>42954</v>
      </c>
      <c r="K131" s="538" t="s">
        <v>442</v>
      </c>
      <c r="L131" s="497" t="s">
        <v>196</v>
      </c>
      <c r="M131" s="540">
        <v>96000000</v>
      </c>
      <c r="N131" s="540">
        <v>96000000</v>
      </c>
      <c r="O131" s="541"/>
      <c r="P131" s="542" t="s">
        <v>2307</v>
      </c>
      <c r="Q131" s="543"/>
    </row>
    <row r="132" spans="2:17" ht="15" customHeight="1">
      <c r="B132" s="366">
        <f t="shared" si="5"/>
        <v>122</v>
      </c>
      <c r="C132" s="289" t="s">
        <v>416</v>
      </c>
      <c r="D132" s="446" t="s">
        <v>270</v>
      </c>
      <c r="E132" s="536" t="s">
        <v>296</v>
      </c>
      <c r="F132" s="520" t="s">
        <v>749</v>
      </c>
      <c r="G132" s="537">
        <v>1</v>
      </c>
      <c r="H132" s="538">
        <v>1</v>
      </c>
      <c r="I132" s="538" t="s">
        <v>221</v>
      </c>
      <c r="J132" s="539">
        <v>45443</v>
      </c>
      <c r="K132" s="538" t="s">
        <v>442</v>
      </c>
      <c r="L132" s="497" t="s">
        <v>196</v>
      </c>
      <c r="M132" s="540">
        <v>1680000000</v>
      </c>
      <c r="N132" s="540">
        <v>1680000000</v>
      </c>
      <c r="O132" s="541"/>
      <c r="P132" s="542" t="s">
        <v>2308</v>
      </c>
      <c r="Q132" s="543"/>
    </row>
    <row r="133" spans="2:17" ht="15" customHeight="1">
      <c r="B133" s="366">
        <f t="shared" si="5"/>
        <v>123</v>
      </c>
      <c r="C133" s="289" t="s">
        <v>416</v>
      </c>
      <c r="D133" s="446" t="s">
        <v>270</v>
      </c>
      <c r="E133" s="536" t="s">
        <v>304</v>
      </c>
      <c r="F133" s="520" t="s">
        <v>750</v>
      </c>
      <c r="G133" s="537">
        <v>1</v>
      </c>
      <c r="H133" s="538">
        <v>1</v>
      </c>
      <c r="I133" s="538" t="s">
        <v>221</v>
      </c>
      <c r="J133" s="539">
        <v>36966</v>
      </c>
      <c r="K133" s="538" t="s">
        <v>442</v>
      </c>
      <c r="L133" s="497" t="s">
        <v>196</v>
      </c>
      <c r="M133" s="540">
        <v>516000000</v>
      </c>
      <c r="N133" s="540">
        <v>516000000</v>
      </c>
      <c r="O133" s="541"/>
      <c r="P133" s="542" t="s">
        <v>2309</v>
      </c>
      <c r="Q133" s="543"/>
    </row>
    <row r="134" spans="2:17" ht="15" customHeight="1">
      <c r="B134" s="366">
        <f t="shared" si="5"/>
        <v>124</v>
      </c>
      <c r="C134" s="289" t="s">
        <v>416</v>
      </c>
      <c r="D134" s="446" t="s">
        <v>270</v>
      </c>
      <c r="E134" s="536" t="s">
        <v>304</v>
      </c>
      <c r="F134" s="520" t="s">
        <v>750</v>
      </c>
      <c r="G134" s="537">
        <v>1</v>
      </c>
      <c r="H134" s="538">
        <v>2</v>
      </c>
      <c r="I134" s="538" t="s">
        <v>221</v>
      </c>
      <c r="J134" s="539">
        <v>39034</v>
      </c>
      <c r="K134" s="538" t="s">
        <v>442</v>
      </c>
      <c r="L134" s="497" t="s">
        <v>196</v>
      </c>
      <c r="M134" s="540">
        <v>300000000</v>
      </c>
      <c r="N134" s="540">
        <v>300000000</v>
      </c>
      <c r="O134" s="541"/>
      <c r="P134" s="542" t="s">
        <v>2310</v>
      </c>
      <c r="Q134" s="543"/>
    </row>
    <row r="135" spans="2:17" ht="15" customHeight="1">
      <c r="B135" s="366">
        <f t="shared" si="5"/>
        <v>125</v>
      </c>
      <c r="C135" s="289" t="s">
        <v>416</v>
      </c>
      <c r="D135" s="446" t="s">
        <v>270</v>
      </c>
      <c r="E135" s="536" t="s">
        <v>304</v>
      </c>
      <c r="F135" s="520" t="s">
        <v>750</v>
      </c>
      <c r="G135" s="537">
        <v>1</v>
      </c>
      <c r="H135" s="538">
        <v>3</v>
      </c>
      <c r="I135" s="538" t="s">
        <v>221</v>
      </c>
      <c r="J135" s="539">
        <v>39230</v>
      </c>
      <c r="K135" s="538" t="s">
        <v>442</v>
      </c>
      <c r="L135" s="497" t="s">
        <v>196</v>
      </c>
      <c r="M135" s="540">
        <v>184000000</v>
      </c>
      <c r="N135" s="540">
        <v>184000000</v>
      </c>
      <c r="O135" s="541"/>
      <c r="P135" s="542" t="s">
        <v>2311</v>
      </c>
      <c r="Q135" s="543"/>
    </row>
    <row r="136" spans="2:17" ht="15" customHeight="1">
      <c r="B136" s="366">
        <f t="shared" si="5"/>
        <v>126</v>
      </c>
      <c r="C136" s="289" t="s">
        <v>416</v>
      </c>
      <c r="D136" s="446" t="s">
        <v>270</v>
      </c>
      <c r="E136" s="536" t="s">
        <v>304</v>
      </c>
      <c r="F136" s="520" t="s">
        <v>750</v>
      </c>
      <c r="G136" s="537">
        <v>2</v>
      </c>
      <c r="H136" s="538">
        <v>1</v>
      </c>
      <c r="I136" s="538" t="s">
        <v>248</v>
      </c>
      <c r="J136" s="539">
        <v>39911</v>
      </c>
      <c r="K136" s="538" t="s">
        <v>450</v>
      </c>
      <c r="L136" s="497" t="s">
        <v>196</v>
      </c>
      <c r="M136" s="540">
        <v>266400000</v>
      </c>
      <c r="N136" s="540">
        <v>266400000</v>
      </c>
      <c r="O136" s="541"/>
      <c r="P136" s="542"/>
      <c r="Q136" s="543" t="s">
        <v>2349</v>
      </c>
    </row>
    <row r="137" spans="2:17" ht="15" customHeight="1">
      <c r="B137" s="366">
        <f t="shared" si="5"/>
        <v>127</v>
      </c>
      <c r="C137" s="289" t="s">
        <v>416</v>
      </c>
      <c r="D137" s="446" t="s">
        <v>270</v>
      </c>
      <c r="E137" s="536" t="s">
        <v>304</v>
      </c>
      <c r="F137" s="520" t="s">
        <v>750</v>
      </c>
      <c r="G137" s="537">
        <v>2</v>
      </c>
      <c r="H137" s="538">
        <v>2</v>
      </c>
      <c r="I137" s="538" t="s">
        <v>221</v>
      </c>
      <c r="J137" s="539">
        <v>42425</v>
      </c>
      <c r="K137" s="538" t="s">
        <v>442</v>
      </c>
      <c r="L137" s="497" t="s">
        <v>196</v>
      </c>
      <c r="M137" s="540">
        <v>200000000</v>
      </c>
      <c r="N137" s="540">
        <v>200000000</v>
      </c>
      <c r="O137" s="541"/>
      <c r="P137" s="542"/>
      <c r="Q137" s="543"/>
    </row>
    <row r="138" spans="2:17" ht="15" customHeight="1">
      <c r="B138" s="366">
        <f t="shared" si="5"/>
        <v>128</v>
      </c>
      <c r="C138" s="289" t="s">
        <v>416</v>
      </c>
      <c r="D138" s="446" t="s">
        <v>270</v>
      </c>
      <c r="E138" s="536" t="s">
        <v>311</v>
      </c>
      <c r="F138" s="520" t="s">
        <v>751</v>
      </c>
      <c r="G138" s="537">
        <v>1</v>
      </c>
      <c r="H138" s="538">
        <v>1</v>
      </c>
      <c r="I138" s="538" t="s">
        <v>221</v>
      </c>
      <c r="J138" s="539">
        <v>44365</v>
      </c>
      <c r="K138" s="538" t="s">
        <v>442</v>
      </c>
      <c r="L138" s="497" t="s">
        <v>196</v>
      </c>
      <c r="M138" s="540">
        <v>252000000</v>
      </c>
      <c r="N138" s="540">
        <v>252000000</v>
      </c>
      <c r="O138" s="541"/>
      <c r="P138" s="542"/>
      <c r="Q138" s="543"/>
    </row>
    <row r="139" spans="2:17" ht="15" customHeight="1">
      <c r="B139" s="366">
        <f t="shared" si="5"/>
        <v>129</v>
      </c>
      <c r="C139" s="289" t="s">
        <v>416</v>
      </c>
      <c r="D139" s="446" t="s">
        <v>270</v>
      </c>
      <c r="E139" s="536" t="s">
        <v>311</v>
      </c>
      <c r="F139" s="520" t="s">
        <v>751</v>
      </c>
      <c r="G139" s="537">
        <v>1</v>
      </c>
      <c r="H139" s="538">
        <v>2</v>
      </c>
      <c r="I139" s="538" t="s">
        <v>221</v>
      </c>
      <c r="J139" s="539">
        <v>44400</v>
      </c>
      <c r="K139" s="538" t="s">
        <v>442</v>
      </c>
      <c r="L139" s="497" t="s">
        <v>196</v>
      </c>
      <c r="M139" s="540">
        <v>600000000</v>
      </c>
      <c r="N139" s="540">
        <v>600000000</v>
      </c>
      <c r="O139" s="541" t="s">
        <v>251</v>
      </c>
      <c r="P139" s="542" t="s">
        <v>2312</v>
      </c>
      <c r="Q139" s="543"/>
    </row>
    <row r="140" spans="2:17" ht="15" customHeight="1">
      <c r="B140" s="366">
        <f t="shared" si="5"/>
        <v>130</v>
      </c>
      <c r="C140" s="289" t="s">
        <v>416</v>
      </c>
      <c r="D140" s="446" t="s">
        <v>270</v>
      </c>
      <c r="E140" s="536" t="s">
        <v>311</v>
      </c>
      <c r="F140" s="520" t="s">
        <v>751</v>
      </c>
      <c r="G140" s="537">
        <v>1</v>
      </c>
      <c r="H140" s="538">
        <v>3</v>
      </c>
      <c r="I140" s="538" t="s">
        <v>221</v>
      </c>
      <c r="J140" s="539">
        <v>44400</v>
      </c>
      <c r="K140" s="538" t="s">
        <v>442</v>
      </c>
      <c r="L140" s="497" t="s">
        <v>196</v>
      </c>
      <c r="M140" s="540">
        <v>528000000</v>
      </c>
      <c r="N140" s="540">
        <v>528000000</v>
      </c>
      <c r="O140" s="541" t="s">
        <v>251</v>
      </c>
      <c r="P140" s="542" t="s">
        <v>2313</v>
      </c>
      <c r="Q140" s="543"/>
    </row>
    <row r="141" spans="2:17" ht="15" customHeight="1">
      <c r="B141" s="366">
        <f t="shared" si="5"/>
        <v>131</v>
      </c>
      <c r="C141" s="289" t="s">
        <v>416</v>
      </c>
      <c r="D141" s="446" t="s">
        <v>270</v>
      </c>
      <c r="E141" s="536" t="s">
        <v>311</v>
      </c>
      <c r="F141" s="520" t="s">
        <v>751</v>
      </c>
      <c r="G141" s="537">
        <v>2</v>
      </c>
      <c r="H141" s="538">
        <v>1</v>
      </c>
      <c r="I141" s="538" t="s">
        <v>221</v>
      </c>
      <c r="J141" s="539">
        <v>44498</v>
      </c>
      <c r="K141" s="538" t="s">
        <v>442</v>
      </c>
      <c r="L141" s="497" t="s">
        <v>196</v>
      </c>
      <c r="M141" s="540">
        <v>600000000</v>
      </c>
      <c r="N141" s="540">
        <v>600000000</v>
      </c>
      <c r="O141" s="541" t="s">
        <v>253</v>
      </c>
      <c r="P141" s="542" t="s">
        <v>2312</v>
      </c>
      <c r="Q141" s="543"/>
    </row>
    <row r="142" spans="2:17" ht="15" customHeight="1">
      <c r="B142" s="366">
        <f t="shared" si="5"/>
        <v>132</v>
      </c>
      <c r="C142" s="289" t="s">
        <v>416</v>
      </c>
      <c r="D142" s="446" t="s">
        <v>270</v>
      </c>
      <c r="E142" s="536" t="s">
        <v>311</v>
      </c>
      <c r="F142" s="520" t="s">
        <v>751</v>
      </c>
      <c r="G142" s="537">
        <v>2</v>
      </c>
      <c r="H142" s="538">
        <v>2</v>
      </c>
      <c r="I142" s="538" t="s">
        <v>221</v>
      </c>
      <c r="J142" s="539">
        <v>44498</v>
      </c>
      <c r="K142" s="538" t="s">
        <v>442</v>
      </c>
      <c r="L142" s="497" t="s">
        <v>196</v>
      </c>
      <c r="M142" s="540">
        <v>528000000</v>
      </c>
      <c r="N142" s="540">
        <v>528000000</v>
      </c>
      <c r="O142" s="541" t="s">
        <v>253</v>
      </c>
      <c r="P142" s="542" t="s">
        <v>2313</v>
      </c>
      <c r="Q142" s="543"/>
    </row>
    <row r="143" spans="2:17" ht="15" customHeight="1">
      <c r="B143" s="366">
        <f t="shared" si="5"/>
        <v>133</v>
      </c>
      <c r="C143" s="289" t="s">
        <v>416</v>
      </c>
      <c r="D143" s="446" t="s">
        <v>270</v>
      </c>
      <c r="E143" s="536" t="s">
        <v>312</v>
      </c>
      <c r="F143" s="520" t="s">
        <v>752</v>
      </c>
      <c r="G143" s="537">
        <v>1</v>
      </c>
      <c r="H143" s="538">
        <v>1</v>
      </c>
      <c r="I143" s="538" t="s">
        <v>221</v>
      </c>
      <c r="J143" s="539">
        <v>45260</v>
      </c>
      <c r="K143" s="538" t="s">
        <v>442</v>
      </c>
      <c r="L143" s="497" t="s">
        <v>196</v>
      </c>
      <c r="M143" s="540">
        <v>660000000</v>
      </c>
      <c r="N143" s="540">
        <v>660000000</v>
      </c>
      <c r="O143" s="541"/>
      <c r="P143" s="542"/>
      <c r="Q143" s="543"/>
    </row>
    <row r="144" spans="2:17" ht="15" customHeight="1">
      <c r="B144" s="366">
        <f t="shared" si="5"/>
        <v>134</v>
      </c>
      <c r="C144" s="289" t="s">
        <v>416</v>
      </c>
      <c r="D144" s="446" t="s">
        <v>270</v>
      </c>
      <c r="E144" s="536" t="s">
        <v>312</v>
      </c>
      <c r="F144" s="520" t="s">
        <v>752</v>
      </c>
      <c r="G144" s="537">
        <v>2</v>
      </c>
      <c r="H144" s="538">
        <v>1</v>
      </c>
      <c r="I144" s="538" t="s">
        <v>221</v>
      </c>
      <c r="J144" s="539">
        <v>44546</v>
      </c>
      <c r="K144" s="538" t="s">
        <v>442</v>
      </c>
      <c r="L144" s="497" t="s">
        <v>196</v>
      </c>
      <c r="M144" s="540">
        <v>516000000</v>
      </c>
      <c r="N144" s="540">
        <v>516000000</v>
      </c>
      <c r="O144" s="541"/>
      <c r="P144" s="542"/>
      <c r="Q144" s="543"/>
    </row>
    <row r="145" spans="2:17" ht="15" customHeight="1">
      <c r="B145" s="366">
        <f t="shared" si="5"/>
        <v>135</v>
      </c>
      <c r="C145" s="289" t="s">
        <v>416</v>
      </c>
      <c r="D145" s="446" t="s">
        <v>270</v>
      </c>
      <c r="E145" s="536" t="s">
        <v>312</v>
      </c>
      <c r="F145" s="520" t="s">
        <v>752</v>
      </c>
      <c r="G145" s="537">
        <v>3</v>
      </c>
      <c r="H145" s="538">
        <v>1</v>
      </c>
      <c r="I145" s="538" t="s">
        <v>221</v>
      </c>
      <c r="J145" s="539">
        <v>44795</v>
      </c>
      <c r="K145" s="538" t="s">
        <v>443</v>
      </c>
      <c r="L145" s="497" t="s">
        <v>196</v>
      </c>
      <c r="M145" s="540">
        <v>26400000</v>
      </c>
      <c r="N145" s="540">
        <v>26400000</v>
      </c>
      <c r="O145" s="541"/>
      <c r="P145" s="542"/>
      <c r="Q145" s="543"/>
    </row>
    <row r="146" spans="2:17" ht="15" customHeight="1">
      <c r="B146" s="366">
        <f t="shared" si="5"/>
        <v>136</v>
      </c>
      <c r="C146" s="289" t="s">
        <v>416</v>
      </c>
      <c r="D146" s="446" t="s">
        <v>270</v>
      </c>
      <c r="E146" s="536" t="s">
        <v>299</v>
      </c>
      <c r="F146" s="520" t="s">
        <v>753</v>
      </c>
      <c r="G146" s="537">
        <v>1</v>
      </c>
      <c r="H146" s="538">
        <v>1</v>
      </c>
      <c r="I146" s="538" t="s">
        <v>221</v>
      </c>
      <c r="J146" s="539">
        <v>44586</v>
      </c>
      <c r="K146" s="538" t="s">
        <v>442</v>
      </c>
      <c r="L146" s="497" t="s">
        <v>196</v>
      </c>
      <c r="M146" s="540">
        <v>1080000000</v>
      </c>
      <c r="N146" s="540">
        <v>1080000000</v>
      </c>
      <c r="O146" s="541"/>
      <c r="P146" s="542" t="s">
        <v>2314</v>
      </c>
      <c r="Q146" s="543"/>
    </row>
    <row r="147" spans="2:17" ht="15" customHeight="1">
      <c r="B147" s="366">
        <f t="shared" si="5"/>
        <v>137</v>
      </c>
      <c r="C147" s="289" t="s">
        <v>416</v>
      </c>
      <c r="D147" s="446" t="s">
        <v>270</v>
      </c>
      <c r="E147" s="536" t="s">
        <v>299</v>
      </c>
      <c r="F147" s="520" t="s">
        <v>753</v>
      </c>
      <c r="G147" s="537">
        <v>2</v>
      </c>
      <c r="H147" s="538">
        <v>1</v>
      </c>
      <c r="I147" s="538" t="s">
        <v>333</v>
      </c>
      <c r="J147" s="539">
        <v>43753</v>
      </c>
      <c r="K147" s="538" t="s">
        <v>450</v>
      </c>
      <c r="L147" s="497" t="s">
        <v>196</v>
      </c>
      <c r="M147" s="540">
        <v>138700000</v>
      </c>
      <c r="N147" s="540">
        <v>138700000</v>
      </c>
      <c r="O147" s="541"/>
      <c r="P147" s="542"/>
      <c r="Q147" s="543"/>
    </row>
    <row r="148" spans="2:17" ht="15" customHeight="1">
      <c r="B148" s="366">
        <f t="shared" si="5"/>
        <v>138</v>
      </c>
      <c r="C148" s="289" t="s">
        <v>416</v>
      </c>
      <c r="D148" s="446" t="s">
        <v>270</v>
      </c>
      <c r="E148" s="536" t="s">
        <v>299</v>
      </c>
      <c r="F148" s="520" t="s">
        <v>753</v>
      </c>
      <c r="G148" s="537">
        <v>2</v>
      </c>
      <c r="H148" s="538">
        <v>2</v>
      </c>
      <c r="I148" s="538" t="s">
        <v>221</v>
      </c>
      <c r="J148" s="539">
        <v>45320</v>
      </c>
      <c r="K148" s="538" t="s">
        <v>442</v>
      </c>
      <c r="L148" s="497" t="s">
        <v>196</v>
      </c>
      <c r="M148" s="540">
        <v>37200000</v>
      </c>
      <c r="N148" s="540">
        <v>37200000</v>
      </c>
      <c r="O148" s="541"/>
      <c r="P148" s="542"/>
      <c r="Q148" s="543"/>
    </row>
    <row r="149" spans="2:17" ht="15" customHeight="1">
      <c r="B149" s="366">
        <f t="shared" si="5"/>
        <v>139</v>
      </c>
      <c r="C149" s="289" t="s">
        <v>416</v>
      </c>
      <c r="D149" s="446" t="s">
        <v>270</v>
      </c>
      <c r="E149" s="536" t="s">
        <v>303</v>
      </c>
      <c r="F149" s="520" t="s">
        <v>754</v>
      </c>
      <c r="G149" s="537">
        <v>1</v>
      </c>
      <c r="H149" s="538">
        <v>1</v>
      </c>
      <c r="I149" s="538" t="s">
        <v>2315</v>
      </c>
      <c r="J149" s="539">
        <v>42177</v>
      </c>
      <c r="K149" s="538" t="s">
        <v>450</v>
      </c>
      <c r="L149" s="497" t="s">
        <v>196</v>
      </c>
      <c r="M149" s="540">
        <v>480000000</v>
      </c>
      <c r="N149" s="540">
        <v>480000000</v>
      </c>
      <c r="O149" s="541"/>
      <c r="P149" s="542"/>
      <c r="Q149" s="543"/>
    </row>
    <row r="150" spans="2:17" ht="15" customHeight="1">
      <c r="B150" s="366">
        <f t="shared" ref="B150:B173" si="6">ROW()-10</f>
        <v>140</v>
      </c>
      <c r="C150" s="289" t="s">
        <v>416</v>
      </c>
      <c r="D150" s="446" t="s">
        <v>270</v>
      </c>
      <c r="E150" s="536" t="s">
        <v>303</v>
      </c>
      <c r="F150" s="520" t="s">
        <v>754</v>
      </c>
      <c r="G150" s="537">
        <v>1</v>
      </c>
      <c r="H150" s="538">
        <v>2</v>
      </c>
      <c r="I150" s="538" t="s">
        <v>221</v>
      </c>
      <c r="J150" s="539">
        <v>44448</v>
      </c>
      <c r="K150" s="538" t="s">
        <v>443</v>
      </c>
      <c r="L150" s="497" t="s">
        <v>196</v>
      </c>
      <c r="M150" s="540">
        <v>573600000</v>
      </c>
      <c r="N150" s="540">
        <v>573600000</v>
      </c>
      <c r="O150" s="541"/>
      <c r="P150" s="542"/>
      <c r="Q150" s="543"/>
    </row>
    <row r="151" spans="2:17" ht="15" customHeight="1">
      <c r="B151" s="366">
        <f t="shared" si="6"/>
        <v>141</v>
      </c>
      <c r="C151" s="289" t="s">
        <v>416</v>
      </c>
      <c r="D151" s="446" t="s">
        <v>270</v>
      </c>
      <c r="E151" s="536" t="s">
        <v>295</v>
      </c>
      <c r="F151" s="520" t="s">
        <v>755</v>
      </c>
      <c r="G151" s="537">
        <v>1</v>
      </c>
      <c r="H151" s="538">
        <v>1</v>
      </c>
      <c r="I151" s="538" t="s">
        <v>221</v>
      </c>
      <c r="J151" s="539">
        <v>45397</v>
      </c>
      <c r="K151" s="538" t="s">
        <v>442</v>
      </c>
      <c r="L151" s="497" t="s">
        <v>196</v>
      </c>
      <c r="M151" s="540">
        <v>669600000</v>
      </c>
      <c r="N151" s="540">
        <v>669600000</v>
      </c>
      <c r="O151" s="541"/>
      <c r="P151" s="542"/>
      <c r="Q151" s="543"/>
    </row>
    <row r="152" spans="2:17" ht="15" customHeight="1">
      <c r="B152" s="366">
        <f t="shared" si="6"/>
        <v>142</v>
      </c>
      <c r="C152" s="289" t="s">
        <v>416</v>
      </c>
      <c r="D152" s="446" t="s">
        <v>270</v>
      </c>
      <c r="E152" s="536" t="s">
        <v>308</v>
      </c>
      <c r="F152" s="520" t="s">
        <v>756</v>
      </c>
      <c r="G152" s="537">
        <v>1</v>
      </c>
      <c r="H152" s="538">
        <v>1</v>
      </c>
      <c r="I152" s="538" t="s">
        <v>221</v>
      </c>
      <c r="J152" s="539">
        <v>43066</v>
      </c>
      <c r="K152" s="538" t="s">
        <v>442</v>
      </c>
      <c r="L152" s="497" t="s">
        <v>196</v>
      </c>
      <c r="M152" s="540">
        <v>1056000000</v>
      </c>
      <c r="N152" s="540">
        <v>1056000000</v>
      </c>
      <c r="O152" s="541"/>
      <c r="P152" s="542" t="s">
        <v>2316</v>
      </c>
      <c r="Q152" s="543"/>
    </row>
    <row r="153" spans="2:17" ht="15" customHeight="1">
      <c r="B153" s="366">
        <f t="shared" si="6"/>
        <v>143</v>
      </c>
      <c r="C153" s="289" t="s">
        <v>416</v>
      </c>
      <c r="D153" s="446" t="s">
        <v>270</v>
      </c>
      <c r="E153" s="536" t="s">
        <v>308</v>
      </c>
      <c r="F153" s="520" t="s">
        <v>756</v>
      </c>
      <c r="G153" s="537">
        <v>1</v>
      </c>
      <c r="H153" s="538">
        <v>2</v>
      </c>
      <c r="I153" s="538" t="s">
        <v>221</v>
      </c>
      <c r="J153" s="539">
        <v>43165</v>
      </c>
      <c r="K153" s="538" t="s">
        <v>442</v>
      </c>
      <c r="L153" s="497" t="s">
        <v>196</v>
      </c>
      <c r="M153" s="540">
        <v>276000000</v>
      </c>
      <c r="N153" s="540">
        <v>276000000</v>
      </c>
      <c r="O153" s="541"/>
      <c r="P153" s="542" t="s">
        <v>2317</v>
      </c>
      <c r="Q153" s="543"/>
    </row>
    <row r="154" spans="2:17" ht="15" customHeight="1">
      <c r="B154" s="366">
        <f t="shared" si="6"/>
        <v>144</v>
      </c>
      <c r="C154" s="289" t="s">
        <v>416</v>
      </c>
      <c r="D154" s="446" t="s">
        <v>270</v>
      </c>
      <c r="E154" s="536" t="s">
        <v>308</v>
      </c>
      <c r="F154" s="520" t="s">
        <v>756</v>
      </c>
      <c r="G154" s="537">
        <v>2</v>
      </c>
      <c r="H154" s="538">
        <v>1</v>
      </c>
      <c r="I154" s="538" t="s">
        <v>248</v>
      </c>
      <c r="J154" s="539">
        <v>42663</v>
      </c>
      <c r="K154" s="538" t="s">
        <v>450</v>
      </c>
      <c r="L154" s="497" t="s">
        <v>196</v>
      </c>
      <c r="M154" s="540">
        <v>100000000</v>
      </c>
      <c r="N154" s="540">
        <v>100000000</v>
      </c>
      <c r="O154" s="541"/>
      <c r="P154" s="542"/>
      <c r="Q154" s="543" t="s">
        <v>2350</v>
      </c>
    </row>
    <row r="155" spans="2:17" ht="15" customHeight="1">
      <c r="B155" s="366">
        <f t="shared" si="6"/>
        <v>145</v>
      </c>
      <c r="C155" s="289" t="s">
        <v>416</v>
      </c>
      <c r="D155" s="446" t="s">
        <v>270</v>
      </c>
      <c r="E155" s="536" t="s">
        <v>308</v>
      </c>
      <c r="F155" s="520" t="s">
        <v>756</v>
      </c>
      <c r="G155" s="537">
        <v>2</v>
      </c>
      <c r="H155" s="538">
        <v>2</v>
      </c>
      <c r="I155" s="538" t="s">
        <v>221</v>
      </c>
      <c r="J155" s="539">
        <v>42664</v>
      </c>
      <c r="K155" s="538" t="s">
        <v>442</v>
      </c>
      <c r="L155" s="497" t="s">
        <v>196</v>
      </c>
      <c r="M155" s="540">
        <v>120000000</v>
      </c>
      <c r="N155" s="540">
        <v>120000000</v>
      </c>
      <c r="O155" s="541"/>
      <c r="P155" s="542"/>
      <c r="Q155" s="543"/>
    </row>
    <row r="156" spans="2:17" ht="15" customHeight="1">
      <c r="B156" s="366">
        <f t="shared" si="6"/>
        <v>146</v>
      </c>
      <c r="C156" s="289" t="s">
        <v>416</v>
      </c>
      <c r="D156" s="446" t="s">
        <v>270</v>
      </c>
      <c r="E156" s="536" t="s">
        <v>308</v>
      </c>
      <c r="F156" s="520" t="s">
        <v>756</v>
      </c>
      <c r="G156" s="537">
        <v>2</v>
      </c>
      <c r="H156" s="538">
        <v>3</v>
      </c>
      <c r="I156" s="538" t="s">
        <v>221</v>
      </c>
      <c r="J156" s="539">
        <v>44959</v>
      </c>
      <c r="K156" s="538" t="s">
        <v>442</v>
      </c>
      <c r="L156" s="497" t="s">
        <v>196</v>
      </c>
      <c r="M156" s="540">
        <v>120000000</v>
      </c>
      <c r="N156" s="540">
        <v>120000000</v>
      </c>
      <c r="O156" s="541"/>
      <c r="P156" s="542"/>
      <c r="Q156" s="543"/>
    </row>
    <row r="157" spans="2:17" ht="15" customHeight="1">
      <c r="B157" s="366">
        <f t="shared" si="6"/>
        <v>147</v>
      </c>
      <c r="C157" s="289" t="s">
        <v>416</v>
      </c>
      <c r="D157" s="446" t="s">
        <v>270</v>
      </c>
      <c r="E157" s="536" t="s">
        <v>300</v>
      </c>
      <c r="F157" s="520" t="s">
        <v>757</v>
      </c>
      <c r="G157" s="537">
        <v>1</v>
      </c>
      <c r="H157" s="538">
        <v>1</v>
      </c>
      <c r="I157" s="538" t="s">
        <v>221</v>
      </c>
      <c r="J157" s="539">
        <v>45412</v>
      </c>
      <c r="K157" s="538" t="s">
        <v>442</v>
      </c>
      <c r="L157" s="497" t="s">
        <v>196</v>
      </c>
      <c r="M157" s="540">
        <v>220800000</v>
      </c>
      <c r="N157" s="540">
        <v>220800000</v>
      </c>
      <c r="O157" s="541"/>
      <c r="P157" s="542"/>
      <c r="Q157" s="543"/>
    </row>
    <row r="158" spans="2:17" ht="15" customHeight="1">
      <c r="B158" s="366">
        <f t="shared" si="6"/>
        <v>148</v>
      </c>
      <c r="C158" s="289" t="s">
        <v>416</v>
      </c>
      <c r="D158" s="446" t="s">
        <v>270</v>
      </c>
      <c r="E158" s="536" t="s">
        <v>300</v>
      </c>
      <c r="F158" s="520" t="s">
        <v>757</v>
      </c>
      <c r="G158" s="537">
        <v>2</v>
      </c>
      <c r="H158" s="538">
        <v>1</v>
      </c>
      <c r="I158" s="538" t="s">
        <v>221</v>
      </c>
      <c r="J158" s="539">
        <v>45412</v>
      </c>
      <c r="K158" s="538" t="s">
        <v>442</v>
      </c>
      <c r="L158" s="497" t="s">
        <v>196</v>
      </c>
      <c r="M158" s="540">
        <v>182000000</v>
      </c>
      <c r="N158" s="540">
        <v>182000000</v>
      </c>
      <c r="O158" s="541"/>
      <c r="P158" s="542"/>
      <c r="Q158" s="543"/>
    </row>
    <row r="159" spans="2:17" ht="15" customHeight="1">
      <c r="B159" s="366">
        <f t="shared" si="6"/>
        <v>149</v>
      </c>
      <c r="C159" s="289" t="s">
        <v>416</v>
      </c>
      <c r="D159" s="446" t="s">
        <v>270</v>
      </c>
      <c r="E159" s="536" t="s">
        <v>302</v>
      </c>
      <c r="F159" s="520" t="s">
        <v>758</v>
      </c>
      <c r="G159" s="537">
        <v>1</v>
      </c>
      <c r="H159" s="538">
        <v>1</v>
      </c>
      <c r="I159" s="538" t="s">
        <v>221</v>
      </c>
      <c r="J159" s="539">
        <v>45357</v>
      </c>
      <c r="K159" s="538" t="s">
        <v>442</v>
      </c>
      <c r="L159" s="497" t="s">
        <v>196</v>
      </c>
      <c r="M159" s="540">
        <v>960000000</v>
      </c>
      <c r="N159" s="540">
        <v>960000000</v>
      </c>
      <c r="O159" s="541"/>
      <c r="P159" s="542" t="s">
        <v>2318</v>
      </c>
      <c r="Q159" s="543"/>
    </row>
    <row r="160" spans="2:17" ht="15" customHeight="1">
      <c r="B160" s="366">
        <f t="shared" si="6"/>
        <v>150</v>
      </c>
      <c r="C160" s="289" t="s">
        <v>416</v>
      </c>
      <c r="D160" s="446" t="s">
        <v>270</v>
      </c>
      <c r="E160" s="536" t="s">
        <v>362</v>
      </c>
      <c r="F160" s="520" t="s">
        <v>637</v>
      </c>
      <c r="G160" s="537">
        <v>1</v>
      </c>
      <c r="H160" s="538">
        <v>1</v>
      </c>
      <c r="I160" s="538" t="s">
        <v>221</v>
      </c>
      <c r="J160" s="539">
        <v>42265</v>
      </c>
      <c r="K160" s="538" t="s">
        <v>442</v>
      </c>
      <c r="L160" s="497" t="s">
        <v>196</v>
      </c>
      <c r="M160" s="540">
        <v>420000000</v>
      </c>
      <c r="N160" s="540">
        <v>420000000</v>
      </c>
      <c r="O160" s="541"/>
      <c r="P160" s="542"/>
      <c r="Q160" s="543"/>
    </row>
    <row r="161" spans="2:17" ht="15" customHeight="1">
      <c r="B161" s="366">
        <f t="shared" si="6"/>
        <v>151</v>
      </c>
      <c r="C161" s="289" t="s">
        <v>416</v>
      </c>
      <c r="D161" s="446" t="s">
        <v>270</v>
      </c>
      <c r="E161" s="536" t="s">
        <v>363</v>
      </c>
      <c r="F161" s="520" t="s">
        <v>759</v>
      </c>
      <c r="G161" s="537">
        <v>1</v>
      </c>
      <c r="H161" s="538">
        <v>1</v>
      </c>
      <c r="I161" s="538" t="s">
        <v>221</v>
      </c>
      <c r="J161" s="539">
        <v>44326</v>
      </c>
      <c r="K161" s="538" t="s">
        <v>442</v>
      </c>
      <c r="L161" s="497" t="s">
        <v>196</v>
      </c>
      <c r="M161" s="540">
        <v>3000000000</v>
      </c>
      <c r="N161" s="540">
        <v>3000000000</v>
      </c>
      <c r="O161" s="541" t="s">
        <v>251</v>
      </c>
      <c r="P161" s="542"/>
      <c r="Q161" s="543"/>
    </row>
    <row r="162" spans="2:17" ht="15" customHeight="1">
      <c r="B162" s="366">
        <f t="shared" si="6"/>
        <v>152</v>
      </c>
      <c r="C162" s="289" t="s">
        <v>416</v>
      </c>
      <c r="D162" s="446" t="s">
        <v>270</v>
      </c>
      <c r="E162" s="536" t="s">
        <v>363</v>
      </c>
      <c r="F162" s="520" t="s">
        <v>759</v>
      </c>
      <c r="G162" s="537">
        <v>2</v>
      </c>
      <c r="H162" s="538">
        <v>1</v>
      </c>
      <c r="I162" s="538" t="s">
        <v>2319</v>
      </c>
      <c r="J162" s="539">
        <v>44875</v>
      </c>
      <c r="K162" s="538" t="s">
        <v>450</v>
      </c>
      <c r="L162" s="497" t="s">
        <v>196</v>
      </c>
      <c r="M162" s="540">
        <v>780000000</v>
      </c>
      <c r="N162" s="540">
        <v>780000000</v>
      </c>
      <c r="O162" s="541"/>
      <c r="P162" s="542"/>
      <c r="Q162" s="543"/>
    </row>
    <row r="163" spans="2:17" ht="15" customHeight="1">
      <c r="B163" s="366">
        <f t="shared" si="6"/>
        <v>153</v>
      </c>
      <c r="C163" s="289" t="s">
        <v>416</v>
      </c>
      <c r="D163" s="446" t="s">
        <v>270</v>
      </c>
      <c r="E163" s="536" t="s">
        <v>363</v>
      </c>
      <c r="F163" s="520" t="s">
        <v>759</v>
      </c>
      <c r="G163" s="537">
        <v>2</v>
      </c>
      <c r="H163" s="538">
        <v>2</v>
      </c>
      <c r="I163" s="538" t="s">
        <v>221</v>
      </c>
      <c r="J163" s="539">
        <v>44985</v>
      </c>
      <c r="K163" s="538" t="s">
        <v>442</v>
      </c>
      <c r="L163" s="497" t="s">
        <v>196</v>
      </c>
      <c r="M163" s="540">
        <v>3000000000</v>
      </c>
      <c r="N163" s="540">
        <v>3000000000</v>
      </c>
      <c r="O163" s="541" t="s">
        <v>253</v>
      </c>
      <c r="P163" s="542"/>
      <c r="Q163" s="543"/>
    </row>
    <row r="164" spans="2:17" ht="15" customHeight="1">
      <c r="B164" s="366">
        <f t="shared" si="6"/>
        <v>154</v>
      </c>
      <c r="C164" s="289" t="s">
        <v>416</v>
      </c>
      <c r="D164" s="446" t="s">
        <v>270</v>
      </c>
      <c r="E164" s="536" t="s">
        <v>364</v>
      </c>
      <c r="F164" s="520" t="s">
        <v>634</v>
      </c>
      <c r="G164" s="537">
        <v>1</v>
      </c>
      <c r="H164" s="538">
        <v>1</v>
      </c>
      <c r="I164" s="538" t="s">
        <v>221</v>
      </c>
      <c r="J164" s="539">
        <v>41421</v>
      </c>
      <c r="K164" s="538" t="s">
        <v>1835</v>
      </c>
      <c r="L164" s="497" t="s">
        <v>196</v>
      </c>
      <c r="M164" s="540">
        <v>180000000</v>
      </c>
      <c r="N164" s="540">
        <v>180000000</v>
      </c>
      <c r="O164" s="541"/>
      <c r="P164" s="542"/>
      <c r="Q164" s="543"/>
    </row>
    <row r="165" spans="2:17" ht="15" customHeight="1">
      <c r="B165" s="366">
        <f t="shared" si="6"/>
        <v>155</v>
      </c>
      <c r="C165" s="289" t="s">
        <v>416</v>
      </c>
      <c r="D165" s="446" t="s">
        <v>270</v>
      </c>
      <c r="E165" s="536" t="s">
        <v>364</v>
      </c>
      <c r="F165" s="520" t="s">
        <v>634</v>
      </c>
      <c r="G165" s="537">
        <v>1</v>
      </c>
      <c r="H165" s="538">
        <v>2</v>
      </c>
      <c r="I165" s="538" t="s">
        <v>221</v>
      </c>
      <c r="J165" s="539">
        <v>42776</v>
      </c>
      <c r="K165" s="538" t="s">
        <v>1835</v>
      </c>
      <c r="L165" s="497" t="s">
        <v>196</v>
      </c>
      <c r="M165" s="540">
        <v>96000000</v>
      </c>
      <c r="N165" s="540">
        <v>96000000</v>
      </c>
      <c r="O165" s="541"/>
      <c r="P165" s="542"/>
      <c r="Q165" s="543"/>
    </row>
    <row r="166" spans="2:17" ht="15" customHeight="1">
      <c r="B166" s="366">
        <f t="shared" si="6"/>
        <v>156</v>
      </c>
      <c r="C166" s="289" t="s">
        <v>416</v>
      </c>
      <c r="D166" s="446" t="s">
        <v>270</v>
      </c>
      <c r="E166" s="536" t="s">
        <v>364</v>
      </c>
      <c r="F166" s="520" t="s">
        <v>634</v>
      </c>
      <c r="G166" s="537">
        <v>2</v>
      </c>
      <c r="H166" s="538">
        <v>1</v>
      </c>
      <c r="I166" s="538" t="s">
        <v>221</v>
      </c>
      <c r="J166" s="539">
        <v>42641</v>
      </c>
      <c r="K166" s="538" t="s">
        <v>442</v>
      </c>
      <c r="L166" s="497" t="s">
        <v>196</v>
      </c>
      <c r="M166" s="540">
        <v>120000000</v>
      </c>
      <c r="N166" s="540">
        <v>120000000</v>
      </c>
      <c r="O166" s="541"/>
      <c r="P166" s="542"/>
      <c r="Q166" s="543"/>
    </row>
    <row r="167" spans="2:17" ht="15" customHeight="1">
      <c r="B167" s="366">
        <f t="shared" si="6"/>
        <v>157</v>
      </c>
      <c r="C167" s="289" t="s">
        <v>416</v>
      </c>
      <c r="D167" s="446" t="s">
        <v>270</v>
      </c>
      <c r="E167" s="536" t="s">
        <v>365</v>
      </c>
      <c r="F167" s="520" t="s">
        <v>761</v>
      </c>
      <c r="G167" s="537">
        <v>1</v>
      </c>
      <c r="H167" s="538">
        <v>1</v>
      </c>
      <c r="I167" s="538" t="s">
        <v>221</v>
      </c>
      <c r="J167" s="539">
        <v>39911</v>
      </c>
      <c r="K167" s="538" t="s">
        <v>1835</v>
      </c>
      <c r="L167" s="497" t="s">
        <v>196</v>
      </c>
      <c r="M167" s="540">
        <v>266400000</v>
      </c>
      <c r="N167" s="540">
        <v>266400000</v>
      </c>
      <c r="O167" s="541"/>
      <c r="P167" s="542"/>
      <c r="Q167" s="543"/>
    </row>
    <row r="168" spans="2:17" ht="15" customHeight="1">
      <c r="B168" s="366">
        <f t="shared" si="6"/>
        <v>158</v>
      </c>
      <c r="C168" s="289" t="s">
        <v>416</v>
      </c>
      <c r="D168" s="446" t="s">
        <v>270</v>
      </c>
      <c r="E168" s="536" t="s">
        <v>376</v>
      </c>
      <c r="F168" s="520" t="s">
        <v>762</v>
      </c>
      <c r="G168" s="537">
        <v>1</v>
      </c>
      <c r="H168" s="538">
        <v>1</v>
      </c>
      <c r="I168" s="538" t="s">
        <v>221</v>
      </c>
      <c r="J168" s="539">
        <v>42720</v>
      </c>
      <c r="K168" s="538" t="s">
        <v>442</v>
      </c>
      <c r="L168" s="497" t="s">
        <v>196</v>
      </c>
      <c r="M168" s="540">
        <v>204000000</v>
      </c>
      <c r="N168" s="540">
        <v>204000000</v>
      </c>
      <c r="O168" s="541"/>
      <c r="P168" s="542"/>
      <c r="Q168" s="543"/>
    </row>
    <row r="169" spans="2:17" ht="15" customHeight="1">
      <c r="B169" s="366">
        <f t="shared" si="6"/>
        <v>159</v>
      </c>
      <c r="C169" s="289" t="s">
        <v>416</v>
      </c>
      <c r="D169" s="446" t="s">
        <v>270</v>
      </c>
      <c r="E169" s="536" t="s">
        <v>376</v>
      </c>
      <c r="F169" s="520" t="s">
        <v>762</v>
      </c>
      <c r="G169" s="537">
        <v>1</v>
      </c>
      <c r="H169" s="538">
        <v>2</v>
      </c>
      <c r="I169" s="538" t="s">
        <v>221</v>
      </c>
      <c r="J169" s="539">
        <v>43795</v>
      </c>
      <c r="K169" s="538" t="s">
        <v>442</v>
      </c>
      <c r="L169" s="497" t="s">
        <v>196</v>
      </c>
      <c r="M169" s="540">
        <v>36000000</v>
      </c>
      <c r="N169" s="540">
        <v>36000000</v>
      </c>
      <c r="O169" s="541"/>
      <c r="P169" s="542"/>
      <c r="Q169" s="543"/>
    </row>
    <row r="170" spans="2:17" ht="15" customHeight="1">
      <c r="B170" s="366">
        <f t="shared" si="6"/>
        <v>160</v>
      </c>
      <c r="C170" s="289" t="s">
        <v>416</v>
      </c>
      <c r="D170" s="446" t="s">
        <v>270</v>
      </c>
      <c r="E170" s="536" t="s">
        <v>377</v>
      </c>
      <c r="F170" s="520" t="s">
        <v>763</v>
      </c>
      <c r="G170" s="537">
        <v>1</v>
      </c>
      <c r="H170" s="538">
        <v>1</v>
      </c>
      <c r="I170" s="538" t="s">
        <v>221</v>
      </c>
      <c r="J170" s="539">
        <v>42320</v>
      </c>
      <c r="K170" s="538" t="s">
        <v>442</v>
      </c>
      <c r="L170" s="497" t="s">
        <v>196</v>
      </c>
      <c r="M170" s="540">
        <v>154800000</v>
      </c>
      <c r="N170" s="540">
        <v>154800000</v>
      </c>
      <c r="O170" s="544"/>
      <c r="P170" s="542"/>
      <c r="Q170" s="543"/>
    </row>
    <row r="171" spans="2:17" ht="15" customHeight="1">
      <c r="B171" s="366">
        <f t="shared" si="6"/>
        <v>161</v>
      </c>
      <c r="C171" s="289" t="s">
        <v>416</v>
      </c>
      <c r="D171" s="446" t="s">
        <v>270</v>
      </c>
      <c r="E171" s="536" t="s">
        <v>378</v>
      </c>
      <c r="F171" s="520" t="s">
        <v>764</v>
      </c>
      <c r="G171" s="537">
        <v>1</v>
      </c>
      <c r="H171" s="538">
        <v>1</v>
      </c>
      <c r="I171" s="538" t="s">
        <v>221</v>
      </c>
      <c r="J171" s="539">
        <v>40018</v>
      </c>
      <c r="K171" s="538" t="s">
        <v>449</v>
      </c>
      <c r="L171" s="497" t="s">
        <v>196</v>
      </c>
      <c r="M171" s="540">
        <v>96000000</v>
      </c>
      <c r="N171" s="540">
        <v>96000000</v>
      </c>
      <c r="O171" s="544"/>
      <c r="P171" s="542"/>
      <c r="Q171" s="543"/>
    </row>
    <row r="172" spans="2:17" ht="15" customHeight="1">
      <c r="B172" s="366">
        <f t="shared" si="6"/>
        <v>162</v>
      </c>
      <c r="C172" s="289" t="s">
        <v>416</v>
      </c>
      <c r="D172" s="446" t="s">
        <v>270</v>
      </c>
      <c r="E172" s="536" t="s">
        <v>378</v>
      </c>
      <c r="F172" s="520" t="s">
        <v>764</v>
      </c>
      <c r="G172" s="537">
        <v>1</v>
      </c>
      <c r="H172" s="538">
        <v>2</v>
      </c>
      <c r="I172" s="538" t="s">
        <v>221</v>
      </c>
      <c r="J172" s="539">
        <v>40703</v>
      </c>
      <c r="K172" s="538" t="s">
        <v>442</v>
      </c>
      <c r="L172" s="497" t="s">
        <v>196</v>
      </c>
      <c r="M172" s="540">
        <v>72000000</v>
      </c>
      <c r="N172" s="540">
        <v>72000000</v>
      </c>
      <c r="O172" s="544" t="s">
        <v>251</v>
      </c>
      <c r="P172" s="542"/>
      <c r="Q172" s="543"/>
    </row>
    <row r="173" spans="2:17" ht="15" customHeight="1">
      <c r="B173" s="366">
        <f t="shared" si="6"/>
        <v>163</v>
      </c>
      <c r="C173" s="289" t="s">
        <v>416</v>
      </c>
      <c r="D173" s="446" t="s">
        <v>270</v>
      </c>
      <c r="E173" s="536" t="s">
        <v>378</v>
      </c>
      <c r="F173" s="520" t="s">
        <v>764</v>
      </c>
      <c r="G173" s="537">
        <v>2</v>
      </c>
      <c r="H173" s="538">
        <v>1</v>
      </c>
      <c r="I173" s="538" t="s">
        <v>221</v>
      </c>
      <c r="J173" s="539">
        <v>40018</v>
      </c>
      <c r="K173" s="538" t="s">
        <v>449</v>
      </c>
      <c r="L173" s="497" t="s">
        <v>196</v>
      </c>
      <c r="M173" s="540">
        <v>60000000</v>
      </c>
      <c r="N173" s="540">
        <v>60000000</v>
      </c>
      <c r="O173" s="544"/>
      <c r="P173" s="542"/>
      <c r="Q173" s="543"/>
    </row>
    <row r="174" spans="2:17" ht="15" customHeight="1">
      <c r="B174" s="366">
        <f t="shared" ref="B174:B205" si="7">ROW()-10</f>
        <v>164</v>
      </c>
      <c r="C174" s="289" t="s">
        <v>416</v>
      </c>
      <c r="D174" s="446" t="s">
        <v>270</v>
      </c>
      <c r="E174" s="536" t="s">
        <v>378</v>
      </c>
      <c r="F174" s="520" t="s">
        <v>764</v>
      </c>
      <c r="G174" s="537">
        <v>2</v>
      </c>
      <c r="H174" s="538">
        <v>2</v>
      </c>
      <c r="I174" s="538" t="s">
        <v>221</v>
      </c>
      <c r="J174" s="539">
        <v>40703</v>
      </c>
      <c r="K174" s="538" t="s">
        <v>442</v>
      </c>
      <c r="L174" s="497" t="s">
        <v>196</v>
      </c>
      <c r="M174" s="540">
        <v>72000000</v>
      </c>
      <c r="N174" s="540">
        <v>72000000</v>
      </c>
      <c r="O174" s="544" t="s">
        <v>253</v>
      </c>
      <c r="P174" s="542"/>
      <c r="Q174" s="543"/>
    </row>
    <row r="175" spans="2:17" ht="15" customHeight="1">
      <c r="B175" s="366">
        <f t="shared" si="7"/>
        <v>165</v>
      </c>
      <c r="C175" s="289" t="s">
        <v>416</v>
      </c>
      <c r="D175" s="446" t="s">
        <v>270</v>
      </c>
      <c r="E175" s="536" t="s">
        <v>379</v>
      </c>
      <c r="F175" s="520" t="s">
        <v>765</v>
      </c>
      <c r="G175" s="537">
        <v>1</v>
      </c>
      <c r="H175" s="538">
        <v>1</v>
      </c>
      <c r="I175" s="538" t="s">
        <v>221</v>
      </c>
      <c r="J175" s="539">
        <v>42767</v>
      </c>
      <c r="K175" s="538" t="s">
        <v>442</v>
      </c>
      <c r="L175" s="497" t="s">
        <v>196</v>
      </c>
      <c r="M175" s="540">
        <v>158400000</v>
      </c>
      <c r="N175" s="540">
        <v>158400000</v>
      </c>
      <c r="O175" s="544"/>
      <c r="P175" s="542"/>
      <c r="Q175" s="543"/>
    </row>
    <row r="176" spans="2:17" ht="15" customHeight="1">
      <c r="B176" s="366">
        <f t="shared" si="7"/>
        <v>166</v>
      </c>
      <c r="C176" s="289" t="s">
        <v>416</v>
      </c>
      <c r="D176" s="446" t="s">
        <v>270</v>
      </c>
      <c r="E176" s="536" t="s">
        <v>380</v>
      </c>
      <c r="F176" s="520" t="s">
        <v>766</v>
      </c>
      <c r="G176" s="537">
        <v>1</v>
      </c>
      <c r="H176" s="538">
        <v>1</v>
      </c>
      <c r="I176" s="538" t="s">
        <v>221</v>
      </c>
      <c r="J176" s="539">
        <v>42663</v>
      </c>
      <c r="K176" s="538" t="s">
        <v>442</v>
      </c>
      <c r="L176" s="497" t="s">
        <v>196</v>
      </c>
      <c r="M176" s="540">
        <v>100000000</v>
      </c>
      <c r="N176" s="540">
        <v>100000000</v>
      </c>
      <c r="O176" s="544"/>
      <c r="P176" s="542"/>
      <c r="Q176" s="543" t="s">
        <v>2320</v>
      </c>
    </row>
    <row r="177" spans="2:17" ht="15" customHeight="1">
      <c r="B177" s="366">
        <f t="shared" si="7"/>
        <v>167</v>
      </c>
      <c r="C177" s="289" t="s">
        <v>416</v>
      </c>
      <c r="D177" s="446" t="s">
        <v>270</v>
      </c>
      <c r="E177" s="536" t="s">
        <v>635</v>
      </c>
      <c r="F177" s="520" t="s">
        <v>767</v>
      </c>
      <c r="G177" s="537">
        <v>1</v>
      </c>
      <c r="H177" s="538">
        <v>1</v>
      </c>
      <c r="I177" s="538" t="s">
        <v>221</v>
      </c>
      <c r="J177" s="539">
        <v>42432</v>
      </c>
      <c r="K177" s="538" t="s">
        <v>442</v>
      </c>
      <c r="L177" s="497" t="s">
        <v>196</v>
      </c>
      <c r="M177" s="540">
        <v>90000000</v>
      </c>
      <c r="N177" s="540">
        <v>90000000</v>
      </c>
      <c r="O177" s="544"/>
      <c r="P177" s="542"/>
      <c r="Q177" s="543"/>
    </row>
    <row r="178" spans="2:17" ht="15" customHeight="1">
      <c r="B178" s="366">
        <f t="shared" si="7"/>
        <v>168</v>
      </c>
      <c r="C178" s="289" t="s">
        <v>416</v>
      </c>
      <c r="D178" s="446" t="s">
        <v>270</v>
      </c>
      <c r="E178" s="536" t="s">
        <v>381</v>
      </c>
      <c r="F178" s="520" t="s">
        <v>768</v>
      </c>
      <c r="G178" s="537">
        <v>1</v>
      </c>
      <c r="H178" s="538">
        <v>1</v>
      </c>
      <c r="I178" s="538" t="s">
        <v>221</v>
      </c>
      <c r="J178" s="539">
        <v>43880</v>
      </c>
      <c r="K178" s="538" t="s">
        <v>442</v>
      </c>
      <c r="L178" s="497" t="s">
        <v>196</v>
      </c>
      <c r="M178" s="540">
        <v>64800000</v>
      </c>
      <c r="N178" s="540">
        <v>64800000</v>
      </c>
      <c r="O178" s="544"/>
      <c r="P178" s="542"/>
      <c r="Q178" s="543"/>
    </row>
    <row r="179" spans="2:17" ht="15" customHeight="1">
      <c r="B179" s="366">
        <f t="shared" si="7"/>
        <v>169</v>
      </c>
      <c r="C179" s="289" t="s">
        <v>416</v>
      </c>
      <c r="D179" s="446" t="s">
        <v>270</v>
      </c>
      <c r="E179" s="536" t="s">
        <v>382</v>
      </c>
      <c r="F179" s="520" t="s">
        <v>769</v>
      </c>
      <c r="G179" s="537">
        <v>1</v>
      </c>
      <c r="H179" s="538">
        <v>1</v>
      </c>
      <c r="I179" s="538" t="s">
        <v>221</v>
      </c>
      <c r="J179" s="539">
        <v>42453</v>
      </c>
      <c r="K179" s="538" t="s">
        <v>442</v>
      </c>
      <c r="L179" s="497" t="s">
        <v>196</v>
      </c>
      <c r="M179" s="540">
        <v>120000000</v>
      </c>
      <c r="N179" s="540">
        <v>120000000</v>
      </c>
      <c r="O179" s="544"/>
      <c r="P179" s="542"/>
      <c r="Q179" s="543"/>
    </row>
    <row r="180" spans="2:17" ht="15" customHeight="1">
      <c r="B180" s="366">
        <f t="shared" si="7"/>
        <v>170</v>
      </c>
      <c r="C180" s="289" t="s">
        <v>416</v>
      </c>
      <c r="D180" s="446" t="s">
        <v>270</v>
      </c>
      <c r="E180" s="536" t="s">
        <v>383</v>
      </c>
      <c r="F180" s="520" t="s">
        <v>770</v>
      </c>
      <c r="G180" s="537">
        <v>1</v>
      </c>
      <c r="H180" s="538">
        <v>1</v>
      </c>
      <c r="I180" s="538" t="s">
        <v>221</v>
      </c>
      <c r="J180" s="539">
        <v>43740</v>
      </c>
      <c r="K180" s="538" t="s">
        <v>442</v>
      </c>
      <c r="L180" s="497" t="s">
        <v>196</v>
      </c>
      <c r="M180" s="540">
        <v>38400000</v>
      </c>
      <c r="N180" s="540">
        <v>38400000</v>
      </c>
      <c r="O180" s="544"/>
      <c r="P180" s="542"/>
      <c r="Q180" s="543"/>
    </row>
    <row r="181" spans="2:17" ht="15" customHeight="1">
      <c r="B181" s="366">
        <f t="shared" si="7"/>
        <v>171</v>
      </c>
      <c r="C181" s="289" t="s">
        <v>416</v>
      </c>
      <c r="D181" s="446" t="s">
        <v>270</v>
      </c>
      <c r="E181" s="536" t="s">
        <v>384</v>
      </c>
      <c r="F181" s="520" t="s">
        <v>771</v>
      </c>
      <c r="G181" s="537">
        <v>1</v>
      </c>
      <c r="H181" s="538">
        <v>1</v>
      </c>
      <c r="I181" s="538" t="s">
        <v>221</v>
      </c>
      <c r="J181" s="539">
        <v>41555</v>
      </c>
      <c r="K181" s="538" t="s">
        <v>1835</v>
      </c>
      <c r="L181" s="497" t="s">
        <v>196</v>
      </c>
      <c r="M181" s="540">
        <v>12600000</v>
      </c>
      <c r="N181" s="540">
        <v>12600000</v>
      </c>
      <c r="O181" s="544"/>
      <c r="P181" s="542"/>
      <c r="Q181" s="543" t="s">
        <v>2321</v>
      </c>
    </row>
    <row r="182" spans="2:17" ht="15" customHeight="1">
      <c r="B182" s="366">
        <f t="shared" si="7"/>
        <v>172</v>
      </c>
      <c r="C182" s="289" t="s">
        <v>416</v>
      </c>
      <c r="D182" s="446" t="s">
        <v>270</v>
      </c>
      <c r="E182" s="536" t="s">
        <v>385</v>
      </c>
      <c r="F182" s="520" t="s">
        <v>772</v>
      </c>
      <c r="G182" s="537">
        <v>1</v>
      </c>
      <c r="H182" s="538">
        <v>1</v>
      </c>
      <c r="I182" s="538" t="s">
        <v>333</v>
      </c>
      <c r="J182" s="539">
        <v>37838</v>
      </c>
      <c r="K182" s="538" t="s">
        <v>450</v>
      </c>
      <c r="L182" s="497" t="s">
        <v>196</v>
      </c>
      <c r="M182" s="540">
        <v>63000000</v>
      </c>
      <c r="N182" s="540">
        <v>63000000</v>
      </c>
      <c r="O182" s="544"/>
      <c r="P182" s="542"/>
      <c r="Q182" s="543"/>
    </row>
    <row r="183" spans="2:17" ht="15" customHeight="1">
      <c r="B183" s="366">
        <f t="shared" si="7"/>
        <v>173</v>
      </c>
      <c r="C183" s="289" t="s">
        <v>416</v>
      </c>
      <c r="D183" s="446" t="s">
        <v>270</v>
      </c>
      <c r="E183" s="536" t="s">
        <v>385</v>
      </c>
      <c r="F183" s="520" t="s">
        <v>772</v>
      </c>
      <c r="G183" s="537">
        <v>1</v>
      </c>
      <c r="H183" s="538">
        <v>2</v>
      </c>
      <c r="I183" s="538" t="s">
        <v>221</v>
      </c>
      <c r="J183" s="539">
        <v>41863</v>
      </c>
      <c r="K183" s="538" t="s">
        <v>442</v>
      </c>
      <c r="L183" s="497" t="s">
        <v>196</v>
      </c>
      <c r="M183" s="540">
        <v>95300000</v>
      </c>
      <c r="N183" s="540">
        <v>95300000</v>
      </c>
      <c r="O183" s="544"/>
      <c r="P183" s="542"/>
      <c r="Q183" s="543" t="s">
        <v>2322</v>
      </c>
    </row>
    <row r="184" spans="2:17" ht="15" customHeight="1">
      <c r="B184" s="366">
        <f t="shared" si="7"/>
        <v>174</v>
      </c>
      <c r="C184" s="289" t="s">
        <v>416</v>
      </c>
      <c r="D184" s="446" t="s">
        <v>270</v>
      </c>
      <c r="E184" s="536" t="s">
        <v>386</v>
      </c>
      <c r="F184" s="520" t="s">
        <v>773</v>
      </c>
      <c r="G184" s="537">
        <v>1</v>
      </c>
      <c r="H184" s="538">
        <v>1</v>
      </c>
      <c r="I184" s="538" t="s">
        <v>221</v>
      </c>
      <c r="J184" s="539">
        <v>41656</v>
      </c>
      <c r="K184" s="538" t="s">
        <v>442</v>
      </c>
      <c r="L184" s="497" t="s">
        <v>196</v>
      </c>
      <c r="M184" s="540">
        <v>18000000</v>
      </c>
      <c r="N184" s="540">
        <v>18000000</v>
      </c>
      <c r="O184" s="544"/>
      <c r="P184" s="542"/>
      <c r="Q184" s="543" t="s">
        <v>2323</v>
      </c>
    </row>
    <row r="185" spans="2:17" ht="15" customHeight="1">
      <c r="B185" s="366">
        <f t="shared" si="7"/>
        <v>175</v>
      </c>
      <c r="C185" s="289" t="s">
        <v>416</v>
      </c>
      <c r="D185" s="446" t="s">
        <v>270</v>
      </c>
      <c r="E185" s="536" t="s">
        <v>636</v>
      </c>
      <c r="F185" s="520" t="s">
        <v>774</v>
      </c>
      <c r="G185" s="537">
        <v>1</v>
      </c>
      <c r="H185" s="538">
        <v>1</v>
      </c>
      <c r="I185" s="538" t="s">
        <v>221</v>
      </c>
      <c r="J185" s="539">
        <v>40785</v>
      </c>
      <c r="K185" s="538" t="s">
        <v>1941</v>
      </c>
      <c r="L185" s="497" t="s">
        <v>196</v>
      </c>
      <c r="M185" s="540">
        <v>31200000</v>
      </c>
      <c r="N185" s="540">
        <v>31200000</v>
      </c>
      <c r="O185" s="544"/>
      <c r="P185" s="542"/>
      <c r="Q185" s="543"/>
    </row>
    <row r="186" spans="2:17" ht="15" customHeight="1">
      <c r="B186" s="366">
        <f t="shared" si="7"/>
        <v>176</v>
      </c>
      <c r="C186" s="289" t="s">
        <v>416</v>
      </c>
      <c r="D186" s="446" t="s">
        <v>271</v>
      </c>
      <c r="E186" s="536" t="s">
        <v>238</v>
      </c>
      <c r="F186" s="520" t="s">
        <v>775</v>
      </c>
      <c r="G186" s="537">
        <v>1</v>
      </c>
      <c r="H186" s="538">
        <v>1</v>
      </c>
      <c r="I186" s="538" t="s">
        <v>221</v>
      </c>
      <c r="J186" s="539">
        <v>39731</v>
      </c>
      <c r="K186" s="538" t="s">
        <v>442</v>
      </c>
      <c r="L186" s="497" t="s">
        <v>196</v>
      </c>
      <c r="M186" s="540">
        <v>3300000000</v>
      </c>
      <c r="N186" s="540">
        <v>3300000000</v>
      </c>
      <c r="O186" s="541"/>
      <c r="P186" s="542"/>
      <c r="Q186" s="543" t="s">
        <v>2351</v>
      </c>
    </row>
    <row r="187" spans="2:17" ht="15" customHeight="1">
      <c r="B187" s="366">
        <f t="shared" si="7"/>
        <v>177</v>
      </c>
      <c r="C187" s="289" t="s">
        <v>416</v>
      </c>
      <c r="D187" s="446" t="s">
        <v>271</v>
      </c>
      <c r="E187" s="536" t="s">
        <v>238</v>
      </c>
      <c r="F187" s="520" t="s">
        <v>775</v>
      </c>
      <c r="G187" s="537">
        <v>1</v>
      </c>
      <c r="H187" s="538">
        <v>2</v>
      </c>
      <c r="I187" s="538" t="s">
        <v>221</v>
      </c>
      <c r="J187" s="539">
        <v>40095</v>
      </c>
      <c r="K187" s="538" t="s">
        <v>442</v>
      </c>
      <c r="L187" s="497" t="s">
        <v>196</v>
      </c>
      <c r="M187" s="540">
        <v>1000000000</v>
      </c>
      <c r="N187" s="540">
        <v>1000000000</v>
      </c>
      <c r="O187" s="541"/>
      <c r="P187" s="542"/>
      <c r="Q187" s="543"/>
    </row>
    <row r="188" spans="2:17" ht="15" customHeight="1">
      <c r="B188" s="366">
        <f t="shared" si="7"/>
        <v>178</v>
      </c>
      <c r="C188" s="289" t="s">
        <v>416</v>
      </c>
      <c r="D188" s="446" t="s">
        <v>271</v>
      </c>
      <c r="E188" s="536" t="s">
        <v>238</v>
      </c>
      <c r="F188" s="520" t="s">
        <v>775</v>
      </c>
      <c r="G188" s="537">
        <v>2</v>
      </c>
      <c r="H188" s="538">
        <v>1</v>
      </c>
      <c r="I188" s="538" t="s">
        <v>221</v>
      </c>
      <c r="J188" s="539">
        <v>43725</v>
      </c>
      <c r="K188" s="538" t="s">
        <v>442</v>
      </c>
      <c r="L188" s="497" t="s">
        <v>196</v>
      </c>
      <c r="M188" s="540">
        <v>1200000000</v>
      </c>
      <c r="N188" s="540">
        <v>1200000000</v>
      </c>
      <c r="O188" s="541"/>
      <c r="P188" s="542"/>
      <c r="Q188" s="543"/>
    </row>
    <row r="189" spans="2:17" ht="15" customHeight="1">
      <c r="B189" s="366">
        <f t="shared" si="7"/>
        <v>179</v>
      </c>
      <c r="C189" s="289" t="s">
        <v>416</v>
      </c>
      <c r="D189" s="446" t="s">
        <v>271</v>
      </c>
      <c r="E189" s="536" t="s">
        <v>238</v>
      </c>
      <c r="F189" s="520" t="s">
        <v>775</v>
      </c>
      <c r="G189" s="537">
        <v>2</v>
      </c>
      <c r="H189" s="538">
        <v>2</v>
      </c>
      <c r="I189" s="538" t="s">
        <v>221</v>
      </c>
      <c r="J189" s="539">
        <v>44924</v>
      </c>
      <c r="K189" s="538" t="s">
        <v>442</v>
      </c>
      <c r="L189" s="497" t="s">
        <v>196</v>
      </c>
      <c r="M189" s="540">
        <v>1200000000</v>
      </c>
      <c r="N189" s="540">
        <v>1200000000</v>
      </c>
      <c r="O189" s="541" t="s">
        <v>1634</v>
      </c>
      <c r="P189" s="542"/>
      <c r="Q189" s="543"/>
    </row>
    <row r="190" spans="2:17" ht="15" customHeight="1">
      <c r="B190" s="366">
        <f t="shared" si="7"/>
        <v>180</v>
      </c>
      <c r="C190" s="289" t="s">
        <v>416</v>
      </c>
      <c r="D190" s="446" t="s">
        <v>271</v>
      </c>
      <c r="E190" s="536" t="s">
        <v>238</v>
      </c>
      <c r="F190" s="520" t="s">
        <v>775</v>
      </c>
      <c r="G190" s="537">
        <v>2</v>
      </c>
      <c r="H190" s="538">
        <v>3</v>
      </c>
      <c r="I190" s="538" t="s">
        <v>221</v>
      </c>
      <c r="J190" s="539">
        <v>45483</v>
      </c>
      <c r="K190" s="538" t="s">
        <v>442</v>
      </c>
      <c r="L190" s="497" t="s">
        <v>322</v>
      </c>
      <c r="M190" s="540">
        <v>62706</v>
      </c>
      <c r="N190" s="540">
        <v>87537576</v>
      </c>
      <c r="O190" s="541"/>
      <c r="P190" s="542"/>
      <c r="Q190" s="543"/>
    </row>
    <row r="191" spans="2:17" ht="15" customHeight="1">
      <c r="B191" s="366">
        <f t="shared" si="7"/>
        <v>181</v>
      </c>
      <c r="C191" s="289" t="s">
        <v>416</v>
      </c>
      <c r="D191" s="446" t="s">
        <v>271</v>
      </c>
      <c r="E191" s="536" t="s">
        <v>238</v>
      </c>
      <c r="F191" s="520" t="s">
        <v>775</v>
      </c>
      <c r="G191" s="537">
        <v>3</v>
      </c>
      <c r="H191" s="538">
        <v>1</v>
      </c>
      <c r="I191" s="538" t="s">
        <v>221</v>
      </c>
      <c r="J191" s="539">
        <v>45181</v>
      </c>
      <c r="K191" s="538" t="s">
        <v>442</v>
      </c>
      <c r="L191" s="497" t="s">
        <v>196</v>
      </c>
      <c r="M191" s="540">
        <v>1600000000</v>
      </c>
      <c r="N191" s="540">
        <v>1600000000</v>
      </c>
      <c r="O191" s="541"/>
      <c r="P191" s="542"/>
      <c r="Q191" s="543"/>
    </row>
    <row r="192" spans="2:17" ht="15" customHeight="1">
      <c r="B192" s="366">
        <f t="shared" si="7"/>
        <v>182</v>
      </c>
      <c r="C192" s="289" t="s">
        <v>416</v>
      </c>
      <c r="D192" s="446" t="s">
        <v>271</v>
      </c>
      <c r="E192" s="536" t="s">
        <v>238</v>
      </c>
      <c r="F192" s="520" t="s">
        <v>775</v>
      </c>
      <c r="G192" s="537">
        <v>4</v>
      </c>
      <c r="H192" s="538">
        <v>1</v>
      </c>
      <c r="I192" s="538" t="s">
        <v>221</v>
      </c>
      <c r="J192" s="539">
        <v>43999</v>
      </c>
      <c r="K192" s="538" t="s">
        <v>442</v>
      </c>
      <c r="L192" s="497" t="s">
        <v>196</v>
      </c>
      <c r="M192" s="540">
        <v>188000000</v>
      </c>
      <c r="N192" s="540">
        <v>188000000</v>
      </c>
      <c r="O192" s="541"/>
      <c r="P192" s="542"/>
      <c r="Q192" s="543"/>
    </row>
    <row r="193" spans="2:17" ht="15" customHeight="1">
      <c r="B193" s="366">
        <f t="shared" si="7"/>
        <v>183</v>
      </c>
      <c r="C193" s="289" t="s">
        <v>416</v>
      </c>
      <c r="D193" s="446" t="s">
        <v>271</v>
      </c>
      <c r="E193" s="536" t="s">
        <v>238</v>
      </c>
      <c r="F193" s="520" t="s">
        <v>775</v>
      </c>
      <c r="G193" s="537">
        <v>4</v>
      </c>
      <c r="H193" s="538">
        <v>2</v>
      </c>
      <c r="I193" s="538" t="s">
        <v>221</v>
      </c>
      <c r="J193" s="539">
        <v>44924</v>
      </c>
      <c r="K193" s="538" t="s">
        <v>442</v>
      </c>
      <c r="L193" s="497" t="s">
        <v>196</v>
      </c>
      <c r="M193" s="540">
        <v>1200000000</v>
      </c>
      <c r="N193" s="540">
        <v>1200000000</v>
      </c>
      <c r="O193" s="541" t="s">
        <v>1637</v>
      </c>
      <c r="P193" s="542"/>
      <c r="Q193" s="543"/>
    </row>
    <row r="194" spans="2:17" ht="15" customHeight="1">
      <c r="B194" s="366">
        <f t="shared" si="7"/>
        <v>184</v>
      </c>
      <c r="C194" s="289" t="s">
        <v>416</v>
      </c>
      <c r="D194" s="446" t="s">
        <v>271</v>
      </c>
      <c r="E194" s="536" t="s">
        <v>238</v>
      </c>
      <c r="F194" s="520" t="s">
        <v>775</v>
      </c>
      <c r="G194" s="537">
        <v>5</v>
      </c>
      <c r="H194" s="538">
        <v>1</v>
      </c>
      <c r="I194" s="538" t="s">
        <v>221</v>
      </c>
      <c r="J194" s="539">
        <v>44924</v>
      </c>
      <c r="K194" s="538" t="s">
        <v>442</v>
      </c>
      <c r="L194" s="497" t="s">
        <v>196</v>
      </c>
      <c r="M194" s="540">
        <v>1200000000</v>
      </c>
      <c r="N194" s="540">
        <v>1200000000</v>
      </c>
      <c r="O194" s="541" t="s">
        <v>370</v>
      </c>
      <c r="P194" s="542"/>
      <c r="Q194" s="543"/>
    </row>
    <row r="195" spans="2:17" ht="15" customHeight="1">
      <c r="B195" s="366">
        <f t="shared" si="7"/>
        <v>185</v>
      </c>
      <c r="C195" s="289" t="s">
        <v>416</v>
      </c>
      <c r="D195" s="446" t="s">
        <v>271</v>
      </c>
      <c r="E195" s="536" t="s">
        <v>238</v>
      </c>
      <c r="F195" s="520" t="s">
        <v>775</v>
      </c>
      <c r="G195" s="537">
        <v>6</v>
      </c>
      <c r="H195" s="538">
        <v>1</v>
      </c>
      <c r="I195" s="538" t="s">
        <v>221</v>
      </c>
      <c r="J195" s="539">
        <v>44529</v>
      </c>
      <c r="K195" s="538" t="s">
        <v>442</v>
      </c>
      <c r="L195" s="497" t="s">
        <v>196</v>
      </c>
      <c r="M195" s="540">
        <v>769200000</v>
      </c>
      <c r="N195" s="540">
        <v>769200000</v>
      </c>
      <c r="O195" s="541"/>
      <c r="P195" s="542"/>
      <c r="Q195" s="543"/>
    </row>
    <row r="196" spans="2:17" ht="15" customHeight="1">
      <c r="B196" s="366">
        <f t="shared" si="7"/>
        <v>186</v>
      </c>
      <c r="C196" s="289" t="s">
        <v>416</v>
      </c>
      <c r="D196" s="446" t="s">
        <v>271</v>
      </c>
      <c r="E196" s="536" t="s">
        <v>238</v>
      </c>
      <c r="F196" s="520" t="s">
        <v>775</v>
      </c>
      <c r="G196" s="537">
        <v>7</v>
      </c>
      <c r="H196" s="538">
        <v>1</v>
      </c>
      <c r="I196" s="538" t="s">
        <v>334</v>
      </c>
      <c r="J196" s="539">
        <v>37197</v>
      </c>
      <c r="K196" s="538" t="s">
        <v>450</v>
      </c>
      <c r="L196" s="497" t="s">
        <v>196</v>
      </c>
      <c r="M196" s="540">
        <v>36000000</v>
      </c>
      <c r="N196" s="540">
        <v>36000000</v>
      </c>
      <c r="O196" s="541"/>
      <c r="P196" s="542"/>
      <c r="Q196" s="543"/>
    </row>
    <row r="197" spans="2:17" ht="15" customHeight="1">
      <c r="B197" s="366">
        <f t="shared" si="7"/>
        <v>187</v>
      </c>
      <c r="C197" s="289" t="s">
        <v>416</v>
      </c>
      <c r="D197" s="446" t="s">
        <v>271</v>
      </c>
      <c r="E197" s="536" t="s">
        <v>238</v>
      </c>
      <c r="F197" s="520" t="s">
        <v>775</v>
      </c>
      <c r="G197" s="537">
        <v>7</v>
      </c>
      <c r="H197" s="538">
        <v>2</v>
      </c>
      <c r="I197" s="538" t="s">
        <v>334</v>
      </c>
      <c r="J197" s="539">
        <v>37294</v>
      </c>
      <c r="K197" s="538" t="s">
        <v>450</v>
      </c>
      <c r="L197" s="497" t="s">
        <v>196</v>
      </c>
      <c r="M197" s="540">
        <v>36000000</v>
      </c>
      <c r="N197" s="540">
        <v>36000000</v>
      </c>
      <c r="O197" s="541"/>
      <c r="P197" s="542"/>
      <c r="Q197" s="543"/>
    </row>
    <row r="198" spans="2:17" ht="15" customHeight="1">
      <c r="B198" s="366">
        <f t="shared" si="7"/>
        <v>188</v>
      </c>
      <c r="C198" s="289" t="s">
        <v>416</v>
      </c>
      <c r="D198" s="446" t="s">
        <v>271</v>
      </c>
      <c r="E198" s="536" t="s">
        <v>238</v>
      </c>
      <c r="F198" s="520" t="s">
        <v>775</v>
      </c>
      <c r="G198" s="537">
        <v>7</v>
      </c>
      <c r="H198" s="538">
        <v>3</v>
      </c>
      <c r="I198" s="538" t="s">
        <v>221</v>
      </c>
      <c r="J198" s="539">
        <v>44651</v>
      </c>
      <c r="K198" s="538" t="s">
        <v>442</v>
      </c>
      <c r="L198" s="497" t="s">
        <v>196</v>
      </c>
      <c r="M198" s="540">
        <v>564000000</v>
      </c>
      <c r="N198" s="540">
        <v>564000000</v>
      </c>
      <c r="O198" s="541"/>
      <c r="P198" s="542"/>
      <c r="Q198" s="543"/>
    </row>
    <row r="199" spans="2:17" ht="15" customHeight="1">
      <c r="B199" s="366">
        <f t="shared" si="7"/>
        <v>189</v>
      </c>
      <c r="C199" s="289" t="s">
        <v>416</v>
      </c>
      <c r="D199" s="446" t="s">
        <v>271</v>
      </c>
      <c r="E199" s="536" t="s">
        <v>239</v>
      </c>
      <c r="F199" s="520" t="s">
        <v>777</v>
      </c>
      <c r="G199" s="537">
        <v>1</v>
      </c>
      <c r="H199" s="538">
        <v>1</v>
      </c>
      <c r="I199" s="538" t="s">
        <v>221</v>
      </c>
      <c r="J199" s="539">
        <v>44757</v>
      </c>
      <c r="K199" s="538" t="s">
        <v>442</v>
      </c>
      <c r="L199" s="497" t="s">
        <v>196</v>
      </c>
      <c r="M199" s="540">
        <v>3100000000</v>
      </c>
      <c r="N199" s="540">
        <v>3100000000</v>
      </c>
      <c r="O199" s="541"/>
      <c r="P199" s="542" t="s">
        <v>2324</v>
      </c>
      <c r="Q199" s="543" t="s">
        <v>2325</v>
      </c>
    </row>
    <row r="200" spans="2:17" ht="15" customHeight="1">
      <c r="B200" s="366">
        <f t="shared" si="7"/>
        <v>190</v>
      </c>
      <c r="C200" s="289" t="s">
        <v>416</v>
      </c>
      <c r="D200" s="446" t="s">
        <v>271</v>
      </c>
      <c r="E200" s="536" t="s">
        <v>239</v>
      </c>
      <c r="F200" s="520" t="s">
        <v>777</v>
      </c>
      <c r="G200" s="537">
        <v>1</v>
      </c>
      <c r="H200" s="538">
        <v>2</v>
      </c>
      <c r="I200" s="538" t="s">
        <v>221</v>
      </c>
      <c r="J200" s="539">
        <v>44960</v>
      </c>
      <c r="K200" s="538" t="s">
        <v>442</v>
      </c>
      <c r="L200" s="497" t="s">
        <v>196</v>
      </c>
      <c r="M200" s="540">
        <v>1200000000</v>
      </c>
      <c r="N200" s="540">
        <v>1200000000</v>
      </c>
      <c r="O200" s="541"/>
      <c r="P200" s="542" t="s">
        <v>2326</v>
      </c>
      <c r="Q200" s="543" t="s">
        <v>2325</v>
      </c>
    </row>
    <row r="201" spans="2:17" ht="15" customHeight="1">
      <c r="B201" s="366">
        <f t="shared" si="7"/>
        <v>191</v>
      </c>
      <c r="C201" s="289" t="s">
        <v>416</v>
      </c>
      <c r="D201" s="446" t="s">
        <v>271</v>
      </c>
      <c r="E201" s="536" t="s">
        <v>239</v>
      </c>
      <c r="F201" s="520" t="s">
        <v>777</v>
      </c>
      <c r="G201" s="537">
        <v>1</v>
      </c>
      <c r="H201" s="538">
        <v>3</v>
      </c>
      <c r="I201" s="538" t="s">
        <v>221</v>
      </c>
      <c r="J201" s="539">
        <v>45180</v>
      </c>
      <c r="K201" s="538" t="s">
        <v>442</v>
      </c>
      <c r="L201" s="497" t="s">
        <v>196</v>
      </c>
      <c r="M201" s="540">
        <v>1800000000</v>
      </c>
      <c r="N201" s="540">
        <v>1800000000</v>
      </c>
      <c r="O201" s="541"/>
      <c r="P201" s="542" t="s">
        <v>2327</v>
      </c>
      <c r="Q201" s="543"/>
    </row>
    <row r="202" spans="2:17" ht="15" customHeight="1">
      <c r="B202" s="366">
        <f t="shared" si="7"/>
        <v>192</v>
      </c>
      <c r="C202" s="289" t="s">
        <v>416</v>
      </c>
      <c r="D202" s="446" t="s">
        <v>271</v>
      </c>
      <c r="E202" s="536" t="s">
        <v>239</v>
      </c>
      <c r="F202" s="520" t="s">
        <v>777</v>
      </c>
      <c r="G202" s="537">
        <v>2</v>
      </c>
      <c r="H202" s="538">
        <v>1</v>
      </c>
      <c r="I202" s="538" t="s">
        <v>221</v>
      </c>
      <c r="J202" s="539">
        <v>45070</v>
      </c>
      <c r="K202" s="538" t="s">
        <v>442</v>
      </c>
      <c r="L202" s="497" t="s">
        <v>196</v>
      </c>
      <c r="M202" s="540">
        <v>360000000</v>
      </c>
      <c r="N202" s="540">
        <v>360000000</v>
      </c>
      <c r="O202" s="541" t="s">
        <v>1482</v>
      </c>
      <c r="P202" s="542"/>
      <c r="Q202" s="543"/>
    </row>
    <row r="203" spans="2:17" ht="15" customHeight="1">
      <c r="B203" s="366">
        <f t="shared" si="7"/>
        <v>193</v>
      </c>
      <c r="C203" s="289" t="s">
        <v>416</v>
      </c>
      <c r="D203" s="446" t="s">
        <v>271</v>
      </c>
      <c r="E203" s="536" t="s">
        <v>239</v>
      </c>
      <c r="F203" s="520" t="s">
        <v>777</v>
      </c>
      <c r="G203" s="537">
        <v>3</v>
      </c>
      <c r="H203" s="538">
        <v>1</v>
      </c>
      <c r="I203" s="538" t="s">
        <v>2328</v>
      </c>
      <c r="J203" s="539">
        <v>44236</v>
      </c>
      <c r="K203" s="538" t="s">
        <v>450</v>
      </c>
      <c r="L203" s="497" t="s">
        <v>196</v>
      </c>
      <c r="M203" s="540">
        <v>240000000</v>
      </c>
      <c r="N203" s="540">
        <v>240000000</v>
      </c>
      <c r="O203" s="541"/>
      <c r="P203" s="542"/>
      <c r="Q203" s="543"/>
    </row>
    <row r="204" spans="2:17" ht="15" customHeight="1">
      <c r="B204" s="366">
        <f t="shared" si="7"/>
        <v>194</v>
      </c>
      <c r="C204" s="289" t="s">
        <v>416</v>
      </c>
      <c r="D204" s="446" t="s">
        <v>271</v>
      </c>
      <c r="E204" s="536" t="s">
        <v>239</v>
      </c>
      <c r="F204" s="520" t="s">
        <v>777</v>
      </c>
      <c r="G204" s="537">
        <v>3</v>
      </c>
      <c r="H204" s="538">
        <v>2</v>
      </c>
      <c r="I204" s="538" t="s">
        <v>221</v>
      </c>
      <c r="J204" s="539">
        <v>45070</v>
      </c>
      <c r="K204" s="538" t="s">
        <v>442</v>
      </c>
      <c r="L204" s="497" t="s">
        <v>196</v>
      </c>
      <c r="M204" s="540">
        <v>360000000</v>
      </c>
      <c r="N204" s="540">
        <v>360000000</v>
      </c>
      <c r="O204" s="541" t="s">
        <v>370</v>
      </c>
      <c r="P204" s="542"/>
      <c r="Q204" s="543"/>
    </row>
    <row r="205" spans="2:17" ht="15" customHeight="1">
      <c r="B205" s="366">
        <f t="shared" si="7"/>
        <v>195</v>
      </c>
      <c r="C205" s="289" t="s">
        <v>416</v>
      </c>
      <c r="D205" s="446" t="s">
        <v>271</v>
      </c>
      <c r="E205" s="536" t="s">
        <v>239</v>
      </c>
      <c r="F205" s="520" t="s">
        <v>777</v>
      </c>
      <c r="G205" s="537">
        <v>4</v>
      </c>
      <c r="H205" s="538">
        <v>1</v>
      </c>
      <c r="I205" s="538" t="s">
        <v>221</v>
      </c>
      <c r="J205" s="539">
        <v>45070</v>
      </c>
      <c r="K205" s="538" t="s">
        <v>442</v>
      </c>
      <c r="L205" s="497" t="s">
        <v>196</v>
      </c>
      <c r="M205" s="540">
        <v>360000000</v>
      </c>
      <c r="N205" s="540">
        <v>360000000</v>
      </c>
      <c r="O205" s="541" t="s">
        <v>249</v>
      </c>
      <c r="P205" s="542"/>
      <c r="Q205" s="543"/>
    </row>
    <row r="206" spans="2:17" ht="15" customHeight="1">
      <c r="B206" s="366">
        <f t="shared" ref="B206:B222" si="8">ROW()-10</f>
        <v>196</v>
      </c>
      <c r="C206" s="289" t="s">
        <v>416</v>
      </c>
      <c r="D206" s="446" t="s">
        <v>271</v>
      </c>
      <c r="E206" s="536" t="s">
        <v>240</v>
      </c>
      <c r="F206" s="520" t="s">
        <v>779</v>
      </c>
      <c r="G206" s="537">
        <v>1</v>
      </c>
      <c r="H206" s="538">
        <v>1</v>
      </c>
      <c r="I206" s="538" t="s">
        <v>221</v>
      </c>
      <c r="J206" s="539">
        <v>44285</v>
      </c>
      <c r="K206" s="538" t="s">
        <v>442</v>
      </c>
      <c r="L206" s="497" t="s">
        <v>196</v>
      </c>
      <c r="M206" s="540">
        <v>3240000000</v>
      </c>
      <c r="N206" s="540">
        <v>3240000000</v>
      </c>
      <c r="O206" s="541"/>
      <c r="P206" s="542"/>
      <c r="Q206" s="543"/>
    </row>
    <row r="207" spans="2:17" ht="15" customHeight="1">
      <c r="B207" s="366">
        <f t="shared" si="8"/>
        <v>197</v>
      </c>
      <c r="C207" s="289" t="s">
        <v>416</v>
      </c>
      <c r="D207" s="446" t="s">
        <v>271</v>
      </c>
      <c r="E207" s="536" t="s">
        <v>240</v>
      </c>
      <c r="F207" s="520" t="s">
        <v>779</v>
      </c>
      <c r="G207" s="537">
        <v>1</v>
      </c>
      <c r="H207" s="538">
        <v>2</v>
      </c>
      <c r="I207" s="538" t="s">
        <v>221</v>
      </c>
      <c r="J207" s="539">
        <v>44701</v>
      </c>
      <c r="K207" s="538" t="s">
        <v>442</v>
      </c>
      <c r="L207" s="497" t="s">
        <v>196</v>
      </c>
      <c r="M207" s="540">
        <v>720000000</v>
      </c>
      <c r="N207" s="540">
        <v>720000000</v>
      </c>
      <c r="O207" s="541"/>
      <c r="P207" s="542"/>
      <c r="Q207" s="543"/>
    </row>
    <row r="208" spans="2:17" ht="15" customHeight="1">
      <c r="B208" s="366">
        <f t="shared" si="8"/>
        <v>198</v>
      </c>
      <c r="C208" s="289" t="s">
        <v>416</v>
      </c>
      <c r="D208" s="446" t="s">
        <v>271</v>
      </c>
      <c r="E208" s="536" t="s">
        <v>241</v>
      </c>
      <c r="F208" s="520" t="s">
        <v>781</v>
      </c>
      <c r="G208" s="537">
        <v>1</v>
      </c>
      <c r="H208" s="538">
        <v>1</v>
      </c>
      <c r="I208" s="538" t="s">
        <v>221</v>
      </c>
      <c r="J208" s="539">
        <v>42457</v>
      </c>
      <c r="K208" s="538" t="s">
        <v>442</v>
      </c>
      <c r="L208" s="497" t="s">
        <v>196</v>
      </c>
      <c r="M208" s="540">
        <v>2484000000</v>
      </c>
      <c r="N208" s="540">
        <v>2484000000</v>
      </c>
      <c r="O208" s="541" t="s">
        <v>251</v>
      </c>
      <c r="P208" s="542" t="s">
        <v>2329</v>
      </c>
      <c r="Q208" s="543"/>
    </row>
    <row r="209" spans="2:17" ht="15" customHeight="1">
      <c r="B209" s="366">
        <f t="shared" si="8"/>
        <v>199</v>
      </c>
      <c r="C209" s="289" t="s">
        <v>416</v>
      </c>
      <c r="D209" s="446" t="s">
        <v>271</v>
      </c>
      <c r="E209" s="536" t="s">
        <v>241</v>
      </c>
      <c r="F209" s="520" t="s">
        <v>781</v>
      </c>
      <c r="G209" s="537">
        <v>1</v>
      </c>
      <c r="H209" s="538">
        <v>2</v>
      </c>
      <c r="I209" s="538" t="s">
        <v>221</v>
      </c>
      <c r="J209" s="539">
        <v>42642</v>
      </c>
      <c r="K209" s="538" t="s">
        <v>442</v>
      </c>
      <c r="L209" s="497" t="s">
        <v>196</v>
      </c>
      <c r="M209" s="540">
        <v>1500000000</v>
      </c>
      <c r="N209" s="540">
        <v>1500000000</v>
      </c>
      <c r="O209" s="541" t="s">
        <v>252</v>
      </c>
      <c r="P209" s="542" t="s">
        <v>2330</v>
      </c>
      <c r="Q209" s="543"/>
    </row>
    <row r="210" spans="2:17" ht="15" customHeight="1">
      <c r="B210" s="366">
        <f t="shared" si="8"/>
        <v>200</v>
      </c>
      <c r="C210" s="289" t="s">
        <v>416</v>
      </c>
      <c r="D210" s="446" t="s">
        <v>271</v>
      </c>
      <c r="E210" s="536" t="s">
        <v>241</v>
      </c>
      <c r="F210" s="520" t="s">
        <v>781</v>
      </c>
      <c r="G210" s="537">
        <v>1</v>
      </c>
      <c r="H210" s="538">
        <v>3</v>
      </c>
      <c r="I210" s="538" t="s">
        <v>221</v>
      </c>
      <c r="J210" s="539">
        <v>42654</v>
      </c>
      <c r="K210" s="538" t="s">
        <v>442</v>
      </c>
      <c r="L210" s="497" t="s">
        <v>196</v>
      </c>
      <c r="M210" s="540">
        <v>600000000</v>
      </c>
      <c r="N210" s="540">
        <v>600000000</v>
      </c>
      <c r="O210" s="541" t="s">
        <v>650</v>
      </c>
      <c r="P210" s="542" t="s">
        <v>2331</v>
      </c>
      <c r="Q210" s="543"/>
    </row>
    <row r="211" spans="2:17" ht="15" customHeight="1">
      <c r="B211" s="366">
        <f t="shared" si="8"/>
        <v>201</v>
      </c>
      <c r="C211" s="289" t="s">
        <v>416</v>
      </c>
      <c r="D211" s="446" t="s">
        <v>271</v>
      </c>
      <c r="E211" s="536" t="s">
        <v>241</v>
      </c>
      <c r="F211" s="520" t="s">
        <v>781</v>
      </c>
      <c r="G211" s="537">
        <v>2</v>
      </c>
      <c r="H211" s="538">
        <v>1</v>
      </c>
      <c r="I211" s="538" t="s">
        <v>221</v>
      </c>
      <c r="J211" s="539">
        <v>42642</v>
      </c>
      <c r="K211" s="538" t="s">
        <v>442</v>
      </c>
      <c r="L211" s="497" t="s">
        <v>196</v>
      </c>
      <c r="M211" s="540">
        <v>2484000000</v>
      </c>
      <c r="N211" s="540">
        <v>2484000000</v>
      </c>
      <c r="O211" s="541" t="s">
        <v>253</v>
      </c>
      <c r="P211" s="542"/>
      <c r="Q211" s="543"/>
    </row>
    <row r="212" spans="2:17" ht="15" customHeight="1">
      <c r="B212" s="366">
        <f t="shared" si="8"/>
        <v>202</v>
      </c>
      <c r="C212" s="289" t="s">
        <v>416</v>
      </c>
      <c r="D212" s="446" t="s">
        <v>271</v>
      </c>
      <c r="E212" s="536" t="s">
        <v>241</v>
      </c>
      <c r="F212" s="520" t="s">
        <v>781</v>
      </c>
      <c r="G212" s="537">
        <v>2</v>
      </c>
      <c r="H212" s="538">
        <v>2</v>
      </c>
      <c r="I212" s="538" t="s">
        <v>221</v>
      </c>
      <c r="J212" s="539">
        <v>42654</v>
      </c>
      <c r="K212" s="538" t="s">
        <v>442</v>
      </c>
      <c r="L212" s="497" t="s">
        <v>196</v>
      </c>
      <c r="M212" s="540">
        <v>600000000</v>
      </c>
      <c r="N212" s="540">
        <v>600000000</v>
      </c>
      <c r="O212" s="541" t="s">
        <v>647</v>
      </c>
      <c r="P212" s="542" t="s">
        <v>2331</v>
      </c>
      <c r="Q212" s="543"/>
    </row>
    <row r="213" spans="2:17" ht="15" customHeight="1">
      <c r="B213" s="366">
        <f t="shared" si="8"/>
        <v>203</v>
      </c>
      <c r="C213" s="289" t="s">
        <v>416</v>
      </c>
      <c r="D213" s="446" t="s">
        <v>271</v>
      </c>
      <c r="E213" s="536" t="s">
        <v>241</v>
      </c>
      <c r="F213" s="520" t="s">
        <v>781</v>
      </c>
      <c r="G213" s="537">
        <v>3</v>
      </c>
      <c r="H213" s="538">
        <v>1</v>
      </c>
      <c r="I213" s="538" t="s">
        <v>221</v>
      </c>
      <c r="J213" s="539">
        <v>42642</v>
      </c>
      <c r="K213" s="538" t="s">
        <v>442</v>
      </c>
      <c r="L213" s="497" t="s">
        <v>196</v>
      </c>
      <c r="M213" s="540">
        <v>1500000000</v>
      </c>
      <c r="N213" s="540">
        <v>1500000000</v>
      </c>
      <c r="O213" s="541" t="s">
        <v>253</v>
      </c>
      <c r="P213" s="542" t="s">
        <v>2330</v>
      </c>
      <c r="Q213" s="543"/>
    </row>
    <row r="214" spans="2:17" ht="15" customHeight="1">
      <c r="B214" s="366">
        <f t="shared" si="8"/>
        <v>204</v>
      </c>
      <c r="C214" s="289" t="s">
        <v>416</v>
      </c>
      <c r="D214" s="446" t="s">
        <v>271</v>
      </c>
      <c r="E214" s="536" t="s">
        <v>241</v>
      </c>
      <c r="F214" s="520" t="s">
        <v>781</v>
      </c>
      <c r="G214" s="537">
        <v>3</v>
      </c>
      <c r="H214" s="538">
        <v>2</v>
      </c>
      <c r="I214" s="538" t="s">
        <v>221</v>
      </c>
      <c r="J214" s="539">
        <v>42654</v>
      </c>
      <c r="K214" s="538" t="s">
        <v>442</v>
      </c>
      <c r="L214" s="497" t="s">
        <v>196</v>
      </c>
      <c r="M214" s="540">
        <v>600000000</v>
      </c>
      <c r="N214" s="540">
        <v>600000000</v>
      </c>
      <c r="O214" s="541" t="s">
        <v>645</v>
      </c>
      <c r="P214" s="542" t="s">
        <v>2331</v>
      </c>
      <c r="Q214" s="543"/>
    </row>
    <row r="215" spans="2:17" ht="15" customHeight="1">
      <c r="B215" s="366">
        <f t="shared" si="8"/>
        <v>205</v>
      </c>
      <c r="C215" s="289" t="s">
        <v>416</v>
      </c>
      <c r="D215" s="446" t="s">
        <v>271</v>
      </c>
      <c r="E215" s="536" t="s">
        <v>241</v>
      </c>
      <c r="F215" s="520" t="s">
        <v>781</v>
      </c>
      <c r="G215" s="537">
        <v>4</v>
      </c>
      <c r="H215" s="538">
        <v>1</v>
      </c>
      <c r="I215" s="538" t="s">
        <v>221</v>
      </c>
      <c r="J215" s="539">
        <v>42654</v>
      </c>
      <c r="K215" s="538" t="s">
        <v>442</v>
      </c>
      <c r="L215" s="497" t="s">
        <v>196</v>
      </c>
      <c r="M215" s="540">
        <v>600000000</v>
      </c>
      <c r="N215" s="540">
        <v>600000000</v>
      </c>
      <c r="O215" s="541" t="s">
        <v>257</v>
      </c>
      <c r="P215" s="542" t="s">
        <v>2331</v>
      </c>
      <c r="Q215" s="543"/>
    </row>
    <row r="216" spans="2:17" ht="15" customHeight="1">
      <c r="B216" s="366">
        <f t="shared" si="8"/>
        <v>206</v>
      </c>
      <c r="C216" s="289" t="s">
        <v>416</v>
      </c>
      <c r="D216" s="446" t="s">
        <v>271</v>
      </c>
      <c r="E216" s="536" t="s">
        <v>241</v>
      </c>
      <c r="F216" s="520" t="s">
        <v>781</v>
      </c>
      <c r="G216" s="537">
        <v>5</v>
      </c>
      <c r="H216" s="538">
        <v>1</v>
      </c>
      <c r="I216" s="538" t="s">
        <v>221</v>
      </c>
      <c r="J216" s="539">
        <v>45307</v>
      </c>
      <c r="K216" s="538" t="s">
        <v>443</v>
      </c>
      <c r="L216" s="497" t="s">
        <v>196</v>
      </c>
      <c r="M216" s="540">
        <v>300000000</v>
      </c>
      <c r="N216" s="540">
        <v>300000000</v>
      </c>
      <c r="O216" s="541"/>
      <c r="P216" s="542"/>
      <c r="Q216" s="543"/>
    </row>
    <row r="217" spans="2:17" ht="15" customHeight="1">
      <c r="B217" s="366">
        <f t="shared" si="8"/>
        <v>207</v>
      </c>
      <c r="C217" s="289" t="s">
        <v>416</v>
      </c>
      <c r="D217" s="446" t="s">
        <v>271</v>
      </c>
      <c r="E217" s="536" t="s">
        <v>242</v>
      </c>
      <c r="F217" s="520" t="s">
        <v>783</v>
      </c>
      <c r="G217" s="537">
        <v>1</v>
      </c>
      <c r="H217" s="538">
        <v>1</v>
      </c>
      <c r="I217" s="538" t="s">
        <v>332</v>
      </c>
      <c r="J217" s="539">
        <v>43165</v>
      </c>
      <c r="K217" s="538" t="s">
        <v>450</v>
      </c>
      <c r="L217" s="497" t="s">
        <v>196</v>
      </c>
      <c r="M217" s="540">
        <v>840000000</v>
      </c>
      <c r="N217" s="540">
        <v>840000000</v>
      </c>
      <c r="O217" s="541"/>
      <c r="P217" s="542"/>
      <c r="Q217" s="543"/>
    </row>
    <row r="218" spans="2:17" ht="15" customHeight="1">
      <c r="B218" s="366">
        <f t="shared" si="8"/>
        <v>208</v>
      </c>
      <c r="C218" s="289" t="s">
        <v>416</v>
      </c>
      <c r="D218" s="446" t="s">
        <v>271</v>
      </c>
      <c r="E218" s="536" t="s">
        <v>242</v>
      </c>
      <c r="F218" s="520" t="s">
        <v>783</v>
      </c>
      <c r="G218" s="537">
        <v>1</v>
      </c>
      <c r="H218" s="538">
        <v>2</v>
      </c>
      <c r="I218" s="538" t="s">
        <v>334</v>
      </c>
      <c r="J218" s="539">
        <v>43220</v>
      </c>
      <c r="K218" s="538" t="s">
        <v>450</v>
      </c>
      <c r="L218" s="497" t="s">
        <v>196</v>
      </c>
      <c r="M218" s="540">
        <v>600000000</v>
      </c>
      <c r="N218" s="540">
        <v>600000000</v>
      </c>
      <c r="O218" s="541"/>
      <c r="P218" s="542"/>
      <c r="Q218" s="543"/>
    </row>
    <row r="219" spans="2:17" ht="15" customHeight="1">
      <c r="B219" s="366">
        <f t="shared" si="8"/>
        <v>209</v>
      </c>
      <c r="C219" s="289" t="s">
        <v>416</v>
      </c>
      <c r="D219" s="446" t="s">
        <v>271</v>
      </c>
      <c r="E219" s="536" t="s">
        <v>242</v>
      </c>
      <c r="F219" s="520" t="s">
        <v>783</v>
      </c>
      <c r="G219" s="537">
        <v>1</v>
      </c>
      <c r="H219" s="538">
        <v>3</v>
      </c>
      <c r="I219" s="538" t="s">
        <v>221</v>
      </c>
      <c r="J219" s="539">
        <v>45044</v>
      </c>
      <c r="K219" s="538" t="s">
        <v>442</v>
      </c>
      <c r="L219" s="497" t="s">
        <v>196</v>
      </c>
      <c r="M219" s="540">
        <v>1302000000</v>
      </c>
      <c r="N219" s="540">
        <v>1302000000</v>
      </c>
      <c r="O219" s="541"/>
      <c r="P219" s="542"/>
      <c r="Q219" s="543"/>
    </row>
    <row r="220" spans="2:17" ht="15" customHeight="1">
      <c r="B220" s="366">
        <f t="shared" si="8"/>
        <v>210</v>
      </c>
      <c r="C220" s="289" t="s">
        <v>416</v>
      </c>
      <c r="D220" s="446" t="s">
        <v>271</v>
      </c>
      <c r="E220" s="536" t="s">
        <v>243</v>
      </c>
      <c r="F220" s="520" t="s">
        <v>785</v>
      </c>
      <c r="G220" s="537">
        <v>1</v>
      </c>
      <c r="H220" s="538">
        <v>1</v>
      </c>
      <c r="I220" s="538" t="s">
        <v>221</v>
      </c>
      <c r="J220" s="539">
        <v>45016</v>
      </c>
      <c r="K220" s="538" t="s">
        <v>442</v>
      </c>
      <c r="L220" s="497" t="s">
        <v>196</v>
      </c>
      <c r="M220" s="540">
        <v>1848000000</v>
      </c>
      <c r="N220" s="540">
        <v>1848000000</v>
      </c>
      <c r="O220" s="541"/>
      <c r="P220" s="542" t="s">
        <v>2332</v>
      </c>
      <c r="Q220" s="543"/>
    </row>
    <row r="221" spans="2:17" ht="15" customHeight="1">
      <c r="B221" s="366">
        <f t="shared" si="8"/>
        <v>211</v>
      </c>
      <c r="C221" s="289" t="s">
        <v>416</v>
      </c>
      <c r="D221" s="446" t="s">
        <v>271</v>
      </c>
      <c r="E221" s="536" t="s">
        <v>787</v>
      </c>
      <c r="F221" s="520" t="s">
        <v>788</v>
      </c>
      <c r="G221" s="537">
        <v>1</v>
      </c>
      <c r="H221" s="538">
        <v>1</v>
      </c>
      <c r="I221" s="538" t="s">
        <v>221</v>
      </c>
      <c r="J221" s="539">
        <v>43677</v>
      </c>
      <c r="K221" s="538" t="s">
        <v>442</v>
      </c>
      <c r="L221" s="497" t="s">
        <v>196</v>
      </c>
      <c r="M221" s="540">
        <v>720000000</v>
      </c>
      <c r="N221" s="540">
        <v>720000000</v>
      </c>
      <c r="O221" s="541"/>
      <c r="P221" s="542" t="s">
        <v>2333</v>
      </c>
      <c r="Q221" s="543"/>
    </row>
    <row r="222" spans="2:17" ht="15" customHeight="1">
      <c r="B222" s="366">
        <f t="shared" si="8"/>
        <v>212</v>
      </c>
      <c r="C222" s="289" t="s">
        <v>416</v>
      </c>
      <c r="D222" s="446" t="s">
        <v>271</v>
      </c>
      <c r="E222" s="536" t="s">
        <v>787</v>
      </c>
      <c r="F222" s="520" t="s">
        <v>788</v>
      </c>
      <c r="G222" s="537">
        <v>1</v>
      </c>
      <c r="H222" s="538">
        <v>2</v>
      </c>
      <c r="I222" s="538" t="s">
        <v>221</v>
      </c>
      <c r="J222" s="539">
        <v>43706</v>
      </c>
      <c r="K222" s="538" t="s">
        <v>442</v>
      </c>
      <c r="L222" s="497" t="s">
        <v>196</v>
      </c>
      <c r="M222" s="540">
        <v>360000000</v>
      </c>
      <c r="N222" s="540">
        <v>360000000</v>
      </c>
      <c r="O222" s="541"/>
      <c r="P222" s="542" t="s">
        <v>2334</v>
      </c>
      <c r="Q222" s="543"/>
    </row>
    <row r="223" spans="2:17" ht="12" customHeight="1" thickBot="1">
      <c r="B223" s="321"/>
      <c r="C223" s="346"/>
      <c r="D223" s="346"/>
      <c r="E223" s="347"/>
      <c r="F223" s="348"/>
      <c r="G223" s="349"/>
      <c r="H223" s="350"/>
      <c r="I223" s="350"/>
      <c r="J223" s="351"/>
      <c r="K223" s="350"/>
      <c r="L223" s="322"/>
      <c r="M223" s="352"/>
      <c r="N223" s="352"/>
      <c r="O223" s="353"/>
      <c r="P223" s="354"/>
      <c r="Q223" s="35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67"/>
  <sheetViews>
    <sheetView showGridLines="0" zoomScale="85" zoomScaleNormal="85" workbookViewId="0"/>
  </sheetViews>
  <sheetFormatPr defaultColWidth="9" defaultRowHeight="12" customHeight="1"/>
  <cols>
    <col min="1" max="1" width="1.58203125" style="40" customWidth="1"/>
    <col min="2" max="3" width="10.58203125" style="41" customWidth="1"/>
    <col min="4" max="4" width="10.75" style="41" customWidth="1"/>
    <col min="5" max="5" width="10.58203125" style="41" customWidth="1"/>
    <col min="6" max="6" width="17.58203125" style="41" customWidth="1"/>
    <col min="7" max="7" width="17.58203125" style="39" customWidth="1"/>
    <col min="8" max="8" width="20" style="42" bestFit="1" customWidth="1"/>
    <col min="9" max="9" width="15.58203125" style="42" customWidth="1"/>
    <col min="10" max="10" width="17.58203125" style="43" customWidth="1"/>
    <col min="11" max="11" width="10.58203125" style="43" customWidth="1"/>
    <col min="12" max="12" width="10.58203125" style="39" customWidth="1"/>
    <col min="13" max="14" width="15.58203125" style="39" customWidth="1"/>
    <col min="15" max="16" width="15.58203125" style="44" customWidth="1"/>
    <col min="17" max="17" width="15.58203125" style="41" customWidth="1"/>
    <col min="18" max="18" width="17.83203125" style="41" customWidth="1"/>
    <col min="19" max="19" width="40.58203125" style="40" customWidth="1"/>
    <col min="20" max="16384" width="9" style="40"/>
  </cols>
  <sheetData>
    <row r="1" spans="1:19" s="1" customFormat="1" ht="15" customHeight="1">
      <c r="G1" s="40"/>
      <c r="H1" s="40"/>
    </row>
    <row r="2" spans="1:19" s="5" customFormat="1" ht="26.25" customHeight="1" thickBot="1">
      <c r="A2" s="2" t="s">
        <v>790</v>
      </c>
      <c r="B2" s="3"/>
      <c r="C2" s="4"/>
      <c r="D2" s="4"/>
      <c r="E2" s="4"/>
      <c r="F2" s="4"/>
      <c r="G2" s="40"/>
      <c r="H2" s="40"/>
      <c r="K2" s="4"/>
      <c r="L2" s="4"/>
      <c r="M2" s="4"/>
      <c r="N2" s="4"/>
      <c r="Q2" s="33"/>
    </row>
    <row r="3" spans="1:19" s="5" customFormat="1" ht="20.25" customHeight="1">
      <c r="A3" s="224" t="s">
        <v>2482</v>
      </c>
      <c r="B3" s="7"/>
      <c r="C3" s="4"/>
      <c r="D3" s="4"/>
      <c r="E3" s="4"/>
      <c r="F3" s="45"/>
      <c r="G3" s="40"/>
      <c r="H3" s="40"/>
      <c r="I3" s="439" t="s">
        <v>0</v>
      </c>
      <c r="J3" s="440">
        <v>45869</v>
      </c>
      <c r="L3" s="8"/>
      <c r="M3" s="8"/>
      <c r="N3" s="8"/>
      <c r="Q3" s="8"/>
    </row>
    <row r="4" spans="1:19" s="12" customFormat="1" ht="20.25" customHeight="1">
      <c r="A4" s="9" t="s">
        <v>22</v>
      </c>
      <c r="B4" s="10"/>
      <c r="C4" s="11"/>
      <c r="D4" s="11"/>
      <c r="E4" s="11"/>
      <c r="F4" s="45"/>
      <c r="G4" s="40"/>
      <c r="H4" s="40"/>
      <c r="I4" s="441" t="s">
        <v>361</v>
      </c>
      <c r="J4" s="442">
        <v>1396</v>
      </c>
      <c r="L4" s="11"/>
      <c r="M4" s="15"/>
      <c r="N4" s="15"/>
      <c r="O4" s="285"/>
      <c r="Q4" s="35"/>
    </row>
    <row r="5" spans="1:19" s="12" customFormat="1" ht="20.25" customHeight="1" thickBot="1">
      <c r="A5" s="9" t="s">
        <v>23</v>
      </c>
      <c r="B5" s="13"/>
      <c r="C5" s="11"/>
      <c r="D5" s="11"/>
      <c r="E5" s="228"/>
      <c r="F5" s="229"/>
      <c r="G5" s="40"/>
      <c r="H5" s="40"/>
      <c r="I5" s="443" t="s">
        <v>374</v>
      </c>
      <c r="J5" s="328">
        <v>9.3489000000000004</v>
      </c>
      <c r="L5" s="15"/>
      <c r="M5" s="235"/>
      <c r="N5" s="11"/>
      <c r="O5" s="286"/>
      <c r="Q5" s="35"/>
    </row>
    <row r="6" spans="1:19" s="12" customFormat="1" ht="20.25" customHeight="1">
      <c r="A6" s="9"/>
      <c r="B6" s="13"/>
      <c r="C6" s="11"/>
      <c r="D6" s="11"/>
      <c r="E6" s="228"/>
      <c r="F6" s="229"/>
      <c r="G6" s="40"/>
      <c r="H6" s="40"/>
      <c r="I6" s="229"/>
      <c r="J6" s="40"/>
      <c r="L6" s="15"/>
      <c r="M6" s="235"/>
      <c r="N6" s="11"/>
      <c r="O6" s="286"/>
      <c r="Q6" s="35"/>
    </row>
    <row r="7" spans="1:19" s="370" customFormat="1" ht="12" customHeight="1" thickBot="1">
      <c r="A7" s="319"/>
      <c r="B7" s="367"/>
      <c r="C7" s="368"/>
      <c r="D7" s="368"/>
      <c r="E7" s="368"/>
      <c r="F7" s="45"/>
      <c r="G7" s="40"/>
      <c r="H7" s="40"/>
      <c r="I7" s="230"/>
      <c r="J7" s="230"/>
      <c r="K7" s="230"/>
      <c r="L7" s="15"/>
      <c r="M7" s="371"/>
      <c r="N7" s="371"/>
      <c r="O7" s="371"/>
      <c r="P7" s="371"/>
      <c r="Q7" s="369"/>
    </row>
    <row r="8" spans="1:19" ht="15" customHeight="1">
      <c r="B8" s="46" t="s">
        <v>15</v>
      </c>
      <c r="C8" s="47"/>
      <c r="D8" s="47"/>
      <c r="E8" s="47"/>
      <c r="F8" s="47"/>
      <c r="G8" s="47" t="s">
        <v>24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8" t="s">
        <v>39</v>
      </c>
    </row>
    <row r="9" spans="1:19" s="41" customFormat="1" ht="15" customHeight="1" thickBot="1">
      <c r="B9" s="49" t="str">
        <f>"Field "&amp;COLUMN()-1</f>
        <v>Field 1</v>
      </c>
      <c r="C9" s="21" t="str">
        <f>"Field "&amp;COLUMN()-1-COUNTBLANK($B$9:B9)</f>
        <v>Field 2</v>
      </c>
      <c r="D9" s="21" t="str">
        <f>"Field "&amp;COLUMN()-1-COUNTBLANK($B$9:C9)</f>
        <v>Field 3</v>
      </c>
      <c r="E9" s="21" t="str">
        <f>"Field "&amp;COLUMN()-1-COUNTBLANK($B$9:D9)</f>
        <v>Field 4</v>
      </c>
      <c r="F9" s="21" t="str">
        <f>"Field "&amp;COLUMN()-1-COUNTBLANK($B$9:E9)</f>
        <v>Field 5</v>
      </c>
      <c r="G9" s="21" t="str">
        <f>"Field "&amp;COLUMN()-1-COUNTBLANK($B$9:F9)</f>
        <v>Field 6</v>
      </c>
      <c r="H9" s="21" t="str">
        <f>"Field "&amp;COLUMN()-1-COUNTBLANK($B$9:G9)</f>
        <v>Field 7</v>
      </c>
      <c r="I9" s="21" t="str">
        <f>"Field "&amp;COLUMN()-1-COUNTBLANK($B$9:H9)</f>
        <v>Field 8</v>
      </c>
      <c r="J9" s="21" t="str">
        <f>"Field "&amp;COLUMN()-1-COUNTBLANK($B$9:I9)</f>
        <v>Field 9</v>
      </c>
      <c r="K9" s="21" t="str">
        <f>"Field "&amp;COLUMN()-1-COUNTBLANK($B$9:J9)</f>
        <v>Field 10</v>
      </c>
      <c r="L9" s="21" t="str">
        <f>"Field "&amp;COLUMN()-1-COUNTBLANK($B$9:K9)</f>
        <v>Field 11</v>
      </c>
      <c r="M9" s="21" t="str">
        <f>"Field "&amp;COLUMN()-1-COUNTBLANK($B$9:L9)</f>
        <v>Field 12</v>
      </c>
      <c r="N9" s="21" t="str">
        <f>"Field "&amp;COLUMN()-1-COUNTBLANK($B$9:M9)</f>
        <v>Field 13</v>
      </c>
      <c r="O9" s="21" t="str">
        <f>"Field "&amp;COLUMN()-1-COUNTBLANK($B$9:N9)</f>
        <v>Field 14</v>
      </c>
      <c r="P9" s="21" t="str">
        <f>"Field "&amp;COLUMN()-1-COUNTBLANK($B$9:O9)</f>
        <v>Field 15</v>
      </c>
      <c r="Q9" s="21" t="str">
        <f>"Field "&amp;COLUMN()-1-COUNTBLANK($B$9:P9)</f>
        <v>Field 16</v>
      </c>
      <c r="R9" s="21" t="str">
        <f>"Field "&amp;COLUMN()-1-COUNTBLANK($B$9:Q9)</f>
        <v>Field 17</v>
      </c>
      <c r="S9" s="22" t="str">
        <f>"Field "&amp;COLUMN()-1-COUNTBLANK($B$9:R9)</f>
        <v>Field 18</v>
      </c>
    </row>
    <row r="10" spans="1:19" s="38" customFormat="1" ht="37.5" customHeight="1" thickBot="1">
      <c r="B10" s="50" t="s">
        <v>17</v>
      </c>
      <c r="C10" s="24" t="s">
        <v>6</v>
      </c>
      <c r="D10" s="25" t="s">
        <v>399</v>
      </c>
      <c r="E10" s="51" t="s">
        <v>18</v>
      </c>
      <c r="F10" s="70" t="s">
        <v>38</v>
      </c>
      <c r="G10" s="51" t="s">
        <v>25</v>
      </c>
      <c r="H10" s="51" t="s">
        <v>26</v>
      </c>
      <c r="I10" s="51" t="s">
        <v>163</v>
      </c>
      <c r="J10" s="51" t="s">
        <v>40</v>
      </c>
      <c r="K10" s="51" t="s">
        <v>41</v>
      </c>
      <c r="L10" s="51" t="s">
        <v>42</v>
      </c>
      <c r="M10" s="51" t="s">
        <v>43</v>
      </c>
      <c r="N10" s="51" t="s">
        <v>44</v>
      </c>
      <c r="O10" s="51" t="s">
        <v>45</v>
      </c>
      <c r="P10" s="51" t="s">
        <v>46</v>
      </c>
      <c r="Q10" s="51" t="s">
        <v>47</v>
      </c>
      <c r="R10" s="69" t="s">
        <v>48</v>
      </c>
      <c r="S10" s="52" t="s">
        <v>49</v>
      </c>
    </row>
    <row r="11" spans="1:19" ht="15" customHeight="1">
      <c r="B11" s="329">
        <f t="shared" ref="B11:B28" si="0">ROW()-10</f>
        <v>1</v>
      </c>
      <c r="C11" s="289" t="s">
        <v>416</v>
      </c>
      <c r="D11" s="446" t="s">
        <v>270</v>
      </c>
      <c r="E11" s="289" t="s">
        <v>229</v>
      </c>
      <c r="F11" s="520" t="s">
        <v>720</v>
      </c>
      <c r="G11" s="545" t="s">
        <v>281</v>
      </c>
      <c r="H11" s="546" t="s">
        <v>260</v>
      </c>
      <c r="I11" s="547">
        <v>45841</v>
      </c>
      <c r="J11" s="548" t="s">
        <v>2353</v>
      </c>
      <c r="K11" s="549">
        <v>0.9</v>
      </c>
      <c r="L11" s="550" t="s">
        <v>196</v>
      </c>
      <c r="M11" s="31">
        <v>180000000</v>
      </c>
      <c r="N11" s="31">
        <v>180000000</v>
      </c>
      <c r="O11" s="551">
        <v>180000000</v>
      </c>
      <c r="P11" s="551">
        <v>180000000</v>
      </c>
      <c r="Q11" s="552" t="s">
        <v>2467</v>
      </c>
      <c r="R11" s="557" t="s">
        <v>2354</v>
      </c>
      <c r="S11" s="558"/>
    </row>
    <row r="12" spans="1:19" ht="15" customHeight="1">
      <c r="B12" s="329">
        <f t="shared" si="0"/>
        <v>2</v>
      </c>
      <c r="C12" s="289" t="s">
        <v>416</v>
      </c>
      <c r="D12" s="446" t="s">
        <v>270</v>
      </c>
      <c r="E12" s="289" t="s">
        <v>229</v>
      </c>
      <c r="F12" s="520" t="s">
        <v>720</v>
      </c>
      <c r="G12" s="545" t="s">
        <v>281</v>
      </c>
      <c r="H12" s="546" t="s">
        <v>260</v>
      </c>
      <c r="I12" s="547">
        <v>45841</v>
      </c>
      <c r="J12" s="548" t="s">
        <v>2355</v>
      </c>
      <c r="K12" s="549">
        <v>0.9</v>
      </c>
      <c r="L12" s="550" t="s">
        <v>196</v>
      </c>
      <c r="M12" s="31">
        <v>117000000</v>
      </c>
      <c r="N12" s="31">
        <v>117000000</v>
      </c>
      <c r="O12" s="551">
        <v>117000000</v>
      </c>
      <c r="P12" s="551">
        <v>117000000</v>
      </c>
      <c r="Q12" s="552" t="s">
        <v>2468</v>
      </c>
      <c r="R12" s="557" t="s">
        <v>2356</v>
      </c>
      <c r="S12" s="558"/>
    </row>
    <row r="13" spans="1:19" ht="15" customHeight="1">
      <c r="B13" s="329">
        <f t="shared" si="0"/>
        <v>3</v>
      </c>
      <c r="C13" s="289" t="s">
        <v>416</v>
      </c>
      <c r="D13" s="446" t="s">
        <v>270</v>
      </c>
      <c r="E13" s="289" t="s">
        <v>229</v>
      </c>
      <c r="F13" s="520" t="s">
        <v>720</v>
      </c>
      <c r="G13" s="545" t="s">
        <v>281</v>
      </c>
      <c r="H13" s="546" t="s">
        <v>260</v>
      </c>
      <c r="I13" s="547">
        <v>48763</v>
      </c>
      <c r="J13" s="548" t="s">
        <v>2357</v>
      </c>
      <c r="K13" s="549">
        <v>0.9</v>
      </c>
      <c r="L13" s="550" t="s">
        <v>196</v>
      </c>
      <c r="M13" s="31">
        <v>80100000</v>
      </c>
      <c r="N13" s="31">
        <v>80100000</v>
      </c>
      <c r="O13" s="551">
        <v>80100000</v>
      </c>
      <c r="P13" s="551">
        <v>80100000</v>
      </c>
      <c r="Q13" s="552">
        <v>17</v>
      </c>
      <c r="R13" s="557" t="s">
        <v>2358</v>
      </c>
      <c r="S13" s="558"/>
    </row>
    <row r="14" spans="1:19" ht="15" customHeight="1">
      <c r="B14" s="329">
        <f t="shared" si="0"/>
        <v>4</v>
      </c>
      <c r="C14" s="289" t="s">
        <v>416</v>
      </c>
      <c r="D14" s="446" t="s">
        <v>270</v>
      </c>
      <c r="E14" s="289" t="s">
        <v>229</v>
      </c>
      <c r="F14" s="520" t="s">
        <v>720</v>
      </c>
      <c r="G14" s="545" t="s">
        <v>281</v>
      </c>
      <c r="H14" s="546" t="s">
        <v>260</v>
      </c>
      <c r="I14" s="547">
        <v>48763</v>
      </c>
      <c r="J14" s="548" t="s">
        <v>2359</v>
      </c>
      <c r="K14" s="549">
        <v>0.9</v>
      </c>
      <c r="L14" s="550" t="s">
        <v>196</v>
      </c>
      <c r="M14" s="31">
        <v>519750000</v>
      </c>
      <c r="N14" s="31">
        <v>519750000</v>
      </c>
      <c r="O14" s="551">
        <v>519750000</v>
      </c>
      <c r="P14" s="551">
        <v>519750000</v>
      </c>
      <c r="Q14" s="552">
        <v>1</v>
      </c>
      <c r="R14" s="557" t="s">
        <v>2360</v>
      </c>
      <c r="S14" s="558"/>
    </row>
    <row r="15" spans="1:19" ht="15" customHeight="1">
      <c r="B15" s="329">
        <f t="shared" si="0"/>
        <v>5</v>
      </c>
      <c r="C15" s="289" t="s">
        <v>416</v>
      </c>
      <c r="D15" s="446" t="s">
        <v>270</v>
      </c>
      <c r="E15" s="289" t="s">
        <v>229</v>
      </c>
      <c r="F15" s="520" t="s">
        <v>720</v>
      </c>
      <c r="G15" s="545" t="s">
        <v>281</v>
      </c>
      <c r="H15" s="546" t="s">
        <v>260</v>
      </c>
      <c r="I15" s="547">
        <v>45856</v>
      </c>
      <c r="J15" s="548" t="s">
        <v>2361</v>
      </c>
      <c r="K15" s="549">
        <v>0.95</v>
      </c>
      <c r="L15" s="550" t="s">
        <v>196</v>
      </c>
      <c r="M15" s="31">
        <v>95000000</v>
      </c>
      <c r="N15" s="31">
        <v>95000000</v>
      </c>
      <c r="O15" s="551">
        <v>95000000</v>
      </c>
      <c r="P15" s="551">
        <v>95000000</v>
      </c>
      <c r="Q15" s="552" t="s">
        <v>2469</v>
      </c>
      <c r="R15" s="557" t="s">
        <v>2362</v>
      </c>
      <c r="S15" s="558"/>
    </row>
    <row r="16" spans="1:19" ht="15" customHeight="1">
      <c r="B16" s="329">
        <f t="shared" si="0"/>
        <v>6</v>
      </c>
      <c r="C16" s="289" t="s">
        <v>416</v>
      </c>
      <c r="D16" s="446" t="s">
        <v>270</v>
      </c>
      <c r="E16" s="289" t="s">
        <v>229</v>
      </c>
      <c r="F16" s="520" t="s">
        <v>720</v>
      </c>
      <c r="G16" s="545" t="s">
        <v>281</v>
      </c>
      <c r="H16" s="546" t="s">
        <v>260</v>
      </c>
      <c r="I16" s="547">
        <v>45856</v>
      </c>
      <c r="J16" s="548" t="s">
        <v>2363</v>
      </c>
      <c r="K16" s="549">
        <v>0.95</v>
      </c>
      <c r="L16" s="550" t="s">
        <v>196</v>
      </c>
      <c r="M16" s="31">
        <v>380000000</v>
      </c>
      <c r="N16" s="31">
        <v>380000000</v>
      </c>
      <c r="O16" s="551">
        <v>380000000</v>
      </c>
      <c r="P16" s="551">
        <v>380000000</v>
      </c>
      <c r="Q16" s="552" t="s">
        <v>2470</v>
      </c>
      <c r="R16" s="557" t="s">
        <v>2364</v>
      </c>
      <c r="S16" s="558"/>
    </row>
    <row r="17" spans="2:19" ht="15" customHeight="1">
      <c r="B17" s="329">
        <f t="shared" si="0"/>
        <v>7</v>
      </c>
      <c r="C17" s="289" t="s">
        <v>416</v>
      </c>
      <c r="D17" s="446" t="s">
        <v>270</v>
      </c>
      <c r="E17" s="289" t="s">
        <v>229</v>
      </c>
      <c r="F17" s="520" t="s">
        <v>720</v>
      </c>
      <c r="G17" s="545" t="s">
        <v>281</v>
      </c>
      <c r="H17" s="546" t="s">
        <v>260</v>
      </c>
      <c r="I17" s="547">
        <v>48616</v>
      </c>
      <c r="J17" s="548" t="s">
        <v>2365</v>
      </c>
      <c r="K17" s="549">
        <v>0.95</v>
      </c>
      <c r="L17" s="550" t="s">
        <v>196</v>
      </c>
      <c r="M17" s="31">
        <v>475000000</v>
      </c>
      <c r="N17" s="31">
        <v>475000000</v>
      </c>
      <c r="O17" s="551">
        <v>475000000</v>
      </c>
      <c r="P17" s="551">
        <v>475000000</v>
      </c>
      <c r="Q17" s="552" t="s">
        <v>2471</v>
      </c>
      <c r="R17" s="557" t="s">
        <v>2366</v>
      </c>
      <c r="S17" s="558"/>
    </row>
    <row r="18" spans="2:19" ht="15" customHeight="1">
      <c r="B18" s="329">
        <f t="shared" si="0"/>
        <v>8</v>
      </c>
      <c r="C18" s="289" t="s">
        <v>416</v>
      </c>
      <c r="D18" s="446" t="s">
        <v>270</v>
      </c>
      <c r="E18" s="289" t="s">
        <v>229</v>
      </c>
      <c r="F18" s="520" t="s">
        <v>720</v>
      </c>
      <c r="G18" s="545" t="s">
        <v>281</v>
      </c>
      <c r="H18" s="546" t="s">
        <v>262</v>
      </c>
      <c r="I18" s="547">
        <v>46059</v>
      </c>
      <c r="J18" s="548" t="s">
        <v>2367</v>
      </c>
      <c r="K18" s="549">
        <v>1</v>
      </c>
      <c r="L18" s="550" t="s">
        <v>196</v>
      </c>
      <c r="M18" s="31">
        <v>550000000</v>
      </c>
      <c r="N18" s="31">
        <v>550000000</v>
      </c>
      <c r="O18" s="551">
        <v>550000000</v>
      </c>
      <c r="P18" s="551">
        <v>550000000</v>
      </c>
      <c r="Q18" s="552">
        <v>16</v>
      </c>
      <c r="R18" s="557" t="s">
        <v>2368</v>
      </c>
      <c r="S18" s="558"/>
    </row>
    <row r="19" spans="2:19" ht="15" customHeight="1">
      <c r="B19" s="329">
        <f t="shared" si="0"/>
        <v>9</v>
      </c>
      <c r="C19" s="289" t="s">
        <v>416</v>
      </c>
      <c r="D19" s="446" t="s">
        <v>270</v>
      </c>
      <c r="E19" s="289" t="s">
        <v>231</v>
      </c>
      <c r="F19" s="520" t="s">
        <v>722</v>
      </c>
      <c r="G19" s="545" t="s">
        <v>269</v>
      </c>
      <c r="H19" s="546" t="s">
        <v>259</v>
      </c>
      <c r="I19" s="547">
        <v>45874</v>
      </c>
      <c r="J19" s="548" t="s">
        <v>2369</v>
      </c>
      <c r="K19" s="549">
        <v>0.9</v>
      </c>
      <c r="L19" s="550" t="s">
        <v>196</v>
      </c>
      <c r="M19" s="31">
        <v>1425000000</v>
      </c>
      <c r="N19" s="31">
        <v>1425000000</v>
      </c>
      <c r="O19" s="551">
        <v>1350000000</v>
      </c>
      <c r="P19" s="551">
        <v>1350000000</v>
      </c>
      <c r="Q19" s="552" t="s">
        <v>2472</v>
      </c>
      <c r="R19" s="557" t="s">
        <v>2370</v>
      </c>
      <c r="S19" s="558"/>
    </row>
    <row r="20" spans="2:19" ht="15" customHeight="1">
      <c r="B20" s="329">
        <f t="shared" si="0"/>
        <v>10</v>
      </c>
      <c r="C20" s="289" t="s">
        <v>416</v>
      </c>
      <c r="D20" s="446" t="s">
        <v>270</v>
      </c>
      <c r="E20" s="289" t="s">
        <v>231</v>
      </c>
      <c r="F20" s="520" t="s">
        <v>722</v>
      </c>
      <c r="G20" s="545" t="s">
        <v>269</v>
      </c>
      <c r="H20" s="546" t="s">
        <v>259</v>
      </c>
      <c r="I20" s="547">
        <v>46084</v>
      </c>
      <c r="J20" s="548" t="s">
        <v>2371</v>
      </c>
      <c r="K20" s="549">
        <v>0.85</v>
      </c>
      <c r="L20" s="550" t="s">
        <v>196</v>
      </c>
      <c r="M20" s="31">
        <v>712300000</v>
      </c>
      <c r="N20" s="31">
        <v>712300000</v>
      </c>
      <c r="O20" s="551">
        <v>712300000</v>
      </c>
      <c r="P20" s="551">
        <v>712300000</v>
      </c>
      <c r="Q20" s="552" t="s">
        <v>2469</v>
      </c>
      <c r="R20" s="557" t="s">
        <v>2372</v>
      </c>
      <c r="S20" s="558"/>
    </row>
    <row r="21" spans="2:19" ht="15" customHeight="1">
      <c r="B21" s="329">
        <f t="shared" si="0"/>
        <v>11</v>
      </c>
      <c r="C21" s="289" t="s">
        <v>416</v>
      </c>
      <c r="D21" s="446" t="s">
        <v>270</v>
      </c>
      <c r="E21" s="289" t="s">
        <v>231</v>
      </c>
      <c r="F21" s="520" t="s">
        <v>722</v>
      </c>
      <c r="G21" s="545" t="s">
        <v>269</v>
      </c>
      <c r="H21" s="546" t="s">
        <v>259</v>
      </c>
      <c r="I21" s="547">
        <v>46084</v>
      </c>
      <c r="J21" s="548" t="s">
        <v>2373</v>
      </c>
      <c r="K21" s="549">
        <v>0.9</v>
      </c>
      <c r="L21" s="550" t="s">
        <v>196</v>
      </c>
      <c r="M21" s="31">
        <v>270000000</v>
      </c>
      <c r="N21" s="31">
        <v>270000000</v>
      </c>
      <c r="O21" s="551">
        <v>270000000</v>
      </c>
      <c r="P21" s="551">
        <v>270000000</v>
      </c>
      <c r="Q21" s="552" t="s">
        <v>2473</v>
      </c>
      <c r="R21" s="557" t="s">
        <v>2374</v>
      </c>
      <c r="S21" s="558"/>
    </row>
    <row r="22" spans="2:19" ht="15" customHeight="1">
      <c r="B22" s="329">
        <f t="shared" si="0"/>
        <v>12</v>
      </c>
      <c r="C22" s="289" t="s">
        <v>416</v>
      </c>
      <c r="D22" s="446" t="s">
        <v>270</v>
      </c>
      <c r="E22" s="289" t="s">
        <v>231</v>
      </c>
      <c r="F22" s="520" t="s">
        <v>722</v>
      </c>
      <c r="G22" s="545" t="s">
        <v>269</v>
      </c>
      <c r="H22" s="546" t="s">
        <v>259</v>
      </c>
      <c r="I22" s="547">
        <v>46084</v>
      </c>
      <c r="J22" s="548" t="s">
        <v>2375</v>
      </c>
      <c r="K22" s="549">
        <v>0.95</v>
      </c>
      <c r="L22" s="550" t="s">
        <v>196</v>
      </c>
      <c r="M22" s="31">
        <v>475000000</v>
      </c>
      <c r="N22" s="31">
        <v>475000000</v>
      </c>
      <c r="O22" s="551">
        <v>475000000</v>
      </c>
      <c r="P22" s="551">
        <v>475000000</v>
      </c>
      <c r="Q22" s="552" t="s">
        <v>2470</v>
      </c>
      <c r="R22" s="557" t="s">
        <v>2376</v>
      </c>
      <c r="S22" s="558"/>
    </row>
    <row r="23" spans="2:19" ht="15" customHeight="1">
      <c r="B23" s="329">
        <f t="shared" si="0"/>
        <v>13</v>
      </c>
      <c r="C23" s="289" t="s">
        <v>416</v>
      </c>
      <c r="D23" s="446" t="s">
        <v>270</v>
      </c>
      <c r="E23" s="289" t="s">
        <v>232</v>
      </c>
      <c r="F23" s="520" t="s">
        <v>723</v>
      </c>
      <c r="G23" s="545" t="s">
        <v>281</v>
      </c>
      <c r="H23" s="546" t="s">
        <v>260</v>
      </c>
      <c r="I23" s="547">
        <v>45968</v>
      </c>
      <c r="J23" s="548" t="s">
        <v>2377</v>
      </c>
      <c r="K23" s="549">
        <v>0.95</v>
      </c>
      <c r="L23" s="550" t="s">
        <v>196</v>
      </c>
      <c r="M23" s="31">
        <v>475000000</v>
      </c>
      <c r="N23" s="31">
        <v>475000000</v>
      </c>
      <c r="O23" s="551">
        <v>475000000</v>
      </c>
      <c r="P23" s="551">
        <v>475000000</v>
      </c>
      <c r="Q23" s="552">
        <v>1</v>
      </c>
      <c r="R23" s="557" t="s">
        <v>2378</v>
      </c>
      <c r="S23" s="558"/>
    </row>
    <row r="24" spans="2:19" ht="15" customHeight="1">
      <c r="B24" s="329">
        <f t="shared" si="0"/>
        <v>14</v>
      </c>
      <c r="C24" s="289" t="s">
        <v>416</v>
      </c>
      <c r="D24" s="446" t="s">
        <v>270</v>
      </c>
      <c r="E24" s="289" t="s">
        <v>232</v>
      </c>
      <c r="F24" s="520" t="s">
        <v>723</v>
      </c>
      <c r="G24" s="545" t="s">
        <v>281</v>
      </c>
      <c r="H24" s="546" t="s">
        <v>260</v>
      </c>
      <c r="I24" s="547">
        <v>48872</v>
      </c>
      <c r="J24" s="548" t="s">
        <v>2379</v>
      </c>
      <c r="K24" s="549">
        <v>0.85</v>
      </c>
      <c r="L24" s="550" t="s">
        <v>196</v>
      </c>
      <c r="M24" s="31">
        <v>1496000000</v>
      </c>
      <c r="N24" s="31">
        <v>1496000000</v>
      </c>
      <c r="O24" s="551">
        <v>374000000</v>
      </c>
      <c r="P24" s="551">
        <v>374000000</v>
      </c>
      <c r="Q24" s="552">
        <v>8</v>
      </c>
      <c r="R24" s="557" t="s">
        <v>2380</v>
      </c>
      <c r="S24" s="558"/>
    </row>
    <row r="25" spans="2:19" ht="15" customHeight="1">
      <c r="B25" s="329">
        <f t="shared" si="0"/>
        <v>15</v>
      </c>
      <c r="C25" s="289" t="s">
        <v>416</v>
      </c>
      <c r="D25" s="446" t="s">
        <v>270</v>
      </c>
      <c r="E25" s="289" t="s">
        <v>232</v>
      </c>
      <c r="F25" s="520" t="s">
        <v>723</v>
      </c>
      <c r="G25" s="545" t="s">
        <v>281</v>
      </c>
      <c r="H25" s="546" t="s">
        <v>260</v>
      </c>
      <c r="I25" s="547">
        <v>45940</v>
      </c>
      <c r="J25" s="548" t="s">
        <v>2381</v>
      </c>
      <c r="K25" s="549">
        <v>0.95</v>
      </c>
      <c r="L25" s="550" t="s">
        <v>196</v>
      </c>
      <c r="M25" s="31">
        <v>237500000</v>
      </c>
      <c r="N25" s="31">
        <v>237500000</v>
      </c>
      <c r="O25" s="551">
        <v>237500000</v>
      </c>
      <c r="P25" s="551">
        <v>237500000</v>
      </c>
      <c r="Q25" s="552">
        <v>9</v>
      </c>
      <c r="R25" s="557" t="s">
        <v>2382</v>
      </c>
      <c r="S25" s="558"/>
    </row>
    <row r="26" spans="2:19" ht="15" customHeight="1">
      <c r="B26" s="329">
        <f t="shared" si="0"/>
        <v>16</v>
      </c>
      <c r="C26" s="289" t="s">
        <v>416</v>
      </c>
      <c r="D26" s="446" t="s">
        <v>270</v>
      </c>
      <c r="E26" s="289" t="s">
        <v>232</v>
      </c>
      <c r="F26" s="520" t="s">
        <v>723</v>
      </c>
      <c r="G26" s="545" t="s">
        <v>281</v>
      </c>
      <c r="H26" s="546" t="s">
        <v>260</v>
      </c>
      <c r="I26" s="547">
        <v>45940</v>
      </c>
      <c r="J26" s="548" t="s">
        <v>2383</v>
      </c>
      <c r="K26" s="549">
        <v>0.95</v>
      </c>
      <c r="L26" s="550" t="s">
        <v>196</v>
      </c>
      <c r="M26" s="31">
        <v>237500000</v>
      </c>
      <c r="N26" s="31">
        <v>237500000</v>
      </c>
      <c r="O26" s="551">
        <v>237500000</v>
      </c>
      <c r="P26" s="551">
        <v>237500000</v>
      </c>
      <c r="Q26" s="552">
        <v>10</v>
      </c>
      <c r="R26" s="557" t="s">
        <v>2384</v>
      </c>
      <c r="S26" s="558"/>
    </row>
    <row r="27" spans="2:19" ht="15" customHeight="1">
      <c r="B27" s="329">
        <f t="shared" si="0"/>
        <v>17</v>
      </c>
      <c r="C27" s="289" t="s">
        <v>416</v>
      </c>
      <c r="D27" s="446" t="s">
        <v>270</v>
      </c>
      <c r="E27" s="289" t="s">
        <v>232</v>
      </c>
      <c r="F27" s="520" t="s">
        <v>723</v>
      </c>
      <c r="G27" s="545" t="s">
        <v>281</v>
      </c>
      <c r="H27" s="546" t="s">
        <v>260</v>
      </c>
      <c r="I27" s="547">
        <v>45952</v>
      </c>
      <c r="J27" s="548" t="s">
        <v>2385</v>
      </c>
      <c r="K27" s="549">
        <v>0.95</v>
      </c>
      <c r="L27" s="550" t="s">
        <v>196</v>
      </c>
      <c r="M27" s="31">
        <v>190000000</v>
      </c>
      <c r="N27" s="31">
        <v>190000000</v>
      </c>
      <c r="O27" s="551">
        <v>190000000</v>
      </c>
      <c r="P27" s="551">
        <v>190000000</v>
      </c>
      <c r="Q27" s="552">
        <v>13</v>
      </c>
      <c r="R27" s="557" t="s">
        <v>2386</v>
      </c>
      <c r="S27" s="558"/>
    </row>
    <row r="28" spans="2:19" ht="15" customHeight="1">
      <c r="B28" s="329">
        <f t="shared" si="0"/>
        <v>18</v>
      </c>
      <c r="C28" s="289" t="s">
        <v>416</v>
      </c>
      <c r="D28" s="446" t="s">
        <v>270</v>
      </c>
      <c r="E28" s="289" t="s">
        <v>232</v>
      </c>
      <c r="F28" s="520" t="s">
        <v>723</v>
      </c>
      <c r="G28" s="545" t="s">
        <v>281</v>
      </c>
      <c r="H28" s="546" t="s">
        <v>262</v>
      </c>
      <c r="I28" s="547">
        <v>45952</v>
      </c>
      <c r="J28" s="548" t="s">
        <v>2387</v>
      </c>
      <c r="K28" s="549">
        <v>1</v>
      </c>
      <c r="L28" s="550" t="s">
        <v>196</v>
      </c>
      <c r="M28" s="31">
        <v>1100000000</v>
      </c>
      <c r="N28" s="31">
        <v>1100000000</v>
      </c>
      <c r="O28" s="551">
        <v>1100000000</v>
      </c>
      <c r="P28" s="551">
        <v>1100000000</v>
      </c>
      <c r="Q28" s="552">
        <v>14</v>
      </c>
      <c r="R28" s="557" t="s">
        <v>2388</v>
      </c>
      <c r="S28" s="558"/>
    </row>
    <row r="29" spans="2:19" ht="15" customHeight="1">
      <c r="B29" s="329">
        <f t="shared" ref="B29:B34" si="1">ROW()-10</f>
        <v>19</v>
      </c>
      <c r="C29" s="289" t="s">
        <v>416</v>
      </c>
      <c r="D29" s="446" t="s">
        <v>270</v>
      </c>
      <c r="E29" s="289" t="s">
        <v>234</v>
      </c>
      <c r="F29" s="520" t="s">
        <v>725</v>
      </c>
      <c r="G29" s="545" t="s">
        <v>269</v>
      </c>
      <c r="H29" s="546" t="s">
        <v>259</v>
      </c>
      <c r="I29" s="547">
        <v>46031</v>
      </c>
      <c r="J29" s="548" t="s">
        <v>2389</v>
      </c>
      <c r="K29" s="549">
        <v>0.85</v>
      </c>
      <c r="L29" s="550" t="s">
        <v>196</v>
      </c>
      <c r="M29" s="31">
        <v>297500000</v>
      </c>
      <c r="N29" s="31">
        <v>297500000</v>
      </c>
      <c r="O29" s="551">
        <v>297500000</v>
      </c>
      <c r="P29" s="551">
        <v>297500000</v>
      </c>
      <c r="Q29" s="552" t="s">
        <v>2468</v>
      </c>
      <c r="R29" s="557" t="s">
        <v>2390</v>
      </c>
      <c r="S29" s="558"/>
    </row>
    <row r="30" spans="2:19" ht="15" customHeight="1">
      <c r="B30" s="329">
        <f t="shared" si="1"/>
        <v>20</v>
      </c>
      <c r="C30" s="289" t="s">
        <v>416</v>
      </c>
      <c r="D30" s="446" t="s">
        <v>270</v>
      </c>
      <c r="E30" s="289" t="s">
        <v>234</v>
      </c>
      <c r="F30" s="520" t="s">
        <v>725</v>
      </c>
      <c r="G30" s="545" t="s">
        <v>269</v>
      </c>
      <c r="H30" s="546" t="s">
        <v>259</v>
      </c>
      <c r="I30" s="547">
        <v>46024</v>
      </c>
      <c r="J30" s="548" t="s">
        <v>2391</v>
      </c>
      <c r="K30" s="549">
        <v>0.85</v>
      </c>
      <c r="L30" s="550" t="s">
        <v>196</v>
      </c>
      <c r="M30" s="31">
        <v>595000000</v>
      </c>
      <c r="N30" s="31">
        <v>595000000</v>
      </c>
      <c r="O30" s="551">
        <v>595000000</v>
      </c>
      <c r="P30" s="551">
        <v>595000000</v>
      </c>
      <c r="Q30" s="552" t="s">
        <v>2470</v>
      </c>
      <c r="R30" s="557" t="s">
        <v>2392</v>
      </c>
      <c r="S30" s="558"/>
    </row>
    <row r="31" spans="2:19" ht="15" customHeight="1">
      <c r="B31" s="329">
        <f t="shared" si="1"/>
        <v>21</v>
      </c>
      <c r="C31" s="289" t="s">
        <v>416</v>
      </c>
      <c r="D31" s="446" t="s">
        <v>270</v>
      </c>
      <c r="E31" s="289" t="s">
        <v>237</v>
      </c>
      <c r="F31" s="520" t="s">
        <v>730</v>
      </c>
      <c r="G31" s="545" t="s">
        <v>269</v>
      </c>
      <c r="H31" s="546" t="s">
        <v>259</v>
      </c>
      <c r="I31" s="547">
        <v>45912</v>
      </c>
      <c r="J31" s="548" t="s">
        <v>2393</v>
      </c>
      <c r="K31" s="549">
        <v>0.95</v>
      </c>
      <c r="L31" s="550" t="s">
        <v>196</v>
      </c>
      <c r="M31" s="31">
        <v>475000000</v>
      </c>
      <c r="N31" s="31">
        <v>475000000</v>
      </c>
      <c r="O31" s="551">
        <v>475000000</v>
      </c>
      <c r="P31" s="551">
        <v>475000000</v>
      </c>
      <c r="Q31" s="552">
        <v>2</v>
      </c>
      <c r="R31" s="557" t="s">
        <v>2394</v>
      </c>
      <c r="S31" s="558"/>
    </row>
    <row r="32" spans="2:19" ht="15" customHeight="1">
      <c r="B32" s="329">
        <f t="shared" si="1"/>
        <v>22</v>
      </c>
      <c r="C32" s="289" t="s">
        <v>416</v>
      </c>
      <c r="D32" s="446" t="s">
        <v>270</v>
      </c>
      <c r="E32" s="289" t="s">
        <v>294</v>
      </c>
      <c r="F32" s="520" t="s">
        <v>731</v>
      </c>
      <c r="G32" s="545" t="s">
        <v>281</v>
      </c>
      <c r="H32" s="546" t="s">
        <v>260</v>
      </c>
      <c r="I32" s="547">
        <v>45821</v>
      </c>
      <c r="J32" s="548" t="s">
        <v>2395</v>
      </c>
      <c r="K32" s="549">
        <v>0.85</v>
      </c>
      <c r="L32" s="550" t="s">
        <v>196</v>
      </c>
      <c r="M32" s="31">
        <v>187000000</v>
      </c>
      <c r="N32" s="31">
        <v>187000000</v>
      </c>
      <c r="O32" s="551">
        <v>178500000</v>
      </c>
      <c r="P32" s="551">
        <v>178500000</v>
      </c>
      <c r="Q32" s="552">
        <v>1</v>
      </c>
      <c r="R32" s="557" t="s">
        <v>2396</v>
      </c>
      <c r="S32" s="558"/>
    </row>
    <row r="33" spans="2:19" ht="15" customHeight="1">
      <c r="B33" s="329">
        <f t="shared" si="1"/>
        <v>23</v>
      </c>
      <c r="C33" s="289" t="s">
        <v>416</v>
      </c>
      <c r="D33" s="446" t="s">
        <v>270</v>
      </c>
      <c r="E33" s="289" t="s">
        <v>294</v>
      </c>
      <c r="F33" s="520" t="s">
        <v>731</v>
      </c>
      <c r="G33" s="545" t="s">
        <v>281</v>
      </c>
      <c r="H33" s="546" t="s">
        <v>260</v>
      </c>
      <c r="I33" s="547">
        <v>45821</v>
      </c>
      <c r="J33" s="548" t="s">
        <v>2397</v>
      </c>
      <c r="K33" s="549">
        <v>0.85</v>
      </c>
      <c r="L33" s="550" t="s">
        <v>196</v>
      </c>
      <c r="M33" s="31">
        <v>195500000</v>
      </c>
      <c r="N33" s="31">
        <v>195500000</v>
      </c>
      <c r="O33" s="551">
        <v>187000000</v>
      </c>
      <c r="P33" s="551">
        <v>187000000</v>
      </c>
      <c r="Q33" s="552">
        <v>2</v>
      </c>
      <c r="R33" s="557" t="s">
        <v>2398</v>
      </c>
      <c r="S33" s="558"/>
    </row>
    <row r="34" spans="2:19" ht="15" customHeight="1">
      <c r="B34" s="329">
        <f t="shared" si="1"/>
        <v>24</v>
      </c>
      <c r="C34" s="289" t="s">
        <v>416</v>
      </c>
      <c r="D34" s="446" t="s">
        <v>270</v>
      </c>
      <c r="E34" s="289" t="s">
        <v>294</v>
      </c>
      <c r="F34" s="520" t="s">
        <v>731</v>
      </c>
      <c r="G34" s="545" t="s">
        <v>281</v>
      </c>
      <c r="H34" s="546" t="s">
        <v>260</v>
      </c>
      <c r="I34" s="547">
        <v>46321</v>
      </c>
      <c r="J34" s="548" t="s">
        <v>2399</v>
      </c>
      <c r="K34" s="549">
        <v>0.9</v>
      </c>
      <c r="L34" s="550" t="s">
        <v>196</v>
      </c>
      <c r="M34" s="31">
        <v>576000000</v>
      </c>
      <c r="N34" s="31">
        <v>576000000</v>
      </c>
      <c r="O34" s="551">
        <v>230400000</v>
      </c>
      <c r="P34" s="551">
        <v>230400000</v>
      </c>
      <c r="Q34" s="552">
        <v>11</v>
      </c>
      <c r="R34" s="557" t="s">
        <v>2400</v>
      </c>
      <c r="S34" s="558"/>
    </row>
    <row r="35" spans="2:19" ht="15" customHeight="1">
      <c r="B35" s="329">
        <f t="shared" ref="B35:B39" si="2">ROW()-10</f>
        <v>25</v>
      </c>
      <c r="C35" s="289" t="s">
        <v>416</v>
      </c>
      <c r="D35" s="446" t="s">
        <v>270</v>
      </c>
      <c r="E35" s="289" t="s">
        <v>290</v>
      </c>
      <c r="F35" s="520" t="s">
        <v>732</v>
      </c>
      <c r="G35" s="545" t="s">
        <v>269</v>
      </c>
      <c r="H35" s="546" t="s">
        <v>259</v>
      </c>
      <c r="I35" s="547">
        <v>45910</v>
      </c>
      <c r="J35" s="548" t="s">
        <v>2401</v>
      </c>
      <c r="K35" s="549">
        <v>0.9</v>
      </c>
      <c r="L35" s="550" t="s">
        <v>196</v>
      </c>
      <c r="M35" s="31">
        <v>297000000</v>
      </c>
      <c r="N35" s="31">
        <v>297000000</v>
      </c>
      <c r="O35" s="551">
        <v>297000000</v>
      </c>
      <c r="P35" s="551">
        <v>297000000</v>
      </c>
      <c r="Q35" s="552">
        <v>4</v>
      </c>
      <c r="R35" s="557" t="s">
        <v>2402</v>
      </c>
      <c r="S35" s="558"/>
    </row>
    <row r="36" spans="2:19" ht="15" customHeight="1">
      <c r="B36" s="329">
        <f t="shared" si="2"/>
        <v>26</v>
      </c>
      <c r="C36" s="289" t="s">
        <v>416</v>
      </c>
      <c r="D36" s="446" t="s">
        <v>270</v>
      </c>
      <c r="E36" s="289" t="s">
        <v>290</v>
      </c>
      <c r="F36" s="520" t="s">
        <v>732</v>
      </c>
      <c r="G36" s="545" t="s">
        <v>269</v>
      </c>
      <c r="H36" s="546" t="s">
        <v>259</v>
      </c>
      <c r="I36" s="547">
        <v>45757</v>
      </c>
      <c r="J36" s="548" t="s">
        <v>2403</v>
      </c>
      <c r="K36" s="549">
        <v>0.9</v>
      </c>
      <c r="L36" s="550" t="s">
        <v>196</v>
      </c>
      <c r="M36" s="31">
        <v>270000000</v>
      </c>
      <c r="N36" s="31">
        <v>270000000</v>
      </c>
      <c r="O36" s="551">
        <v>270000000</v>
      </c>
      <c r="P36" s="551">
        <v>270000000</v>
      </c>
      <c r="Q36" s="552">
        <v>8</v>
      </c>
      <c r="R36" s="557" t="s">
        <v>2404</v>
      </c>
      <c r="S36" s="558"/>
    </row>
    <row r="37" spans="2:19" ht="15" customHeight="1">
      <c r="B37" s="329">
        <f t="shared" si="2"/>
        <v>27</v>
      </c>
      <c r="C37" s="289" t="s">
        <v>416</v>
      </c>
      <c r="D37" s="446" t="s">
        <v>270</v>
      </c>
      <c r="E37" s="289" t="s">
        <v>292</v>
      </c>
      <c r="F37" s="520" t="s">
        <v>739</v>
      </c>
      <c r="G37" s="545" t="s">
        <v>281</v>
      </c>
      <c r="H37" s="546" t="s">
        <v>260</v>
      </c>
      <c r="I37" s="547">
        <v>45835</v>
      </c>
      <c r="J37" s="548" t="s">
        <v>2405</v>
      </c>
      <c r="K37" s="549">
        <v>0.95</v>
      </c>
      <c r="L37" s="550" t="s">
        <v>196</v>
      </c>
      <c r="M37" s="31">
        <v>95000000</v>
      </c>
      <c r="N37" s="31">
        <v>95000000</v>
      </c>
      <c r="O37" s="551">
        <v>95000000</v>
      </c>
      <c r="P37" s="551">
        <v>95000000</v>
      </c>
      <c r="Q37" s="552" t="s">
        <v>2467</v>
      </c>
      <c r="R37" s="557" t="s">
        <v>2406</v>
      </c>
      <c r="S37" s="558"/>
    </row>
    <row r="38" spans="2:19" ht="15" customHeight="1">
      <c r="B38" s="329">
        <f t="shared" si="2"/>
        <v>28</v>
      </c>
      <c r="C38" s="289" t="s">
        <v>416</v>
      </c>
      <c r="D38" s="446" t="s">
        <v>270</v>
      </c>
      <c r="E38" s="289" t="s">
        <v>292</v>
      </c>
      <c r="F38" s="520" t="s">
        <v>739</v>
      </c>
      <c r="G38" s="545" t="s">
        <v>281</v>
      </c>
      <c r="H38" s="546" t="s">
        <v>260</v>
      </c>
      <c r="I38" s="547">
        <v>45870</v>
      </c>
      <c r="J38" s="548" t="s">
        <v>2407</v>
      </c>
      <c r="K38" s="549">
        <v>0.95</v>
      </c>
      <c r="L38" s="550" t="s">
        <v>196</v>
      </c>
      <c r="M38" s="31">
        <v>285000000</v>
      </c>
      <c r="N38" s="31">
        <v>285000000</v>
      </c>
      <c r="O38" s="551">
        <v>211375000</v>
      </c>
      <c r="P38" s="551">
        <v>211375000</v>
      </c>
      <c r="Q38" s="552" t="s">
        <v>2469</v>
      </c>
      <c r="R38" s="557" t="s">
        <v>2408</v>
      </c>
      <c r="S38" s="558"/>
    </row>
    <row r="39" spans="2:19" ht="15" customHeight="1">
      <c r="B39" s="329">
        <f t="shared" si="2"/>
        <v>29</v>
      </c>
      <c r="C39" s="289" t="s">
        <v>416</v>
      </c>
      <c r="D39" s="446" t="s">
        <v>270</v>
      </c>
      <c r="E39" s="289" t="s">
        <v>301</v>
      </c>
      <c r="F39" s="520" t="s">
        <v>747</v>
      </c>
      <c r="G39" s="545" t="s">
        <v>281</v>
      </c>
      <c r="H39" s="546" t="s">
        <v>260</v>
      </c>
      <c r="I39" s="547">
        <v>46052</v>
      </c>
      <c r="J39" s="548" t="s">
        <v>2409</v>
      </c>
      <c r="K39" s="549">
        <v>0.85</v>
      </c>
      <c r="L39" s="550" t="s">
        <v>196</v>
      </c>
      <c r="M39" s="31">
        <v>450000000</v>
      </c>
      <c r="N39" s="31">
        <v>450000000</v>
      </c>
      <c r="O39" s="551">
        <v>415539500</v>
      </c>
      <c r="P39" s="551">
        <v>415539500</v>
      </c>
      <c r="Q39" s="552">
        <v>2</v>
      </c>
      <c r="R39" s="557" t="s">
        <v>2410</v>
      </c>
      <c r="S39" s="558"/>
    </row>
    <row r="40" spans="2:19" ht="15" customHeight="1">
      <c r="B40" s="329">
        <f t="shared" ref="B40:B64" si="3">ROW()-10</f>
        <v>30</v>
      </c>
      <c r="C40" s="289" t="s">
        <v>416</v>
      </c>
      <c r="D40" s="446" t="s">
        <v>270</v>
      </c>
      <c r="E40" s="289" t="s">
        <v>311</v>
      </c>
      <c r="F40" s="520" t="s">
        <v>751</v>
      </c>
      <c r="G40" s="545" t="s">
        <v>281</v>
      </c>
      <c r="H40" s="546" t="s">
        <v>260</v>
      </c>
      <c r="I40" s="547">
        <v>45996</v>
      </c>
      <c r="J40" s="548" t="s">
        <v>2411</v>
      </c>
      <c r="K40" s="549">
        <v>0.85</v>
      </c>
      <c r="L40" s="550" t="s">
        <v>196</v>
      </c>
      <c r="M40" s="31">
        <v>95000000</v>
      </c>
      <c r="N40" s="31">
        <v>95000000</v>
      </c>
      <c r="O40" s="551">
        <v>85000000</v>
      </c>
      <c r="P40" s="551">
        <v>85000000</v>
      </c>
      <c r="Q40" s="552">
        <v>1</v>
      </c>
      <c r="R40" s="557" t="s">
        <v>2412</v>
      </c>
      <c r="S40" s="558"/>
    </row>
    <row r="41" spans="2:19" ht="15" customHeight="1">
      <c r="B41" s="329">
        <f t="shared" si="3"/>
        <v>31</v>
      </c>
      <c r="C41" s="289" t="s">
        <v>416</v>
      </c>
      <c r="D41" s="446" t="s">
        <v>270</v>
      </c>
      <c r="E41" s="289" t="s">
        <v>311</v>
      </c>
      <c r="F41" s="520" t="s">
        <v>751</v>
      </c>
      <c r="G41" s="545" t="s">
        <v>281</v>
      </c>
      <c r="H41" s="546" t="s">
        <v>260</v>
      </c>
      <c r="I41" s="547">
        <v>47286</v>
      </c>
      <c r="J41" s="548" t="s">
        <v>2413</v>
      </c>
      <c r="K41" s="549">
        <v>0.9</v>
      </c>
      <c r="L41" s="550" t="s">
        <v>196</v>
      </c>
      <c r="M41" s="31">
        <v>189000000</v>
      </c>
      <c r="N41" s="31">
        <v>189000000</v>
      </c>
      <c r="O41" s="551">
        <v>47250000</v>
      </c>
      <c r="P41" s="551">
        <v>47250000</v>
      </c>
      <c r="Q41" s="552">
        <v>2</v>
      </c>
      <c r="R41" s="557" t="s">
        <v>2414</v>
      </c>
      <c r="S41" s="558"/>
    </row>
    <row r="42" spans="2:19" ht="15" customHeight="1">
      <c r="B42" s="329">
        <f t="shared" si="3"/>
        <v>32</v>
      </c>
      <c r="C42" s="289" t="s">
        <v>416</v>
      </c>
      <c r="D42" s="446" t="s">
        <v>270</v>
      </c>
      <c r="E42" s="289" t="s">
        <v>311</v>
      </c>
      <c r="F42" s="520" t="s">
        <v>751</v>
      </c>
      <c r="G42" s="545" t="s">
        <v>281</v>
      </c>
      <c r="H42" s="546" t="s">
        <v>260</v>
      </c>
      <c r="I42" s="547">
        <v>47286</v>
      </c>
      <c r="J42" s="548" t="s">
        <v>2415</v>
      </c>
      <c r="K42" s="549">
        <v>0.9</v>
      </c>
      <c r="L42" s="550" t="s">
        <v>196</v>
      </c>
      <c r="M42" s="31">
        <v>450000000</v>
      </c>
      <c r="N42" s="31">
        <v>450000000</v>
      </c>
      <c r="O42" s="551">
        <v>180000000</v>
      </c>
      <c r="P42" s="551">
        <v>180000000</v>
      </c>
      <c r="Q42" s="552">
        <v>3</v>
      </c>
      <c r="R42" s="557" t="s">
        <v>2416</v>
      </c>
      <c r="S42" s="558"/>
    </row>
    <row r="43" spans="2:19" ht="15" customHeight="1">
      <c r="B43" s="329">
        <f t="shared" si="3"/>
        <v>33</v>
      </c>
      <c r="C43" s="289" t="s">
        <v>416</v>
      </c>
      <c r="D43" s="446" t="s">
        <v>270</v>
      </c>
      <c r="E43" s="289" t="s">
        <v>311</v>
      </c>
      <c r="F43" s="520" t="s">
        <v>751</v>
      </c>
      <c r="G43" s="545" t="s">
        <v>281</v>
      </c>
      <c r="H43" s="546" t="s">
        <v>260</v>
      </c>
      <c r="I43" s="547">
        <v>47286</v>
      </c>
      <c r="J43" s="548" t="s">
        <v>2417</v>
      </c>
      <c r="K43" s="549">
        <v>0.9</v>
      </c>
      <c r="L43" s="550" t="s">
        <v>196</v>
      </c>
      <c r="M43" s="31">
        <v>396000000</v>
      </c>
      <c r="N43" s="31">
        <v>396000000</v>
      </c>
      <c r="O43" s="551">
        <v>178200000</v>
      </c>
      <c r="P43" s="551">
        <v>178200000</v>
      </c>
      <c r="Q43" s="552">
        <v>4</v>
      </c>
      <c r="R43" s="557" t="s">
        <v>2418</v>
      </c>
      <c r="S43" s="558"/>
    </row>
    <row r="44" spans="2:19" ht="15" customHeight="1">
      <c r="B44" s="329">
        <f t="shared" si="3"/>
        <v>34</v>
      </c>
      <c r="C44" s="289" t="s">
        <v>416</v>
      </c>
      <c r="D44" s="446" t="s">
        <v>270</v>
      </c>
      <c r="E44" s="289" t="s">
        <v>311</v>
      </c>
      <c r="F44" s="520" t="s">
        <v>751</v>
      </c>
      <c r="G44" s="545" t="s">
        <v>269</v>
      </c>
      <c r="H44" s="546" t="s">
        <v>288</v>
      </c>
      <c r="I44" s="547">
        <v>48661</v>
      </c>
      <c r="J44" s="548" t="s">
        <v>2419</v>
      </c>
      <c r="K44" s="549">
        <v>0.9</v>
      </c>
      <c r="L44" s="550" t="s">
        <v>196</v>
      </c>
      <c r="M44" s="31">
        <v>90000000</v>
      </c>
      <c r="N44" s="31">
        <v>90000000</v>
      </c>
      <c r="O44" s="551">
        <v>90000000</v>
      </c>
      <c r="P44" s="551">
        <v>90000000</v>
      </c>
      <c r="Q44" s="552">
        <v>5</v>
      </c>
      <c r="R44" s="557" t="s">
        <v>2420</v>
      </c>
      <c r="S44" s="558"/>
    </row>
    <row r="45" spans="2:19" ht="15" customHeight="1">
      <c r="B45" s="329">
        <f t="shared" si="3"/>
        <v>35</v>
      </c>
      <c r="C45" s="289" t="s">
        <v>416</v>
      </c>
      <c r="D45" s="446" t="s">
        <v>270</v>
      </c>
      <c r="E45" s="289" t="s">
        <v>311</v>
      </c>
      <c r="F45" s="520" t="s">
        <v>751</v>
      </c>
      <c r="G45" s="545" t="s">
        <v>281</v>
      </c>
      <c r="H45" s="546" t="s">
        <v>262</v>
      </c>
      <c r="I45" s="547">
        <v>45958</v>
      </c>
      <c r="J45" s="548" t="s">
        <v>2421</v>
      </c>
      <c r="K45" s="549">
        <v>1</v>
      </c>
      <c r="L45" s="550" t="s">
        <v>196</v>
      </c>
      <c r="M45" s="31">
        <v>80000000</v>
      </c>
      <c r="N45" s="31">
        <v>80000000</v>
      </c>
      <c r="O45" s="551">
        <v>80000000</v>
      </c>
      <c r="P45" s="551">
        <v>80000000</v>
      </c>
      <c r="Q45" s="552">
        <v>6</v>
      </c>
      <c r="R45" s="557" t="s">
        <v>2422</v>
      </c>
      <c r="S45" s="558"/>
    </row>
    <row r="46" spans="2:19" ht="15" customHeight="1">
      <c r="B46" s="329">
        <f t="shared" si="3"/>
        <v>36</v>
      </c>
      <c r="C46" s="289" t="s">
        <v>416</v>
      </c>
      <c r="D46" s="446" t="s">
        <v>270</v>
      </c>
      <c r="E46" s="289" t="s">
        <v>312</v>
      </c>
      <c r="F46" s="520" t="s">
        <v>752</v>
      </c>
      <c r="G46" s="545" t="s">
        <v>269</v>
      </c>
      <c r="H46" s="546" t="s">
        <v>716</v>
      </c>
      <c r="I46" s="547">
        <v>45712</v>
      </c>
      <c r="J46" s="548" t="s">
        <v>2423</v>
      </c>
      <c r="K46" s="549">
        <v>1</v>
      </c>
      <c r="L46" s="550" t="s">
        <v>196</v>
      </c>
      <c r="M46" s="31">
        <v>300000000</v>
      </c>
      <c r="N46" s="31">
        <v>300000000</v>
      </c>
      <c r="O46" s="551">
        <v>18750000</v>
      </c>
      <c r="P46" s="551">
        <v>18750000</v>
      </c>
      <c r="Q46" s="552">
        <v>4</v>
      </c>
      <c r="R46" s="557" t="s">
        <v>2424</v>
      </c>
      <c r="S46" s="558"/>
    </row>
    <row r="47" spans="2:19" ht="15" customHeight="1">
      <c r="B47" s="329">
        <f t="shared" si="3"/>
        <v>37</v>
      </c>
      <c r="C47" s="289" t="s">
        <v>416</v>
      </c>
      <c r="D47" s="446" t="s">
        <v>270</v>
      </c>
      <c r="E47" s="289" t="s">
        <v>312</v>
      </c>
      <c r="F47" s="520" t="s">
        <v>752</v>
      </c>
      <c r="G47" s="545" t="s">
        <v>269</v>
      </c>
      <c r="H47" s="546" t="s">
        <v>259</v>
      </c>
      <c r="I47" s="547">
        <v>45989</v>
      </c>
      <c r="J47" s="548" t="s">
        <v>2425</v>
      </c>
      <c r="K47" s="549">
        <v>0.9</v>
      </c>
      <c r="L47" s="550" t="s">
        <v>196</v>
      </c>
      <c r="M47" s="31">
        <v>297000000</v>
      </c>
      <c r="N47" s="31">
        <v>297000000</v>
      </c>
      <c r="O47" s="551">
        <v>92808000</v>
      </c>
      <c r="P47" s="551">
        <v>92808000</v>
      </c>
      <c r="Q47" s="552" t="s">
        <v>2475</v>
      </c>
      <c r="R47" s="557" t="s">
        <v>2426</v>
      </c>
      <c r="S47" s="558"/>
    </row>
    <row r="48" spans="2:19" ht="15" customHeight="1">
      <c r="B48" s="329">
        <f t="shared" si="3"/>
        <v>38</v>
      </c>
      <c r="C48" s="289" t="s">
        <v>416</v>
      </c>
      <c r="D48" s="446" t="s">
        <v>270</v>
      </c>
      <c r="E48" s="289" t="s">
        <v>299</v>
      </c>
      <c r="F48" s="520" t="s">
        <v>753</v>
      </c>
      <c r="G48" s="545" t="s">
        <v>2477</v>
      </c>
      <c r="H48" s="546" t="s">
        <v>375</v>
      </c>
      <c r="I48" s="547">
        <v>45772</v>
      </c>
      <c r="J48" s="548" t="s">
        <v>2427</v>
      </c>
      <c r="K48" s="549">
        <v>1</v>
      </c>
      <c r="L48" s="550" t="s">
        <v>196</v>
      </c>
      <c r="M48" s="31">
        <v>15000000</v>
      </c>
      <c r="N48" s="31">
        <v>15000000</v>
      </c>
      <c r="O48" s="551">
        <v>620000</v>
      </c>
      <c r="P48" s="551">
        <v>620000</v>
      </c>
      <c r="Q48" s="552">
        <v>2</v>
      </c>
      <c r="R48" s="557" t="s">
        <v>2428</v>
      </c>
      <c r="S48" s="558"/>
    </row>
    <row r="49" spans="2:19" ht="15" customHeight="1">
      <c r="B49" s="329">
        <f t="shared" si="3"/>
        <v>39</v>
      </c>
      <c r="C49" s="289" t="s">
        <v>416</v>
      </c>
      <c r="D49" s="446" t="s">
        <v>270</v>
      </c>
      <c r="E49" s="289" t="s">
        <v>299</v>
      </c>
      <c r="F49" s="520" t="s">
        <v>753</v>
      </c>
      <c r="G49" s="545" t="s">
        <v>269</v>
      </c>
      <c r="H49" s="546" t="s">
        <v>259</v>
      </c>
      <c r="I49" s="547">
        <v>45912</v>
      </c>
      <c r="J49" s="548" t="s">
        <v>2429</v>
      </c>
      <c r="K49" s="549">
        <v>0.9</v>
      </c>
      <c r="L49" s="550" t="s">
        <v>196</v>
      </c>
      <c r="M49" s="31">
        <v>207000000</v>
      </c>
      <c r="N49" s="31">
        <v>207000000</v>
      </c>
      <c r="O49" s="551">
        <v>207000000</v>
      </c>
      <c r="P49" s="551">
        <v>207000000</v>
      </c>
      <c r="Q49" s="552">
        <v>5</v>
      </c>
      <c r="R49" s="557" t="s">
        <v>2430</v>
      </c>
      <c r="S49" s="558"/>
    </row>
    <row r="50" spans="2:19" ht="15" customHeight="1">
      <c r="B50" s="329">
        <f t="shared" si="3"/>
        <v>40</v>
      </c>
      <c r="C50" s="289" t="s">
        <v>416</v>
      </c>
      <c r="D50" s="446" t="s">
        <v>270</v>
      </c>
      <c r="E50" s="289" t="s">
        <v>295</v>
      </c>
      <c r="F50" s="520" t="s">
        <v>755</v>
      </c>
      <c r="G50" s="545" t="s">
        <v>281</v>
      </c>
      <c r="H50" s="546" t="s">
        <v>260</v>
      </c>
      <c r="I50" s="547">
        <v>45800</v>
      </c>
      <c r="J50" s="548" t="s">
        <v>2431</v>
      </c>
      <c r="K50" s="549">
        <v>0.9</v>
      </c>
      <c r="L50" s="550" t="s">
        <v>196</v>
      </c>
      <c r="M50" s="31">
        <v>112100000</v>
      </c>
      <c r="N50" s="31">
        <v>112100000</v>
      </c>
      <c r="O50" s="551">
        <v>106200000</v>
      </c>
      <c r="P50" s="551">
        <v>106200000</v>
      </c>
      <c r="Q50" s="552" t="s">
        <v>2465</v>
      </c>
      <c r="R50" s="557" t="s">
        <v>2432</v>
      </c>
      <c r="S50" s="558"/>
    </row>
    <row r="51" spans="2:19" ht="15" customHeight="1">
      <c r="B51" s="329">
        <f t="shared" si="3"/>
        <v>41</v>
      </c>
      <c r="C51" s="289" t="s">
        <v>416</v>
      </c>
      <c r="D51" s="446" t="s">
        <v>270</v>
      </c>
      <c r="E51" s="289" t="s">
        <v>295</v>
      </c>
      <c r="F51" s="520" t="s">
        <v>755</v>
      </c>
      <c r="G51" s="545" t="s">
        <v>281</v>
      </c>
      <c r="H51" s="546" t="s">
        <v>260</v>
      </c>
      <c r="I51" s="547">
        <v>45800</v>
      </c>
      <c r="J51" s="548" t="s">
        <v>2433</v>
      </c>
      <c r="K51" s="549">
        <v>0.9</v>
      </c>
      <c r="L51" s="550" t="s">
        <v>196</v>
      </c>
      <c r="M51" s="31">
        <v>142500000</v>
      </c>
      <c r="N51" s="31">
        <v>142500000</v>
      </c>
      <c r="O51" s="551">
        <v>135000000</v>
      </c>
      <c r="P51" s="551">
        <v>135000000</v>
      </c>
      <c r="Q51" s="552" t="s">
        <v>2467</v>
      </c>
      <c r="R51" s="557" t="s">
        <v>2434</v>
      </c>
      <c r="S51" s="558"/>
    </row>
    <row r="52" spans="2:19" ht="15" customHeight="1">
      <c r="B52" s="329">
        <f t="shared" si="3"/>
        <v>42</v>
      </c>
      <c r="C52" s="289" t="s">
        <v>416</v>
      </c>
      <c r="D52" s="446" t="s">
        <v>270</v>
      </c>
      <c r="E52" s="289" t="s">
        <v>295</v>
      </c>
      <c r="F52" s="520" t="s">
        <v>755</v>
      </c>
      <c r="G52" s="545" t="s">
        <v>281</v>
      </c>
      <c r="H52" s="546" t="s">
        <v>260</v>
      </c>
      <c r="I52" s="547">
        <v>45947</v>
      </c>
      <c r="J52" s="548" t="s">
        <v>2435</v>
      </c>
      <c r="K52" s="549">
        <v>0.95</v>
      </c>
      <c r="L52" s="550" t="s">
        <v>196</v>
      </c>
      <c r="M52" s="31">
        <v>14250000</v>
      </c>
      <c r="N52" s="31">
        <v>14250000</v>
      </c>
      <c r="O52" s="551">
        <v>14250000</v>
      </c>
      <c r="P52" s="551">
        <v>14250000</v>
      </c>
      <c r="Q52" s="552" t="s">
        <v>2476</v>
      </c>
      <c r="R52" s="557" t="s">
        <v>2436</v>
      </c>
      <c r="S52" s="558"/>
    </row>
    <row r="53" spans="2:19" ht="15" customHeight="1">
      <c r="B53" s="329">
        <f t="shared" si="3"/>
        <v>43</v>
      </c>
      <c r="C53" s="289" t="s">
        <v>416</v>
      </c>
      <c r="D53" s="446" t="s">
        <v>270</v>
      </c>
      <c r="E53" s="289" t="s">
        <v>295</v>
      </c>
      <c r="F53" s="520" t="s">
        <v>755</v>
      </c>
      <c r="G53" s="545" t="s">
        <v>281</v>
      </c>
      <c r="H53" s="546" t="s">
        <v>260</v>
      </c>
      <c r="I53" s="547">
        <v>45947</v>
      </c>
      <c r="J53" s="548" t="s">
        <v>2437</v>
      </c>
      <c r="K53" s="549">
        <v>0.95</v>
      </c>
      <c r="L53" s="550" t="s">
        <v>196</v>
      </c>
      <c r="M53" s="31">
        <v>95000000</v>
      </c>
      <c r="N53" s="31">
        <v>95000000</v>
      </c>
      <c r="O53" s="551">
        <v>95000000</v>
      </c>
      <c r="P53" s="551">
        <v>95000000</v>
      </c>
      <c r="Q53" s="552" t="s">
        <v>2478</v>
      </c>
      <c r="R53" s="557" t="s">
        <v>2438</v>
      </c>
      <c r="S53" s="558"/>
    </row>
    <row r="54" spans="2:19" ht="15" customHeight="1">
      <c r="B54" s="329">
        <f t="shared" si="3"/>
        <v>44</v>
      </c>
      <c r="C54" s="289" t="s">
        <v>416</v>
      </c>
      <c r="D54" s="446" t="s">
        <v>270</v>
      </c>
      <c r="E54" s="289" t="s">
        <v>308</v>
      </c>
      <c r="F54" s="520" t="s">
        <v>756</v>
      </c>
      <c r="G54" s="545" t="s">
        <v>269</v>
      </c>
      <c r="H54" s="546" t="s">
        <v>288</v>
      </c>
      <c r="I54" s="547">
        <v>48934</v>
      </c>
      <c r="J54" s="548" t="s">
        <v>2439</v>
      </c>
      <c r="K54" s="549">
        <v>0.9</v>
      </c>
      <c r="L54" s="550" t="s">
        <v>196</v>
      </c>
      <c r="M54" s="31">
        <v>90000000</v>
      </c>
      <c r="N54" s="31">
        <v>90000000</v>
      </c>
      <c r="O54" s="551">
        <v>90000000</v>
      </c>
      <c r="P54" s="551">
        <v>90000000</v>
      </c>
      <c r="Q54" s="552" t="s">
        <v>2476</v>
      </c>
      <c r="R54" s="557" t="s">
        <v>2440</v>
      </c>
      <c r="S54" s="558"/>
    </row>
    <row r="55" spans="2:19" ht="15" customHeight="1">
      <c r="B55" s="329">
        <f t="shared" si="3"/>
        <v>45</v>
      </c>
      <c r="C55" s="289" t="s">
        <v>416</v>
      </c>
      <c r="D55" s="446" t="s">
        <v>270</v>
      </c>
      <c r="E55" s="289" t="s">
        <v>300</v>
      </c>
      <c r="F55" s="520" t="s">
        <v>757</v>
      </c>
      <c r="G55" s="545" t="s">
        <v>269</v>
      </c>
      <c r="H55" s="546" t="s">
        <v>259</v>
      </c>
      <c r="I55" s="547">
        <v>45758</v>
      </c>
      <c r="J55" s="548" t="s">
        <v>2441</v>
      </c>
      <c r="K55" s="549">
        <v>0.95</v>
      </c>
      <c r="L55" s="550" t="s">
        <v>196</v>
      </c>
      <c r="M55" s="31">
        <v>285000000</v>
      </c>
      <c r="N55" s="31">
        <v>285000000</v>
      </c>
      <c r="O55" s="551">
        <v>285000000</v>
      </c>
      <c r="P55" s="551">
        <v>285000000</v>
      </c>
      <c r="Q55" s="552">
        <v>3</v>
      </c>
      <c r="R55" s="557" t="s">
        <v>2442</v>
      </c>
      <c r="S55" s="558"/>
    </row>
    <row r="56" spans="2:19" ht="15" customHeight="1">
      <c r="B56" s="329">
        <f t="shared" si="3"/>
        <v>46</v>
      </c>
      <c r="C56" s="289" t="s">
        <v>416</v>
      </c>
      <c r="D56" s="446" t="s">
        <v>270</v>
      </c>
      <c r="E56" s="289" t="s">
        <v>300</v>
      </c>
      <c r="F56" s="520" t="s">
        <v>757</v>
      </c>
      <c r="G56" s="545" t="s">
        <v>269</v>
      </c>
      <c r="H56" s="546" t="s">
        <v>716</v>
      </c>
      <c r="I56" s="547">
        <v>45989</v>
      </c>
      <c r="J56" s="548" t="s">
        <v>2443</v>
      </c>
      <c r="K56" s="549">
        <v>1</v>
      </c>
      <c r="L56" s="550" t="s">
        <v>196</v>
      </c>
      <c r="M56" s="31">
        <v>215000000</v>
      </c>
      <c r="N56" s="31">
        <v>215000000</v>
      </c>
      <c r="O56" s="551">
        <v>215000000</v>
      </c>
      <c r="P56" s="551">
        <v>215000000</v>
      </c>
      <c r="Q56" s="552">
        <v>2</v>
      </c>
      <c r="R56" s="557" t="s">
        <v>2444</v>
      </c>
      <c r="S56" s="558"/>
    </row>
    <row r="57" spans="2:19" ht="15" customHeight="1">
      <c r="B57" s="329">
        <f t="shared" si="3"/>
        <v>47</v>
      </c>
      <c r="C57" s="289" t="s">
        <v>416</v>
      </c>
      <c r="D57" s="446" t="s">
        <v>270</v>
      </c>
      <c r="E57" s="289" t="s">
        <v>381</v>
      </c>
      <c r="F57" s="520" t="s">
        <v>768</v>
      </c>
      <c r="G57" s="545" t="s">
        <v>268</v>
      </c>
      <c r="H57" s="546" t="s">
        <v>261</v>
      </c>
      <c r="I57" s="547">
        <v>53315</v>
      </c>
      <c r="J57" s="548" t="s">
        <v>2445</v>
      </c>
      <c r="K57" s="549">
        <v>1</v>
      </c>
      <c r="L57" s="550" t="s">
        <v>196</v>
      </c>
      <c r="M57" s="31">
        <v>34000000</v>
      </c>
      <c r="N57" s="31">
        <v>34000000</v>
      </c>
      <c r="O57" s="551">
        <v>31076865</v>
      </c>
      <c r="P57" s="551">
        <v>31076865</v>
      </c>
      <c r="Q57" s="552">
        <v>1</v>
      </c>
      <c r="R57" s="557" t="s">
        <v>2446</v>
      </c>
      <c r="S57" s="558"/>
    </row>
    <row r="58" spans="2:19" ht="15" customHeight="1">
      <c r="B58" s="329">
        <f t="shared" si="3"/>
        <v>48</v>
      </c>
      <c r="C58" s="289" t="s">
        <v>416</v>
      </c>
      <c r="D58" s="446" t="s">
        <v>270</v>
      </c>
      <c r="E58" s="289" t="s">
        <v>383</v>
      </c>
      <c r="F58" s="520" t="s">
        <v>770</v>
      </c>
      <c r="G58" s="545" t="s">
        <v>268</v>
      </c>
      <c r="H58" s="546" t="s">
        <v>261</v>
      </c>
      <c r="I58" s="547">
        <v>56524</v>
      </c>
      <c r="J58" s="548" t="s">
        <v>2447</v>
      </c>
      <c r="K58" s="549">
        <v>1</v>
      </c>
      <c r="L58" s="550" t="s">
        <v>196</v>
      </c>
      <c r="M58" s="31">
        <v>32000000</v>
      </c>
      <c r="N58" s="31">
        <v>32000000</v>
      </c>
      <c r="O58" s="551">
        <v>29675564</v>
      </c>
      <c r="P58" s="551">
        <v>29675564</v>
      </c>
      <c r="Q58" s="552">
        <v>1</v>
      </c>
      <c r="R58" s="557" t="s">
        <v>2448</v>
      </c>
      <c r="S58" s="558"/>
    </row>
    <row r="59" spans="2:19" ht="15" customHeight="1">
      <c r="B59" s="329">
        <f t="shared" si="3"/>
        <v>49</v>
      </c>
      <c r="C59" s="289" t="s">
        <v>416</v>
      </c>
      <c r="D59" s="446" t="s">
        <v>271</v>
      </c>
      <c r="E59" s="289" t="s">
        <v>238</v>
      </c>
      <c r="F59" s="520" t="s">
        <v>775</v>
      </c>
      <c r="G59" s="545" t="s">
        <v>2466</v>
      </c>
      <c r="H59" s="546" t="s">
        <v>2352</v>
      </c>
      <c r="I59" s="547">
        <v>46149</v>
      </c>
      <c r="J59" s="548" t="s">
        <v>2449</v>
      </c>
      <c r="K59" s="549">
        <v>0.9</v>
      </c>
      <c r="L59" s="550" t="s">
        <v>196</v>
      </c>
      <c r="M59" s="31">
        <v>972000000</v>
      </c>
      <c r="N59" s="31">
        <v>972000000</v>
      </c>
      <c r="O59" s="551">
        <v>957000000</v>
      </c>
      <c r="P59" s="551">
        <v>957000000</v>
      </c>
      <c r="Q59" s="552" t="s">
        <v>2479</v>
      </c>
      <c r="R59" s="557" t="s">
        <v>2450</v>
      </c>
      <c r="S59" s="558"/>
    </row>
    <row r="60" spans="2:19" ht="15" customHeight="1">
      <c r="B60" s="329">
        <f t="shared" si="3"/>
        <v>50</v>
      </c>
      <c r="C60" s="289" t="s">
        <v>416</v>
      </c>
      <c r="D60" s="446" t="s">
        <v>271</v>
      </c>
      <c r="E60" s="289" t="s">
        <v>239</v>
      </c>
      <c r="F60" s="520" t="s">
        <v>777</v>
      </c>
      <c r="G60" s="545" t="s">
        <v>269</v>
      </c>
      <c r="H60" s="546" t="s">
        <v>259</v>
      </c>
      <c r="I60" s="547">
        <v>45849</v>
      </c>
      <c r="J60" s="548" t="s">
        <v>2451</v>
      </c>
      <c r="K60" s="549">
        <v>0.85</v>
      </c>
      <c r="L60" s="550" t="s">
        <v>196</v>
      </c>
      <c r="M60" s="31">
        <v>85000000</v>
      </c>
      <c r="N60" s="31">
        <v>85000000</v>
      </c>
      <c r="O60" s="551">
        <v>85000000</v>
      </c>
      <c r="P60" s="551">
        <v>85000000</v>
      </c>
      <c r="Q60" s="552" t="s">
        <v>2480</v>
      </c>
      <c r="R60" s="557" t="s">
        <v>2452</v>
      </c>
      <c r="S60" s="558"/>
    </row>
    <row r="61" spans="2:19" ht="15" customHeight="1">
      <c r="B61" s="329">
        <f t="shared" si="3"/>
        <v>51</v>
      </c>
      <c r="C61" s="289" t="s">
        <v>416</v>
      </c>
      <c r="D61" s="446" t="s">
        <v>271</v>
      </c>
      <c r="E61" s="289" t="s">
        <v>239</v>
      </c>
      <c r="F61" s="520" t="s">
        <v>777</v>
      </c>
      <c r="G61" s="545" t="s">
        <v>269</v>
      </c>
      <c r="H61" s="546" t="s">
        <v>259</v>
      </c>
      <c r="I61" s="547">
        <v>45849</v>
      </c>
      <c r="J61" s="548" t="s">
        <v>2453</v>
      </c>
      <c r="K61" s="549">
        <v>0.85</v>
      </c>
      <c r="L61" s="550" t="s">
        <v>196</v>
      </c>
      <c r="M61" s="31">
        <v>283900000</v>
      </c>
      <c r="N61" s="31">
        <v>283900000</v>
      </c>
      <c r="O61" s="551">
        <v>283900000</v>
      </c>
      <c r="P61" s="551">
        <v>283900000</v>
      </c>
      <c r="Q61" s="552" t="s">
        <v>2474</v>
      </c>
      <c r="R61" s="557" t="s">
        <v>2454</v>
      </c>
      <c r="S61" s="558"/>
    </row>
    <row r="62" spans="2:19" ht="15" customHeight="1">
      <c r="B62" s="329">
        <f t="shared" si="3"/>
        <v>52</v>
      </c>
      <c r="C62" s="289" t="s">
        <v>416</v>
      </c>
      <c r="D62" s="446" t="s">
        <v>271</v>
      </c>
      <c r="E62" s="289" t="s">
        <v>239</v>
      </c>
      <c r="F62" s="520" t="s">
        <v>777</v>
      </c>
      <c r="G62" s="545" t="s">
        <v>269</v>
      </c>
      <c r="H62" s="546" t="s">
        <v>259</v>
      </c>
      <c r="I62" s="547">
        <v>45940</v>
      </c>
      <c r="J62" s="548" t="s">
        <v>2455</v>
      </c>
      <c r="K62" s="549">
        <v>0.9</v>
      </c>
      <c r="L62" s="550" t="s">
        <v>196</v>
      </c>
      <c r="M62" s="31">
        <v>270000000</v>
      </c>
      <c r="N62" s="31">
        <v>270000000</v>
      </c>
      <c r="O62" s="551">
        <v>270000000</v>
      </c>
      <c r="P62" s="551">
        <v>270000000</v>
      </c>
      <c r="Q62" s="552" t="s">
        <v>2475</v>
      </c>
      <c r="R62" s="557" t="s">
        <v>2456</v>
      </c>
      <c r="S62" s="558"/>
    </row>
    <row r="63" spans="2:19" ht="15" customHeight="1">
      <c r="B63" s="329">
        <f t="shared" si="3"/>
        <v>53</v>
      </c>
      <c r="C63" s="289" t="s">
        <v>416</v>
      </c>
      <c r="D63" s="446" t="s">
        <v>271</v>
      </c>
      <c r="E63" s="289" t="s">
        <v>239</v>
      </c>
      <c r="F63" s="520" t="s">
        <v>777</v>
      </c>
      <c r="G63" s="545" t="s">
        <v>269</v>
      </c>
      <c r="H63" s="546" t="s">
        <v>259</v>
      </c>
      <c r="I63" s="547">
        <v>46990</v>
      </c>
      <c r="J63" s="548" t="s">
        <v>2457</v>
      </c>
      <c r="K63" s="549">
        <v>0.9</v>
      </c>
      <c r="L63" s="550" t="s">
        <v>196</v>
      </c>
      <c r="M63" s="31">
        <v>900000000</v>
      </c>
      <c r="N63" s="31">
        <v>900000000</v>
      </c>
      <c r="O63" s="551">
        <v>630000000</v>
      </c>
      <c r="P63" s="551">
        <v>630000000</v>
      </c>
      <c r="Q63" s="552" t="s">
        <v>2478</v>
      </c>
      <c r="R63" s="557" t="s">
        <v>2458</v>
      </c>
      <c r="S63" s="558"/>
    </row>
    <row r="64" spans="2:19" ht="15" customHeight="1">
      <c r="B64" s="329">
        <f t="shared" si="3"/>
        <v>54</v>
      </c>
      <c r="C64" s="289" t="s">
        <v>416</v>
      </c>
      <c r="D64" s="446" t="s">
        <v>271</v>
      </c>
      <c r="E64" s="289" t="s">
        <v>239</v>
      </c>
      <c r="F64" s="520" t="s">
        <v>777</v>
      </c>
      <c r="G64" s="545" t="s">
        <v>269</v>
      </c>
      <c r="H64" s="546" t="s">
        <v>259</v>
      </c>
      <c r="I64" s="547">
        <v>48087</v>
      </c>
      <c r="J64" s="548" t="s">
        <v>2459</v>
      </c>
      <c r="K64" s="549">
        <v>0.9</v>
      </c>
      <c r="L64" s="550" t="s">
        <v>196</v>
      </c>
      <c r="M64" s="31">
        <v>450000000</v>
      </c>
      <c r="N64" s="31">
        <v>450000000</v>
      </c>
      <c r="O64" s="551">
        <v>315000000</v>
      </c>
      <c r="P64" s="551">
        <v>315000000</v>
      </c>
      <c r="Q64" s="552" t="s">
        <v>2481</v>
      </c>
      <c r="R64" s="557" t="s">
        <v>2460</v>
      </c>
      <c r="S64" s="558"/>
    </row>
    <row r="65" spans="2:19" ht="15" customHeight="1">
      <c r="B65" s="329">
        <f t="shared" ref="B65:B66" si="4">ROW()-10</f>
        <v>55</v>
      </c>
      <c r="C65" s="289" t="s">
        <v>416</v>
      </c>
      <c r="D65" s="446" t="s">
        <v>271</v>
      </c>
      <c r="E65" s="289" t="s">
        <v>243</v>
      </c>
      <c r="F65" s="520" t="s">
        <v>785</v>
      </c>
      <c r="G65" s="545" t="s">
        <v>269</v>
      </c>
      <c r="H65" s="546" t="s">
        <v>288</v>
      </c>
      <c r="I65" s="547">
        <v>48759</v>
      </c>
      <c r="J65" s="548" t="s">
        <v>2461</v>
      </c>
      <c r="K65" s="549">
        <v>0.9</v>
      </c>
      <c r="L65" s="550" t="s">
        <v>196</v>
      </c>
      <c r="M65" s="31">
        <v>180000000</v>
      </c>
      <c r="N65" s="31">
        <v>180000000</v>
      </c>
      <c r="O65" s="551">
        <v>180000000</v>
      </c>
      <c r="P65" s="551">
        <v>180000000</v>
      </c>
      <c r="Q65" s="552">
        <v>4</v>
      </c>
      <c r="R65" s="557" t="s">
        <v>2462</v>
      </c>
      <c r="S65" s="558"/>
    </row>
    <row r="66" spans="2:19" ht="15" customHeight="1">
      <c r="B66" s="329">
        <f t="shared" si="4"/>
        <v>56</v>
      </c>
      <c r="C66" s="289" t="s">
        <v>416</v>
      </c>
      <c r="D66" s="446" t="s">
        <v>271</v>
      </c>
      <c r="E66" s="289" t="s">
        <v>243</v>
      </c>
      <c r="F66" s="520" t="s">
        <v>785</v>
      </c>
      <c r="G66" s="545" t="s">
        <v>269</v>
      </c>
      <c r="H66" s="546" t="s">
        <v>259</v>
      </c>
      <c r="I66" s="547">
        <v>45912</v>
      </c>
      <c r="J66" s="548" t="s">
        <v>2463</v>
      </c>
      <c r="K66" s="549">
        <v>0.95</v>
      </c>
      <c r="L66" s="550" t="s">
        <v>196</v>
      </c>
      <c r="M66" s="31">
        <v>285000000</v>
      </c>
      <c r="N66" s="31">
        <v>285000000</v>
      </c>
      <c r="O66" s="551">
        <v>285000000</v>
      </c>
      <c r="P66" s="551">
        <v>285000000</v>
      </c>
      <c r="Q66" s="552">
        <v>5</v>
      </c>
      <c r="R66" s="557" t="s">
        <v>2464</v>
      </c>
      <c r="S66" s="558"/>
    </row>
    <row r="67" spans="2:19" ht="12" customHeight="1" thickBot="1">
      <c r="B67" s="331"/>
      <c r="C67" s="323"/>
      <c r="D67" s="324"/>
      <c r="E67" s="323"/>
      <c r="F67" s="325"/>
      <c r="G67" s="326"/>
      <c r="H67" s="437"/>
      <c r="I67" s="438"/>
      <c r="J67" s="327"/>
      <c r="K67" s="53"/>
      <c r="L67" s="54"/>
      <c r="M67" s="55"/>
      <c r="N67" s="55"/>
      <c r="O67" s="56"/>
      <c r="P67" s="56"/>
      <c r="Q67" s="332"/>
      <c r="R67" s="333"/>
      <c r="S67" s="559"/>
    </row>
  </sheetData>
  <phoneticPr fontId="3" type="noConversion"/>
  <conditionalFormatting sqref="J11:J66">
    <cfRule type="duplicateValues" dxfId="1" priority="1075"/>
  </conditionalFormatting>
  <conditionalFormatting sqref="R39:R66 R12:R25 R27:R37">
    <cfRule type="duplicateValues" dxfId="0" priority="1051"/>
  </conditionalFormatting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 A</vt:lpstr>
      <vt:lpstr>Sheet A-1</vt:lpstr>
      <vt:lpstr>Sheet B</vt:lpstr>
      <vt:lpstr>Sheet C-1</vt:lpstr>
      <vt:lpstr>Sheet C-2</vt:lpstr>
      <vt:lpstr>Sheet C-3</vt:lpstr>
      <vt:lpstr>Sheet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jwkim@yeilac.co.kr</dc:creator>
  <cp:lastModifiedBy>sunyoung moon</cp:lastModifiedBy>
  <cp:lastPrinted>2021-10-28T13:27:44Z</cp:lastPrinted>
  <dcterms:created xsi:type="dcterms:W3CDTF">2013-04-15T02:09:23Z</dcterms:created>
  <dcterms:modified xsi:type="dcterms:W3CDTF">2025-08-04T19:46:46Z</dcterms:modified>
</cp:coreProperties>
</file>